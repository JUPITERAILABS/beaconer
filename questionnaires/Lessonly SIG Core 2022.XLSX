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defaultThemeVersion="166925"/>
  <mc:AlternateContent xmlns:mc="http://schemas.openxmlformats.org/markup-compatibility/2006">
    <mc:Choice Requires="x15">
      <x15ac:absPath xmlns:x15ac="http://schemas.microsoft.com/office/spreadsheetml/2010/11/ac" url="https://seismic.sharepoint.com/sites/Security/Shared Documents/Information_Security/Customer Reviews/General Evidence/Quake SIG Bundle Sync/Lessonly SIG/"/>
    </mc:Choice>
  </mc:AlternateContent>
  <xr:revisionPtr revIDLastSave="4" documentId="8_{9A13036D-E009-4BF4-AE1C-E11D145B86F0}" xr6:coauthVersionLast="47" xr6:coauthVersionMax="47" xr10:uidLastSave="{397B2E24-FC9B-4FD2-8AA4-2D60F3AE06EE}"/>
  <workbookProtection workbookAlgorithmName="SHA-512" workbookHashValue="kgmpCNO7+nooIBhu5QDN1+YVhR+Ni0DnHLX7D0keTZDtrt7ZvhPAumSt/+tKzfN7e1OnAyo0z9sesNABK4VMsA==" workbookSaltValue="ywu3otG1W4WENX0FHUv5Ug==" workbookSpinCount="100000" lockStructure="1"/>
  <bookViews>
    <workbookView xWindow="-96" yWindow="-96" windowWidth="23232" windowHeight="13992" firstSheet="3" activeTab="5" xr2:uid="{62B77D1F-7354-46C2-9D06-01CB3CF8D509}"/>
  </bookViews>
  <sheets>
    <sheet name="Copyright" sheetId="1" r:id="rId1"/>
    <sheet name="Instructions" sheetId="2" r:id="rId2"/>
    <sheet name="Dashboard" sheetId="3" r:id="rId3"/>
    <sheet name="Business Information" sheetId="4" r:id="rId4"/>
    <sheet name="Documentation" sheetId="5" r:id="rId5"/>
    <sheet name="SIG 2021" sheetId="6" r:id="rId6"/>
    <sheet name="Formula Notes" sheetId="7" r:id="rId7"/>
    <sheet name="Full" sheetId="8" r:id="rId8"/>
    <sheet name="Drops" sheetId="9" state="veryHidden" r:id="rId9"/>
  </sheets>
  <definedNames>
    <definedName name="_xlnm._FilterDatabase" localSheetId="2" hidden="1">Dashboard!$G$1:$G$32</definedName>
    <definedName name="_xlnm._FilterDatabase" localSheetId="4" hidden="1">Documentation!$A$2:$D$2</definedName>
    <definedName name="_xlnm._FilterDatabase" localSheetId="7" hidden="1">Full!$A$1:$M$1026</definedName>
    <definedName name="_xlnm._FilterDatabase" localSheetId="5" hidden="1">'SIG 2021'!$AA$4:$AA$1029</definedName>
    <definedName name="A1VerVal">Drops!$B$27</definedName>
    <definedName name="BusInfoArray">'Business Information'!$A$4:$E$38</definedName>
    <definedName name="CompanyHashSIG">Drops!$B$36</definedName>
    <definedName name="CompanyName">Drops!$B$34</definedName>
    <definedName name="CompanyNameFlag">Drops!$B$35</definedName>
    <definedName name="CurrentVersionSIG">Drops!$B$25</definedName>
    <definedName name="FullResponses">Full!$A$2:$M$1026</definedName>
    <definedName name="JumpArray">Drops!$F$26:$F$44</definedName>
    <definedName name="JumpSelection">Drops!$F$45</definedName>
    <definedName name="OutputArray">Drops!$M$2:$U$5758</definedName>
    <definedName name="_xlnm.Print_Area" localSheetId="3">'Business Information'!$B$1:$C$61</definedName>
    <definedName name="_xlnm.Print_Area" localSheetId="0">Copyright!$B$2:$B$19</definedName>
    <definedName name="_xlnm.Print_Area" localSheetId="2">Dashboard!$B$2:$F$32</definedName>
    <definedName name="_xlnm.Print_Area" localSheetId="4">Documentation!$B$1:$D$2</definedName>
    <definedName name="_xlnm.Print_Area" localSheetId="6">'Formula Notes'!$B$2:$C$50</definedName>
    <definedName name="_xlnm.Print_Area" localSheetId="5">'SIG 2021'!$B$1:$K$1029</definedName>
    <definedName name="_xlnm.Print_Titles" localSheetId="5">'SIG 2021'!$4:$4</definedName>
    <definedName name="ServiceSelection">Drops!$M$2:$N$5758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D2" i="8"/>
  <c r="E2" i="8"/>
  <c r="F2" i="8"/>
  <c r="K2" i="8"/>
  <c r="L2" i="8"/>
  <c r="M2" i="8"/>
  <c r="D3" i="8"/>
  <c r="E3" i="8"/>
  <c r="F3" i="8"/>
  <c r="K3" i="8"/>
  <c r="L3" i="8"/>
  <c r="M3" i="8"/>
  <c r="D4" i="8"/>
  <c r="E4" i="8"/>
  <c r="F4" i="8"/>
  <c r="K4" i="8"/>
  <c r="L4" i="8"/>
  <c r="M4" i="8"/>
  <c r="D5" i="8"/>
  <c r="E5" i="8"/>
  <c r="F5" i="8"/>
  <c r="K5" i="8"/>
  <c r="L5" i="8"/>
  <c r="M5" i="8"/>
  <c r="D6" i="8"/>
  <c r="E6" i="8"/>
  <c r="F6" i="8"/>
  <c r="K6" i="8"/>
  <c r="L6" i="8"/>
  <c r="M6" i="8"/>
  <c r="D7" i="8"/>
  <c r="E7" i="8"/>
  <c r="F7" i="8"/>
  <c r="K7" i="8"/>
  <c r="L7" i="8"/>
  <c r="M7" i="8"/>
  <c r="D8" i="8"/>
  <c r="E8" i="8"/>
  <c r="F8" i="8"/>
  <c r="K8" i="8"/>
  <c r="L8" i="8"/>
  <c r="M8" i="8"/>
  <c r="D9" i="8"/>
  <c r="E9" i="8"/>
  <c r="F9" i="8"/>
  <c r="K9" i="8"/>
  <c r="L9" i="8"/>
  <c r="M9" i="8"/>
  <c r="D10" i="8"/>
  <c r="E10" i="8"/>
  <c r="F10" i="8"/>
  <c r="K10" i="8"/>
  <c r="L10" i="8"/>
  <c r="M10" i="8"/>
  <c r="D11" i="8"/>
  <c r="E11" i="8"/>
  <c r="F11" i="8"/>
  <c r="K11" i="8"/>
  <c r="L11" i="8"/>
  <c r="M11" i="8"/>
  <c r="D12" i="8"/>
  <c r="E12" i="8"/>
  <c r="F12" i="8"/>
  <c r="K12" i="8"/>
  <c r="L12" i="8"/>
  <c r="M12" i="8"/>
  <c r="D13" i="8"/>
  <c r="E13" i="8"/>
  <c r="F13" i="8"/>
  <c r="K13" i="8"/>
  <c r="L13" i="8"/>
  <c r="M13" i="8"/>
  <c r="D14" i="8"/>
  <c r="E14" i="8"/>
  <c r="F14" i="8"/>
  <c r="K14" i="8"/>
  <c r="L14" i="8"/>
  <c r="M14" i="8"/>
  <c r="D15" i="8"/>
  <c r="E15" i="8"/>
  <c r="F15" i="8"/>
  <c r="K15" i="8"/>
  <c r="L15" i="8"/>
  <c r="M15" i="8"/>
  <c r="D16" i="8"/>
  <c r="E16" i="8"/>
  <c r="F16" i="8"/>
  <c r="K16" i="8"/>
  <c r="L16" i="8"/>
  <c r="M16" i="8"/>
  <c r="D17" i="8"/>
  <c r="E17" i="8"/>
  <c r="F17" i="8"/>
  <c r="K17" i="8"/>
  <c r="L17" i="8"/>
  <c r="M17" i="8"/>
  <c r="D18" i="8"/>
  <c r="E18" i="8"/>
  <c r="F18" i="8"/>
  <c r="K18" i="8"/>
  <c r="L18" i="8"/>
  <c r="M18" i="8"/>
  <c r="D19" i="8"/>
  <c r="E19" i="8"/>
  <c r="F19" i="8"/>
  <c r="K19" i="8"/>
  <c r="L19" i="8"/>
  <c r="M19" i="8"/>
  <c r="D20" i="8"/>
  <c r="E20" i="8"/>
  <c r="F20" i="8"/>
  <c r="K20" i="8"/>
  <c r="L20" i="8"/>
  <c r="M20" i="8"/>
  <c r="D21" i="8"/>
  <c r="E21" i="8"/>
  <c r="F21" i="8"/>
  <c r="K21" i="8"/>
  <c r="L21" i="8"/>
  <c r="M21" i="8"/>
  <c r="D22" i="8"/>
  <c r="E22" i="8"/>
  <c r="F22" i="8"/>
  <c r="K22" i="8"/>
  <c r="L22" i="8"/>
  <c r="M22" i="8"/>
  <c r="D23" i="8"/>
  <c r="E23" i="8"/>
  <c r="F23" i="8"/>
  <c r="K23" i="8"/>
  <c r="L23" i="8"/>
  <c r="M23" i="8"/>
  <c r="D24" i="8"/>
  <c r="E24" i="8"/>
  <c r="F24" i="8"/>
  <c r="K24" i="8"/>
  <c r="L24" i="8"/>
  <c r="M24" i="8"/>
  <c r="D25" i="8"/>
  <c r="E25" i="8"/>
  <c r="F25" i="8"/>
  <c r="K25" i="8"/>
  <c r="L25" i="8"/>
  <c r="M25" i="8"/>
  <c r="D26" i="8"/>
  <c r="E26" i="8"/>
  <c r="F26" i="8"/>
  <c r="K26" i="8"/>
  <c r="L26" i="8"/>
  <c r="M26" i="8"/>
  <c r="D27" i="8"/>
  <c r="E27" i="8"/>
  <c r="F27" i="8"/>
  <c r="K27" i="8"/>
  <c r="L27" i="8"/>
  <c r="M27" i="8"/>
  <c r="D28" i="8"/>
  <c r="E28" i="8"/>
  <c r="F28" i="8"/>
  <c r="K28" i="8"/>
  <c r="L28" i="8"/>
  <c r="M28" i="8"/>
  <c r="D29" i="8"/>
  <c r="E29" i="8"/>
  <c r="F29" i="8"/>
  <c r="K29" i="8"/>
  <c r="L29" i="8"/>
  <c r="M29" i="8"/>
  <c r="D30" i="8"/>
  <c r="E30" i="8"/>
  <c r="F30" i="8"/>
  <c r="K30" i="8"/>
  <c r="L30" i="8"/>
  <c r="M30" i="8"/>
  <c r="D31" i="8"/>
  <c r="E31" i="8"/>
  <c r="F31" i="8"/>
  <c r="K31" i="8"/>
  <c r="L31" i="8"/>
  <c r="M31" i="8"/>
  <c r="D32" i="8"/>
  <c r="E32" i="8"/>
  <c r="F32" i="8"/>
  <c r="K32" i="8"/>
  <c r="L32" i="8"/>
  <c r="M32" i="8"/>
  <c r="D33" i="8"/>
  <c r="E33" i="8"/>
  <c r="F33" i="8"/>
  <c r="K33" i="8"/>
  <c r="L33" i="8"/>
  <c r="M33" i="8"/>
  <c r="D34" i="8"/>
  <c r="E34" i="8"/>
  <c r="F34" i="8"/>
  <c r="K34" i="8"/>
  <c r="L34" i="8"/>
  <c r="M34" i="8"/>
  <c r="D35" i="8"/>
  <c r="E35" i="8"/>
  <c r="F35" i="8"/>
  <c r="K35" i="8"/>
  <c r="L35" i="8"/>
  <c r="M35" i="8"/>
  <c r="D36" i="8"/>
  <c r="E36" i="8"/>
  <c r="F36" i="8"/>
  <c r="K36" i="8"/>
  <c r="L36" i="8"/>
  <c r="M36" i="8"/>
  <c r="D37" i="8"/>
  <c r="E37" i="8"/>
  <c r="F37" i="8"/>
  <c r="K37" i="8"/>
  <c r="L37" i="8"/>
  <c r="M37" i="8"/>
  <c r="D38" i="8"/>
  <c r="E38" i="8"/>
  <c r="F38" i="8"/>
  <c r="K38" i="8"/>
  <c r="L38" i="8"/>
  <c r="M38" i="8"/>
  <c r="D39" i="8"/>
  <c r="E39" i="8"/>
  <c r="F39" i="8"/>
  <c r="K39" i="8"/>
  <c r="L39" i="8"/>
  <c r="M39" i="8"/>
  <c r="D40" i="8"/>
  <c r="E40" i="8"/>
  <c r="F40" i="8"/>
  <c r="K40" i="8"/>
  <c r="L40" i="8"/>
  <c r="M40" i="8"/>
  <c r="D41" i="8"/>
  <c r="E41" i="8"/>
  <c r="F41" i="8"/>
  <c r="K41" i="8"/>
  <c r="L41" i="8"/>
  <c r="M41" i="8"/>
  <c r="D42" i="8"/>
  <c r="E42" i="8"/>
  <c r="F42" i="8"/>
  <c r="K42" i="8"/>
  <c r="L42" i="8"/>
  <c r="M42" i="8"/>
  <c r="D43" i="8"/>
  <c r="E43" i="8"/>
  <c r="F43" i="8"/>
  <c r="K43" i="8"/>
  <c r="L43" i="8"/>
  <c r="M43" i="8"/>
  <c r="D44" i="8"/>
  <c r="E44" i="8"/>
  <c r="F44" i="8"/>
  <c r="K44" i="8"/>
  <c r="L44" i="8"/>
  <c r="M44" i="8"/>
  <c r="D45" i="8"/>
  <c r="E45" i="8"/>
  <c r="F45" i="8"/>
  <c r="K45" i="8"/>
  <c r="L45" i="8"/>
  <c r="M45" i="8"/>
  <c r="D46" i="8"/>
  <c r="E46" i="8"/>
  <c r="F46" i="8"/>
  <c r="K46" i="8"/>
  <c r="L46" i="8"/>
  <c r="M46" i="8"/>
  <c r="D47" i="8"/>
  <c r="E47" i="8"/>
  <c r="F47" i="8"/>
  <c r="K47" i="8"/>
  <c r="L47" i="8"/>
  <c r="M47" i="8"/>
  <c r="D48" i="8"/>
  <c r="E48" i="8"/>
  <c r="F48" i="8"/>
  <c r="K48" i="8"/>
  <c r="L48" i="8"/>
  <c r="M48" i="8"/>
  <c r="D49" i="8"/>
  <c r="E49" i="8"/>
  <c r="F49" i="8"/>
  <c r="K49" i="8"/>
  <c r="L49" i="8"/>
  <c r="M49" i="8"/>
  <c r="D50" i="8"/>
  <c r="E50" i="8"/>
  <c r="F50" i="8"/>
  <c r="K50" i="8"/>
  <c r="L50" i="8"/>
  <c r="M50" i="8"/>
  <c r="D51" i="8"/>
  <c r="E51" i="8"/>
  <c r="F51" i="8"/>
  <c r="K51" i="8"/>
  <c r="L51" i="8"/>
  <c r="M51" i="8"/>
  <c r="D52" i="8"/>
  <c r="E52" i="8"/>
  <c r="F52" i="8"/>
  <c r="K52" i="8"/>
  <c r="L52" i="8"/>
  <c r="M52" i="8"/>
  <c r="D53" i="8"/>
  <c r="E53" i="8"/>
  <c r="F53" i="8"/>
  <c r="K53" i="8"/>
  <c r="L53" i="8"/>
  <c r="M53" i="8"/>
  <c r="D54" i="8"/>
  <c r="E54" i="8"/>
  <c r="F54" i="8"/>
  <c r="K54" i="8"/>
  <c r="L54" i="8"/>
  <c r="M54" i="8"/>
  <c r="D55" i="8"/>
  <c r="E55" i="8"/>
  <c r="F55" i="8"/>
  <c r="K55" i="8"/>
  <c r="L55" i="8"/>
  <c r="M55" i="8"/>
  <c r="D56" i="8"/>
  <c r="E56" i="8"/>
  <c r="F56" i="8"/>
  <c r="K56" i="8"/>
  <c r="L56" i="8"/>
  <c r="M56" i="8"/>
  <c r="D57" i="8"/>
  <c r="E57" i="8"/>
  <c r="F57" i="8"/>
  <c r="K57" i="8"/>
  <c r="L57" i="8"/>
  <c r="M57" i="8"/>
  <c r="D58" i="8"/>
  <c r="E58" i="8"/>
  <c r="F58" i="8"/>
  <c r="K58" i="8"/>
  <c r="L58" i="8"/>
  <c r="M58" i="8"/>
  <c r="D59" i="8"/>
  <c r="E59" i="8"/>
  <c r="F59" i="8"/>
  <c r="K59" i="8"/>
  <c r="L59" i="8"/>
  <c r="M59" i="8"/>
  <c r="D60" i="8"/>
  <c r="E60" i="8"/>
  <c r="F60" i="8"/>
  <c r="K60" i="8"/>
  <c r="L60" i="8"/>
  <c r="M60" i="8"/>
  <c r="D61" i="8"/>
  <c r="E61" i="8"/>
  <c r="F61" i="8"/>
  <c r="K61" i="8"/>
  <c r="L61" i="8"/>
  <c r="M61" i="8"/>
  <c r="D62" i="8"/>
  <c r="E62" i="8"/>
  <c r="F62" i="8"/>
  <c r="K62" i="8"/>
  <c r="L62" i="8"/>
  <c r="M62" i="8"/>
  <c r="D63" i="8"/>
  <c r="E63" i="8"/>
  <c r="F63" i="8"/>
  <c r="K63" i="8"/>
  <c r="L63" i="8"/>
  <c r="M63" i="8"/>
  <c r="D64" i="8"/>
  <c r="E64" i="8"/>
  <c r="F64" i="8"/>
  <c r="K64" i="8"/>
  <c r="L64" i="8"/>
  <c r="M64" i="8"/>
  <c r="D65" i="8"/>
  <c r="E65" i="8"/>
  <c r="F65" i="8"/>
  <c r="K65" i="8"/>
  <c r="L65" i="8"/>
  <c r="M65" i="8"/>
  <c r="D66" i="8"/>
  <c r="E66" i="8"/>
  <c r="F66" i="8"/>
  <c r="K66" i="8"/>
  <c r="L66" i="8"/>
  <c r="M66" i="8"/>
  <c r="D67" i="8"/>
  <c r="E67" i="8"/>
  <c r="F67" i="8"/>
  <c r="K67" i="8"/>
  <c r="L67" i="8"/>
  <c r="M67" i="8"/>
  <c r="D68" i="8"/>
  <c r="E68" i="8"/>
  <c r="F68" i="8"/>
  <c r="K68" i="8"/>
  <c r="L68" i="8"/>
  <c r="M68" i="8"/>
  <c r="D69" i="8"/>
  <c r="E69" i="8"/>
  <c r="F69" i="8"/>
  <c r="K69" i="8"/>
  <c r="L69" i="8"/>
  <c r="M69" i="8"/>
  <c r="D70" i="8"/>
  <c r="E70" i="8"/>
  <c r="F70" i="8"/>
  <c r="K70" i="8"/>
  <c r="L70" i="8"/>
  <c r="M70" i="8"/>
  <c r="D71" i="8"/>
  <c r="E71" i="8"/>
  <c r="F71" i="8"/>
  <c r="K71" i="8"/>
  <c r="L71" i="8"/>
  <c r="M71" i="8"/>
  <c r="D72" i="8"/>
  <c r="E72" i="8"/>
  <c r="F72" i="8"/>
  <c r="K72" i="8"/>
  <c r="L72" i="8"/>
  <c r="M72" i="8"/>
  <c r="D73" i="8"/>
  <c r="E73" i="8"/>
  <c r="F73" i="8"/>
  <c r="K73" i="8"/>
  <c r="L73" i="8"/>
  <c r="M73" i="8"/>
  <c r="D74" i="8"/>
  <c r="E74" i="8"/>
  <c r="F74" i="8"/>
  <c r="K74" i="8"/>
  <c r="L74" i="8"/>
  <c r="M74" i="8"/>
  <c r="D75" i="8"/>
  <c r="E75" i="8"/>
  <c r="F75" i="8"/>
  <c r="K75" i="8"/>
  <c r="L75" i="8"/>
  <c r="M75" i="8"/>
  <c r="D76" i="8"/>
  <c r="E76" i="8"/>
  <c r="F76" i="8"/>
  <c r="K76" i="8"/>
  <c r="L76" i="8"/>
  <c r="M76" i="8"/>
  <c r="D77" i="8"/>
  <c r="E77" i="8"/>
  <c r="F77" i="8"/>
  <c r="K77" i="8"/>
  <c r="L77" i="8"/>
  <c r="M77" i="8"/>
  <c r="D78" i="8"/>
  <c r="E78" i="8"/>
  <c r="F78" i="8"/>
  <c r="K78" i="8"/>
  <c r="L78" i="8"/>
  <c r="M78" i="8"/>
  <c r="D79" i="8"/>
  <c r="E79" i="8"/>
  <c r="F79" i="8"/>
  <c r="K79" i="8"/>
  <c r="L79" i="8"/>
  <c r="M79" i="8"/>
  <c r="D80" i="8"/>
  <c r="E80" i="8"/>
  <c r="F80" i="8"/>
  <c r="K80" i="8"/>
  <c r="L80" i="8"/>
  <c r="M80" i="8"/>
  <c r="D81" i="8"/>
  <c r="E81" i="8"/>
  <c r="F81" i="8"/>
  <c r="K81" i="8"/>
  <c r="L81" i="8"/>
  <c r="M81" i="8"/>
  <c r="D82" i="8"/>
  <c r="E82" i="8"/>
  <c r="F82" i="8"/>
  <c r="K82" i="8"/>
  <c r="L82" i="8"/>
  <c r="M82" i="8"/>
  <c r="D83" i="8"/>
  <c r="E83" i="8"/>
  <c r="F83" i="8"/>
  <c r="K83" i="8"/>
  <c r="L83" i="8"/>
  <c r="M83" i="8"/>
  <c r="D84" i="8"/>
  <c r="E84" i="8"/>
  <c r="F84" i="8"/>
  <c r="K84" i="8"/>
  <c r="L84" i="8"/>
  <c r="M84" i="8"/>
  <c r="D85" i="8"/>
  <c r="E85" i="8"/>
  <c r="F85" i="8"/>
  <c r="K85" i="8"/>
  <c r="L85" i="8"/>
  <c r="M85" i="8"/>
  <c r="D86" i="8"/>
  <c r="E86" i="8"/>
  <c r="F86" i="8"/>
  <c r="K86" i="8"/>
  <c r="L86" i="8"/>
  <c r="M86" i="8"/>
  <c r="D87" i="8"/>
  <c r="E87" i="8"/>
  <c r="F87" i="8"/>
  <c r="K87" i="8"/>
  <c r="L87" i="8"/>
  <c r="M87" i="8"/>
  <c r="D88" i="8"/>
  <c r="E88" i="8"/>
  <c r="F88" i="8"/>
  <c r="K88" i="8"/>
  <c r="L88" i="8"/>
  <c r="M88" i="8"/>
  <c r="D89" i="8"/>
  <c r="E89" i="8"/>
  <c r="F89" i="8"/>
  <c r="K89" i="8"/>
  <c r="L89" i="8"/>
  <c r="M89" i="8"/>
  <c r="D90" i="8"/>
  <c r="E90" i="8"/>
  <c r="F90" i="8"/>
  <c r="K90" i="8"/>
  <c r="L90" i="8"/>
  <c r="M90" i="8"/>
  <c r="D91" i="8"/>
  <c r="E91" i="8"/>
  <c r="F91" i="8"/>
  <c r="K91" i="8"/>
  <c r="L91" i="8"/>
  <c r="M91" i="8"/>
  <c r="D92" i="8"/>
  <c r="E92" i="8"/>
  <c r="F92" i="8"/>
  <c r="K92" i="8"/>
  <c r="L92" i="8"/>
  <c r="M92" i="8"/>
  <c r="D93" i="8"/>
  <c r="E93" i="8"/>
  <c r="F93" i="8"/>
  <c r="K93" i="8"/>
  <c r="L93" i="8"/>
  <c r="M93" i="8"/>
  <c r="D94" i="8"/>
  <c r="E94" i="8"/>
  <c r="F94" i="8"/>
  <c r="K94" i="8"/>
  <c r="L94" i="8"/>
  <c r="M94" i="8"/>
  <c r="D95" i="8"/>
  <c r="E95" i="8"/>
  <c r="F95" i="8"/>
  <c r="K95" i="8"/>
  <c r="L95" i="8"/>
  <c r="M95" i="8"/>
  <c r="D96" i="8"/>
  <c r="E96" i="8"/>
  <c r="F96" i="8"/>
  <c r="K96" i="8"/>
  <c r="L96" i="8"/>
  <c r="M96" i="8"/>
  <c r="D97" i="8"/>
  <c r="E97" i="8"/>
  <c r="F97" i="8"/>
  <c r="K97" i="8"/>
  <c r="L97" i="8"/>
  <c r="M97" i="8"/>
  <c r="D98" i="8"/>
  <c r="E98" i="8"/>
  <c r="F98" i="8"/>
  <c r="K98" i="8"/>
  <c r="L98" i="8"/>
  <c r="M98" i="8"/>
  <c r="D99" i="8"/>
  <c r="E99" i="8"/>
  <c r="F99" i="8"/>
  <c r="K99" i="8"/>
  <c r="L99" i="8"/>
  <c r="M99" i="8"/>
  <c r="D100" i="8"/>
  <c r="E100" i="8"/>
  <c r="F100" i="8"/>
  <c r="K100" i="8"/>
  <c r="L100" i="8"/>
  <c r="M100" i="8"/>
  <c r="D101" i="8"/>
  <c r="E101" i="8"/>
  <c r="F101" i="8"/>
  <c r="K101" i="8"/>
  <c r="L101" i="8"/>
  <c r="M101" i="8"/>
  <c r="D102" i="8"/>
  <c r="E102" i="8"/>
  <c r="F102" i="8"/>
  <c r="K102" i="8"/>
  <c r="L102" i="8"/>
  <c r="M102" i="8"/>
  <c r="D103" i="8"/>
  <c r="E103" i="8"/>
  <c r="F103" i="8"/>
  <c r="K103" i="8"/>
  <c r="L103" i="8"/>
  <c r="M103" i="8"/>
  <c r="D104" i="8"/>
  <c r="E104" i="8"/>
  <c r="F104" i="8"/>
  <c r="K104" i="8"/>
  <c r="L104" i="8"/>
  <c r="M104" i="8"/>
  <c r="D105" i="8"/>
  <c r="E105" i="8"/>
  <c r="F105" i="8"/>
  <c r="K105" i="8"/>
  <c r="L105" i="8"/>
  <c r="M105" i="8"/>
  <c r="D106" i="8"/>
  <c r="E106" i="8"/>
  <c r="F106" i="8"/>
  <c r="K106" i="8"/>
  <c r="L106" i="8"/>
  <c r="M106" i="8"/>
  <c r="D107" i="8"/>
  <c r="E107" i="8"/>
  <c r="F107" i="8"/>
  <c r="K107" i="8"/>
  <c r="L107" i="8"/>
  <c r="M107" i="8"/>
  <c r="D108" i="8"/>
  <c r="E108" i="8"/>
  <c r="F108" i="8"/>
  <c r="K108" i="8"/>
  <c r="L108" i="8"/>
  <c r="M108" i="8"/>
  <c r="D109" i="8"/>
  <c r="E109" i="8"/>
  <c r="F109" i="8"/>
  <c r="K109" i="8"/>
  <c r="L109" i="8"/>
  <c r="M109" i="8"/>
  <c r="D110" i="8"/>
  <c r="E110" i="8"/>
  <c r="F110" i="8"/>
  <c r="K110" i="8"/>
  <c r="L110" i="8"/>
  <c r="M110" i="8"/>
  <c r="D111" i="8"/>
  <c r="E111" i="8"/>
  <c r="F111" i="8"/>
  <c r="K111" i="8"/>
  <c r="L111" i="8"/>
  <c r="M111" i="8"/>
  <c r="D112" i="8"/>
  <c r="E112" i="8"/>
  <c r="F112" i="8"/>
  <c r="K112" i="8"/>
  <c r="L112" i="8"/>
  <c r="M112" i="8"/>
  <c r="D113" i="8"/>
  <c r="E113" i="8"/>
  <c r="F113" i="8"/>
  <c r="K113" i="8"/>
  <c r="L113" i="8"/>
  <c r="M113" i="8"/>
  <c r="D114" i="8"/>
  <c r="E114" i="8"/>
  <c r="F114" i="8"/>
  <c r="K114" i="8"/>
  <c r="L114" i="8"/>
  <c r="M114" i="8"/>
  <c r="D115" i="8"/>
  <c r="E115" i="8"/>
  <c r="F115" i="8"/>
  <c r="K115" i="8"/>
  <c r="L115" i="8"/>
  <c r="M115" i="8"/>
  <c r="D116" i="8"/>
  <c r="E116" i="8"/>
  <c r="F116" i="8"/>
  <c r="K116" i="8"/>
  <c r="L116" i="8"/>
  <c r="M116" i="8"/>
  <c r="D117" i="8"/>
  <c r="E117" i="8"/>
  <c r="F117" i="8"/>
  <c r="K117" i="8"/>
  <c r="L117" i="8"/>
  <c r="M117" i="8"/>
  <c r="D118" i="8"/>
  <c r="E118" i="8"/>
  <c r="F118" i="8"/>
  <c r="K118" i="8"/>
  <c r="L118" i="8"/>
  <c r="M118" i="8"/>
  <c r="D119" i="8"/>
  <c r="E119" i="8"/>
  <c r="F119" i="8"/>
  <c r="K119" i="8"/>
  <c r="L119" i="8"/>
  <c r="M119" i="8"/>
  <c r="D120" i="8"/>
  <c r="E120" i="8"/>
  <c r="F120" i="8"/>
  <c r="K120" i="8"/>
  <c r="L120" i="8"/>
  <c r="M120" i="8"/>
  <c r="D121" i="8"/>
  <c r="E121" i="8"/>
  <c r="F121" i="8"/>
  <c r="K121" i="8"/>
  <c r="L121" i="8"/>
  <c r="M121" i="8"/>
  <c r="D122" i="8"/>
  <c r="E122" i="8"/>
  <c r="F122" i="8"/>
  <c r="K122" i="8"/>
  <c r="L122" i="8"/>
  <c r="M122" i="8"/>
  <c r="D123" i="8"/>
  <c r="E123" i="8"/>
  <c r="F123" i="8"/>
  <c r="K123" i="8"/>
  <c r="L123" i="8"/>
  <c r="M123" i="8"/>
  <c r="D124" i="8"/>
  <c r="E124" i="8"/>
  <c r="F124" i="8"/>
  <c r="K124" i="8"/>
  <c r="L124" i="8"/>
  <c r="M124" i="8"/>
  <c r="D125" i="8"/>
  <c r="E125" i="8"/>
  <c r="F125" i="8"/>
  <c r="K125" i="8"/>
  <c r="L125" i="8"/>
  <c r="M125" i="8"/>
  <c r="D126" i="8"/>
  <c r="E126" i="8"/>
  <c r="F126" i="8"/>
  <c r="K126" i="8"/>
  <c r="L126" i="8"/>
  <c r="M126" i="8"/>
  <c r="D127" i="8"/>
  <c r="E127" i="8"/>
  <c r="F127" i="8"/>
  <c r="K127" i="8"/>
  <c r="L127" i="8"/>
  <c r="M127" i="8"/>
  <c r="D128" i="8"/>
  <c r="E128" i="8"/>
  <c r="F128" i="8"/>
  <c r="K128" i="8"/>
  <c r="L128" i="8"/>
  <c r="M128" i="8"/>
  <c r="D129" i="8"/>
  <c r="E129" i="8"/>
  <c r="F129" i="8"/>
  <c r="K129" i="8"/>
  <c r="L129" i="8"/>
  <c r="M129" i="8"/>
  <c r="D130" i="8"/>
  <c r="E130" i="8"/>
  <c r="F130" i="8"/>
  <c r="K130" i="8"/>
  <c r="L130" i="8"/>
  <c r="M130" i="8"/>
  <c r="D131" i="8"/>
  <c r="E131" i="8"/>
  <c r="F131" i="8"/>
  <c r="K131" i="8"/>
  <c r="L131" i="8"/>
  <c r="M131" i="8"/>
  <c r="D132" i="8"/>
  <c r="E132" i="8"/>
  <c r="F132" i="8"/>
  <c r="K132" i="8"/>
  <c r="L132" i="8"/>
  <c r="M132" i="8"/>
  <c r="D133" i="8"/>
  <c r="E133" i="8"/>
  <c r="F133" i="8"/>
  <c r="K133" i="8"/>
  <c r="L133" i="8"/>
  <c r="M133" i="8"/>
  <c r="D134" i="8"/>
  <c r="E134" i="8"/>
  <c r="F134" i="8"/>
  <c r="K134" i="8"/>
  <c r="L134" i="8"/>
  <c r="M134" i="8"/>
  <c r="D135" i="8"/>
  <c r="E135" i="8"/>
  <c r="F135" i="8"/>
  <c r="K135" i="8"/>
  <c r="L135" i="8"/>
  <c r="M135" i="8"/>
  <c r="D136" i="8"/>
  <c r="E136" i="8"/>
  <c r="F136" i="8"/>
  <c r="K136" i="8"/>
  <c r="L136" i="8"/>
  <c r="M136" i="8"/>
  <c r="D137" i="8"/>
  <c r="E137" i="8"/>
  <c r="F137" i="8"/>
  <c r="K137" i="8"/>
  <c r="L137" i="8"/>
  <c r="M137" i="8"/>
  <c r="D138" i="8"/>
  <c r="E138" i="8"/>
  <c r="F138" i="8"/>
  <c r="K138" i="8"/>
  <c r="L138" i="8"/>
  <c r="M138" i="8"/>
  <c r="D139" i="8"/>
  <c r="E139" i="8"/>
  <c r="F139" i="8"/>
  <c r="K139" i="8"/>
  <c r="L139" i="8"/>
  <c r="M139" i="8"/>
  <c r="D140" i="8"/>
  <c r="E140" i="8"/>
  <c r="F140" i="8"/>
  <c r="K140" i="8"/>
  <c r="L140" i="8"/>
  <c r="M140" i="8"/>
  <c r="D141" i="8"/>
  <c r="E141" i="8"/>
  <c r="F141" i="8"/>
  <c r="K141" i="8"/>
  <c r="L141" i="8"/>
  <c r="M141" i="8"/>
  <c r="D142" i="8"/>
  <c r="E142" i="8"/>
  <c r="F142" i="8"/>
  <c r="K142" i="8"/>
  <c r="L142" i="8"/>
  <c r="M142" i="8"/>
  <c r="D143" i="8"/>
  <c r="E143" i="8"/>
  <c r="F143" i="8"/>
  <c r="K143" i="8"/>
  <c r="L143" i="8"/>
  <c r="M143" i="8"/>
  <c r="D144" i="8"/>
  <c r="E144" i="8"/>
  <c r="F144" i="8"/>
  <c r="K144" i="8"/>
  <c r="L144" i="8"/>
  <c r="M144" i="8"/>
  <c r="D145" i="8"/>
  <c r="E145" i="8"/>
  <c r="F145" i="8"/>
  <c r="K145" i="8"/>
  <c r="L145" i="8"/>
  <c r="M145" i="8"/>
  <c r="D146" i="8"/>
  <c r="E146" i="8"/>
  <c r="F146" i="8"/>
  <c r="K146" i="8"/>
  <c r="L146" i="8"/>
  <c r="M146" i="8"/>
  <c r="D147" i="8"/>
  <c r="E147" i="8"/>
  <c r="F147" i="8"/>
  <c r="K147" i="8"/>
  <c r="L147" i="8"/>
  <c r="M147" i="8"/>
  <c r="D148" i="8"/>
  <c r="E148" i="8"/>
  <c r="F148" i="8"/>
  <c r="K148" i="8"/>
  <c r="L148" i="8"/>
  <c r="M148" i="8"/>
  <c r="D149" i="8"/>
  <c r="E149" i="8"/>
  <c r="F149" i="8"/>
  <c r="K149" i="8"/>
  <c r="L149" i="8"/>
  <c r="M149" i="8"/>
  <c r="D150" i="8"/>
  <c r="E150" i="8"/>
  <c r="F150" i="8"/>
  <c r="K150" i="8"/>
  <c r="L150" i="8"/>
  <c r="M150" i="8"/>
  <c r="D151" i="8"/>
  <c r="E151" i="8"/>
  <c r="F151" i="8"/>
  <c r="K151" i="8"/>
  <c r="L151" i="8"/>
  <c r="M151" i="8"/>
  <c r="D152" i="8"/>
  <c r="E152" i="8"/>
  <c r="F152" i="8"/>
  <c r="K152" i="8"/>
  <c r="L152" i="8"/>
  <c r="M152" i="8"/>
  <c r="D153" i="8"/>
  <c r="E153" i="8"/>
  <c r="F153" i="8"/>
  <c r="K153" i="8"/>
  <c r="L153" i="8"/>
  <c r="M153" i="8"/>
  <c r="D154" i="8"/>
  <c r="E154" i="8"/>
  <c r="F154" i="8"/>
  <c r="K154" i="8"/>
  <c r="L154" i="8"/>
  <c r="M154" i="8"/>
  <c r="D155" i="8"/>
  <c r="E155" i="8"/>
  <c r="F155" i="8"/>
  <c r="K155" i="8"/>
  <c r="L155" i="8"/>
  <c r="M155" i="8"/>
  <c r="D156" i="8"/>
  <c r="E156" i="8"/>
  <c r="F156" i="8"/>
  <c r="K156" i="8"/>
  <c r="L156" i="8"/>
  <c r="M156" i="8"/>
  <c r="D157" i="8"/>
  <c r="E157" i="8"/>
  <c r="F157" i="8"/>
  <c r="K157" i="8"/>
  <c r="L157" i="8"/>
  <c r="M157" i="8"/>
  <c r="D158" i="8"/>
  <c r="E158" i="8"/>
  <c r="F158" i="8"/>
  <c r="K158" i="8"/>
  <c r="L158" i="8"/>
  <c r="M158" i="8"/>
  <c r="D159" i="8"/>
  <c r="E159" i="8"/>
  <c r="F159" i="8"/>
  <c r="K159" i="8"/>
  <c r="L159" i="8"/>
  <c r="M159" i="8"/>
  <c r="D160" i="8"/>
  <c r="E160" i="8"/>
  <c r="F160" i="8"/>
  <c r="K160" i="8"/>
  <c r="L160" i="8"/>
  <c r="M160" i="8"/>
  <c r="D161" i="8"/>
  <c r="E161" i="8"/>
  <c r="F161" i="8"/>
  <c r="K161" i="8"/>
  <c r="L161" i="8"/>
  <c r="M161" i="8"/>
  <c r="D162" i="8"/>
  <c r="E162" i="8"/>
  <c r="F162" i="8"/>
  <c r="K162" i="8"/>
  <c r="L162" i="8"/>
  <c r="M162" i="8"/>
  <c r="D163" i="8"/>
  <c r="E163" i="8"/>
  <c r="F163" i="8"/>
  <c r="K163" i="8"/>
  <c r="L163" i="8"/>
  <c r="M163" i="8"/>
  <c r="D164" i="8"/>
  <c r="E164" i="8"/>
  <c r="F164" i="8"/>
  <c r="K164" i="8"/>
  <c r="L164" i="8"/>
  <c r="M164" i="8"/>
  <c r="D165" i="8"/>
  <c r="E165" i="8"/>
  <c r="F165" i="8"/>
  <c r="K165" i="8"/>
  <c r="L165" i="8"/>
  <c r="M165" i="8"/>
  <c r="D166" i="8"/>
  <c r="E166" i="8"/>
  <c r="F166" i="8"/>
  <c r="K166" i="8"/>
  <c r="L166" i="8"/>
  <c r="M166" i="8"/>
  <c r="D167" i="8"/>
  <c r="E167" i="8"/>
  <c r="F167" i="8"/>
  <c r="K167" i="8"/>
  <c r="L167" i="8"/>
  <c r="M167" i="8"/>
  <c r="D168" i="8"/>
  <c r="E168" i="8"/>
  <c r="F168" i="8"/>
  <c r="K168" i="8"/>
  <c r="L168" i="8"/>
  <c r="M168" i="8"/>
  <c r="D169" i="8"/>
  <c r="E169" i="8"/>
  <c r="F169" i="8"/>
  <c r="K169" i="8"/>
  <c r="L169" i="8"/>
  <c r="M169" i="8"/>
  <c r="D170" i="8"/>
  <c r="E170" i="8"/>
  <c r="F170" i="8"/>
  <c r="K170" i="8"/>
  <c r="L170" i="8"/>
  <c r="M170" i="8"/>
  <c r="D171" i="8"/>
  <c r="E171" i="8"/>
  <c r="F171" i="8"/>
  <c r="K171" i="8"/>
  <c r="L171" i="8"/>
  <c r="M171" i="8"/>
  <c r="D172" i="8"/>
  <c r="E172" i="8"/>
  <c r="F172" i="8"/>
  <c r="K172" i="8"/>
  <c r="L172" i="8"/>
  <c r="M172" i="8"/>
  <c r="D173" i="8"/>
  <c r="E173" i="8"/>
  <c r="F173" i="8"/>
  <c r="K173" i="8"/>
  <c r="L173" i="8"/>
  <c r="M173" i="8"/>
  <c r="D174" i="8"/>
  <c r="E174" i="8"/>
  <c r="F174" i="8"/>
  <c r="K174" i="8"/>
  <c r="L174" i="8"/>
  <c r="M174" i="8"/>
  <c r="D175" i="8"/>
  <c r="E175" i="8"/>
  <c r="F175" i="8"/>
  <c r="K175" i="8"/>
  <c r="L175" i="8"/>
  <c r="M175" i="8"/>
  <c r="D176" i="8"/>
  <c r="E176" i="8"/>
  <c r="F176" i="8"/>
  <c r="K176" i="8"/>
  <c r="L176" i="8"/>
  <c r="M176" i="8"/>
  <c r="D177" i="8"/>
  <c r="E177" i="8"/>
  <c r="F177" i="8"/>
  <c r="K177" i="8"/>
  <c r="L177" i="8"/>
  <c r="M177" i="8"/>
  <c r="D178" i="8"/>
  <c r="E178" i="8"/>
  <c r="F178" i="8"/>
  <c r="K178" i="8"/>
  <c r="L178" i="8"/>
  <c r="M178" i="8"/>
  <c r="D179" i="8"/>
  <c r="E179" i="8"/>
  <c r="F179" i="8"/>
  <c r="K179" i="8"/>
  <c r="L179" i="8"/>
  <c r="M179" i="8"/>
  <c r="D180" i="8"/>
  <c r="E180" i="8"/>
  <c r="F180" i="8"/>
  <c r="K180" i="8"/>
  <c r="L180" i="8"/>
  <c r="M180" i="8"/>
  <c r="D181" i="8"/>
  <c r="E181" i="8"/>
  <c r="F181" i="8"/>
  <c r="K181" i="8"/>
  <c r="L181" i="8"/>
  <c r="M181" i="8"/>
  <c r="D182" i="8"/>
  <c r="E182" i="8"/>
  <c r="F182" i="8"/>
  <c r="K182" i="8"/>
  <c r="L182" i="8"/>
  <c r="M182" i="8"/>
  <c r="D183" i="8"/>
  <c r="E183" i="8"/>
  <c r="F183" i="8"/>
  <c r="K183" i="8"/>
  <c r="L183" i="8"/>
  <c r="M183" i="8"/>
  <c r="D184" i="8"/>
  <c r="E184" i="8"/>
  <c r="F184" i="8"/>
  <c r="K184" i="8"/>
  <c r="L184" i="8"/>
  <c r="M184" i="8"/>
  <c r="D185" i="8"/>
  <c r="E185" i="8"/>
  <c r="F185" i="8"/>
  <c r="K185" i="8"/>
  <c r="L185" i="8"/>
  <c r="M185" i="8"/>
  <c r="D186" i="8"/>
  <c r="E186" i="8"/>
  <c r="F186" i="8"/>
  <c r="K186" i="8"/>
  <c r="L186" i="8"/>
  <c r="M186" i="8"/>
  <c r="D187" i="8"/>
  <c r="E187" i="8"/>
  <c r="F187" i="8"/>
  <c r="K187" i="8"/>
  <c r="L187" i="8"/>
  <c r="M187" i="8"/>
  <c r="D188" i="8"/>
  <c r="E188" i="8"/>
  <c r="F188" i="8"/>
  <c r="K188" i="8"/>
  <c r="L188" i="8"/>
  <c r="M188" i="8"/>
  <c r="D189" i="8"/>
  <c r="E189" i="8"/>
  <c r="F189" i="8"/>
  <c r="K189" i="8"/>
  <c r="L189" i="8"/>
  <c r="M189" i="8"/>
  <c r="D190" i="8"/>
  <c r="E190" i="8"/>
  <c r="F190" i="8"/>
  <c r="K190" i="8"/>
  <c r="L190" i="8"/>
  <c r="M190" i="8"/>
  <c r="D191" i="8"/>
  <c r="E191" i="8"/>
  <c r="F191" i="8"/>
  <c r="K191" i="8"/>
  <c r="L191" i="8"/>
  <c r="M191" i="8"/>
  <c r="D192" i="8"/>
  <c r="E192" i="8"/>
  <c r="F192" i="8"/>
  <c r="K192" i="8"/>
  <c r="L192" i="8"/>
  <c r="M192" i="8"/>
  <c r="D193" i="8"/>
  <c r="E193" i="8"/>
  <c r="F193" i="8"/>
  <c r="K193" i="8"/>
  <c r="L193" i="8"/>
  <c r="M193" i="8"/>
  <c r="D194" i="8"/>
  <c r="E194" i="8"/>
  <c r="F194" i="8"/>
  <c r="K194" i="8"/>
  <c r="L194" i="8"/>
  <c r="M194" i="8"/>
  <c r="D195" i="8"/>
  <c r="E195" i="8"/>
  <c r="F195" i="8"/>
  <c r="K195" i="8"/>
  <c r="L195" i="8"/>
  <c r="M195" i="8"/>
  <c r="D196" i="8"/>
  <c r="E196" i="8"/>
  <c r="F196" i="8"/>
  <c r="K196" i="8"/>
  <c r="L196" i="8"/>
  <c r="M196" i="8"/>
  <c r="D197" i="8"/>
  <c r="E197" i="8"/>
  <c r="F197" i="8"/>
  <c r="K197" i="8"/>
  <c r="L197" i="8"/>
  <c r="M197" i="8"/>
  <c r="D198" i="8"/>
  <c r="E198" i="8"/>
  <c r="F198" i="8"/>
  <c r="K198" i="8"/>
  <c r="L198" i="8"/>
  <c r="M198" i="8"/>
  <c r="D199" i="8"/>
  <c r="E199" i="8"/>
  <c r="F199" i="8"/>
  <c r="K199" i="8"/>
  <c r="L199" i="8"/>
  <c r="M199" i="8"/>
  <c r="D200" i="8"/>
  <c r="E200" i="8"/>
  <c r="F200" i="8"/>
  <c r="K200" i="8"/>
  <c r="L200" i="8"/>
  <c r="M200" i="8"/>
  <c r="D201" i="8"/>
  <c r="E201" i="8"/>
  <c r="F201" i="8"/>
  <c r="K201" i="8"/>
  <c r="L201" i="8"/>
  <c r="M201" i="8"/>
  <c r="D202" i="8"/>
  <c r="E202" i="8"/>
  <c r="F202" i="8"/>
  <c r="K202" i="8"/>
  <c r="L202" i="8"/>
  <c r="M202" i="8"/>
  <c r="D203" i="8"/>
  <c r="E203" i="8"/>
  <c r="F203" i="8"/>
  <c r="K203" i="8"/>
  <c r="L203" i="8"/>
  <c r="M203" i="8"/>
  <c r="D204" i="8"/>
  <c r="E204" i="8"/>
  <c r="F204" i="8"/>
  <c r="K204" i="8"/>
  <c r="L204" i="8"/>
  <c r="M204" i="8"/>
  <c r="D205" i="8"/>
  <c r="E205" i="8"/>
  <c r="F205" i="8"/>
  <c r="K205" i="8"/>
  <c r="L205" i="8"/>
  <c r="M205" i="8"/>
  <c r="D206" i="8"/>
  <c r="E206" i="8"/>
  <c r="F206" i="8"/>
  <c r="K206" i="8"/>
  <c r="L206" i="8"/>
  <c r="M206" i="8"/>
  <c r="D207" i="8"/>
  <c r="E207" i="8"/>
  <c r="F207" i="8"/>
  <c r="K207" i="8"/>
  <c r="L207" i="8"/>
  <c r="M207" i="8"/>
  <c r="D208" i="8"/>
  <c r="E208" i="8"/>
  <c r="F208" i="8"/>
  <c r="K208" i="8"/>
  <c r="L208" i="8"/>
  <c r="M208" i="8"/>
  <c r="D209" i="8"/>
  <c r="E209" i="8"/>
  <c r="F209" i="8"/>
  <c r="K209" i="8"/>
  <c r="L209" i="8"/>
  <c r="M209" i="8"/>
  <c r="D210" i="8"/>
  <c r="E210" i="8"/>
  <c r="F210" i="8"/>
  <c r="K210" i="8"/>
  <c r="L210" i="8"/>
  <c r="M210" i="8"/>
  <c r="D211" i="8"/>
  <c r="E211" i="8"/>
  <c r="F211" i="8"/>
  <c r="K211" i="8"/>
  <c r="L211" i="8"/>
  <c r="M211" i="8"/>
  <c r="D212" i="8"/>
  <c r="E212" i="8"/>
  <c r="F212" i="8"/>
  <c r="K212" i="8"/>
  <c r="L212" i="8"/>
  <c r="M212" i="8"/>
  <c r="D213" i="8"/>
  <c r="E213" i="8"/>
  <c r="F213" i="8"/>
  <c r="K213" i="8"/>
  <c r="L213" i="8"/>
  <c r="M213" i="8"/>
  <c r="D214" i="8"/>
  <c r="E214" i="8"/>
  <c r="F214" i="8"/>
  <c r="K214" i="8"/>
  <c r="L214" i="8"/>
  <c r="M214" i="8"/>
  <c r="D215" i="8"/>
  <c r="E215" i="8"/>
  <c r="F215" i="8"/>
  <c r="K215" i="8"/>
  <c r="L215" i="8"/>
  <c r="M215" i="8"/>
  <c r="D216" i="8"/>
  <c r="E216" i="8"/>
  <c r="F216" i="8"/>
  <c r="K216" i="8"/>
  <c r="L216" i="8"/>
  <c r="M216" i="8"/>
  <c r="D217" i="8"/>
  <c r="E217" i="8"/>
  <c r="F217" i="8"/>
  <c r="K217" i="8"/>
  <c r="L217" i="8"/>
  <c r="M217" i="8"/>
  <c r="D218" i="8"/>
  <c r="E218" i="8"/>
  <c r="F218" i="8"/>
  <c r="K218" i="8"/>
  <c r="L218" i="8"/>
  <c r="M218" i="8"/>
  <c r="D219" i="8"/>
  <c r="E219" i="8"/>
  <c r="F219" i="8"/>
  <c r="K219" i="8"/>
  <c r="L219" i="8"/>
  <c r="M219" i="8"/>
  <c r="D220" i="8"/>
  <c r="E220" i="8"/>
  <c r="F220" i="8"/>
  <c r="K220" i="8"/>
  <c r="L220" i="8"/>
  <c r="M220" i="8"/>
  <c r="D221" i="8"/>
  <c r="E221" i="8"/>
  <c r="F221" i="8"/>
  <c r="K221" i="8"/>
  <c r="L221" i="8"/>
  <c r="M221" i="8"/>
  <c r="D222" i="8"/>
  <c r="E222" i="8"/>
  <c r="F222" i="8"/>
  <c r="K222" i="8"/>
  <c r="L222" i="8"/>
  <c r="M222" i="8"/>
  <c r="D223" i="8"/>
  <c r="E223" i="8"/>
  <c r="F223" i="8"/>
  <c r="K223" i="8"/>
  <c r="L223" i="8"/>
  <c r="M223" i="8"/>
  <c r="D224" i="8"/>
  <c r="E224" i="8"/>
  <c r="F224" i="8"/>
  <c r="K224" i="8"/>
  <c r="L224" i="8"/>
  <c r="M224" i="8"/>
  <c r="D225" i="8"/>
  <c r="E225" i="8"/>
  <c r="F225" i="8"/>
  <c r="K225" i="8"/>
  <c r="L225" i="8"/>
  <c r="M225" i="8"/>
  <c r="D226" i="8"/>
  <c r="E226" i="8"/>
  <c r="F226" i="8"/>
  <c r="K226" i="8"/>
  <c r="L226" i="8"/>
  <c r="M226" i="8"/>
  <c r="D227" i="8"/>
  <c r="E227" i="8"/>
  <c r="F227" i="8"/>
  <c r="K227" i="8"/>
  <c r="L227" i="8"/>
  <c r="M227" i="8"/>
  <c r="D228" i="8"/>
  <c r="E228" i="8"/>
  <c r="F228" i="8"/>
  <c r="K228" i="8"/>
  <c r="L228" i="8"/>
  <c r="M228" i="8"/>
  <c r="D229" i="8"/>
  <c r="E229" i="8"/>
  <c r="F229" i="8"/>
  <c r="K229" i="8"/>
  <c r="L229" i="8"/>
  <c r="M229" i="8"/>
  <c r="D230" i="8"/>
  <c r="E230" i="8"/>
  <c r="F230" i="8"/>
  <c r="K230" i="8"/>
  <c r="L230" i="8"/>
  <c r="M230" i="8"/>
  <c r="D231" i="8"/>
  <c r="E231" i="8"/>
  <c r="F231" i="8"/>
  <c r="K231" i="8"/>
  <c r="L231" i="8"/>
  <c r="M231" i="8"/>
  <c r="D232" i="8"/>
  <c r="E232" i="8"/>
  <c r="F232" i="8"/>
  <c r="K232" i="8"/>
  <c r="L232" i="8"/>
  <c r="M232" i="8"/>
  <c r="D233" i="8"/>
  <c r="E233" i="8"/>
  <c r="F233" i="8"/>
  <c r="K233" i="8"/>
  <c r="L233" i="8"/>
  <c r="M233" i="8"/>
  <c r="D234" i="8"/>
  <c r="E234" i="8"/>
  <c r="F234" i="8"/>
  <c r="K234" i="8"/>
  <c r="L234" i="8"/>
  <c r="M234" i="8"/>
  <c r="D235" i="8"/>
  <c r="E235" i="8"/>
  <c r="F235" i="8"/>
  <c r="K235" i="8"/>
  <c r="L235" i="8"/>
  <c r="M235" i="8"/>
  <c r="D236" i="8"/>
  <c r="E236" i="8"/>
  <c r="F236" i="8"/>
  <c r="K236" i="8"/>
  <c r="L236" i="8"/>
  <c r="M236" i="8"/>
  <c r="D237" i="8"/>
  <c r="E237" i="8"/>
  <c r="F237" i="8"/>
  <c r="K237" i="8"/>
  <c r="L237" i="8"/>
  <c r="M237" i="8"/>
  <c r="D238" i="8"/>
  <c r="E238" i="8"/>
  <c r="F238" i="8"/>
  <c r="K238" i="8"/>
  <c r="L238" i="8"/>
  <c r="M238" i="8"/>
  <c r="D239" i="8"/>
  <c r="E239" i="8"/>
  <c r="F239" i="8"/>
  <c r="K239" i="8"/>
  <c r="L239" i="8"/>
  <c r="M239" i="8"/>
  <c r="D240" i="8"/>
  <c r="E240" i="8"/>
  <c r="F240" i="8"/>
  <c r="K240" i="8"/>
  <c r="L240" i="8"/>
  <c r="M240" i="8"/>
  <c r="D241" i="8"/>
  <c r="E241" i="8"/>
  <c r="F241" i="8"/>
  <c r="K241" i="8"/>
  <c r="L241" i="8"/>
  <c r="M241" i="8"/>
  <c r="D242" i="8"/>
  <c r="E242" i="8"/>
  <c r="F242" i="8"/>
  <c r="K242" i="8"/>
  <c r="L242" i="8"/>
  <c r="M242" i="8"/>
  <c r="D243" i="8"/>
  <c r="E243" i="8"/>
  <c r="F243" i="8"/>
  <c r="K243" i="8"/>
  <c r="L243" i="8"/>
  <c r="M243" i="8"/>
  <c r="D244" i="8"/>
  <c r="E244" i="8"/>
  <c r="F244" i="8"/>
  <c r="K244" i="8"/>
  <c r="L244" i="8"/>
  <c r="M244" i="8"/>
  <c r="D245" i="8"/>
  <c r="E245" i="8"/>
  <c r="F245" i="8"/>
  <c r="K245" i="8"/>
  <c r="L245" i="8"/>
  <c r="M245" i="8"/>
  <c r="D246" i="8"/>
  <c r="E246" i="8"/>
  <c r="F246" i="8"/>
  <c r="K246" i="8"/>
  <c r="L246" i="8"/>
  <c r="M246" i="8"/>
  <c r="D247" i="8"/>
  <c r="E247" i="8"/>
  <c r="F247" i="8"/>
  <c r="K247" i="8"/>
  <c r="L247" i="8"/>
  <c r="M247" i="8"/>
  <c r="D248" i="8"/>
  <c r="E248" i="8"/>
  <c r="F248" i="8"/>
  <c r="K248" i="8"/>
  <c r="L248" i="8"/>
  <c r="M248" i="8"/>
  <c r="D249" i="8"/>
  <c r="E249" i="8"/>
  <c r="F249" i="8"/>
  <c r="K249" i="8"/>
  <c r="L249" i="8"/>
  <c r="M249" i="8"/>
  <c r="D250" i="8"/>
  <c r="E250" i="8"/>
  <c r="F250" i="8"/>
  <c r="K250" i="8"/>
  <c r="L250" i="8"/>
  <c r="M250" i="8"/>
  <c r="D251" i="8"/>
  <c r="E251" i="8"/>
  <c r="F251" i="8"/>
  <c r="K251" i="8"/>
  <c r="L251" i="8"/>
  <c r="M251" i="8"/>
  <c r="D252" i="8"/>
  <c r="E252" i="8"/>
  <c r="F252" i="8"/>
  <c r="K252" i="8"/>
  <c r="L252" i="8"/>
  <c r="M252" i="8"/>
  <c r="D253" i="8"/>
  <c r="E253" i="8"/>
  <c r="F253" i="8"/>
  <c r="K253" i="8"/>
  <c r="L253" i="8"/>
  <c r="M253" i="8"/>
  <c r="D254" i="8"/>
  <c r="E254" i="8"/>
  <c r="F254" i="8"/>
  <c r="K254" i="8"/>
  <c r="L254" i="8"/>
  <c r="M254" i="8"/>
  <c r="D255" i="8"/>
  <c r="E255" i="8"/>
  <c r="F255" i="8"/>
  <c r="K255" i="8"/>
  <c r="L255" i="8"/>
  <c r="M255" i="8"/>
  <c r="D256" i="8"/>
  <c r="E256" i="8"/>
  <c r="F256" i="8"/>
  <c r="K256" i="8"/>
  <c r="L256" i="8"/>
  <c r="M256" i="8"/>
  <c r="D257" i="8"/>
  <c r="E257" i="8"/>
  <c r="F257" i="8"/>
  <c r="K257" i="8"/>
  <c r="L257" i="8"/>
  <c r="M257" i="8"/>
  <c r="D258" i="8"/>
  <c r="E258" i="8"/>
  <c r="F258" i="8"/>
  <c r="K258" i="8"/>
  <c r="L258" i="8"/>
  <c r="M258" i="8"/>
  <c r="D259" i="8"/>
  <c r="E259" i="8"/>
  <c r="F259" i="8"/>
  <c r="K259" i="8"/>
  <c r="L259" i="8"/>
  <c r="M259" i="8"/>
  <c r="D260" i="8"/>
  <c r="E260" i="8"/>
  <c r="F260" i="8"/>
  <c r="K260" i="8"/>
  <c r="L260" i="8"/>
  <c r="M260" i="8"/>
  <c r="D261" i="8"/>
  <c r="E261" i="8"/>
  <c r="F261" i="8"/>
  <c r="K261" i="8"/>
  <c r="L261" i="8"/>
  <c r="M261" i="8"/>
  <c r="D262" i="8"/>
  <c r="E262" i="8"/>
  <c r="F262" i="8"/>
  <c r="K262" i="8"/>
  <c r="L262" i="8"/>
  <c r="M262" i="8"/>
  <c r="D263" i="8"/>
  <c r="E263" i="8"/>
  <c r="F263" i="8"/>
  <c r="K263" i="8"/>
  <c r="L263" i="8"/>
  <c r="M263" i="8"/>
  <c r="D264" i="8"/>
  <c r="E264" i="8"/>
  <c r="F264" i="8"/>
  <c r="K264" i="8"/>
  <c r="L264" i="8"/>
  <c r="M264" i="8"/>
  <c r="D265" i="8"/>
  <c r="E265" i="8"/>
  <c r="F265" i="8"/>
  <c r="K265" i="8"/>
  <c r="L265" i="8"/>
  <c r="M265" i="8"/>
  <c r="D266" i="8"/>
  <c r="E266" i="8"/>
  <c r="F266" i="8"/>
  <c r="K266" i="8"/>
  <c r="L266" i="8"/>
  <c r="M266" i="8"/>
  <c r="D267" i="8"/>
  <c r="E267" i="8"/>
  <c r="F267" i="8"/>
  <c r="K267" i="8"/>
  <c r="L267" i="8"/>
  <c r="M267" i="8"/>
  <c r="D268" i="8"/>
  <c r="E268" i="8"/>
  <c r="F268" i="8"/>
  <c r="K268" i="8"/>
  <c r="L268" i="8"/>
  <c r="M268" i="8"/>
  <c r="D269" i="8"/>
  <c r="E269" i="8"/>
  <c r="F269" i="8"/>
  <c r="K269" i="8"/>
  <c r="L269" i="8"/>
  <c r="M269" i="8"/>
  <c r="D270" i="8"/>
  <c r="E270" i="8"/>
  <c r="F270" i="8"/>
  <c r="K270" i="8"/>
  <c r="L270" i="8"/>
  <c r="M270" i="8"/>
  <c r="D271" i="8"/>
  <c r="E271" i="8"/>
  <c r="F271" i="8"/>
  <c r="K271" i="8"/>
  <c r="L271" i="8"/>
  <c r="M271" i="8"/>
  <c r="D272" i="8"/>
  <c r="E272" i="8"/>
  <c r="F272" i="8"/>
  <c r="K272" i="8"/>
  <c r="L272" i="8"/>
  <c r="M272" i="8"/>
  <c r="D273" i="8"/>
  <c r="E273" i="8"/>
  <c r="F273" i="8"/>
  <c r="K273" i="8"/>
  <c r="L273" i="8"/>
  <c r="M273" i="8"/>
  <c r="D274" i="8"/>
  <c r="E274" i="8"/>
  <c r="F274" i="8"/>
  <c r="K274" i="8"/>
  <c r="L274" i="8"/>
  <c r="M274" i="8"/>
  <c r="D275" i="8"/>
  <c r="E275" i="8"/>
  <c r="F275" i="8"/>
  <c r="K275" i="8"/>
  <c r="L275" i="8"/>
  <c r="M275" i="8"/>
  <c r="D276" i="8"/>
  <c r="E276" i="8"/>
  <c r="F276" i="8"/>
  <c r="K276" i="8"/>
  <c r="L276" i="8"/>
  <c r="M276" i="8"/>
  <c r="D277" i="8"/>
  <c r="E277" i="8"/>
  <c r="F277" i="8"/>
  <c r="K277" i="8"/>
  <c r="L277" i="8"/>
  <c r="M277" i="8"/>
  <c r="D278" i="8"/>
  <c r="E278" i="8"/>
  <c r="F278" i="8"/>
  <c r="K278" i="8"/>
  <c r="L278" i="8"/>
  <c r="M278" i="8"/>
  <c r="D279" i="8"/>
  <c r="E279" i="8"/>
  <c r="F279" i="8"/>
  <c r="K279" i="8"/>
  <c r="L279" i="8"/>
  <c r="M279" i="8"/>
  <c r="D280" i="8"/>
  <c r="E280" i="8"/>
  <c r="F280" i="8"/>
  <c r="K280" i="8"/>
  <c r="L280" i="8"/>
  <c r="M280" i="8"/>
  <c r="D281" i="8"/>
  <c r="E281" i="8"/>
  <c r="F281" i="8"/>
  <c r="K281" i="8"/>
  <c r="L281" i="8"/>
  <c r="M281" i="8"/>
  <c r="D282" i="8"/>
  <c r="E282" i="8"/>
  <c r="F282" i="8"/>
  <c r="K282" i="8"/>
  <c r="L282" i="8"/>
  <c r="M282" i="8"/>
  <c r="D283" i="8"/>
  <c r="E283" i="8"/>
  <c r="F283" i="8"/>
  <c r="K283" i="8"/>
  <c r="L283" i="8"/>
  <c r="M283" i="8"/>
  <c r="D284" i="8"/>
  <c r="E284" i="8"/>
  <c r="F284" i="8"/>
  <c r="K284" i="8"/>
  <c r="L284" i="8"/>
  <c r="M284" i="8"/>
  <c r="D285" i="8"/>
  <c r="E285" i="8"/>
  <c r="F285" i="8"/>
  <c r="K285" i="8"/>
  <c r="L285" i="8"/>
  <c r="M285" i="8"/>
  <c r="D286" i="8"/>
  <c r="E286" i="8"/>
  <c r="F286" i="8"/>
  <c r="K286" i="8"/>
  <c r="L286" i="8"/>
  <c r="M286" i="8"/>
  <c r="D287" i="8"/>
  <c r="E287" i="8"/>
  <c r="F287" i="8"/>
  <c r="K287" i="8"/>
  <c r="L287" i="8"/>
  <c r="M287" i="8"/>
  <c r="D288" i="8"/>
  <c r="E288" i="8"/>
  <c r="F288" i="8"/>
  <c r="K288" i="8"/>
  <c r="L288" i="8"/>
  <c r="M288" i="8"/>
  <c r="D289" i="8"/>
  <c r="E289" i="8"/>
  <c r="F289" i="8"/>
  <c r="K289" i="8"/>
  <c r="L289" i="8"/>
  <c r="M289" i="8"/>
  <c r="D290" i="8"/>
  <c r="E290" i="8"/>
  <c r="F290" i="8"/>
  <c r="K290" i="8"/>
  <c r="L290" i="8"/>
  <c r="M290" i="8"/>
  <c r="D291" i="8"/>
  <c r="E291" i="8"/>
  <c r="F291" i="8"/>
  <c r="K291" i="8"/>
  <c r="L291" i="8"/>
  <c r="M291" i="8"/>
  <c r="D292" i="8"/>
  <c r="E292" i="8"/>
  <c r="F292" i="8"/>
  <c r="K292" i="8"/>
  <c r="L292" i="8"/>
  <c r="M292" i="8"/>
  <c r="D293" i="8"/>
  <c r="E293" i="8"/>
  <c r="F293" i="8"/>
  <c r="K293" i="8"/>
  <c r="L293" i="8"/>
  <c r="M293" i="8"/>
  <c r="D294" i="8"/>
  <c r="E294" i="8"/>
  <c r="F294" i="8"/>
  <c r="K294" i="8"/>
  <c r="L294" i="8"/>
  <c r="M294" i="8"/>
  <c r="D295" i="8"/>
  <c r="E295" i="8"/>
  <c r="F295" i="8"/>
  <c r="K295" i="8"/>
  <c r="L295" i="8"/>
  <c r="M295" i="8"/>
  <c r="D296" i="8"/>
  <c r="E296" i="8"/>
  <c r="F296" i="8"/>
  <c r="K296" i="8"/>
  <c r="L296" i="8"/>
  <c r="M296" i="8"/>
  <c r="D297" i="8"/>
  <c r="E297" i="8"/>
  <c r="F297" i="8"/>
  <c r="K297" i="8"/>
  <c r="L297" i="8"/>
  <c r="M297" i="8"/>
  <c r="D298" i="8"/>
  <c r="E298" i="8"/>
  <c r="F298" i="8"/>
  <c r="K298" i="8"/>
  <c r="L298" i="8"/>
  <c r="M298" i="8"/>
  <c r="D299" i="8"/>
  <c r="E299" i="8"/>
  <c r="F299" i="8"/>
  <c r="K299" i="8"/>
  <c r="L299" i="8"/>
  <c r="M299" i="8"/>
  <c r="D300" i="8"/>
  <c r="E300" i="8"/>
  <c r="F300" i="8"/>
  <c r="K300" i="8"/>
  <c r="L300" i="8"/>
  <c r="M300" i="8"/>
  <c r="D301" i="8"/>
  <c r="E301" i="8"/>
  <c r="F301" i="8"/>
  <c r="K301" i="8"/>
  <c r="L301" i="8"/>
  <c r="M301" i="8"/>
  <c r="D302" i="8"/>
  <c r="E302" i="8"/>
  <c r="F302" i="8"/>
  <c r="K302" i="8"/>
  <c r="L302" i="8"/>
  <c r="M302" i="8"/>
  <c r="D303" i="8"/>
  <c r="E303" i="8"/>
  <c r="F303" i="8"/>
  <c r="K303" i="8"/>
  <c r="L303" i="8"/>
  <c r="M303" i="8"/>
  <c r="D304" i="8"/>
  <c r="E304" i="8"/>
  <c r="F304" i="8"/>
  <c r="K304" i="8"/>
  <c r="L304" i="8"/>
  <c r="M304" i="8"/>
  <c r="D305" i="8"/>
  <c r="E305" i="8"/>
  <c r="F305" i="8"/>
  <c r="K305" i="8"/>
  <c r="L305" i="8"/>
  <c r="M305" i="8"/>
  <c r="D306" i="8"/>
  <c r="E306" i="8"/>
  <c r="F306" i="8"/>
  <c r="K306" i="8"/>
  <c r="L306" i="8"/>
  <c r="M306" i="8"/>
  <c r="D307" i="8"/>
  <c r="E307" i="8"/>
  <c r="F307" i="8"/>
  <c r="K307" i="8"/>
  <c r="L307" i="8"/>
  <c r="M307" i="8"/>
  <c r="D308" i="8"/>
  <c r="E308" i="8"/>
  <c r="F308" i="8"/>
  <c r="K308" i="8"/>
  <c r="L308" i="8"/>
  <c r="M308" i="8"/>
  <c r="D309" i="8"/>
  <c r="E309" i="8"/>
  <c r="F309" i="8"/>
  <c r="K309" i="8"/>
  <c r="L309" i="8"/>
  <c r="M309" i="8"/>
  <c r="D310" i="8"/>
  <c r="E310" i="8"/>
  <c r="F310" i="8"/>
  <c r="K310" i="8"/>
  <c r="L310" i="8"/>
  <c r="M310" i="8"/>
  <c r="D311" i="8"/>
  <c r="E311" i="8"/>
  <c r="F311" i="8"/>
  <c r="K311" i="8"/>
  <c r="L311" i="8"/>
  <c r="M311" i="8"/>
  <c r="D312" i="8"/>
  <c r="E312" i="8"/>
  <c r="F312" i="8"/>
  <c r="K312" i="8"/>
  <c r="L312" i="8"/>
  <c r="M312" i="8"/>
  <c r="D313" i="8"/>
  <c r="E313" i="8"/>
  <c r="F313" i="8"/>
  <c r="K313" i="8"/>
  <c r="L313" i="8"/>
  <c r="M313" i="8"/>
  <c r="D314" i="8"/>
  <c r="E314" i="8"/>
  <c r="F314" i="8"/>
  <c r="K314" i="8"/>
  <c r="L314" i="8"/>
  <c r="M314" i="8"/>
  <c r="D315" i="8"/>
  <c r="E315" i="8"/>
  <c r="F315" i="8"/>
  <c r="K315" i="8"/>
  <c r="L315" i="8"/>
  <c r="M315" i="8"/>
  <c r="D316" i="8"/>
  <c r="E316" i="8"/>
  <c r="F316" i="8"/>
  <c r="K316" i="8"/>
  <c r="L316" i="8"/>
  <c r="M316" i="8"/>
  <c r="D317" i="8"/>
  <c r="E317" i="8"/>
  <c r="F317" i="8"/>
  <c r="K317" i="8"/>
  <c r="L317" i="8"/>
  <c r="M317" i="8"/>
  <c r="D318" i="8"/>
  <c r="E318" i="8"/>
  <c r="F318" i="8"/>
  <c r="K318" i="8"/>
  <c r="L318" i="8"/>
  <c r="M318" i="8"/>
  <c r="D319" i="8"/>
  <c r="E319" i="8"/>
  <c r="F319" i="8"/>
  <c r="K319" i="8"/>
  <c r="L319" i="8"/>
  <c r="M319" i="8"/>
  <c r="D320" i="8"/>
  <c r="E320" i="8"/>
  <c r="F320" i="8"/>
  <c r="K320" i="8"/>
  <c r="L320" i="8"/>
  <c r="M320" i="8"/>
  <c r="D321" i="8"/>
  <c r="E321" i="8"/>
  <c r="F321" i="8"/>
  <c r="K321" i="8"/>
  <c r="L321" i="8"/>
  <c r="M321" i="8"/>
  <c r="D322" i="8"/>
  <c r="E322" i="8"/>
  <c r="F322" i="8"/>
  <c r="K322" i="8"/>
  <c r="L322" i="8"/>
  <c r="M322" i="8"/>
  <c r="D323" i="8"/>
  <c r="E323" i="8"/>
  <c r="F323" i="8"/>
  <c r="K323" i="8"/>
  <c r="L323" i="8"/>
  <c r="M323" i="8"/>
  <c r="D324" i="8"/>
  <c r="E324" i="8"/>
  <c r="F324" i="8"/>
  <c r="K324" i="8"/>
  <c r="L324" i="8"/>
  <c r="M324" i="8"/>
  <c r="D325" i="8"/>
  <c r="E325" i="8"/>
  <c r="F325" i="8"/>
  <c r="K325" i="8"/>
  <c r="L325" i="8"/>
  <c r="M325" i="8"/>
  <c r="D326" i="8"/>
  <c r="E326" i="8"/>
  <c r="F326" i="8"/>
  <c r="K326" i="8"/>
  <c r="L326" i="8"/>
  <c r="M326" i="8"/>
  <c r="D327" i="8"/>
  <c r="E327" i="8"/>
  <c r="F327" i="8"/>
  <c r="K327" i="8"/>
  <c r="L327" i="8"/>
  <c r="M327" i="8"/>
  <c r="D328" i="8"/>
  <c r="E328" i="8"/>
  <c r="F328" i="8"/>
  <c r="K328" i="8"/>
  <c r="L328" i="8"/>
  <c r="M328" i="8"/>
  <c r="D329" i="8"/>
  <c r="E329" i="8"/>
  <c r="F329" i="8"/>
  <c r="K329" i="8"/>
  <c r="L329" i="8"/>
  <c r="M329" i="8"/>
  <c r="D330" i="8"/>
  <c r="E330" i="8"/>
  <c r="F330" i="8"/>
  <c r="K330" i="8"/>
  <c r="L330" i="8"/>
  <c r="M330" i="8"/>
  <c r="D331" i="8"/>
  <c r="E331" i="8"/>
  <c r="F331" i="8"/>
  <c r="K331" i="8"/>
  <c r="L331" i="8"/>
  <c r="M331" i="8"/>
  <c r="D332" i="8"/>
  <c r="E332" i="8"/>
  <c r="F332" i="8"/>
  <c r="K332" i="8"/>
  <c r="L332" i="8"/>
  <c r="M332" i="8"/>
  <c r="D333" i="8"/>
  <c r="E333" i="8"/>
  <c r="F333" i="8"/>
  <c r="K333" i="8"/>
  <c r="L333" i="8"/>
  <c r="M333" i="8"/>
  <c r="D334" i="8"/>
  <c r="E334" i="8"/>
  <c r="F334" i="8"/>
  <c r="K334" i="8"/>
  <c r="L334" i="8"/>
  <c r="M334" i="8"/>
  <c r="D335" i="8"/>
  <c r="E335" i="8"/>
  <c r="F335" i="8"/>
  <c r="K335" i="8"/>
  <c r="L335" i="8"/>
  <c r="M335" i="8"/>
  <c r="D336" i="8"/>
  <c r="E336" i="8"/>
  <c r="F336" i="8"/>
  <c r="K336" i="8"/>
  <c r="L336" i="8"/>
  <c r="M336" i="8"/>
  <c r="D337" i="8"/>
  <c r="E337" i="8"/>
  <c r="F337" i="8"/>
  <c r="K337" i="8"/>
  <c r="L337" i="8"/>
  <c r="M337" i="8"/>
  <c r="D338" i="8"/>
  <c r="E338" i="8"/>
  <c r="F338" i="8"/>
  <c r="K338" i="8"/>
  <c r="L338" i="8"/>
  <c r="M338" i="8"/>
  <c r="D339" i="8"/>
  <c r="E339" i="8"/>
  <c r="F339" i="8"/>
  <c r="K339" i="8"/>
  <c r="L339" i="8"/>
  <c r="M339" i="8"/>
  <c r="D340" i="8"/>
  <c r="E340" i="8"/>
  <c r="F340" i="8"/>
  <c r="K340" i="8"/>
  <c r="L340" i="8"/>
  <c r="M340" i="8"/>
  <c r="D341" i="8"/>
  <c r="E341" i="8"/>
  <c r="F341" i="8"/>
  <c r="K341" i="8"/>
  <c r="L341" i="8"/>
  <c r="M341" i="8"/>
  <c r="D342" i="8"/>
  <c r="E342" i="8"/>
  <c r="F342" i="8"/>
  <c r="K342" i="8"/>
  <c r="L342" i="8"/>
  <c r="M342" i="8"/>
  <c r="D343" i="8"/>
  <c r="E343" i="8"/>
  <c r="F343" i="8"/>
  <c r="K343" i="8"/>
  <c r="L343" i="8"/>
  <c r="M343" i="8"/>
  <c r="D344" i="8"/>
  <c r="E344" i="8"/>
  <c r="F344" i="8"/>
  <c r="K344" i="8"/>
  <c r="L344" i="8"/>
  <c r="M344" i="8"/>
  <c r="D345" i="8"/>
  <c r="E345" i="8"/>
  <c r="F345" i="8"/>
  <c r="K345" i="8"/>
  <c r="L345" i="8"/>
  <c r="M345" i="8"/>
  <c r="D346" i="8"/>
  <c r="E346" i="8"/>
  <c r="F346" i="8"/>
  <c r="K346" i="8"/>
  <c r="L346" i="8"/>
  <c r="M346" i="8"/>
  <c r="D347" i="8"/>
  <c r="E347" i="8"/>
  <c r="F347" i="8"/>
  <c r="K347" i="8"/>
  <c r="L347" i="8"/>
  <c r="M347" i="8"/>
  <c r="D348" i="8"/>
  <c r="E348" i="8"/>
  <c r="F348" i="8"/>
  <c r="K348" i="8"/>
  <c r="L348" i="8"/>
  <c r="M348" i="8"/>
  <c r="D349" i="8"/>
  <c r="E349" i="8"/>
  <c r="F349" i="8"/>
  <c r="K349" i="8"/>
  <c r="L349" i="8"/>
  <c r="M349" i="8"/>
  <c r="D350" i="8"/>
  <c r="E350" i="8"/>
  <c r="F350" i="8"/>
  <c r="K350" i="8"/>
  <c r="L350" i="8"/>
  <c r="M350" i="8"/>
  <c r="D351" i="8"/>
  <c r="E351" i="8"/>
  <c r="F351" i="8"/>
  <c r="K351" i="8"/>
  <c r="L351" i="8"/>
  <c r="M351" i="8"/>
  <c r="D352" i="8"/>
  <c r="E352" i="8"/>
  <c r="F352" i="8"/>
  <c r="K352" i="8"/>
  <c r="L352" i="8"/>
  <c r="M352" i="8"/>
  <c r="D353" i="8"/>
  <c r="E353" i="8"/>
  <c r="F353" i="8"/>
  <c r="K353" i="8"/>
  <c r="L353" i="8"/>
  <c r="M353" i="8"/>
  <c r="D354" i="8"/>
  <c r="E354" i="8"/>
  <c r="F354" i="8"/>
  <c r="K354" i="8"/>
  <c r="L354" i="8"/>
  <c r="M354" i="8"/>
  <c r="D355" i="8"/>
  <c r="E355" i="8"/>
  <c r="F355" i="8"/>
  <c r="K355" i="8"/>
  <c r="L355" i="8"/>
  <c r="M355" i="8"/>
  <c r="D356" i="8"/>
  <c r="E356" i="8"/>
  <c r="F356" i="8"/>
  <c r="K356" i="8"/>
  <c r="L356" i="8"/>
  <c r="M356" i="8"/>
  <c r="D357" i="8"/>
  <c r="E357" i="8"/>
  <c r="F357" i="8"/>
  <c r="K357" i="8"/>
  <c r="L357" i="8"/>
  <c r="M357" i="8"/>
  <c r="D358" i="8"/>
  <c r="E358" i="8"/>
  <c r="F358" i="8"/>
  <c r="K358" i="8"/>
  <c r="L358" i="8"/>
  <c r="M358" i="8"/>
  <c r="D359" i="8"/>
  <c r="E359" i="8"/>
  <c r="F359" i="8"/>
  <c r="K359" i="8"/>
  <c r="L359" i="8"/>
  <c r="M359" i="8"/>
  <c r="D360" i="8"/>
  <c r="E360" i="8"/>
  <c r="F360" i="8"/>
  <c r="K360" i="8"/>
  <c r="L360" i="8"/>
  <c r="M360" i="8"/>
  <c r="D361" i="8"/>
  <c r="E361" i="8"/>
  <c r="F361" i="8"/>
  <c r="K361" i="8"/>
  <c r="L361" i="8"/>
  <c r="M361" i="8"/>
  <c r="D362" i="8"/>
  <c r="E362" i="8"/>
  <c r="F362" i="8"/>
  <c r="K362" i="8"/>
  <c r="L362" i="8"/>
  <c r="M362" i="8"/>
  <c r="D363" i="8"/>
  <c r="E363" i="8"/>
  <c r="F363" i="8"/>
  <c r="K363" i="8"/>
  <c r="L363" i="8"/>
  <c r="M363" i="8"/>
  <c r="D364" i="8"/>
  <c r="E364" i="8"/>
  <c r="F364" i="8"/>
  <c r="K364" i="8"/>
  <c r="L364" i="8"/>
  <c r="M364" i="8"/>
  <c r="D365" i="8"/>
  <c r="E365" i="8"/>
  <c r="F365" i="8"/>
  <c r="K365" i="8"/>
  <c r="L365" i="8"/>
  <c r="M365" i="8"/>
  <c r="D366" i="8"/>
  <c r="E366" i="8"/>
  <c r="F366" i="8"/>
  <c r="K366" i="8"/>
  <c r="L366" i="8"/>
  <c r="M366" i="8"/>
  <c r="D367" i="8"/>
  <c r="E367" i="8"/>
  <c r="F367" i="8"/>
  <c r="K367" i="8"/>
  <c r="L367" i="8"/>
  <c r="M367" i="8"/>
  <c r="D368" i="8"/>
  <c r="E368" i="8"/>
  <c r="F368" i="8"/>
  <c r="K368" i="8"/>
  <c r="L368" i="8"/>
  <c r="M368" i="8"/>
  <c r="D369" i="8"/>
  <c r="E369" i="8"/>
  <c r="F369" i="8"/>
  <c r="K369" i="8"/>
  <c r="L369" i="8"/>
  <c r="M369" i="8"/>
  <c r="D370" i="8"/>
  <c r="E370" i="8"/>
  <c r="F370" i="8"/>
  <c r="K370" i="8"/>
  <c r="L370" i="8"/>
  <c r="M370" i="8"/>
  <c r="D371" i="8"/>
  <c r="E371" i="8"/>
  <c r="F371" i="8"/>
  <c r="K371" i="8"/>
  <c r="L371" i="8"/>
  <c r="M371" i="8"/>
  <c r="D372" i="8"/>
  <c r="E372" i="8"/>
  <c r="F372" i="8"/>
  <c r="K372" i="8"/>
  <c r="L372" i="8"/>
  <c r="M372" i="8"/>
  <c r="D373" i="8"/>
  <c r="E373" i="8"/>
  <c r="F373" i="8"/>
  <c r="K373" i="8"/>
  <c r="L373" i="8"/>
  <c r="M373" i="8"/>
  <c r="D374" i="8"/>
  <c r="E374" i="8"/>
  <c r="F374" i="8"/>
  <c r="K374" i="8"/>
  <c r="L374" i="8"/>
  <c r="M374" i="8"/>
  <c r="D375" i="8"/>
  <c r="E375" i="8"/>
  <c r="F375" i="8"/>
  <c r="K375" i="8"/>
  <c r="L375" i="8"/>
  <c r="M375" i="8"/>
  <c r="D376" i="8"/>
  <c r="E376" i="8"/>
  <c r="F376" i="8"/>
  <c r="K376" i="8"/>
  <c r="L376" i="8"/>
  <c r="M376" i="8"/>
  <c r="D377" i="8"/>
  <c r="E377" i="8"/>
  <c r="F377" i="8"/>
  <c r="K377" i="8"/>
  <c r="L377" i="8"/>
  <c r="M377" i="8"/>
  <c r="D378" i="8"/>
  <c r="E378" i="8"/>
  <c r="F378" i="8"/>
  <c r="K378" i="8"/>
  <c r="L378" i="8"/>
  <c r="M378" i="8"/>
  <c r="D379" i="8"/>
  <c r="E379" i="8"/>
  <c r="F379" i="8"/>
  <c r="K379" i="8"/>
  <c r="L379" i="8"/>
  <c r="M379" i="8"/>
  <c r="D380" i="8"/>
  <c r="E380" i="8"/>
  <c r="F380" i="8"/>
  <c r="K380" i="8"/>
  <c r="L380" i="8"/>
  <c r="M380" i="8"/>
  <c r="D381" i="8"/>
  <c r="E381" i="8"/>
  <c r="F381" i="8"/>
  <c r="K381" i="8"/>
  <c r="L381" i="8"/>
  <c r="M381" i="8"/>
  <c r="D382" i="8"/>
  <c r="E382" i="8"/>
  <c r="F382" i="8"/>
  <c r="K382" i="8"/>
  <c r="L382" i="8"/>
  <c r="M382" i="8"/>
  <c r="D383" i="8"/>
  <c r="E383" i="8"/>
  <c r="F383" i="8"/>
  <c r="K383" i="8"/>
  <c r="L383" i="8"/>
  <c r="M383" i="8"/>
  <c r="D384" i="8"/>
  <c r="E384" i="8"/>
  <c r="F384" i="8"/>
  <c r="K384" i="8"/>
  <c r="L384" i="8"/>
  <c r="M384" i="8"/>
  <c r="D385" i="8"/>
  <c r="E385" i="8"/>
  <c r="F385" i="8"/>
  <c r="K385" i="8"/>
  <c r="L385" i="8"/>
  <c r="M385" i="8"/>
  <c r="D386" i="8"/>
  <c r="E386" i="8"/>
  <c r="F386" i="8"/>
  <c r="K386" i="8"/>
  <c r="L386" i="8"/>
  <c r="M386" i="8"/>
  <c r="D387" i="8"/>
  <c r="E387" i="8"/>
  <c r="F387" i="8"/>
  <c r="K387" i="8"/>
  <c r="L387" i="8"/>
  <c r="M387" i="8"/>
  <c r="D388" i="8"/>
  <c r="E388" i="8"/>
  <c r="F388" i="8"/>
  <c r="K388" i="8"/>
  <c r="L388" i="8"/>
  <c r="M388" i="8"/>
  <c r="D389" i="8"/>
  <c r="E389" i="8"/>
  <c r="F389" i="8"/>
  <c r="K389" i="8"/>
  <c r="L389" i="8"/>
  <c r="M389" i="8"/>
  <c r="D390" i="8"/>
  <c r="E390" i="8"/>
  <c r="F390" i="8"/>
  <c r="K390" i="8"/>
  <c r="L390" i="8"/>
  <c r="M390" i="8"/>
  <c r="D391" i="8"/>
  <c r="E391" i="8"/>
  <c r="F391" i="8"/>
  <c r="K391" i="8"/>
  <c r="L391" i="8"/>
  <c r="M391" i="8"/>
  <c r="D392" i="8"/>
  <c r="E392" i="8"/>
  <c r="F392" i="8"/>
  <c r="K392" i="8"/>
  <c r="L392" i="8"/>
  <c r="M392" i="8"/>
  <c r="D393" i="8"/>
  <c r="E393" i="8"/>
  <c r="F393" i="8"/>
  <c r="K393" i="8"/>
  <c r="L393" i="8"/>
  <c r="M393" i="8"/>
  <c r="D394" i="8"/>
  <c r="E394" i="8"/>
  <c r="F394" i="8"/>
  <c r="K394" i="8"/>
  <c r="L394" i="8"/>
  <c r="M394" i="8"/>
  <c r="D395" i="8"/>
  <c r="E395" i="8"/>
  <c r="F395" i="8"/>
  <c r="K395" i="8"/>
  <c r="L395" i="8"/>
  <c r="M395" i="8"/>
  <c r="D396" i="8"/>
  <c r="E396" i="8"/>
  <c r="F396" i="8"/>
  <c r="K396" i="8"/>
  <c r="L396" i="8"/>
  <c r="M396" i="8"/>
  <c r="D397" i="8"/>
  <c r="E397" i="8"/>
  <c r="F397" i="8"/>
  <c r="K397" i="8"/>
  <c r="L397" i="8"/>
  <c r="M397" i="8"/>
  <c r="D398" i="8"/>
  <c r="E398" i="8"/>
  <c r="F398" i="8"/>
  <c r="K398" i="8"/>
  <c r="L398" i="8"/>
  <c r="M398" i="8"/>
  <c r="D399" i="8"/>
  <c r="E399" i="8"/>
  <c r="F399" i="8"/>
  <c r="K399" i="8"/>
  <c r="L399" i="8"/>
  <c r="M399" i="8"/>
  <c r="D400" i="8"/>
  <c r="E400" i="8"/>
  <c r="F400" i="8"/>
  <c r="K400" i="8"/>
  <c r="L400" i="8"/>
  <c r="M400" i="8"/>
  <c r="D401" i="8"/>
  <c r="E401" i="8"/>
  <c r="F401" i="8"/>
  <c r="K401" i="8"/>
  <c r="L401" i="8"/>
  <c r="M401" i="8"/>
  <c r="D402" i="8"/>
  <c r="E402" i="8"/>
  <c r="F402" i="8"/>
  <c r="K402" i="8"/>
  <c r="L402" i="8"/>
  <c r="M402" i="8"/>
  <c r="D403" i="8"/>
  <c r="E403" i="8"/>
  <c r="F403" i="8"/>
  <c r="K403" i="8"/>
  <c r="L403" i="8"/>
  <c r="M403" i="8"/>
  <c r="D404" i="8"/>
  <c r="E404" i="8"/>
  <c r="F404" i="8"/>
  <c r="K404" i="8"/>
  <c r="L404" i="8"/>
  <c r="M404" i="8"/>
  <c r="D405" i="8"/>
  <c r="E405" i="8"/>
  <c r="F405" i="8"/>
  <c r="K405" i="8"/>
  <c r="L405" i="8"/>
  <c r="M405" i="8"/>
  <c r="D406" i="8"/>
  <c r="E406" i="8"/>
  <c r="F406" i="8"/>
  <c r="K406" i="8"/>
  <c r="L406" i="8"/>
  <c r="M406" i="8"/>
  <c r="D407" i="8"/>
  <c r="E407" i="8"/>
  <c r="F407" i="8"/>
  <c r="K407" i="8"/>
  <c r="L407" i="8"/>
  <c r="M407" i="8"/>
  <c r="D408" i="8"/>
  <c r="E408" i="8"/>
  <c r="F408" i="8"/>
  <c r="K408" i="8"/>
  <c r="L408" i="8"/>
  <c r="M408" i="8"/>
  <c r="D409" i="8"/>
  <c r="E409" i="8"/>
  <c r="F409" i="8"/>
  <c r="K409" i="8"/>
  <c r="L409" i="8"/>
  <c r="M409" i="8"/>
  <c r="D410" i="8"/>
  <c r="E410" i="8"/>
  <c r="F410" i="8"/>
  <c r="K410" i="8"/>
  <c r="L410" i="8"/>
  <c r="M410" i="8"/>
  <c r="D411" i="8"/>
  <c r="E411" i="8"/>
  <c r="F411" i="8"/>
  <c r="K411" i="8"/>
  <c r="L411" i="8"/>
  <c r="M411" i="8"/>
  <c r="D412" i="8"/>
  <c r="E412" i="8"/>
  <c r="F412" i="8"/>
  <c r="K412" i="8"/>
  <c r="L412" i="8"/>
  <c r="M412" i="8"/>
  <c r="D413" i="8"/>
  <c r="E413" i="8"/>
  <c r="F413" i="8"/>
  <c r="K413" i="8"/>
  <c r="L413" i="8"/>
  <c r="M413" i="8"/>
  <c r="D414" i="8"/>
  <c r="E414" i="8"/>
  <c r="F414" i="8"/>
  <c r="K414" i="8"/>
  <c r="L414" i="8"/>
  <c r="M414" i="8"/>
  <c r="D415" i="8"/>
  <c r="E415" i="8"/>
  <c r="F415" i="8"/>
  <c r="K415" i="8"/>
  <c r="L415" i="8"/>
  <c r="M415" i="8"/>
  <c r="D416" i="8"/>
  <c r="E416" i="8"/>
  <c r="F416" i="8"/>
  <c r="K416" i="8"/>
  <c r="L416" i="8"/>
  <c r="M416" i="8"/>
  <c r="D417" i="8"/>
  <c r="E417" i="8"/>
  <c r="F417" i="8"/>
  <c r="K417" i="8"/>
  <c r="L417" i="8"/>
  <c r="M417" i="8"/>
  <c r="D418" i="8"/>
  <c r="E418" i="8"/>
  <c r="F418" i="8"/>
  <c r="K418" i="8"/>
  <c r="L418" i="8"/>
  <c r="M418" i="8"/>
  <c r="D419" i="8"/>
  <c r="E419" i="8"/>
  <c r="F419" i="8"/>
  <c r="K419" i="8"/>
  <c r="L419" i="8"/>
  <c r="M419" i="8"/>
  <c r="D420" i="8"/>
  <c r="E420" i="8"/>
  <c r="F420" i="8"/>
  <c r="K420" i="8"/>
  <c r="L420" i="8"/>
  <c r="M420" i="8"/>
  <c r="D421" i="8"/>
  <c r="E421" i="8"/>
  <c r="F421" i="8"/>
  <c r="K421" i="8"/>
  <c r="L421" i="8"/>
  <c r="M421" i="8"/>
  <c r="D422" i="8"/>
  <c r="E422" i="8"/>
  <c r="F422" i="8"/>
  <c r="K422" i="8"/>
  <c r="L422" i="8"/>
  <c r="M422" i="8"/>
  <c r="D423" i="8"/>
  <c r="E423" i="8"/>
  <c r="F423" i="8"/>
  <c r="K423" i="8"/>
  <c r="L423" i="8"/>
  <c r="M423" i="8"/>
  <c r="D424" i="8"/>
  <c r="E424" i="8"/>
  <c r="F424" i="8"/>
  <c r="K424" i="8"/>
  <c r="L424" i="8"/>
  <c r="M424" i="8"/>
  <c r="D425" i="8"/>
  <c r="E425" i="8"/>
  <c r="F425" i="8"/>
  <c r="K425" i="8"/>
  <c r="L425" i="8"/>
  <c r="M425" i="8"/>
  <c r="D426" i="8"/>
  <c r="E426" i="8"/>
  <c r="F426" i="8"/>
  <c r="K426" i="8"/>
  <c r="L426" i="8"/>
  <c r="M426" i="8"/>
  <c r="D427" i="8"/>
  <c r="E427" i="8"/>
  <c r="F427" i="8"/>
  <c r="K427" i="8"/>
  <c r="L427" i="8"/>
  <c r="M427" i="8"/>
  <c r="D428" i="8"/>
  <c r="E428" i="8"/>
  <c r="F428" i="8"/>
  <c r="K428" i="8"/>
  <c r="L428" i="8"/>
  <c r="M428" i="8"/>
  <c r="D429" i="8"/>
  <c r="E429" i="8"/>
  <c r="F429" i="8"/>
  <c r="K429" i="8"/>
  <c r="L429" i="8"/>
  <c r="M429" i="8"/>
  <c r="D430" i="8"/>
  <c r="E430" i="8"/>
  <c r="F430" i="8"/>
  <c r="K430" i="8"/>
  <c r="L430" i="8"/>
  <c r="M430" i="8"/>
  <c r="D431" i="8"/>
  <c r="E431" i="8"/>
  <c r="F431" i="8"/>
  <c r="K431" i="8"/>
  <c r="L431" i="8"/>
  <c r="M431" i="8"/>
  <c r="D432" i="8"/>
  <c r="E432" i="8"/>
  <c r="F432" i="8"/>
  <c r="K432" i="8"/>
  <c r="L432" i="8"/>
  <c r="M432" i="8"/>
  <c r="D433" i="8"/>
  <c r="E433" i="8"/>
  <c r="F433" i="8"/>
  <c r="K433" i="8"/>
  <c r="L433" i="8"/>
  <c r="M433" i="8"/>
  <c r="D434" i="8"/>
  <c r="E434" i="8"/>
  <c r="F434" i="8"/>
  <c r="K434" i="8"/>
  <c r="L434" i="8"/>
  <c r="M434" i="8"/>
  <c r="D435" i="8"/>
  <c r="E435" i="8"/>
  <c r="F435" i="8"/>
  <c r="K435" i="8"/>
  <c r="L435" i="8"/>
  <c r="M435" i="8"/>
  <c r="D436" i="8"/>
  <c r="E436" i="8"/>
  <c r="F436" i="8"/>
  <c r="K436" i="8"/>
  <c r="L436" i="8"/>
  <c r="M436" i="8"/>
  <c r="D437" i="8"/>
  <c r="E437" i="8"/>
  <c r="F437" i="8"/>
  <c r="K437" i="8"/>
  <c r="L437" i="8"/>
  <c r="M437" i="8"/>
  <c r="D438" i="8"/>
  <c r="E438" i="8"/>
  <c r="F438" i="8"/>
  <c r="K438" i="8"/>
  <c r="L438" i="8"/>
  <c r="M438" i="8"/>
  <c r="D439" i="8"/>
  <c r="E439" i="8"/>
  <c r="F439" i="8"/>
  <c r="K439" i="8"/>
  <c r="L439" i="8"/>
  <c r="M439" i="8"/>
  <c r="D440" i="8"/>
  <c r="E440" i="8"/>
  <c r="F440" i="8"/>
  <c r="K440" i="8"/>
  <c r="L440" i="8"/>
  <c r="M440" i="8"/>
  <c r="D441" i="8"/>
  <c r="E441" i="8"/>
  <c r="F441" i="8"/>
  <c r="K441" i="8"/>
  <c r="L441" i="8"/>
  <c r="M441" i="8"/>
  <c r="D442" i="8"/>
  <c r="E442" i="8"/>
  <c r="F442" i="8"/>
  <c r="K442" i="8"/>
  <c r="L442" i="8"/>
  <c r="M442" i="8"/>
  <c r="D443" i="8"/>
  <c r="E443" i="8"/>
  <c r="F443" i="8"/>
  <c r="K443" i="8"/>
  <c r="L443" i="8"/>
  <c r="M443" i="8"/>
  <c r="D444" i="8"/>
  <c r="E444" i="8"/>
  <c r="F444" i="8"/>
  <c r="K444" i="8"/>
  <c r="L444" i="8"/>
  <c r="M444" i="8"/>
  <c r="D445" i="8"/>
  <c r="E445" i="8"/>
  <c r="F445" i="8"/>
  <c r="K445" i="8"/>
  <c r="L445" i="8"/>
  <c r="M445" i="8"/>
  <c r="D446" i="8"/>
  <c r="E446" i="8"/>
  <c r="F446" i="8"/>
  <c r="K446" i="8"/>
  <c r="L446" i="8"/>
  <c r="M446" i="8"/>
  <c r="D447" i="8"/>
  <c r="E447" i="8"/>
  <c r="F447" i="8"/>
  <c r="K447" i="8"/>
  <c r="L447" i="8"/>
  <c r="M447" i="8"/>
  <c r="D448" i="8"/>
  <c r="E448" i="8"/>
  <c r="F448" i="8"/>
  <c r="K448" i="8"/>
  <c r="L448" i="8"/>
  <c r="M448" i="8"/>
  <c r="D449" i="8"/>
  <c r="E449" i="8"/>
  <c r="F449" i="8"/>
  <c r="K449" i="8"/>
  <c r="L449" i="8"/>
  <c r="M449" i="8"/>
  <c r="D450" i="8"/>
  <c r="E450" i="8"/>
  <c r="F450" i="8"/>
  <c r="K450" i="8"/>
  <c r="L450" i="8"/>
  <c r="M450" i="8"/>
  <c r="D451" i="8"/>
  <c r="E451" i="8"/>
  <c r="F451" i="8"/>
  <c r="K451" i="8"/>
  <c r="L451" i="8"/>
  <c r="M451" i="8"/>
  <c r="D452" i="8"/>
  <c r="E452" i="8"/>
  <c r="F452" i="8"/>
  <c r="K452" i="8"/>
  <c r="L452" i="8"/>
  <c r="M452" i="8"/>
  <c r="D453" i="8"/>
  <c r="E453" i="8"/>
  <c r="F453" i="8"/>
  <c r="K453" i="8"/>
  <c r="L453" i="8"/>
  <c r="M453" i="8"/>
  <c r="D454" i="8"/>
  <c r="E454" i="8"/>
  <c r="F454" i="8"/>
  <c r="K454" i="8"/>
  <c r="L454" i="8"/>
  <c r="M454" i="8"/>
  <c r="D455" i="8"/>
  <c r="E455" i="8"/>
  <c r="F455" i="8"/>
  <c r="K455" i="8"/>
  <c r="L455" i="8"/>
  <c r="M455" i="8"/>
  <c r="D456" i="8"/>
  <c r="E456" i="8"/>
  <c r="F456" i="8"/>
  <c r="K456" i="8"/>
  <c r="L456" i="8"/>
  <c r="M456" i="8"/>
  <c r="D457" i="8"/>
  <c r="E457" i="8"/>
  <c r="F457" i="8"/>
  <c r="K457" i="8"/>
  <c r="L457" i="8"/>
  <c r="M457" i="8"/>
  <c r="D458" i="8"/>
  <c r="E458" i="8"/>
  <c r="F458" i="8"/>
  <c r="K458" i="8"/>
  <c r="L458" i="8"/>
  <c r="M458" i="8"/>
  <c r="D459" i="8"/>
  <c r="E459" i="8"/>
  <c r="F459" i="8"/>
  <c r="K459" i="8"/>
  <c r="L459" i="8"/>
  <c r="M459" i="8"/>
  <c r="D460" i="8"/>
  <c r="E460" i="8"/>
  <c r="F460" i="8"/>
  <c r="K460" i="8"/>
  <c r="L460" i="8"/>
  <c r="M460" i="8"/>
  <c r="D461" i="8"/>
  <c r="E461" i="8"/>
  <c r="F461" i="8"/>
  <c r="K461" i="8"/>
  <c r="L461" i="8"/>
  <c r="M461" i="8"/>
  <c r="D462" i="8"/>
  <c r="E462" i="8"/>
  <c r="F462" i="8"/>
  <c r="K462" i="8"/>
  <c r="L462" i="8"/>
  <c r="M462" i="8"/>
  <c r="D463" i="8"/>
  <c r="E463" i="8"/>
  <c r="F463" i="8"/>
  <c r="K463" i="8"/>
  <c r="L463" i="8"/>
  <c r="M463" i="8"/>
  <c r="D464" i="8"/>
  <c r="E464" i="8"/>
  <c r="F464" i="8"/>
  <c r="K464" i="8"/>
  <c r="L464" i="8"/>
  <c r="M464" i="8"/>
  <c r="D465" i="8"/>
  <c r="E465" i="8"/>
  <c r="F465" i="8"/>
  <c r="K465" i="8"/>
  <c r="L465" i="8"/>
  <c r="M465" i="8"/>
  <c r="D466" i="8"/>
  <c r="E466" i="8"/>
  <c r="F466" i="8"/>
  <c r="K466" i="8"/>
  <c r="L466" i="8"/>
  <c r="M466" i="8"/>
  <c r="D467" i="8"/>
  <c r="E467" i="8"/>
  <c r="F467" i="8"/>
  <c r="K467" i="8"/>
  <c r="L467" i="8"/>
  <c r="M467" i="8"/>
  <c r="D468" i="8"/>
  <c r="E468" i="8"/>
  <c r="F468" i="8"/>
  <c r="K468" i="8"/>
  <c r="L468" i="8"/>
  <c r="M468" i="8"/>
  <c r="D469" i="8"/>
  <c r="E469" i="8"/>
  <c r="F469" i="8"/>
  <c r="K469" i="8"/>
  <c r="L469" i="8"/>
  <c r="M469" i="8"/>
  <c r="D470" i="8"/>
  <c r="E470" i="8"/>
  <c r="F470" i="8"/>
  <c r="K470" i="8"/>
  <c r="L470" i="8"/>
  <c r="M470" i="8"/>
  <c r="D471" i="8"/>
  <c r="E471" i="8"/>
  <c r="F471" i="8"/>
  <c r="K471" i="8"/>
  <c r="L471" i="8"/>
  <c r="M471" i="8"/>
  <c r="D472" i="8"/>
  <c r="E472" i="8"/>
  <c r="F472" i="8"/>
  <c r="K472" i="8"/>
  <c r="L472" i="8"/>
  <c r="M472" i="8"/>
  <c r="D473" i="8"/>
  <c r="E473" i="8"/>
  <c r="F473" i="8"/>
  <c r="K473" i="8"/>
  <c r="L473" i="8"/>
  <c r="M473" i="8"/>
  <c r="D474" i="8"/>
  <c r="E474" i="8"/>
  <c r="F474" i="8"/>
  <c r="K474" i="8"/>
  <c r="L474" i="8"/>
  <c r="M474" i="8"/>
  <c r="D475" i="8"/>
  <c r="E475" i="8"/>
  <c r="F475" i="8"/>
  <c r="K475" i="8"/>
  <c r="L475" i="8"/>
  <c r="M475" i="8"/>
  <c r="D476" i="8"/>
  <c r="E476" i="8"/>
  <c r="F476" i="8"/>
  <c r="K476" i="8"/>
  <c r="L476" i="8"/>
  <c r="M476" i="8"/>
  <c r="D477" i="8"/>
  <c r="E477" i="8"/>
  <c r="F477" i="8"/>
  <c r="K477" i="8"/>
  <c r="L477" i="8"/>
  <c r="M477" i="8"/>
  <c r="D478" i="8"/>
  <c r="E478" i="8"/>
  <c r="F478" i="8"/>
  <c r="K478" i="8"/>
  <c r="L478" i="8"/>
  <c r="M478" i="8"/>
  <c r="D479" i="8"/>
  <c r="E479" i="8"/>
  <c r="F479" i="8"/>
  <c r="K479" i="8"/>
  <c r="L479" i="8"/>
  <c r="M479" i="8"/>
  <c r="D480" i="8"/>
  <c r="E480" i="8"/>
  <c r="F480" i="8"/>
  <c r="K480" i="8"/>
  <c r="L480" i="8"/>
  <c r="M480" i="8"/>
  <c r="D481" i="8"/>
  <c r="E481" i="8"/>
  <c r="F481" i="8"/>
  <c r="K481" i="8"/>
  <c r="L481" i="8"/>
  <c r="M481" i="8"/>
  <c r="D482" i="8"/>
  <c r="E482" i="8"/>
  <c r="F482" i="8"/>
  <c r="K482" i="8"/>
  <c r="L482" i="8"/>
  <c r="M482" i="8"/>
  <c r="D483" i="8"/>
  <c r="E483" i="8"/>
  <c r="F483" i="8"/>
  <c r="K483" i="8"/>
  <c r="L483" i="8"/>
  <c r="M483" i="8"/>
  <c r="D484" i="8"/>
  <c r="E484" i="8"/>
  <c r="F484" i="8"/>
  <c r="K484" i="8"/>
  <c r="L484" i="8"/>
  <c r="M484" i="8"/>
  <c r="D485" i="8"/>
  <c r="E485" i="8"/>
  <c r="F485" i="8"/>
  <c r="K485" i="8"/>
  <c r="L485" i="8"/>
  <c r="M485" i="8"/>
  <c r="D486" i="8"/>
  <c r="E486" i="8"/>
  <c r="F486" i="8"/>
  <c r="K486" i="8"/>
  <c r="L486" i="8"/>
  <c r="M486" i="8"/>
  <c r="D487" i="8"/>
  <c r="E487" i="8"/>
  <c r="F487" i="8"/>
  <c r="K487" i="8"/>
  <c r="L487" i="8"/>
  <c r="M487" i="8"/>
  <c r="D488" i="8"/>
  <c r="E488" i="8"/>
  <c r="F488" i="8"/>
  <c r="K488" i="8"/>
  <c r="L488" i="8"/>
  <c r="M488" i="8"/>
  <c r="D489" i="8"/>
  <c r="E489" i="8"/>
  <c r="F489" i="8"/>
  <c r="K489" i="8"/>
  <c r="L489" i="8"/>
  <c r="M489" i="8"/>
  <c r="D490" i="8"/>
  <c r="E490" i="8"/>
  <c r="F490" i="8"/>
  <c r="K490" i="8"/>
  <c r="L490" i="8"/>
  <c r="M490" i="8"/>
  <c r="D491" i="8"/>
  <c r="E491" i="8"/>
  <c r="F491" i="8"/>
  <c r="K491" i="8"/>
  <c r="L491" i="8"/>
  <c r="M491" i="8"/>
  <c r="D492" i="8"/>
  <c r="E492" i="8"/>
  <c r="F492" i="8"/>
  <c r="K492" i="8"/>
  <c r="L492" i="8"/>
  <c r="M492" i="8"/>
  <c r="D493" i="8"/>
  <c r="E493" i="8"/>
  <c r="F493" i="8"/>
  <c r="K493" i="8"/>
  <c r="L493" i="8"/>
  <c r="M493" i="8"/>
  <c r="D494" i="8"/>
  <c r="E494" i="8"/>
  <c r="F494" i="8"/>
  <c r="K494" i="8"/>
  <c r="L494" i="8"/>
  <c r="M494" i="8"/>
  <c r="D495" i="8"/>
  <c r="E495" i="8"/>
  <c r="F495" i="8"/>
  <c r="K495" i="8"/>
  <c r="L495" i="8"/>
  <c r="M495" i="8"/>
  <c r="D496" i="8"/>
  <c r="E496" i="8"/>
  <c r="F496" i="8"/>
  <c r="K496" i="8"/>
  <c r="L496" i="8"/>
  <c r="M496" i="8"/>
  <c r="D497" i="8"/>
  <c r="E497" i="8"/>
  <c r="F497" i="8"/>
  <c r="K497" i="8"/>
  <c r="L497" i="8"/>
  <c r="M497" i="8"/>
  <c r="D498" i="8"/>
  <c r="E498" i="8"/>
  <c r="F498" i="8"/>
  <c r="K498" i="8"/>
  <c r="L498" i="8"/>
  <c r="M498" i="8"/>
  <c r="D499" i="8"/>
  <c r="E499" i="8"/>
  <c r="F499" i="8"/>
  <c r="K499" i="8"/>
  <c r="L499" i="8"/>
  <c r="M499" i="8"/>
  <c r="D500" i="8"/>
  <c r="E500" i="8"/>
  <c r="F500" i="8"/>
  <c r="K500" i="8"/>
  <c r="L500" i="8"/>
  <c r="M500" i="8"/>
  <c r="D501" i="8"/>
  <c r="E501" i="8"/>
  <c r="F501" i="8"/>
  <c r="K501" i="8"/>
  <c r="L501" i="8"/>
  <c r="M501" i="8"/>
  <c r="D502" i="8"/>
  <c r="E502" i="8"/>
  <c r="F502" i="8"/>
  <c r="K502" i="8"/>
  <c r="L502" i="8"/>
  <c r="M502" i="8"/>
  <c r="D503" i="8"/>
  <c r="E503" i="8"/>
  <c r="F503" i="8"/>
  <c r="K503" i="8"/>
  <c r="L503" i="8"/>
  <c r="M503" i="8"/>
  <c r="D504" i="8"/>
  <c r="E504" i="8"/>
  <c r="F504" i="8"/>
  <c r="K504" i="8"/>
  <c r="L504" i="8"/>
  <c r="M504" i="8"/>
  <c r="D505" i="8"/>
  <c r="E505" i="8"/>
  <c r="F505" i="8"/>
  <c r="K505" i="8"/>
  <c r="L505" i="8"/>
  <c r="M505" i="8"/>
  <c r="D506" i="8"/>
  <c r="E506" i="8"/>
  <c r="F506" i="8"/>
  <c r="K506" i="8"/>
  <c r="L506" i="8"/>
  <c r="M506" i="8"/>
  <c r="D507" i="8"/>
  <c r="E507" i="8"/>
  <c r="F507" i="8"/>
  <c r="K507" i="8"/>
  <c r="L507" i="8"/>
  <c r="M507" i="8"/>
  <c r="D508" i="8"/>
  <c r="E508" i="8"/>
  <c r="F508" i="8"/>
  <c r="K508" i="8"/>
  <c r="L508" i="8"/>
  <c r="M508" i="8"/>
  <c r="D509" i="8"/>
  <c r="E509" i="8"/>
  <c r="F509" i="8"/>
  <c r="K509" i="8"/>
  <c r="L509" i="8"/>
  <c r="M509" i="8"/>
  <c r="D510" i="8"/>
  <c r="E510" i="8"/>
  <c r="F510" i="8"/>
  <c r="K510" i="8"/>
  <c r="L510" i="8"/>
  <c r="M510" i="8"/>
  <c r="D511" i="8"/>
  <c r="E511" i="8"/>
  <c r="F511" i="8"/>
  <c r="K511" i="8"/>
  <c r="L511" i="8"/>
  <c r="M511" i="8"/>
  <c r="D512" i="8"/>
  <c r="E512" i="8"/>
  <c r="F512" i="8"/>
  <c r="K512" i="8"/>
  <c r="L512" i="8"/>
  <c r="M512" i="8"/>
  <c r="D513" i="8"/>
  <c r="E513" i="8"/>
  <c r="F513" i="8"/>
  <c r="K513" i="8"/>
  <c r="L513" i="8"/>
  <c r="M513" i="8"/>
  <c r="D514" i="8"/>
  <c r="E514" i="8"/>
  <c r="F514" i="8"/>
  <c r="K514" i="8"/>
  <c r="L514" i="8"/>
  <c r="M514" i="8"/>
  <c r="D515" i="8"/>
  <c r="E515" i="8"/>
  <c r="F515" i="8"/>
  <c r="K515" i="8"/>
  <c r="L515" i="8"/>
  <c r="M515" i="8"/>
  <c r="D516" i="8"/>
  <c r="E516" i="8"/>
  <c r="F516" i="8"/>
  <c r="K516" i="8"/>
  <c r="L516" i="8"/>
  <c r="M516" i="8"/>
  <c r="D517" i="8"/>
  <c r="E517" i="8"/>
  <c r="F517" i="8"/>
  <c r="K517" i="8"/>
  <c r="L517" i="8"/>
  <c r="M517" i="8"/>
  <c r="D518" i="8"/>
  <c r="E518" i="8"/>
  <c r="F518" i="8"/>
  <c r="K518" i="8"/>
  <c r="L518" i="8"/>
  <c r="M518" i="8"/>
  <c r="D519" i="8"/>
  <c r="E519" i="8"/>
  <c r="F519" i="8"/>
  <c r="K519" i="8"/>
  <c r="L519" i="8"/>
  <c r="M519" i="8"/>
  <c r="D520" i="8"/>
  <c r="E520" i="8"/>
  <c r="F520" i="8"/>
  <c r="K520" i="8"/>
  <c r="L520" i="8"/>
  <c r="M520" i="8"/>
  <c r="D521" i="8"/>
  <c r="E521" i="8"/>
  <c r="F521" i="8"/>
  <c r="K521" i="8"/>
  <c r="L521" i="8"/>
  <c r="M521" i="8"/>
  <c r="D522" i="8"/>
  <c r="E522" i="8"/>
  <c r="F522" i="8"/>
  <c r="K522" i="8"/>
  <c r="L522" i="8"/>
  <c r="M522" i="8"/>
  <c r="D523" i="8"/>
  <c r="E523" i="8"/>
  <c r="F523" i="8"/>
  <c r="K523" i="8"/>
  <c r="L523" i="8"/>
  <c r="M523" i="8"/>
  <c r="D524" i="8"/>
  <c r="E524" i="8"/>
  <c r="F524" i="8"/>
  <c r="K524" i="8"/>
  <c r="L524" i="8"/>
  <c r="M524" i="8"/>
  <c r="D525" i="8"/>
  <c r="E525" i="8"/>
  <c r="F525" i="8"/>
  <c r="K525" i="8"/>
  <c r="L525" i="8"/>
  <c r="M525" i="8"/>
  <c r="D526" i="8"/>
  <c r="E526" i="8"/>
  <c r="F526" i="8"/>
  <c r="K526" i="8"/>
  <c r="L526" i="8"/>
  <c r="M526" i="8"/>
  <c r="D527" i="8"/>
  <c r="E527" i="8"/>
  <c r="F527" i="8"/>
  <c r="K527" i="8"/>
  <c r="L527" i="8"/>
  <c r="M527" i="8"/>
  <c r="D528" i="8"/>
  <c r="E528" i="8"/>
  <c r="F528" i="8"/>
  <c r="K528" i="8"/>
  <c r="L528" i="8"/>
  <c r="M528" i="8"/>
  <c r="D529" i="8"/>
  <c r="E529" i="8"/>
  <c r="F529" i="8"/>
  <c r="K529" i="8"/>
  <c r="L529" i="8"/>
  <c r="M529" i="8"/>
  <c r="D530" i="8"/>
  <c r="E530" i="8"/>
  <c r="F530" i="8"/>
  <c r="K530" i="8"/>
  <c r="L530" i="8"/>
  <c r="M530" i="8"/>
  <c r="D531" i="8"/>
  <c r="E531" i="8"/>
  <c r="F531" i="8"/>
  <c r="K531" i="8"/>
  <c r="L531" i="8"/>
  <c r="M531" i="8"/>
  <c r="D532" i="8"/>
  <c r="E532" i="8"/>
  <c r="F532" i="8"/>
  <c r="K532" i="8"/>
  <c r="L532" i="8"/>
  <c r="M532" i="8"/>
  <c r="D533" i="8"/>
  <c r="E533" i="8"/>
  <c r="F533" i="8"/>
  <c r="K533" i="8"/>
  <c r="L533" i="8"/>
  <c r="M533" i="8"/>
  <c r="D534" i="8"/>
  <c r="E534" i="8"/>
  <c r="F534" i="8"/>
  <c r="K534" i="8"/>
  <c r="L534" i="8"/>
  <c r="M534" i="8"/>
  <c r="D535" i="8"/>
  <c r="E535" i="8"/>
  <c r="F535" i="8"/>
  <c r="K535" i="8"/>
  <c r="L535" i="8"/>
  <c r="M535" i="8"/>
  <c r="D536" i="8"/>
  <c r="E536" i="8"/>
  <c r="F536" i="8"/>
  <c r="K536" i="8"/>
  <c r="L536" i="8"/>
  <c r="M536" i="8"/>
  <c r="D537" i="8"/>
  <c r="E537" i="8"/>
  <c r="F537" i="8"/>
  <c r="K537" i="8"/>
  <c r="L537" i="8"/>
  <c r="M537" i="8"/>
  <c r="D538" i="8"/>
  <c r="E538" i="8"/>
  <c r="F538" i="8"/>
  <c r="K538" i="8"/>
  <c r="L538" i="8"/>
  <c r="M538" i="8"/>
  <c r="D539" i="8"/>
  <c r="E539" i="8"/>
  <c r="F539" i="8"/>
  <c r="K539" i="8"/>
  <c r="L539" i="8"/>
  <c r="M539" i="8"/>
  <c r="D540" i="8"/>
  <c r="E540" i="8"/>
  <c r="F540" i="8"/>
  <c r="K540" i="8"/>
  <c r="L540" i="8"/>
  <c r="M540" i="8"/>
  <c r="D541" i="8"/>
  <c r="E541" i="8"/>
  <c r="F541" i="8"/>
  <c r="K541" i="8"/>
  <c r="L541" i="8"/>
  <c r="M541" i="8"/>
  <c r="D542" i="8"/>
  <c r="E542" i="8"/>
  <c r="F542" i="8"/>
  <c r="K542" i="8"/>
  <c r="L542" i="8"/>
  <c r="M542" i="8"/>
  <c r="D543" i="8"/>
  <c r="E543" i="8"/>
  <c r="F543" i="8"/>
  <c r="K543" i="8"/>
  <c r="L543" i="8"/>
  <c r="M543" i="8"/>
  <c r="D544" i="8"/>
  <c r="E544" i="8"/>
  <c r="F544" i="8"/>
  <c r="K544" i="8"/>
  <c r="L544" i="8"/>
  <c r="M544" i="8"/>
  <c r="D545" i="8"/>
  <c r="E545" i="8"/>
  <c r="F545" i="8"/>
  <c r="K545" i="8"/>
  <c r="L545" i="8"/>
  <c r="M545" i="8"/>
  <c r="D546" i="8"/>
  <c r="E546" i="8"/>
  <c r="F546" i="8"/>
  <c r="K546" i="8"/>
  <c r="L546" i="8"/>
  <c r="M546" i="8"/>
  <c r="D547" i="8"/>
  <c r="E547" i="8"/>
  <c r="F547" i="8"/>
  <c r="K547" i="8"/>
  <c r="L547" i="8"/>
  <c r="M547" i="8"/>
  <c r="D548" i="8"/>
  <c r="E548" i="8"/>
  <c r="F548" i="8"/>
  <c r="K548" i="8"/>
  <c r="L548" i="8"/>
  <c r="M548" i="8"/>
  <c r="D549" i="8"/>
  <c r="E549" i="8"/>
  <c r="F549" i="8"/>
  <c r="K549" i="8"/>
  <c r="L549" i="8"/>
  <c r="M549" i="8"/>
  <c r="D550" i="8"/>
  <c r="E550" i="8"/>
  <c r="F550" i="8"/>
  <c r="K550" i="8"/>
  <c r="L550" i="8"/>
  <c r="M550" i="8"/>
  <c r="D551" i="8"/>
  <c r="E551" i="8"/>
  <c r="F551" i="8"/>
  <c r="K551" i="8"/>
  <c r="L551" i="8"/>
  <c r="M551" i="8"/>
  <c r="D552" i="8"/>
  <c r="E552" i="8"/>
  <c r="F552" i="8"/>
  <c r="K552" i="8"/>
  <c r="L552" i="8"/>
  <c r="M552" i="8"/>
  <c r="D553" i="8"/>
  <c r="E553" i="8"/>
  <c r="F553" i="8"/>
  <c r="K553" i="8"/>
  <c r="L553" i="8"/>
  <c r="M553" i="8"/>
  <c r="D554" i="8"/>
  <c r="E554" i="8"/>
  <c r="F554" i="8"/>
  <c r="K554" i="8"/>
  <c r="L554" i="8"/>
  <c r="M554" i="8"/>
  <c r="D555" i="8"/>
  <c r="E555" i="8"/>
  <c r="F555" i="8"/>
  <c r="K555" i="8"/>
  <c r="L555" i="8"/>
  <c r="M555" i="8"/>
  <c r="D556" i="8"/>
  <c r="E556" i="8"/>
  <c r="F556" i="8"/>
  <c r="K556" i="8"/>
  <c r="L556" i="8"/>
  <c r="M556" i="8"/>
  <c r="D557" i="8"/>
  <c r="E557" i="8"/>
  <c r="F557" i="8"/>
  <c r="K557" i="8"/>
  <c r="L557" i="8"/>
  <c r="M557" i="8"/>
  <c r="D558" i="8"/>
  <c r="E558" i="8"/>
  <c r="F558" i="8"/>
  <c r="K558" i="8"/>
  <c r="L558" i="8"/>
  <c r="M558" i="8"/>
  <c r="D559" i="8"/>
  <c r="E559" i="8"/>
  <c r="F559" i="8"/>
  <c r="K559" i="8"/>
  <c r="L559" i="8"/>
  <c r="M559" i="8"/>
  <c r="D560" i="8"/>
  <c r="E560" i="8"/>
  <c r="F560" i="8"/>
  <c r="K560" i="8"/>
  <c r="L560" i="8"/>
  <c r="M560" i="8"/>
  <c r="D561" i="8"/>
  <c r="E561" i="8"/>
  <c r="F561" i="8"/>
  <c r="K561" i="8"/>
  <c r="L561" i="8"/>
  <c r="M561" i="8"/>
  <c r="D562" i="8"/>
  <c r="E562" i="8"/>
  <c r="F562" i="8"/>
  <c r="K562" i="8"/>
  <c r="L562" i="8"/>
  <c r="M562" i="8"/>
  <c r="D563" i="8"/>
  <c r="E563" i="8"/>
  <c r="F563" i="8"/>
  <c r="K563" i="8"/>
  <c r="L563" i="8"/>
  <c r="M563" i="8"/>
  <c r="D564" i="8"/>
  <c r="E564" i="8"/>
  <c r="F564" i="8"/>
  <c r="K564" i="8"/>
  <c r="L564" i="8"/>
  <c r="M564" i="8"/>
  <c r="D565" i="8"/>
  <c r="E565" i="8"/>
  <c r="F565" i="8"/>
  <c r="K565" i="8"/>
  <c r="L565" i="8"/>
  <c r="M565" i="8"/>
  <c r="D566" i="8"/>
  <c r="E566" i="8"/>
  <c r="F566" i="8"/>
  <c r="K566" i="8"/>
  <c r="L566" i="8"/>
  <c r="M566" i="8"/>
  <c r="D567" i="8"/>
  <c r="E567" i="8"/>
  <c r="F567" i="8"/>
  <c r="K567" i="8"/>
  <c r="L567" i="8"/>
  <c r="M567" i="8"/>
  <c r="D568" i="8"/>
  <c r="E568" i="8"/>
  <c r="F568" i="8"/>
  <c r="K568" i="8"/>
  <c r="L568" i="8"/>
  <c r="M568" i="8"/>
  <c r="D569" i="8"/>
  <c r="E569" i="8"/>
  <c r="F569" i="8"/>
  <c r="K569" i="8"/>
  <c r="L569" i="8"/>
  <c r="M569" i="8"/>
  <c r="D570" i="8"/>
  <c r="E570" i="8"/>
  <c r="F570" i="8"/>
  <c r="K570" i="8"/>
  <c r="L570" i="8"/>
  <c r="M570" i="8"/>
  <c r="D571" i="8"/>
  <c r="E571" i="8"/>
  <c r="F571" i="8"/>
  <c r="K571" i="8"/>
  <c r="L571" i="8"/>
  <c r="M571" i="8"/>
  <c r="D572" i="8"/>
  <c r="E572" i="8"/>
  <c r="F572" i="8"/>
  <c r="K572" i="8"/>
  <c r="L572" i="8"/>
  <c r="M572" i="8"/>
  <c r="D573" i="8"/>
  <c r="E573" i="8"/>
  <c r="F573" i="8"/>
  <c r="K573" i="8"/>
  <c r="L573" i="8"/>
  <c r="M573" i="8"/>
  <c r="D574" i="8"/>
  <c r="E574" i="8"/>
  <c r="F574" i="8"/>
  <c r="K574" i="8"/>
  <c r="L574" i="8"/>
  <c r="M574" i="8"/>
  <c r="D575" i="8"/>
  <c r="E575" i="8"/>
  <c r="F575" i="8"/>
  <c r="K575" i="8"/>
  <c r="L575" i="8"/>
  <c r="M575" i="8"/>
  <c r="D576" i="8"/>
  <c r="E576" i="8"/>
  <c r="F576" i="8"/>
  <c r="K576" i="8"/>
  <c r="L576" i="8"/>
  <c r="M576" i="8"/>
  <c r="D577" i="8"/>
  <c r="E577" i="8"/>
  <c r="F577" i="8"/>
  <c r="K577" i="8"/>
  <c r="L577" i="8"/>
  <c r="M577" i="8"/>
  <c r="D578" i="8"/>
  <c r="E578" i="8"/>
  <c r="F578" i="8"/>
  <c r="K578" i="8"/>
  <c r="L578" i="8"/>
  <c r="M578" i="8"/>
  <c r="D579" i="8"/>
  <c r="E579" i="8"/>
  <c r="F579" i="8"/>
  <c r="K579" i="8"/>
  <c r="L579" i="8"/>
  <c r="M579" i="8"/>
  <c r="D580" i="8"/>
  <c r="E580" i="8"/>
  <c r="F580" i="8"/>
  <c r="K580" i="8"/>
  <c r="L580" i="8"/>
  <c r="M580" i="8"/>
  <c r="D581" i="8"/>
  <c r="E581" i="8"/>
  <c r="F581" i="8"/>
  <c r="K581" i="8"/>
  <c r="L581" i="8"/>
  <c r="M581" i="8"/>
  <c r="D582" i="8"/>
  <c r="E582" i="8"/>
  <c r="F582" i="8"/>
  <c r="K582" i="8"/>
  <c r="L582" i="8"/>
  <c r="M582" i="8"/>
  <c r="D583" i="8"/>
  <c r="E583" i="8"/>
  <c r="F583" i="8"/>
  <c r="K583" i="8"/>
  <c r="L583" i="8"/>
  <c r="M583" i="8"/>
  <c r="D584" i="8"/>
  <c r="E584" i="8"/>
  <c r="F584" i="8"/>
  <c r="K584" i="8"/>
  <c r="L584" i="8"/>
  <c r="M584" i="8"/>
  <c r="D585" i="8"/>
  <c r="E585" i="8"/>
  <c r="F585" i="8"/>
  <c r="K585" i="8"/>
  <c r="L585" i="8"/>
  <c r="M585" i="8"/>
  <c r="D586" i="8"/>
  <c r="E586" i="8"/>
  <c r="F586" i="8"/>
  <c r="K586" i="8"/>
  <c r="L586" i="8"/>
  <c r="M586" i="8"/>
  <c r="D587" i="8"/>
  <c r="E587" i="8"/>
  <c r="F587" i="8"/>
  <c r="K587" i="8"/>
  <c r="L587" i="8"/>
  <c r="M587" i="8"/>
  <c r="D588" i="8"/>
  <c r="E588" i="8"/>
  <c r="F588" i="8"/>
  <c r="K588" i="8"/>
  <c r="L588" i="8"/>
  <c r="M588" i="8"/>
  <c r="D589" i="8"/>
  <c r="E589" i="8"/>
  <c r="F589" i="8"/>
  <c r="K589" i="8"/>
  <c r="L589" i="8"/>
  <c r="M589" i="8"/>
  <c r="D590" i="8"/>
  <c r="E590" i="8"/>
  <c r="F590" i="8"/>
  <c r="K590" i="8"/>
  <c r="L590" i="8"/>
  <c r="M590" i="8"/>
  <c r="D591" i="8"/>
  <c r="E591" i="8"/>
  <c r="F591" i="8"/>
  <c r="K591" i="8"/>
  <c r="L591" i="8"/>
  <c r="M591" i="8"/>
  <c r="D592" i="8"/>
  <c r="E592" i="8"/>
  <c r="F592" i="8"/>
  <c r="K592" i="8"/>
  <c r="L592" i="8"/>
  <c r="M592" i="8"/>
  <c r="D593" i="8"/>
  <c r="E593" i="8"/>
  <c r="F593" i="8"/>
  <c r="K593" i="8"/>
  <c r="L593" i="8"/>
  <c r="M593" i="8"/>
  <c r="D594" i="8"/>
  <c r="E594" i="8"/>
  <c r="F594" i="8"/>
  <c r="K594" i="8"/>
  <c r="L594" i="8"/>
  <c r="M594" i="8"/>
  <c r="D595" i="8"/>
  <c r="E595" i="8"/>
  <c r="F595" i="8"/>
  <c r="K595" i="8"/>
  <c r="L595" i="8"/>
  <c r="M595" i="8"/>
  <c r="D596" i="8"/>
  <c r="E596" i="8"/>
  <c r="F596" i="8"/>
  <c r="K596" i="8"/>
  <c r="L596" i="8"/>
  <c r="M596" i="8"/>
  <c r="D597" i="8"/>
  <c r="E597" i="8"/>
  <c r="F597" i="8"/>
  <c r="K597" i="8"/>
  <c r="L597" i="8"/>
  <c r="M597" i="8"/>
  <c r="D598" i="8"/>
  <c r="E598" i="8"/>
  <c r="F598" i="8"/>
  <c r="K598" i="8"/>
  <c r="L598" i="8"/>
  <c r="M598" i="8"/>
  <c r="D599" i="8"/>
  <c r="E599" i="8"/>
  <c r="F599" i="8"/>
  <c r="K599" i="8"/>
  <c r="L599" i="8"/>
  <c r="M599" i="8"/>
  <c r="D600" i="8"/>
  <c r="E600" i="8"/>
  <c r="F600" i="8"/>
  <c r="K600" i="8"/>
  <c r="L600" i="8"/>
  <c r="M600" i="8"/>
  <c r="D601" i="8"/>
  <c r="E601" i="8"/>
  <c r="F601" i="8"/>
  <c r="K601" i="8"/>
  <c r="L601" i="8"/>
  <c r="M601" i="8"/>
  <c r="D602" i="8"/>
  <c r="E602" i="8"/>
  <c r="F602" i="8"/>
  <c r="K602" i="8"/>
  <c r="L602" i="8"/>
  <c r="M602" i="8"/>
  <c r="D603" i="8"/>
  <c r="E603" i="8"/>
  <c r="F603" i="8"/>
  <c r="K603" i="8"/>
  <c r="L603" i="8"/>
  <c r="M603" i="8"/>
  <c r="D604" i="8"/>
  <c r="E604" i="8"/>
  <c r="F604" i="8"/>
  <c r="K604" i="8"/>
  <c r="L604" i="8"/>
  <c r="M604" i="8"/>
  <c r="D605" i="8"/>
  <c r="E605" i="8"/>
  <c r="F605" i="8"/>
  <c r="K605" i="8"/>
  <c r="L605" i="8"/>
  <c r="M605" i="8"/>
  <c r="D606" i="8"/>
  <c r="E606" i="8"/>
  <c r="F606" i="8"/>
  <c r="K606" i="8"/>
  <c r="L606" i="8"/>
  <c r="M606" i="8"/>
  <c r="D607" i="8"/>
  <c r="E607" i="8"/>
  <c r="F607" i="8"/>
  <c r="K607" i="8"/>
  <c r="L607" i="8"/>
  <c r="M607" i="8"/>
  <c r="D608" i="8"/>
  <c r="E608" i="8"/>
  <c r="F608" i="8"/>
  <c r="K608" i="8"/>
  <c r="L608" i="8"/>
  <c r="M608" i="8"/>
  <c r="D609" i="8"/>
  <c r="E609" i="8"/>
  <c r="F609" i="8"/>
  <c r="K609" i="8"/>
  <c r="L609" i="8"/>
  <c r="M609" i="8"/>
  <c r="D610" i="8"/>
  <c r="E610" i="8"/>
  <c r="F610" i="8"/>
  <c r="K610" i="8"/>
  <c r="L610" i="8"/>
  <c r="M610" i="8"/>
  <c r="D611" i="8"/>
  <c r="E611" i="8"/>
  <c r="F611" i="8"/>
  <c r="K611" i="8"/>
  <c r="L611" i="8"/>
  <c r="M611" i="8"/>
  <c r="D612" i="8"/>
  <c r="E612" i="8"/>
  <c r="F612" i="8"/>
  <c r="K612" i="8"/>
  <c r="L612" i="8"/>
  <c r="M612" i="8"/>
  <c r="D613" i="8"/>
  <c r="E613" i="8"/>
  <c r="F613" i="8"/>
  <c r="K613" i="8"/>
  <c r="L613" i="8"/>
  <c r="M613" i="8"/>
  <c r="D614" i="8"/>
  <c r="E614" i="8"/>
  <c r="F614" i="8"/>
  <c r="K614" i="8"/>
  <c r="L614" i="8"/>
  <c r="M614" i="8"/>
  <c r="D615" i="8"/>
  <c r="E615" i="8"/>
  <c r="F615" i="8"/>
  <c r="K615" i="8"/>
  <c r="L615" i="8"/>
  <c r="M615" i="8"/>
  <c r="D616" i="8"/>
  <c r="E616" i="8"/>
  <c r="F616" i="8"/>
  <c r="K616" i="8"/>
  <c r="L616" i="8"/>
  <c r="M616" i="8"/>
  <c r="D617" i="8"/>
  <c r="E617" i="8"/>
  <c r="F617" i="8"/>
  <c r="K617" i="8"/>
  <c r="L617" i="8"/>
  <c r="M617" i="8"/>
  <c r="D618" i="8"/>
  <c r="E618" i="8"/>
  <c r="F618" i="8"/>
  <c r="K618" i="8"/>
  <c r="L618" i="8"/>
  <c r="M618" i="8"/>
  <c r="D619" i="8"/>
  <c r="E619" i="8"/>
  <c r="F619" i="8"/>
  <c r="K619" i="8"/>
  <c r="L619" i="8"/>
  <c r="M619" i="8"/>
  <c r="D620" i="8"/>
  <c r="E620" i="8"/>
  <c r="F620" i="8"/>
  <c r="K620" i="8"/>
  <c r="L620" i="8"/>
  <c r="M620" i="8"/>
  <c r="D621" i="8"/>
  <c r="E621" i="8"/>
  <c r="F621" i="8"/>
  <c r="K621" i="8"/>
  <c r="L621" i="8"/>
  <c r="M621" i="8"/>
  <c r="D622" i="8"/>
  <c r="E622" i="8"/>
  <c r="F622" i="8"/>
  <c r="K622" i="8"/>
  <c r="L622" i="8"/>
  <c r="M622" i="8"/>
  <c r="D623" i="8"/>
  <c r="E623" i="8"/>
  <c r="F623" i="8"/>
  <c r="K623" i="8"/>
  <c r="L623" i="8"/>
  <c r="M623" i="8"/>
  <c r="D624" i="8"/>
  <c r="E624" i="8"/>
  <c r="F624" i="8"/>
  <c r="K624" i="8"/>
  <c r="L624" i="8"/>
  <c r="M624" i="8"/>
  <c r="D625" i="8"/>
  <c r="E625" i="8"/>
  <c r="F625" i="8"/>
  <c r="K625" i="8"/>
  <c r="L625" i="8"/>
  <c r="M625" i="8"/>
  <c r="D626" i="8"/>
  <c r="E626" i="8"/>
  <c r="F626" i="8"/>
  <c r="K626" i="8"/>
  <c r="L626" i="8"/>
  <c r="M626" i="8"/>
  <c r="D627" i="8"/>
  <c r="E627" i="8"/>
  <c r="F627" i="8"/>
  <c r="K627" i="8"/>
  <c r="L627" i="8"/>
  <c r="M627" i="8"/>
  <c r="D628" i="8"/>
  <c r="E628" i="8"/>
  <c r="F628" i="8"/>
  <c r="K628" i="8"/>
  <c r="L628" i="8"/>
  <c r="M628" i="8"/>
  <c r="D629" i="8"/>
  <c r="E629" i="8"/>
  <c r="F629" i="8"/>
  <c r="K629" i="8"/>
  <c r="L629" i="8"/>
  <c r="M629" i="8"/>
  <c r="D630" i="8"/>
  <c r="E630" i="8"/>
  <c r="F630" i="8"/>
  <c r="K630" i="8"/>
  <c r="L630" i="8"/>
  <c r="M630" i="8"/>
  <c r="D631" i="8"/>
  <c r="E631" i="8"/>
  <c r="F631" i="8"/>
  <c r="K631" i="8"/>
  <c r="L631" i="8"/>
  <c r="M631" i="8"/>
  <c r="D632" i="8"/>
  <c r="E632" i="8"/>
  <c r="F632" i="8"/>
  <c r="K632" i="8"/>
  <c r="L632" i="8"/>
  <c r="M632" i="8"/>
  <c r="D633" i="8"/>
  <c r="E633" i="8"/>
  <c r="F633" i="8"/>
  <c r="K633" i="8"/>
  <c r="L633" i="8"/>
  <c r="M633" i="8"/>
  <c r="D634" i="8"/>
  <c r="E634" i="8"/>
  <c r="F634" i="8"/>
  <c r="K634" i="8"/>
  <c r="L634" i="8"/>
  <c r="M634" i="8"/>
  <c r="D635" i="8"/>
  <c r="E635" i="8"/>
  <c r="F635" i="8"/>
  <c r="K635" i="8"/>
  <c r="L635" i="8"/>
  <c r="M635" i="8"/>
  <c r="D636" i="8"/>
  <c r="E636" i="8"/>
  <c r="F636" i="8"/>
  <c r="K636" i="8"/>
  <c r="L636" i="8"/>
  <c r="M636" i="8"/>
  <c r="D637" i="8"/>
  <c r="E637" i="8"/>
  <c r="F637" i="8"/>
  <c r="K637" i="8"/>
  <c r="L637" i="8"/>
  <c r="M637" i="8"/>
  <c r="D638" i="8"/>
  <c r="E638" i="8"/>
  <c r="F638" i="8"/>
  <c r="K638" i="8"/>
  <c r="L638" i="8"/>
  <c r="M638" i="8"/>
  <c r="D639" i="8"/>
  <c r="E639" i="8"/>
  <c r="F639" i="8"/>
  <c r="K639" i="8"/>
  <c r="L639" i="8"/>
  <c r="M639" i="8"/>
  <c r="D640" i="8"/>
  <c r="E640" i="8"/>
  <c r="F640" i="8"/>
  <c r="K640" i="8"/>
  <c r="L640" i="8"/>
  <c r="M640" i="8"/>
  <c r="D641" i="8"/>
  <c r="E641" i="8"/>
  <c r="F641" i="8"/>
  <c r="K641" i="8"/>
  <c r="L641" i="8"/>
  <c r="M641" i="8"/>
  <c r="D642" i="8"/>
  <c r="E642" i="8"/>
  <c r="F642" i="8"/>
  <c r="K642" i="8"/>
  <c r="L642" i="8"/>
  <c r="M642" i="8"/>
  <c r="D643" i="8"/>
  <c r="E643" i="8"/>
  <c r="F643" i="8"/>
  <c r="K643" i="8"/>
  <c r="L643" i="8"/>
  <c r="M643" i="8"/>
  <c r="D644" i="8"/>
  <c r="E644" i="8"/>
  <c r="F644" i="8"/>
  <c r="K644" i="8"/>
  <c r="L644" i="8"/>
  <c r="M644" i="8"/>
  <c r="D645" i="8"/>
  <c r="E645" i="8"/>
  <c r="F645" i="8"/>
  <c r="K645" i="8"/>
  <c r="L645" i="8"/>
  <c r="M645" i="8"/>
  <c r="D646" i="8"/>
  <c r="E646" i="8"/>
  <c r="F646" i="8"/>
  <c r="K646" i="8"/>
  <c r="L646" i="8"/>
  <c r="M646" i="8"/>
  <c r="D647" i="8"/>
  <c r="E647" i="8"/>
  <c r="F647" i="8"/>
  <c r="K647" i="8"/>
  <c r="L647" i="8"/>
  <c r="M647" i="8"/>
  <c r="D648" i="8"/>
  <c r="E648" i="8"/>
  <c r="F648" i="8"/>
  <c r="K648" i="8"/>
  <c r="L648" i="8"/>
  <c r="M648" i="8"/>
  <c r="D649" i="8"/>
  <c r="E649" i="8"/>
  <c r="F649" i="8"/>
  <c r="K649" i="8"/>
  <c r="L649" i="8"/>
  <c r="M649" i="8"/>
  <c r="D650" i="8"/>
  <c r="E650" i="8"/>
  <c r="F650" i="8"/>
  <c r="K650" i="8"/>
  <c r="L650" i="8"/>
  <c r="M650" i="8"/>
  <c r="D651" i="8"/>
  <c r="E651" i="8"/>
  <c r="F651" i="8"/>
  <c r="K651" i="8"/>
  <c r="L651" i="8"/>
  <c r="M651" i="8"/>
  <c r="D652" i="8"/>
  <c r="E652" i="8"/>
  <c r="F652" i="8"/>
  <c r="K652" i="8"/>
  <c r="L652" i="8"/>
  <c r="M652" i="8"/>
  <c r="D653" i="8"/>
  <c r="E653" i="8"/>
  <c r="F653" i="8"/>
  <c r="K653" i="8"/>
  <c r="L653" i="8"/>
  <c r="M653" i="8"/>
  <c r="D654" i="8"/>
  <c r="E654" i="8"/>
  <c r="F654" i="8"/>
  <c r="K654" i="8"/>
  <c r="L654" i="8"/>
  <c r="M654" i="8"/>
  <c r="D655" i="8"/>
  <c r="E655" i="8"/>
  <c r="F655" i="8"/>
  <c r="K655" i="8"/>
  <c r="L655" i="8"/>
  <c r="M655" i="8"/>
  <c r="D656" i="8"/>
  <c r="E656" i="8"/>
  <c r="F656" i="8"/>
  <c r="K656" i="8"/>
  <c r="L656" i="8"/>
  <c r="M656" i="8"/>
  <c r="D657" i="8"/>
  <c r="E657" i="8"/>
  <c r="F657" i="8"/>
  <c r="K657" i="8"/>
  <c r="L657" i="8"/>
  <c r="M657" i="8"/>
  <c r="D658" i="8"/>
  <c r="E658" i="8"/>
  <c r="F658" i="8"/>
  <c r="K658" i="8"/>
  <c r="L658" i="8"/>
  <c r="M658" i="8"/>
  <c r="D659" i="8"/>
  <c r="E659" i="8"/>
  <c r="F659" i="8"/>
  <c r="K659" i="8"/>
  <c r="L659" i="8"/>
  <c r="M659" i="8"/>
  <c r="D660" i="8"/>
  <c r="E660" i="8"/>
  <c r="F660" i="8"/>
  <c r="K660" i="8"/>
  <c r="L660" i="8"/>
  <c r="M660" i="8"/>
  <c r="D661" i="8"/>
  <c r="E661" i="8"/>
  <c r="F661" i="8"/>
  <c r="K661" i="8"/>
  <c r="L661" i="8"/>
  <c r="M661" i="8"/>
  <c r="D662" i="8"/>
  <c r="E662" i="8"/>
  <c r="F662" i="8"/>
  <c r="K662" i="8"/>
  <c r="L662" i="8"/>
  <c r="M662" i="8"/>
  <c r="D663" i="8"/>
  <c r="E663" i="8"/>
  <c r="F663" i="8"/>
  <c r="K663" i="8"/>
  <c r="L663" i="8"/>
  <c r="M663" i="8"/>
  <c r="D664" i="8"/>
  <c r="E664" i="8"/>
  <c r="F664" i="8"/>
  <c r="K664" i="8"/>
  <c r="L664" i="8"/>
  <c r="M664" i="8"/>
  <c r="D665" i="8"/>
  <c r="E665" i="8"/>
  <c r="F665" i="8"/>
  <c r="K665" i="8"/>
  <c r="L665" i="8"/>
  <c r="M665" i="8"/>
  <c r="D666" i="8"/>
  <c r="E666" i="8"/>
  <c r="F666" i="8"/>
  <c r="K666" i="8"/>
  <c r="L666" i="8"/>
  <c r="M666" i="8"/>
  <c r="D667" i="8"/>
  <c r="E667" i="8"/>
  <c r="F667" i="8"/>
  <c r="K667" i="8"/>
  <c r="L667" i="8"/>
  <c r="M667" i="8"/>
  <c r="D668" i="8"/>
  <c r="E668" i="8"/>
  <c r="F668" i="8"/>
  <c r="K668" i="8"/>
  <c r="L668" i="8"/>
  <c r="M668" i="8"/>
  <c r="D669" i="8"/>
  <c r="E669" i="8"/>
  <c r="F669" i="8"/>
  <c r="K669" i="8"/>
  <c r="L669" i="8"/>
  <c r="M669" i="8"/>
  <c r="D670" i="8"/>
  <c r="E670" i="8"/>
  <c r="F670" i="8"/>
  <c r="K670" i="8"/>
  <c r="L670" i="8"/>
  <c r="M670" i="8"/>
  <c r="D671" i="8"/>
  <c r="E671" i="8"/>
  <c r="F671" i="8"/>
  <c r="K671" i="8"/>
  <c r="L671" i="8"/>
  <c r="M671" i="8"/>
  <c r="D672" i="8"/>
  <c r="E672" i="8"/>
  <c r="F672" i="8"/>
  <c r="K672" i="8"/>
  <c r="L672" i="8"/>
  <c r="M672" i="8"/>
  <c r="D673" i="8"/>
  <c r="E673" i="8"/>
  <c r="F673" i="8"/>
  <c r="K673" i="8"/>
  <c r="L673" i="8"/>
  <c r="M673" i="8"/>
  <c r="D674" i="8"/>
  <c r="E674" i="8"/>
  <c r="F674" i="8"/>
  <c r="K674" i="8"/>
  <c r="L674" i="8"/>
  <c r="M674" i="8"/>
  <c r="D675" i="8"/>
  <c r="E675" i="8"/>
  <c r="F675" i="8"/>
  <c r="K675" i="8"/>
  <c r="L675" i="8"/>
  <c r="M675" i="8"/>
  <c r="D676" i="8"/>
  <c r="E676" i="8"/>
  <c r="F676" i="8"/>
  <c r="K676" i="8"/>
  <c r="L676" i="8"/>
  <c r="M676" i="8"/>
  <c r="D677" i="8"/>
  <c r="E677" i="8"/>
  <c r="F677" i="8"/>
  <c r="K677" i="8"/>
  <c r="L677" i="8"/>
  <c r="M677" i="8"/>
  <c r="D678" i="8"/>
  <c r="E678" i="8"/>
  <c r="F678" i="8"/>
  <c r="K678" i="8"/>
  <c r="L678" i="8"/>
  <c r="M678" i="8"/>
  <c r="D679" i="8"/>
  <c r="E679" i="8"/>
  <c r="F679" i="8"/>
  <c r="K679" i="8"/>
  <c r="L679" i="8"/>
  <c r="M679" i="8"/>
  <c r="D680" i="8"/>
  <c r="E680" i="8"/>
  <c r="F680" i="8"/>
  <c r="K680" i="8"/>
  <c r="L680" i="8"/>
  <c r="M680" i="8"/>
  <c r="D681" i="8"/>
  <c r="E681" i="8"/>
  <c r="F681" i="8"/>
  <c r="K681" i="8"/>
  <c r="L681" i="8"/>
  <c r="M681" i="8"/>
  <c r="D682" i="8"/>
  <c r="E682" i="8"/>
  <c r="F682" i="8"/>
  <c r="K682" i="8"/>
  <c r="L682" i="8"/>
  <c r="M682" i="8"/>
  <c r="D683" i="8"/>
  <c r="E683" i="8"/>
  <c r="F683" i="8"/>
  <c r="K683" i="8"/>
  <c r="L683" i="8"/>
  <c r="M683" i="8"/>
  <c r="D684" i="8"/>
  <c r="E684" i="8"/>
  <c r="F684" i="8"/>
  <c r="K684" i="8"/>
  <c r="L684" i="8"/>
  <c r="M684" i="8"/>
  <c r="D685" i="8"/>
  <c r="E685" i="8"/>
  <c r="F685" i="8"/>
  <c r="K685" i="8"/>
  <c r="L685" i="8"/>
  <c r="M685" i="8"/>
  <c r="D686" i="8"/>
  <c r="E686" i="8"/>
  <c r="F686" i="8"/>
  <c r="K686" i="8"/>
  <c r="L686" i="8"/>
  <c r="M686" i="8"/>
  <c r="D687" i="8"/>
  <c r="E687" i="8"/>
  <c r="F687" i="8"/>
  <c r="K687" i="8"/>
  <c r="L687" i="8"/>
  <c r="M687" i="8"/>
  <c r="D688" i="8"/>
  <c r="E688" i="8"/>
  <c r="F688" i="8"/>
  <c r="K688" i="8"/>
  <c r="L688" i="8"/>
  <c r="M688" i="8"/>
  <c r="D689" i="8"/>
  <c r="E689" i="8"/>
  <c r="F689" i="8"/>
  <c r="K689" i="8"/>
  <c r="L689" i="8"/>
  <c r="M689" i="8"/>
  <c r="D690" i="8"/>
  <c r="E690" i="8"/>
  <c r="F690" i="8"/>
  <c r="K690" i="8"/>
  <c r="L690" i="8"/>
  <c r="M690" i="8"/>
  <c r="D691" i="8"/>
  <c r="E691" i="8"/>
  <c r="F691" i="8"/>
  <c r="K691" i="8"/>
  <c r="L691" i="8"/>
  <c r="M691" i="8"/>
  <c r="D692" i="8"/>
  <c r="E692" i="8"/>
  <c r="F692" i="8"/>
  <c r="K692" i="8"/>
  <c r="L692" i="8"/>
  <c r="M692" i="8"/>
  <c r="D693" i="8"/>
  <c r="E693" i="8"/>
  <c r="F693" i="8"/>
  <c r="K693" i="8"/>
  <c r="L693" i="8"/>
  <c r="M693" i="8"/>
  <c r="D694" i="8"/>
  <c r="E694" i="8"/>
  <c r="F694" i="8"/>
  <c r="K694" i="8"/>
  <c r="L694" i="8"/>
  <c r="M694" i="8"/>
  <c r="D695" i="8"/>
  <c r="E695" i="8"/>
  <c r="F695" i="8"/>
  <c r="K695" i="8"/>
  <c r="L695" i="8"/>
  <c r="M695" i="8"/>
  <c r="D696" i="8"/>
  <c r="E696" i="8"/>
  <c r="F696" i="8"/>
  <c r="K696" i="8"/>
  <c r="L696" i="8"/>
  <c r="M696" i="8"/>
  <c r="D697" i="8"/>
  <c r="E697" i="8"/>
  <c r="F697" i="8"/>
  <c r="K697" i="8"/>
  <c r="L697" i="8"/>
  <c r="M697" i="8"/>
  <c r="D698" i="8"/>
  <c r="E698" i="8"/>
  <c r="F698" i="8"/>
  <c r="K698" i="8"/>
  <c r="L698" i="8"/>
  <c r="M698" i="8"/>
  <c r="D699" i="8"/>
  <c r="E699" i="8"/>
  <c r="F699" i="8"/>
  <c r="K699" i="8"/>
  <c r="L699" i="8"/>
  <c r="M699" i="8"/>
  <c r="D700" i="8"/>
  <c r="E700" i="8"/>
  <c r="F700" i="8"/>
  <c r="K700" i="8"/>
  <c r="L700" i="8"/>
  <c r="M700" i="8"/>
  <c r="D701" i="8"/>
  <c r="E701" i="8"/>
  <c r="F701" i="8"/>
  <c r="K701" i="8"/>
  <c r="L701" i="8"/>
  <c r="M701" i="8"/>
  <c r="D702" i="8"/>
  <c r="E702" i="8"/>
  <c r="F702" i="8"/>
  <c r="K702" i="8"/>
  <c r="L702" i="8"/>
  <c r="M702" i="8"/>
  <c r="D703" i="8"/>
  <c r="E703" i="8"/>
  <c r="F703" i="8"/>
  <c r="K703" i="8"/>
  <c r="L703" i="8"/>
  <c r="M703" i="8"/>
  <c r="D704" i="8"/>
  <c r="E704" i="8"/>
  <c r="F704" i="8"/>
  <c r="K704" i="8"/>
  <c r="L704" i="8"/>
  <c r="M704" i="8"/>
  <c r="D705" i="8"/>
  <c r="E705" i="8"/>
  <c r="F705" i="8"/>
  <c r="K705" i="8"/>
  <c r="L705" i="8"/>
  <c r="M705" i="8"/>
  <c r="D706" i="8"/>
  <c r="E706" i="8"/>
  <c r="F706" i="8"/>
  <c r="K706" i="8"/>
  <c r="L706" i="8"/>
  <c r="M706" i="8"/>
  <c r="D707" i="8"/>
  <c r="E707" i="8"/>
  <c r="F707" i="8"/>
  <c r="K707" i="8"/>
  <c r="L707" i="8"/>
  <c r="M707" i="8"/>
  <c r="D708" i="8"/>
  <c r="E708" i="8"/>
  <c r="F708" i="8"/>
  <c r="K708" i="8"/>
  <c r="L708" i="8"/>
  <c r="M708" i="8"/>
  <c r="D709" i="8"/>
  <c r="E709" i="8"/>
  <c r="F709" i="8"/>
  <c r="K709" i="8"/>
  <c r="L709" i="8"/>
  <c r="M709" i="8"/>
  <c r="D710" i="8"/>
  <c r="E710" i="8"/>
  <c r="F710" i="8"/>
  <c r="K710" i="8"/>
  <c r="L710" i="8"/>
  <c r="M710" i="8"/>
  <c r="D711" i="8"/>
  <c r="E711" i="8"/>
  <c r="F711" i="8"/>
  <c r="K711" i="8"/>
  <c r="L711" i="8"/>
  <c r="M711" i="8"/>
  <c r="D712" i="8"/>
  <c r="E712" i="8"/>
  <c r="F712" i="8"/>
  <c r="K712" i="8"/>
  <c r="L712" i="8"/>
  <c r="M712" i="8"/>
  <c r="D713" i="8"/>
  <c r="E713" i="8"/>
  <c r="F713" i="8"/>
  <c r="K713" i="8"/>
  <c r="L713" i="8"/>
  <c r="M713" i="8"/>
  <c r="D714" i="8"/>
  <c r="E714" i="8"/>
  <c r="F714" i="8"/>
  <c r="K714" i="8"/>
  <c r="L714" i="8"/>
  <c r="M714" i="8"/>
  <c r="D715" i="8"/>
  <c r="E715" i="8"/>
  <c r="F715" i="8"/>
  <c r="K715" i="8"/>
  <c r="L715" i="8"/>
  <c r="M715" i="8"/>
  <c r="D716" i="8"/>
  <c r="E716" i="8"/>
  <c r="F716" i="8"/>
  <c r="K716" i="8"/>
  <c r="L716" i="8"/>
  <c r="M716" i="8"/>
  <c r="D717" i="8"/>
  <c r="E717" i="8"/>
  <c r="F717" i="8"/>
  <c r="K717" i="8"/>
  <c r="L717" i="8"/>
  <c r="M717" i="8"/>
  <c r="D718" i="8"/>
  <c r="E718" i="8"/>
  <c r="F718" i="8"/>
  <c r="K718" i="8"/>
  <c r="L718" i="8"/>
  <c r="M718" i="8"/>
  <c r="D719" i="8"/>
  <c r="E719" i="8"/>
  <c r="F719" i="8"/>
  <c r="K719" i="8"/>
  <c r="L719" i="8"/>
  <c r="M719" i="8"/>
  <c r="D720" i="8"/>
  <c r="E720" i="8"/>
  <c r="F720" i="8"/>
  <c r="K720" i="8"/>
  <c r="L720" i="8"/>
  <c r="M720" i="8"/>
  <c r="D721" i="8"/>
  <c r="E721" i="8"/>
  <c r="F721" i="8"/>
  <c r="K721" i="8"/>
  <c r="L721" i="8"/>
  <c r="M721" i="8"/>
  <c r="D722" i="8"/>
  <c r="E722" i="8"/>
  <c r="F722" i="8"/>
  <c r="K722" i="8"/>
  <c r="L722" i="8"/>
  <c r="M722" i="8"/>
  <c r="D723" i="8"/>
  <c r="E723" i="8"/>
  <c r="F723" i="8"/>
  <c r="K723" i="8"/>
  <c r="L723" i="8"/>
  <c r="M723" i="8"/>
  <c r="D724" i="8"/>
  <c r="E724" i="8"/>
  <c r="F724" i="8"/>
  <c r="K724" i="8"/>
  <c r="L724" i="8"/>
  <c r="M724" i="8"/>
  <c r="D725" i="8"/>
  <c r="E725" i="8"/>
  <c r="F725" i="8"/>
  <c r="K725" i="8"/>
  <c r="L725" i="8"/>
  <c r="M725" i="8"/>
  <c r="D726" i="8"/>
  <c r="E726" i="8"/>
  <c r="F726" i="8"/>
  <c r="K726" i="8"/>
  <c r="L726" i="8"/>
  <c r="M726" i="8"/>
  <c r="D727" i="8"/>
  <c r="E727" i="8"/>
  <c r="F727" i="8"/>
  <c r="K727" i="8"/>
  <c r="L727" i="8"/>
  <c r="M727" i="8"/>
  <c r="D728" i="8"/>
  <c r="E728" i="8"/>
  <c r="F728" i="8"/>
  <c r="K728" i="8"/>
  <c r="L728" i="8"/>
  <c r="M728" i="8"/>
  <c r="D729" i="8"/>
  <c r="E729" i="8"/>
  <c r="F729" i="8"/>
  <c r="K729" i="8"/>
  <c r="L729" i="8"/>
  <c r="M729" i="8"/>
  <c r="D730" i="8"/>
  <c r="E730" i="8"/>
  <c r="F730" i="8"/>
  <c r="K730" i="8"/>
  <c r="L730" i="8"/>
  <c r="M730" i="8"/>
  <c r="D731" i="8"/>
  <c r="E731" i="8"/>
  <c r="F731" i="8"/>
  <c r="K731" i="8"/>
  <c r="L731" i="8"/>
  <c r="M731" i="8"/>
  <c r="D732" i="8"/>
  <c r="E732" i="8"/>
  <c r="F732" i="8"/>
  <c r="K732" i="8"/>
  <c r="L732" i="8"/>
  <c r="M732" i="8"/>
  <c r="D733" i="8"/>
  <c r="E733" i="8"/>
  <c r="F733" i="8"/>
  <c r="K733" i="8"/>
  <c r="L733" i="8"/>
  <c r="M733" i="8"/>
  <c r="D734" i="8"/>
  <c r="E734" i="8"/>
  <c r="F734" i="8"/>
  <c r="K734" i="8"/>
  <c r="L734" i="8"/>
  <c r="M734" i="8"/>
  <c r="D735" i="8"/>
  <c r="E735" i="8"/>
  <c r="F735" i="8"/>
  <c r="K735" i="8"/>
  <c r="L735" i="8"/>
  <c r="M735" i="8"/>
  <c r="D736" i="8"/>
  <c r="E736" i="8"/>
  <c r="F736" i="8"/>
  <c r="K736" i="8"/>
  <c r="L736" i="8"/>
  <c r="M736" i="8"/>
  <c r="D737" i="8"/>
  <c r="E737" i="8"/>
  <c r="F737" i="8"/>
  <c r="K737" i="8"/>
  <c r="L737" i="8"/>
  <c r="M737" i="8"/>
  <c r="D738" i="8"/>
  <c r="E738" i="8"/>
  <c r="F738" i="8"/>
  <c r="K738" i="8"/>
  <c r="L738" i="8"/>
  <c r="M738" i="8"/>
  <c r="D739" i="8"/>
  <c r="E739" i="8"/>
  <c r="F739" i="8"/>
  <c r="K739" i="8"/>
  <c r="L739" i="8"/>
  <c r="M739" i="8"/>
  <c r="D740" i="8"/>
  <c r="E740" i="8"/>
  <c r="F740" i="8"/>
  <c r="K740" i="8"/>
  <c r="L740" i="8"/>
  <c r="M740" i="8"/>
  <c r="D741" i="8"/>
  <c r="E741" i="8"/>
  <c r="F741" i="8"/>
  <c r="K741" i="8"/>
  <c r="L741" i="8"/>
  <c r="M741" i="8"/>
  <c r="D742" i="8"/>
  <c r="E742" i="8"/>
  <c r="F742" i="8"/>
  <c r="K742" i="8"/>
  <c r="L742" i="8"/>
  <c r="M742" i="8"/>
  <c r="D743" i="8"/>
  <c r="E743" i="8"/>
  <c r="F743" i="8"/>
  <c r="K743" i="8"/>
  <c r="L743" i="8"/>
  <c r="M743" i="8"/>
  <c r="D744" i="8"/>
  <c r="E744" i="8"/>
  <c r="F744" i="8"/>
  <c r="K744" i="8"/>
  <c r="L744" i="8"/>
  <c r="M744" i="8"/>
  <c r="D745" i="8"/>
  <c r="E745" i="8"/>
  <c r="F745" i="8"/>
  <c r="K745" i="8"/>
  <c r="L745" i="8"/>
  <c r="M745" i="8"/>
  <c r="D746" i="8"/>
  <c r="E746" i="8"/>
  <c r="F746" i="8"/>
  <c r="K746" i="8"/>
  <c r="L746" i="8"/>
  <c r="M746" i="8"/>
  <c r="D747" i="8"/>
  <c r="E747" i="8"/>
  <c r="F747" i="8"/>
  <c r="K747" i="8"/>
  <c r="L747" i="8"/>
  <c r="M747" i="8"/>
  <c r="D748" i="8"/>
  <c r="E748" i="8"/>
  <c r="F748" i="8"/>
  <c r="K748" i="8"/>
  <c r="L748" i="8"/>
  <c r="M748" i="8"/>
  <c r="D749" i="8"/>
  <c r="E749" i="8"/>
  <c r="F749" i="8"/>
  <c r="K749" i="8"/>
  <c r="L749" i="8"/>
  <c r="M749" i="8"/>
  <c r="D750" i="8"/>
  <c r="E750" i="8"/>
  <c r="F750" i="8"/>
  <c r="K750" i="8"/>
  <c r="L750" i="8"/>
  <c r="M750" i="8"/>
  <c r="D751" i="8"/>
  <c r="E751" i="8"/>
  <c r="F751" i="8"/>
  <c r="K751" i="8"/>
  <c r="L751" i="8"/>
  <c r="M751" i="8"/>
  <c r="D752" i="8"/>
  <c r="E752" i="8"/>
  <c r="F752" i="8"/>
  <c r="K752" i="8"/>
  <c r="L752" i="8"/>
  <c r="M752" i="8"/>
  <c r="D753" i="8"/>
  <c r="E753" i="8"/>
  <c r="F753" i="8"/>
  <c r="K753" i="8"/>
  <c r="L753" i="8"/>
  <c r="M753" i="8"/>
  <c r="D754" i="8"/>
  <c r="E754" i="8"/>
  <c r="F754" i="8"/>
  <c r="K754" i="8"/>
  <c r="L754" i="8"/>
  <c r="M754" i="8"/>
  <c r="D755" i="8"/>
  <c r="E755" i="8"/>
  <c r="F755" i="8"/>
  <c r="K755" i="8"/>
  <c r="L755" i="8"/>
  <c r="M755" i="8"/>
  <c r="D756" i="8"/>
  <c r="E756" i="8"/>
  <c r="F756" i="8"/>
  <c r="K756" i="8"/>
  <c r="L756" i="8"/>
  <c r="M756" i="8"/>
  <c r="D757" i="8"/>
  <c r="E757" i="8"/>
  <c r="F757" i="8"/>
  <c r="K757" i="8"/>
  <c r="L757" i="8"/>
  <c r="M757" i="8"/>
  <c r="D758" i="8"/>
  <c r="E758" i="8"/>
  <c r="F758" i="8"/>
  <c r="K758" i="8"/>
  <c r="L758" i="8"/>
  <c r="M758" i="8"/>
  <c r="D759" i="8"/>
  <c r="E759" i="8"/>
  <c r="F759" i="8"/>
  <c r="K759" i="8"/>
  <c r="L759" i="8"/>
  <c r="M759" i="8"/>
  <c r="D760" i="8"/>
  <c r="E760" i="8"/>
  <c r="F760" i="8"/>
  <c r="K760" i="8"/>
  <c r="L760" i="8"/>
  <c r="M760" i="8"/>
  <c r="D761" i="8"/>
  <c r="E761" i="8"/>
  <c r="F761" i="8"/>
  <c r="K761" i="8"/>
  <c r="L761" i="8"/>
  <c r="M761" i="8"/>
  <c r="D762" i="8"/>
  <c r="E762" i="8"/>
  <c r="F762" i="8"/>
  <c r="K762" i="8"/>
  <c r="L762" i="8"/>
  <c r="M762" i="8"/>
  <c r="D763" i="8"/>
  <c r="E763" i="8"/>
  <c r="F763" i="8"/>
  <c r="K763" i="8"/>
  <c r="L763" i="8"/>
  <c r="M763" i="8"/>
  <c r="D764" i="8"/>
  <c r="E764" i="8"/>
  <c r="F764" i="8"/>
  <c r="K764" i="8"/>
  <c r="L764" i="8"/>
  <c r="M764" i="8"/>
  <c r="D765" i="8"/>
  <c r="E765" i="8"/>
  <c r="F765" i="8"/>
  <c r="K765" i="8"/>
  <c r="L765" i="8"/>
  <c r="M765" i="8"/>
  <c r="D766" i="8"/>
  <c r="E766" i="8"/>
  <c r="F766" i="8"/>
  <c r="K766" i="8"/>
  <c r="L766" i="8"/>
  <c r="M766" i="8"/>
  <c r="D767" i="8"/>
  <c r="E767" i="8"/>
  <c r="F767" i="8"/>
  <c r="K767" i="8"/>
  <c r="L767" i="8"/>
  <c r="M767" i="8"/>
  <c r="D768" i="8"/>
  <c r="E768" i="8"/>
  <c r="F768" i="8"/>
  <c r="K768" i="8"/>
  <c r="L768" i="8"/>
  <c r="M768" i="8"/>
  <c r="D769" i="8"/>
  <c r="E769" i="8"/>
  <c r="F769" i="8"/>
  <c r="K769" i="8"/>
  <c r="L769" i="8"/>
  <c r="M769" i="8"/>
  <c r="D770" i="8"/>
  <c r="E770" i="8"/>
  <c r="F770" i="8"/>
  <c r="K770" i="8"/>
  <c r="L770" i="8"/>
  <c r="M770" i="8"/>
  <c r="D771" i="8"/>
  <c r="E771" i="8"/>
  <c r="F771" i="8"/>
  <c r="K771" i="8"/>
  <c r="L771" i="8"/>
  <c r="M771" i="8"/>
  <c r="D772" i="8"/>
  <c r="E772" i="8"/>
  <c r="F772" i="8"/>
  <c r="K772" i="8"/>
  <c r="L772" i="8"/>
  <c r="M772" i="8"/>
  <c r="D773" i="8"/>
  <c r="E773" i="8"/>
  <c r="F773" i="8"/>
  <c r="K773" i="8"/>
  <c r="L773" i="8"/>
  <c r="M773" i="8"/>
  <c r="D774" i="8"/>
  <c r="E774" i="8"/>
  <c r="F774" i="8"/>
  <c r="K774" i="8"/>
  <c r="L774" i="8"/>
  <c r="M774" i="8"/>
  <c r="D775" i="8"/>
  <c r="E775" i="8"/>
  <c r="F775" i="8"/>
  <c r="K775" i="8"/>
  <c r="L775" i="8"/>
  <c r="M775" i="8"/>
  <c r="D776" i="8"/>
  <c r="E776" i="8"/>
  <c r="F776" i="8"/>
  <c r="K776" i="8"/>
  <c r="L776" i="8"/>
  <c r="M776" i="8"/>
  <c r="D777" i="8"/>
  <c r="E777" i="8"/>
  <c r="F777" i="8"/>
  <c r="K777" i="8"/>
  <c r="L777" i="8"/>
  <c r="M777" i="8"/>
  <c r="D778" i="8"/>
  <c r="E778" i="8"/>
  <c r="F778" i="8"/>
  <c r="K778" i="8"/>
  <c r="L778" i="8"/>
  <c r="M778" i="8"/>
  <c r="D779" i="8"/>
  <c r="E779" i="8"/>
  <c r="F779" i="8"/>
  <c r="K779" i="8"/>
  <c r="L779" i="8"/>
  <c r="M779" i="8"/>
  <c r="D780" i="8"/>
  <c r="E780" i="8"/>
  <c r="F780" i="8"/>
  <c r="K780" i="8"/>
  <c r="L780" i="8"/>
  <c r="M780" i="8"/>
  <c r="D781" i="8"/>
  <c r="E781" i="8"/>
  <c r="F781" i="8"/>
  <c r="K781" i="8"/>
  <c r="L781" i="8"/>
  <c r="M781" i="8"/>
  <c r="D782" i="8"/>
  <c r="E782" i="8"/>
  <c r="F782" i="8"/>
  <c r="K782" i="8"/>
  <c r="L782" i="8"/>
  <c r="M782" i="8"/>
  <c r="D783" i="8"/>
  <c r="E783" i="8"/>
  <c r="F783" i="8"/>
  <c r="K783" i="8"/>
  <c r="L783" i="8"/>
  <c r="M783" i="8"/>
  <c r="D784" i="8"/>
  <c r="E784" i="8"/>
  <c r="F784" i="8"/>
  <c r="K784" i="8"/>
  <c r="L784" i="8"/>
  <c r="M784" i="8"/>
  <c r="D785" i="8"/>
  <c r="E785" i="8"/>
  <c r="F785" i="8"/>
  <c r="K785" i="8"/>
  <c r="L785" i="8"/>
  <c r="M785" i="8"/>
  <c r="D786" i="8"/>
  <c r="E786" i="8"/>
  <c r="F786" i="8"/>
  <c r="K786" i="8"/>
  <c r="L786" i="8"/>
  <c r="M786" i="8"/>
  <c r="D787" i="8"/>
  <c r="E787" i="8"/>
  <c r="F787" i="8"/>
  <c r="K787" i="8"/>
  <c r="L787" i="8"/>
  <c r="M787" i="8"/>
  <c r="D788" i="8"/>
  <c r="E788" i="8"/>
  <c r="F788" i="8"/>
  <c r="K788" i="8"/>
  <c r="L788" i="8"/>
  <c r="M788" i="8"/>
  <c r="D789" i="8"/>
  <c r="E789" i="8"/>
  <c r="F789" i="8"/>
  <c r="K789" i="8"/>
  <c r="L789" i="8"/>
  <c r="M789" i="8"/>
  <c r="D790" i="8"/>
  <c r="E790" i="8"/>
  <c r="F790" i="8"/>
  <c r="K790" i="8"/>
  <c r="L790" i="8"/>
  <c r="M790" i="8"/>
  <c r="D791" i="8"/>
  <c r="E791" i="8"/>
  <c r="F791" i="8"/>
  <c r="K791" i="8"/>
  <c r="L791" i="8"/>
  <c r="M791" i="8"/>
  <c r="D792" i="8"/>
  <c r="E792" i="8"/>
  <c r="F792" i="8"/>
  <c r="K792" i="8"/>
  <c r="L792" i="8"/>
  <c r="M792" i="8"/>
  <c r="D793" i="8"/>
  <c r="E793" i="8"/>
  <c r="F793" i="8"/>
  <c r="K793" i="8"/>
  <c r="L793" i="8"/>
  <c r="M793" i="8"/>
  <c r="D794" i="8"/>
  <c r="E794" i="8"/>
  <c r="F794" i="8"/>
  <c r="K794" i="8"/>
  <c r="L794" i="8"/>
  <c r="M794" i="8"/>
  <c r="D795" i="8"/>
  <c r="E795" i="8"/>
  <c r="F795" i="8"/>
  <c r="K795" i="8"/>
  <c r="L795" i="8"/>
  <c r="M795" i="8"/>
  <c r="D796" i="8"/>
  <c r="E796" i="8"/>
  <c r="F796" i="8"/>
  <c r="K796" i="8"/>
  <c r="L796" i="8"/>
  <c r="M796" i="8"/>
  <c r="D797" i="8"/>
  <c r="E797" i="8"/>
  <c r="F797" i="8"/>
  <c r="K797" i="8"/>
  <c r="L797" i="8"/>
  <c r="M797" i="8"/>
  <c r="D798" i="8"/>
  <c r="E798" i="8"/>
  <c r="F798" i="8"/>
  <c r="K798" i="8"/>
  <c r="L798" i="8"/>
  <c r="M798" i="8"/>
  <c r="D799" i="8"/>
  <c r="E799" i="8"/>
  <c r="F799" i="8"/>
  <c r="K799" i="8"/>
  <c r="L799" i="8"/>
  <c r="M799" i="8"/>
  <c r="D800" i="8"/>
  <c r="E800" i="8"/>
  <c r="F800" i="8"/>
  <c r="K800" i="8"/>
  <c r="L800" i="8"/>
  <c r="M800" i="8"/>
  <c r="D801" i="8"/>
  <c r="E801" i="8"/>
  <c r="F801" i="8"/>
  <c r="K801" i="8"/>
  <c r="L801" i="8"/>
  <c r="M801" i="8"/>
  <c r="D802" i="8"/>
  <c r="E802" i="8"/>
  <c r="F802" i="8"/>
  <c r="K802" i="8"/>
  <c r="L802" i="8"/>
  <c r="M802" i="8"/>
  <c r="D803" i="8"/>
  <c r="E803" i="8"/>
  <c r="F803" i="8"/>
  <c r="K803" i="8"/>
  <c r="L803" i="8"/>
  <c r="M803" i="8"/>
  <c r="D804" i="8"/>
  <c r="E804" i="8"/>
  <c r="F804" i="8"/>
  <c r="K804" i="8"/>
  <c r="L804" i="8"/>
  <c r="M804" i="8"/>
  <c r="D805" i="8"/>
  <c r="E805" i="8"/>
  <c r="F805" i="8"/>
  <c r="K805" i="8"/>
  <c r="L805" i="8"/>
  <c r="M805" i="8"/>
  <c r="D806" i="8"/>
  <c r="E806" i="8"/>
  <c r="F806" i="8"/>
  <c r="K806" i="8"/>
  <c r="L806" i="8"/>
  <c r="M806" i="8"/>
  <c r="D807" i="8"/>
  <c r="E807" i="8"/>
  <c r="F807" i="8"/>
  <c r="K807" i="8"/>
  <c r="L807" i="8"/>
  <c r="M807" i="8"/>
  <c r="D808" i="8"/>
  <c r="E808" i="8"/>
  <c r="F808" i="8"/>
  <c r="K808" i="8"/>
  <c r="L808" i="8"/>
  <c r="M808" i="8"/>
  <c r="D809" i="8"/>
  <c r="E809" i="8"/>
  <c r="F809" i="8"/>
  <c r="K809" i="8"/>
  <c r="L809" i="8"/>
  <c r="M809" i="8"/>
  <c r="D810" i="8"/>
  <c r="E810" i="8"/>
  <c r="F810" i="8"/>
  <c r="K810" i="8"/>
  <c r="L810" i="8"/>
  <c r="M810" i="8"/>
  <c r="D811" i="8"/>
  <c r="E811" i="8"/>
  <c r="F811" i="8"/>
  <c r="K811" i="8"/>
  <c r="L811" i="8"/>
  <c r="M811" i="8"/>
  <c r="D812" i="8"/>
  <c r="E812" i="8"/>
  <c r="F812" i="8"/>
  <c r="K812" i="8"/>
  <c r="L812" i="8"/>
  <c r="M812" i="8"/>
  <c r="D813" i="8"/>
  <c r="E813" i="8"/>
  <c r="F813" i="8"/>
  <c r="K813" i="8"/>
  <c r="L813" i="8"/>
  <c r="M813" i="8"/>
  <c r="D814" i="8"/>
  <c r="E814" i="8"/>
  <c r="F814" i="8"/>
  <c r="K814" i="8"/>
  <c r="L814" i="8"/>
  <c r="M814" i="8"/>
  <c r="D815" i="8"/>
  <c r="E815" i="8"/>
  <c r="F815" i="8"/>
  <c r="K815" i="8"/>
  <c r="L815" i="8"/>
  <c r="M815" i="8"/>
  <c r="D816" i="8"/>
  <c r="E816" i="8"/>
  <c r="F816" i="8"/>
  <c r="K816" i="8"/>
  <c r="L816" i="8"/>
  <c r="M816" i="8"/>
  <c r="D817" i="8"/>
  <c r="E817" i="8"/>
  <c r="F817" i="8"/>
  <c r="K817" i="8"/>
  <c r="L817" i="8"/>
  <c r="M817" i="8"/>
  <c r="D818" i="8"/>
  <c r="E818" i="8"/>
  <c r="F818" i="8"/>
  <c r="K818" i="8"/>
  <c r="L818" i="8"/>
  <c r="M818" i="8"/>
  <c r="D819" i="8"/>
  <c r="E819" i="8"/>
  <c r="F819" i="8"/>
  <c r="K819" i="8"/>
  <c r="L819" i="8"/>
  <c r="M819" i="8"/>
  <c r="D820" i="8"/>
  <c r="E820" i="8"/>
  <c r="F820" i="8"/>
  <c r="K820" i="8"/>
  <c r="L820" i="8"/>
  <c r="M820" i="8"/>
  <c r="D821" i="8"/>
  <c r="E821" i="8"/>
  <c r="F821" i="8"/>
  <c r="K821" i="8"/>
  <c r="L821" i="8"/>
  <c r="M821" i="8"/>
  <c r="D822" i="8"/>
  <c r="E822" i="8"/>
  <c r="F822" i="8"/>
  <c r="K822" i="8"/>
  <c r="L822" i="8"/>
  <c r="M822" i="8"/>
  <c r="D823" i="8"/>
  <c r="E823" i="8"/>
  <c r="F823" i="8"/>
  <c r="K823" i="8"/>
  <c r="L823" i="8"/>
  <c r="M823" i="8"/>
  <c r="D824" i="8"/>
  <c r="E824" i="8"/>
  <c r="F824" i="8"/>
  <c r="K824" i="8"/>
  <c r="L824" i="8"/>
  <c r="M824" i="8"/>
  <c r="D825" i="8"/>
  <c r="E825" i="8"/>
  <c r="F825" i="8"/>
  <c r="K825" i="8"/>
  <c r="L825" i="8"/>
  <c r="M825" i="8"/>
  <c r="D826" i="8"/>
  <c r="E826" i="8"/>
  <c r="F826" i="8"/>
  <c r="K826" i="8"/>
  <c r="L826" i="8"/>
  <c r="M826" i="8"/>
  <c r="D827" i="8"/>
  <c r="E827" i="8"/>
  <c r="F827" i="8"/>
  <c r="K827" i="8"/>
  <c r="L827" i="8"/>
  <c r="M827" i="8"/>
  <c r="D828" i="8"/>
  <c r="E828" i="8"/>
  <c r="F828" i="8"/>
  <c r="K828" i="8"/>
  <c r="L828" i="8"/>
  <c r="M828" i="8"/>
  <c r="D829" i="8"/>
  <c r="E829" i="8"/>
  <c r="F829" i="8"/>
  <c r="K829" i="8"/>
  <c r="L829" i="8"/>
  <c r="M829" i="8"/>
  <c r="D830" i="8"/>
  <c r="E830" i="8"/>
  <c r="F830" i="8"/>
  <c r="K830" i="8"/>
  <c r="L830" i="8"/>
  <c r="M830" i="8"/>
  <c r="D831" i="8"/>
  <c r="E831" i="8"/>
  <c r="F831" i="8"/>
  <c r="K831" i="8"/>
  <c r="L831" i="8"/>
  <c r="M831" i="8"/>
  <c r="D832" i="8"/>
  <c r="E832" i="8"/>
  <c r="F832" i="8"/>
  <c r="K832" i="8"/>
  <c r="L832" i="8"/>
  <c r="M832" i="8"/>
  <c r="D833" i="8"/>
  <c r="E833" i="8"/>
  <c r="F833" i="8"/>
  <c r="K833" i="8"/>
  <c r="L833" i="8"/>
  <c r="M833" i="8"/>
  <c r="D834" i="8"/>
  <c r="E834" i="8"/>
  <c r="F834" i="8"/>
  <c r="K834" i="8"/>
  <c r="L834" i="8"/>
  <c r="M834" i="8"/>
  <c r="D835" i="8"/>
  <c r="E835" i="8"/>
  <c r="F835" i="8"/>
  <c r="K835" i="8"/>
  <c r="L835" i="8"/>
  <c r="M835" i="8"/>
  <c r="D836" i="8"/>
  <c r="E836" i="8"/>
  <c r="F836" i="8"/>
  <c r="K836" i="8"/>
  <c r="L836" i="8"/>
  <c r="M836" i="8"/>
  <c r="D837" i="8"/>
  <c r="E837" i="8"/>
  <c r="F837" i="8"/>
  <c r="K837" i="8"/>
  <c r="L837" i="8"/>
  <c r="M837" i="8"/>
  <c r="D838" i="8"/>
  <c r="E838" i="8"/>
  <c r="F838" i="8"/>
  <c r="K838" i="8"/>
  <c r="L838" i="8"/>
  <c r="M838" i="8"/>
  <c r="D839" i="8"/>
  <c r="E839" i="8"/>
  <c r="F839" i="8"/>
  <c r="K839" i="8"/>
  <c r="L839" i="8"/>
  <c r="M839" i="8"/>
  <c r="D840" i="8"/>
  <c r="E840" i="8"/>
  <c r="F840" i="8"/>
  <c r="K840" i="8"/>
  <c r="L840" i="8"/>
  <c r="M840" i="8"/>
  <c r="D841" i="8"/>
  <c r="E841" i="8"/>
  <c r="F841" i="8"/>
  <c r="K841" i="8"/>
  <c r="L841" i="8"/>
  <c r="M841" i="8"/>
  <c r="D842" i="8"/>
  <c r="E842" i="8"/>
  <c r="F842" i="8"/>
  <c r="K842" i="8"/>
  <c r="L842" i="8"/>
  <c r="M842" i="8"/>
  <c r="D843" i="8"/>
  <c r="E843" i="8"/>
  <c r="F843" i="8"/>
  <c r="K843" i="8"/>
  <c r="L843" i="8"/>
  <c r="M843" i="8"/>
  <c r="D844" i="8"/>
  <c r="E844" i="8"/>
  <c r="F844" i="8"/>
  <c r="K844" i="8"/>
  <c r="L844" i="8"/>
  <c r="M844" i="8"/>
  <c r="D845" i="8"/>
  <c r="E845" i="8"/>
  <c r="F845" i="8"/>
  <c r="K845" i="8"/>
  <c r="L845" i="8"/>
  <c r="M845" i="8"/>
  <c r="D846" i="8"/>
  <c r="E846" i="8"/>
  <c r="F846" i="8"/>
  <c r="K846" i="8"/>
  <c r="L846" i="8"/>
  <c r="M846" i="8"/>
  <c r="D847" i="8"/>
  <c r="E847" i="8"/>
  <c r="F847" i="8"/>
  <c r="K847" i="8"/>
  <c r="L847" i="8"/>
  <c r="M847" i="8"/>
  <c r="D848" i="8"/>
  <c r="E848" i="8"/>
  <c r="F848" i="8"/>
  <c r="K848" i="8"/>
  <c r="L848" i="8"/>
  <c r="M848" i="8"/>
  <c r="D849" i="8"/>
  <c r="E849" i="8"/>
  <c r="F849" i="8"/>
  <c r="K849" i="8"/>
  <c r="L849" i="8"/>
  <c r="M849" i="8"/>
  <c r="D850" i="8"/>
  <c r="E850" i="8"/>
  <c r="F850" i="8"/>
  <c r="K850" i="8"/>
  <c r="L850" i="8"/>
  <c r="M850" i="8"/>
  <c r="D851" i="8"/>
  <c r="E851" i="8"/>
  <c r="F851" i="8"/>
  <c r="K851" i="8"/>
  <c r="L851" i="8"/>
  <c r="M851" i="8"/>
  <c r="D852" i="8"/>
  <c r="E852" i="8"/>
  <c r="F852" i="8"/>
  <c r="K852" i="8"/>
  <c r="L852" i="8"/>
  <c r="M852" i="8"/>
  <c r="D853" i="8"/>
  <c r="E853" i="8"/>
  <c r="F853" i="8"/>
  <c r="K853" i="8"/>
  <c r="L853" i="8"/>
  <c r="M853" i="8"/>
  <c r="D854" i="8"/>
  <c r="E854" i="8"/>
  <c r="F854" i="8"/>
  <c r="K854" i="8"/>
  <c r="L854" i="8"/>
  <c r="M854" i="8"/>
  <c r="D855" i="8"/>
  <c r="E855" i="8"/>
  <c r="F855" i="8"/>
  <c r="K855" i="8"/>
  <c r="L855" i="8"/>
  <c r="M855" i="8"/>
  <c r="D856" i="8"/>
  <c r="E856" i="8"/>
  <c r="F856" i="8"/>
  <c r="K856" i="8"/>
  <c r="L856" i="8"/>
  <c r="M856" i="8"/>
  <c r="D857" i="8"/>
  <c r="E857" i="8"/>
  <c r="F857" i="8"/>
  <c r="K857" i="8"/>
  <c r="L857" i="8"/>
  <c r="M857" i="8"/>
  <c r="D858" i="8"/>
  <c r="E858" i="8"/>
  <c r="F858" i="8"/>
  <c r="K858" i="8"/>
  <c r="L858" i="8"/>
  <c r="M858" i="8"/>
  <c r="D859" i="8"/>
  <c r="E859" i="8"/>
  <c r="F859" i="8"/>
  <c r="K859" i="8"/>
  <c r="L859" i="8"/>
  <c r="M859" i="8"/>
  <c r="D860" i="8"/>
  <c r="E860" i="8"/>
  <c r="F860" i="8"/>
  <c r="K860" i="8"/>
  <c r="L860" i="8"/>
  <c r="M860" i="8"/>
  <c r="D861" i="8"/>
  <c r="E861" i="8"/>
  <c r="F861" i="8"/>
  <c r="K861" i="8"/>
  <c r="L861" i="8"/>
  <c r="M861" i="8"/>
  <c r="D862" i="8"/>
  <c r="E862" i="8"/>
  <c r="F862" i="8"/>
  <c r="K862" i="8"/>
  <c r="L862" i="8"/>
  <c r="M862" i="8"/>
  <c r="D863" i="8"/>
  <c r="E863" i="8"/>
  <c r="F863" i="8"/>
  <c r="K863" i="8"/>
  <c r="L863" i="8"/>
  <c r="M863" i="8"/>
  <c r="D864" i="8"/>
  <c r="E864" i="8"/>
  <c r="F864" i="8"/>
  <c r="K864" i="8"/>
  <c r="L864" i="8"/>
  <c r="M864" i="8"/>
  <c r="D865" i="8"/>
  <c r="E865" i="8"/>
  <c r="F865" i="8"/>
  <c r="K865" i="8"/>
  <c r="L865" i="8"/>
  <c r="M865" i="8"/>
  <c r="D866" i="8"/>
  <c r="E866" i="8"/>
  <c r="F866" i="8"/>
  <c r="K866" i="8"/>
  <c r="L866" i="8"/>
  <c r="M866" i="8"/>
  <c r="D867" i="8"/>
  <c r="E867" i="8"/>
  <c r="F867" i="8"/>
  <c r="K867" i="8"/>
  <c r="L867" i="8"/>
  <c r="M867" i="8"/>
  <c r="D868" i="8"/>
  <c r="E868" i="8"/>
  <c r="F868" i="8"/>
  <c r="K868" i="8"/>
  <c r="L868" i="8"/>
  <c r="M868" i="8"/>
  <c r="D869" i="8"/>
  <c r="E869" i="8"/>
  <c r="F869" i="8"/>
  <c r="K869" i="8"/>
  <c r="L869" i="8"/>
  <c r="M869" i="8"/>
  <c r="D870" i="8"/>
  <c r="E870" i="8"/>
  <c r="F870" i="8"/>
  <c r="K870" i="8"/>
  <c r="L870" i="8"/>
  <c r="M870" i="8"/>
  <c r="D871" i="8"/>
  <c r="E871" i="8"/>
  <c r="F871" i="8"/>
  <c r="K871" i="8"/>
  <c r="L871" i="8"/>
  <c r="M871" i="8"/>
  <c r="D872" i="8"/>
  <c r="E872" i="8"/>
  <c r="F872" i="8"/>
  <c r="K872" i="8"/>
  <c r="L872" i="8"/>
  <c r="M872" i="8"/>
  <c r="D873" i="8"/>
  <c r="E873" i="8"/>
  <c r="F873" i="8"/>
  <c r="K873" i="8"/>
  <c r="L873" i="8"/>
  <c r="M873" i="8"/>
  <c r="D874" i="8"/>
  <c r="E874" i="8"/>
  <c r="F874" i="8"/>
  <c r="K874" i="8"/>
  <c r="L874" i="8"/>
  <c r="M874" i="8"/>
  <c r="D875" i="8"/>
  <c r="E875" i="8"/>
  <c r="F875" i="8"/>
  <c r="K875" i="8"/>
  <c r="L875" i="8"/>
  <c r="M875" i="8"/>
  <c r="D876" i="8"/>
  <c r="E876" i="8"/>
  <c r="F876" i="8"/>
  <c r="K876" i="8"/>
  <c r="L876" i="8"/>
  <c r="M876" i="8"/>
  <c r="D877" i="8"/>
  <c r="E877" i="8"/>
  <c r="F877" i="8"/>
  <c r="K877" i="8"/>
  <c r="L877" i="8"/>
  <c r="M877" i="8"/>
  <c r="D878" i="8"/>
  <c r="E878" i="8"/>
  <c r="F878" i="8"/>
  <c r="K878" i="8"/>
  <c r="L878" i="8"/>
  <c r="M878" i="8"/>
  <c r="D879" i="8"/>
  <c r="E879" i="8"/>
  <c r="F879" i="8"/>
  <c r="K879" i="8"/>
  <c r="L879" i="8"/>
  <c r="M879" i="8"/>
  <c r="D880" i="8"/>
  <c r="E880" i="8"/>
  <c r="F880" i="8"/>
  <c r="K880" i="8"/>
  <c r="L880" i="8"/>
  <c r="M880" i="8"/>
  <c r="D881" i="8"/>
  <c r="E881" i="8"/>
  <c r="F881" i="8"/>
  <c r="K881" i="8"/>
  <c r="L881" i="8"/>
  <c r="M881" i="8"/>
  <c r="D882" i="8"/>
  <c r="E882" i="8"/>
  <c r="F882" i="8"/>
  <c r="K882" i="8"/>
  <c r="L882" i="8"/>
  <c r="M882" i="8"/>
  <c r="D883" i="8"/>
  <c r="E883" i="8"/>
  <c r="F883" i="8"/>
  <c r="K883" i="8"/>
  <c r="L883" i="8"/>
  <c r="M883" i="8"/>
  <c r="D884" i="8"/>
  <c r="E884" i="8"/>
  <c r="F884" i="8"/>
  <c r="K884" i="8"/>
  <c r="L884" i="8"/>
  <c r="M884" i="8"/>
  <c r="D885" i="8"/>
  <c r="E885" i="8"/>
  <c r="F885" i="8"/>
  <c r="K885" i="8"/>
  <c r="L885" i="8"/>
  <c r="M885" i="8"/>
  <c r="D886" i="8"/>
  <c r="E886" i="8"/>
  <c r="F886" i="8"/>
  <c r="K886" i="8"/>
  <c r="L886" i="8"/>
  <c r="M886" i="8"/>
  <c r="D887" i="8"/>
  <c r="E887" i="8"/>
  <c r="F887" i="8"/>
  <c r="K887" i="8"/>
  <c r="L887" i="8"/>
  <c r="M887" i="8"/>
  <c r="D888" i="8"/>
  <c r="E888" i="8"/>
  <c r="F888" i="8"/>
  <c r="K888" i="8"/>
  <c r="L888" i="8"/>
  <c r="M888" i="8"/>
  <c r="D889" i="8"/>
  <c r="E889" i="8"/>
  <c r="F889" i="8"/>
  <c r="K889" i="8"/>
  <c r="L889" i="8"/>
  <c r="M889" i="8"/>
  <c r="D890" i="8"/>
  <c r="E890" i="8"/>
  <c r="F890" i="8"/>
  <c r="K890" i="8"/>
  <c r="L890" i="8"/>
  <c r="M890" i="8"/>
  <c r="D891" i="8"/>
  <c r="E891" i="8"/>
  <c r="F891" i="8"/>
  <c r="K891" i="8"/>
  <c r="L891" i="8"/>
  <c r="M891" i="8"/>
  <c r="D892" i="8"/>
  <c r="E892" i="8"/>
  <c r="F892" i="8"/>
  <c r="K892" i="8"/>
  <c r="L892" i="8"/>
  <c r="M892" i="8"/>
  <c r="D893" i="8"/>
  <c r="E893" i="8"/>
  <c r="F893" i="8"/>
  <c r="K893" i="8"/>
  <c r="L893" i="8"/>
  <c r="M893" i="8"/>
  <c r="D894" i="8"/>
  <c r="E894" i="8"/>
  <c r="F894" i="8"/>
  <c r="K894" i="8"/>
  <c r="L894" i="8"/>
  <c r="M894" i="8"/>
  <c r="D895" i="8"/>
  <c r="E895" i="8"/>
  <c r="F895" i="8"/>
  <c r="K895" i="8"/>
  <c r="L895" i="8"/>
  <c r="M895" i="8"/>
  <c r="D896" i="8"/>
  <c r="E896" i="8"/>
  <c r="F896" i="8"/>
  <c r="K896" i="8"/>
  <c r="L896" i="8"/>
  <c r="M896" i="8"/>
  <c r="D897" i="8"/>
  <c r="E897" i="8"/>
  <c r="F897" i="8"/>
  <c r="K897" i="8"/>
  <c r="L897" i="8"/>
  <c r="M897" i="8"/>
  <c r="D898" i="8"/>
  <c r="E898" i="8"/>
  <c r="F898" i="8"/>
  <c r="K898" i="8"/>
  <c r="L898" i="8"/>
  <c r="M898" i="8"/>
  <c r="D899" i="8"/>
  <c r="E899" i="8"/>
  <c r="F899" i="8"/>
  <c r="K899" i="8"/>
  <c r="L899" i="8"/>
  <c r="M899" i="8"/>
  <c r="D900" i="8"/>
  <c r="E900" i="8"/>
  <c r="F900" i="8"/>
  <c r="K900" i="8"/>
  <c r="L900" i="8"/>
  <c r="M900" i="8"/>
  <c r="D901" i="8"/>
  <c r="E901" i="8"/>
  <c r="F901" i="8"/>
  <c r="K901" i="8"/>
  <c r="L901" i="8"/>
  <c r="M901" i="8"/>
  <c r="D902" i="8"/>
  <c r="E902" i="8"/>
  <c r="F902" i="8"/>
  <c r="K902" i="8"/>
  <c r="L902" i="8"/>
  <c r="M902" i="8"/>
  <c r="D903" i="8"/>
  <c r="E903" i="8"/>
  <c r="F903" i="8"/>
  <c r="K903" i="8"/>
  <c r="L903" i="8"/>
  <c r="M903" i="8"/>
  <c r="D904" i="8"/>
  <c r="E904" i="8"/>
  <c r="F904" i="8"/>
  <c r="K904" i="8"/>
  <c r="L904" i="8"/>
  <c r="M904" i="8"/>
  <c r="D905" i="8"/>
  <c r="E905" i="8"/>
  <c r="F905" i="8"/>
  <c r="K905" i="8"/>
  <c r="L905" i="8"/>
  <c r="M905" i="8"/>
  <c r="D906" i="8"/>
  <c r="E906" i="8"/>
  <c r="F906" i="8"/>
  <c r="K906" i="8"/>
  <c r="L906" i="8"/>
  <c r="M906" i="8"/>
  <c r="D907" i="8"/>
  <c r="E907" i="8"/>
  <c r="F907" i="8"/>
  <c r="K907" i="8"/>
  <c r="L907" i="8"/>
  <c r="M907" i="8"/>
  <c r="D908" i="8"/>
  <c r="E908" i="8"/>
  <c r="F908" i="8"/>
  <c r="K908" i="8"/>
  <c r="L908" i="8"/>
  <c r="M908" i="8"/>
  <c r="D909" i="8"/>
  <c r="E909" i="8"/>
  <c r="F909" i="8"/>
  <c r="K909" i="8"/>
  <c r="L909" i="8"/>
  <c r="M909" i="8"/>
  <c r="D910" i="8"/>
  <c r="E910" i="8"/>
  <c r="F910" i="8"/>
  <c r="K910" i="8"/>
  <c r="L910" i="8"/>
  <c r="M910" i="8"/>
  <c r="D911" i="8"/>
  <c r="E911" i="8"/>
  <c r="F911" i="8"/>
  <c r="K911" i="8"/>
  <c r="L911" i="8"/>
  <c r="M911" i="8"/>
  <c r="D912" i="8"/>
  <c r="E912" i="8"/>
  <c r="F912" i="8"/>
  <c r="K912" i="8"/>
  <c r="L912" i="8"/>
  <c r="M912" i="8"/>
  <c r="D913" i="8"/>
  <c r="E913" i="8"/>
  <c r="F913" i="8"/>
  <c r="K913" i="8"/>
  <c r="L913" i="8"/>
  <c r="M913" i="8"/>
  <c r="D914" i="8"/>
  <c r="E914" i="8"/>
  <c r="F914" i="8"/>
  <c r="K914" i="8"/>
  <c r="L914" i="8"/>
  <c r="M914" i="8"/>
  <c r="D915" i="8"/>
  <c r="E915" i="8"/>
  <c r="F915" i="8"/>
  <c r="K915" i="8"/>
  <c r="L915" i="8"/>
  <c r="M915" i="8"/>
  <c r="D916" i="8"/>
  <c r="E916" i="8"/>
  <c r="F916" i="8"/>
  <c r="K916" i="8"/>
  <c r="L916" i="8"/>
  <c r="M916" i="8"/>
  <c r="D917" i="8"/>
  <c r="E917" i="8"/>
  <c r="F917" i="8"/>
  <c r="K917" i="8"/>
  <c r="L917" i="8"/>
  <c r="M917" i="8"/>
  <c r="D918" i="8"/>
  <c r="E918" i="8"/>
  <c r="F918" i="8"/>
  <c r="K918" i="8"/>
  <c r="L918" i="8"/>
  <c r="M918" i="8"/>
  <c r="D919" i="8"/>
  <c r="E919" i="8"/>
  <c r="F919" i="8"/>
  <c r="K919" i="8"/>
  <c r="L919" i="8"/>
  <c r="M919" i="8"/>
  <c r="D920" i="8"/>
  <c r="E920" i="8"/>
  <c r="F920" i="8"/>
  <c r="K920" i="8"/>
  <c r="L920" i="8"/>
  <c r="M920" i="8"/>
  <c r="D921" i="8"/>
  <c r="E921" i="8"/>
  <c r="F921" i="8"/>
  <c r="K921" i="8"/>
  <c r="L921" i="8"/>
  <c r="M921" i="8"/>
  <c r="D922" i="8"/>
  <c r="E922" i="8"/>
  <c r="F922" i="8"/>
  <c r="K922" i="8"/>
  <c r="L922" i="8"/>
  <c r="M922" i="8"/>
  <c r="D923" i="8"/>
  <c r="E923" i="8"/>
  <c r="F923" i="8"/>
  <c r="K923" i="8"/>
  <c r="L923" i="8"/>
  <c r="M923" i="8"/>
  <c r="D924" i="8"/>
  <c r="E924" i="8"/>
  <c r="F924" i="8"/>
  <c r="K924" i="8"/>
  <c r="L924" i="8"/>
  <c r="M924" i="8"/>
  <c r="D925" i="8"/>
  <c r="E925" i="8"/>
  <c r="F925" i="8"/>
  <c r="K925" i="8"/>
  <c r="L925" i="8"/>
  <c r="M925" i="8"/>
  <c r="D926" i="8"/>
  <c r="E926" i="8"/>
  <c r="F926" i="8"/>
  <c r="K926" i="8"/>
  <c r="L926" i="8"/>
  <c r="M926" i="8"/>
  <c r="D927" i="8"/>
  <c r="E927" i="8"/>
  <c r="F927" i="8"/>
  <c r="K927" i="8"/>
  <c r="L927" i="8"/>
  <c r="M927" i="8"/>
  <c r="D928" i="8"/>
  <c r="E928" i="8"/>
  <c r="F928" i="8"/>
  <c r="K928" i="8"/>
  <c r="L928" i="8"/>
  <c r="M928" i="8"/>
  <c r="D929" i="8"/>
  <c r="E929" i="8"/>
  <c r="F929" i="8"/>
  <c r="K929" i="8"/>
  <c r="L929" i="8"/>
  <c r="M929" i="8"/>
  <c r="D930" i="8"/>
  <c r="E930" i="8"/>
  <c r="F930" i="8"/>
  <c r="K930" i="8"/>
  <c r="L930" i="8"/>
  <c r="M930" i="8"/>
  <c r="D931" i="8"/>
  <c r="E931" i="8"/>
  <c r="F931" i="8"/>
  <c r="K931" i="8"/>
  <c r="L931" i="8"/>
  <c r="M931" i="8"/>
  <c r="D932" i="8"/>
  <c r="E932" i="8"/>
  <c r="F932" i="8"/>
  <c r="K932" i="8"/>
  <c r="L932" i="8"/>
  <c r="M932" i="8"/>
  <c r="D933" i="8"/>
  <c r="E933" i="8"/>
  <c r="F933" i="8"/>
  <c r="K933" i="8"/>
  <c r="L933" i="8"/>
  <c r="M933" i="8"/>
  <c r="D934" i="8"/>
  <c r="E934" i="8"/>
  <c r="F934" i="8"/>
  <c r="K934" i="8"/>
  <c r="L934" i="8"/>
  <c r="M934" i="8"/>
  <c r="D935" i="8"/>
  <c r="E935" i="8"/>
  <c r="F935" i="8"/>
  <c r="K935" i="8"/>
  <c r="L935" i="8"/>
  <c r="M935" i="8"/>
  <c r="D936" i="8"/>
  <c r="E936" i="8"/>
  <c r="F936" i="8"/>
  <c r="K936" i="8"/>
  <c r="L936" i="8"/>
  <c r="M936" i="8"/>
  <c r="D937" i="8"/>
  <c r="E937" i="8"/>
  <c r="F937" i="8"/>
  <c r="K937" i="8"/>
  <c r="L937" i="8"/>
  <c r="M937" i="8"/>
  <c r="D938" i="8"/>
  <c r="E938" i="8"/>
  <c r="F938" i="8"/>
  <c r="K938" i="8"/>
  <c r="L938" i="8"/>
  <c r="M938" i="8"/>
  <c r="D939" i="8"/>
  <c r="E939" i="8"/>
  <c r="F939" i="8"/>
  <c r="K939" i="8"/>
  <c r="L939" i="8"/>
  <c r="M939" i="8"/>
  <c r="D940" i="8"/>
  <c r="E940" i="8"/>
  <c r="F940" i="8"/>
  <c r="K940" i="8"/>
  <c r="L940" i="8"/>
  <c r="M940" i="8"/>
  <c r="D941" i="8"/>
  <c r="E941" i="8"/>
  <c r="F941" i="8"/>
  <c r="K941" i="8"/>
  <c r="L941" i="8"/>
  <c r="M941" i="8"/>
  <c r="D942" i="8"/>
  <c r="E942" i="8"/>
  <c r="F942" i="8"/>
  <c r="K942" i="8"/>
  <c r="L942" i="8"/>
  <c r="M942" i="8"/>
  <c r="D943" i="8"/>
  <c r="E943" i="8"/>
  <c r="F943" i="8"/>
  <c r="K943" i="8"/>
  <c r="L943" i="8"/>
  <c r="M943" i="8"/>
  <c r="D944" i="8"/>
  <c r="E944" i="8"/>
  <c r="F944" i="8"/>
  <c r="K944" i="8"/>
  <c r="L944" i="8"/>
  <c r="M944" i="8"/>
  <c r="D945" i="8"/>
  <c r="E945" i="8"/>
  <c r="F945" i="8"/>
  <c r="K945" i="8"/>
  <c r="L945" i="8"/>
  <c r="M945" i="8"/>
  <c r="D946" i="8"/>
  <c r="E946" i="8"/>
  <c r="F946" i="8"/>
  <c r="K946" i="8"/>
  <c r="L946" i="8"/>
  <c r="M946" i="8"/>
  <c r="D947" i="8"/>
  <c r="E947" i="8"/>
  <c r="F947" i="8"/>
  <c r="K947" i="8"/>
  <c r="L947" i="8"/>
  <c r="M947" i="8"/>
  <c r="D948" i="8"/>
  <c r="E948" i="8"/>
  <c r="F948" i="8"/>
  <c r="K948" i="8"/>
  <c r="L948" i="8"/>
  <c r="M948" i="8"/>
  <c r="D949" i="8"/>
  <c r="E949" i="8"/>
  <c r="F949" i="8"/>
  <c r="K949" i="8"/>
  <c r="L949" i="8"/>
  <c r="M949" i="8"/>
  <c r="D950" i="8"/>
  <c r="E950" i="8"/>
  <c r="F950" i="8"/>
  <c r="K950" i="8"/>
  <c r="L950" i="8"/>
  <c r="M950" i="8"/>
  <c r="D951" i="8"/>
  <c r="E951" i="8"/>
  <c r="F951" i="8"/>
  <c r="K951" i="8"/>
  <c r="L951" i="8"/>
  <c r="M951" i="8"/>
  <c r="D952" i="8"/>
  <c r="E952" i="8"/>
  <c r="F952" i="8"/>
  <c r="K952" i="8"/>
  <c r="L952" i="8"/>
  <c r="M952" i="8"/>
  <c r="D953" i="8"/>
  <c r="E953" i="8"/>
  <c r="F953" i="8"/>
  <c r="K953" i="8"/>
  <c r="L953" i="8"/>
  <c r="M953" i="8"/>
  <c r="D954" i="8"/>
  <c r="E954" i="8"/>
  <c r="F954" i="8"/>
  <c r="K954" i="8"/>
  <c r="L954" i="8"/>
  <c r="M954" i="8"/>
  <c r="D955" i="8"/>
  <c r="E955" i="8"/>
  <c r="F955" i="8"/>
  <c r="K955" i="8"/>
  <c r="L955" i="8"/>
  <c r="M955" i="8"/>
  <c r="D956" i="8"/>
  <c r="E956" i="8"/>
  <c r="F956" i="8"/>
  <c r="K956" i="8"/>
  <c r="L956" i="8"/>
  <c r="M956" i="8"/>
  <c r="D957" i="8"/>
  <c r="E957" i="8"/>
  <c r="F957" i="8"/>
  <c r="K957" i="8"/>
  <c r="L957" i="8"/>
  <c r="M957" i="8"/>
  <c r="D958" i="8"/>
  <c r="E958" i="8"/>
  <c r="F958" i="8"/>
  <c r="K958" i="8"/>
  <c r="L958" i="8"/>
  <c r="M958" i="8"/>
  <c r="D959" i="8"/>
  <c r="E959" i="8"/>
  <c r="F959" i="8"/>
  <c r="K959" i="8"/>
  <c r="L959" i="8"/>
  <c r="M959" i="8"/>
  <c r="D960" i="8"/>
  <c r="E960" i="8"/>
  <c r="F960" i="8"/>
  <c r="K960" i="8"/>
  <c r="L960" i="8"/>
  <c r="M960" i="8"/>
  <c r="D961" i="8"/>
  <c r="E961" i="8"/>
  <c r="F961" i="8"/>
  <c r="K961" i="8"/>
  <c r="L961" i="8"/>
  <c r="M961" i="8"/>
  <c r="D962" i="8"/>
  <c r="E962" i="8"/>
  <c r="F962" i="8"/>
  <c r="K962" i="8"/>
  <c r="L962" i="8"/>
  <c r="M962" i="8"/>
  <c r="D963" i="8"/>
  <c r="E963" i="8"/>
  <c r="F963" i="8"/>
  <c r="K963" i="8"/>
  <c r="L963" i="8"/>
  <c r="M963" i="8"/>
  <c r="D964" i="8"/>
  <c r="E964" i="8"/>
  <c r="F964" i="8"/>
  <c r="K964" i="8"/>
  <c r="L964" i="8"/>
  <c r="M964" i="8"/>
  <c r="D965" i="8"/>
  <c r="E965" i="8"/>
  <c r="F965" i="8"/>
  <c r="K965" i="8"/>
  <c r="L965" i="8"/>
  <c r="M965" i="8"/>
  <c r="D966" i="8"/>
  <c r="E966" i="8"/>
  <c r="F966" i="8"/>
  <c r="K966" i="8"/>
  <c r="L966" i="8"/>
  <c r="M966" i="8"/>
  <c r="D967" i="8"/>
  <c r="E967" i="8"/>
  <c r="F967" i="8"/>
  <c r="K967" i="8"/>
  <c r="L967" i="8"/>
  <c r="M967" i="8"/>
  <c r="D968" i="8"/>
  <c r="E968" i="8"/>
  <c r="F968" i="8"/>
  <c r="K968" i="8"/>
  <c r="L968" i="8"/>
  <c r="M968" i="8"/>
  <c r="D969" i="8"/>
  <c r="E969" i="8"/>
  <c r="F969" i="8"/>
  <c r="K969" i="8"/>
  <c r="L969" i="8"/>
  <c r="M969" i="8"/>
  <c r="D970" i="8"/>
  <c r="E970" i="8"/>
  <c r="F970" i="8"/>
  <c r="K970" i="8"/>
  <c r="L970" i="8"/>
  <c r="M970" i="8"/>
  <c r="D971" i="8"/>
  <c r="E971" i="8"/>
  <c r="F971" i="8"/>
  <c r="K971" i="8"/>
  <c r="L971" i="8"/>
  <c r="M971" i="8"/>
  <c r="D972" i="8"/>
  <c r="E972" i="8"/>
  <c r="F972" i="8"/>
  <c r="K972" i="8"/>
  <c r="L972" i="8"/>
  <c r="M972" i="8"/>
  <c r="D973" i="8"/>
  <c r="E973" i="8"/>
  <c r="F973" i="8"/>
  <c r="K973" i="8"/>
  <c r="L973" i="8"/>
  <c r="M973" i="8"/>
  <c r="D974" i="8"/>
  <c r="E974" i="8"/>
  <c r="F974" i="8"/>
  <c r="K974" i="8"/>
  <c r="L974" i="8"/>
  <c r="M974" i="8"/>
  <c r="D975" i="8"/>
  <c r="E975" i="8"/>
  <c r="F975" i="8"/>
  <c r="K975" i="8"/>
  <c r="L975" i="8"/>
  <c r="M975" i="8"/>
  <c r="D976" i="8"/>
  <c r="E976" i="8"/>
  <c r="F976" i="8"/>
  <c r="K976" i="8"/>
  <c r="L976" i="8"/>
  <c r="M976" i="8"/>
  <c r="D977" i="8"/>
  <c r="E977" i="8"/>
  <c r="F977" i="8"/>
  <c r="K977" i="8"/>
  <c r="L977" i="8"/>
  <c r="M977" i="8"/>
  <c r="D978" i="8"/>
  <c r="E978" i="8"/>
  <c r="F978" i="8"/>
  <c r="K978" i="8"/>
  <c r="L978" i="8"/>
  <c r="M978" i="8"/>
  <c r="D979" i="8"/>
  <c r="E979" i="8"/>
  <c r="F979" i="8"/>
  <c r="K979" i="8"/>
  <c r="L979" i="8"/>
  <c r="M979" i="8"/>
  <c r="D980" i="8"/>
  <c r="E980" i="8"/>
  <c r="F980" i="8"/>
  <c r="K980" i="8"/>
  <c r="L980" i="8"/>
  <c r="M980" i="8"/>
  <c r="D981" i="8"/>
  <c r="E981" i="8"/>
  <c r="F981" i="8"/>
  <c r="K981" i="8"/>
  <c r="L981" i="8"/>
  <c r="M981" i="8"/>
  <c r="D982" i="8"/>
  <c r="E982" i="8"/>
  <c r="F982" i="8"/>
  <c r="K982" i="8"/>
  <c r="L982" i="8"/>
  <c r="M982" i="8"/>
  <c r="D983" i="8"/>
  <c r="E983" i="8"/>
  <c r="F983" i="8"/>
  <c r="K983" i="8"/>
  <c r="L983" i="8"/>
  <c r="M983" i="8"/>
  <c r="D984" i="8"/>
  <c r="E984" i="8"/>
  <c r="F984" i="8"/>
  <c r="K984" i="8"/>
  <c r="L984" i="8"/>
  <c r="M984" i="8"/>
  <c r="D985" i="8"/>
  <c r="E985" i="8"/>
  <c r="F985" i="8"/>
  <c r="K985" i="8"/>
  <c r="L985" i="8"/>
  <c r="M985" i="8"/>
  <c r="D986" i="8"/>
  <c r="E986" i="8"/>
  <c r="F986" i="8"/>
  <c r="K986" i="8"/>
  <c r="L986" i="8"/>
  <c r="M986" i="8"/>
  <c r="D987" i="8"/>
  <c r="E987" i="8"/>
  <c r="F987" i="8"/>
  <c r="K987" i="8"/>
  <c r="L987" i="8"/>
  <c r="M987" i="8"/>
  <c r="D988" i="8"/>
  <c r="E988" i="8"/>
  <c r="F988" i="8"/>
  <c r="K988" i="8"/>
  <c r="L988" i="8"/>
  <c r="M988" i="8"/>
  <c r="D989" i="8"/>
  <c r="E989" i="8"/>
  <c r="F989" i="8"/>
  <c r="K989" i="8"/>
  <c r="L989" i="8"/>
  <c r="M989" i="8"/>
  <c r="D990" i="8"/>
  <c r="E990" i="8"/>
  <c r="F990" i="8"/>
  <c r="K990" i="8"/>
  <c r="L990" i="8"/>
  <c r="M990" i="8"/>
  <c r="D991" i="8"/>
  <c r="E991" i="8"/>
  <c r="F991" i="8"/>
  <c r="K991" i="8"/>
  <c r="L991" i="8"/>
  <c r="M991" i="8"/>
  <c r="D992" i="8"/>
  <c r="E992" i="8"/>
  <c r="F992" i="8"/>
  <c r="K992" i="8"/>
  <c r="L992" i="8"/>
  <c r="M992" i="8"/>
  <c r="D993" i="8"/>
  <c r="E993" i="8"/>
  <c r="F993" i="8"/>
  <c r="K993" i="8"/>
  <c r="L993" i="8"/>
  <c r="M993" i="8"/>
  <c r="D994" i="8"/>
  <c r="E994" i="8"/>
  <c r="F994" i="8"/>
  <c r="K994" i="8"/>
  <c r="L994" i="8"/>
  <c r="M994" i="8"/>
  <c r="D995" i="8"/>
  <c r="E995" i="8"/>
  <c r="F995" i="8"/>
  <c r="K995" i="8"/>
  <c r="L995" i="8"/>
  <c r="M995" i="8"/>
  <c r="D996" i="8"/>
  <c r="E996" i="8"/>
  <c r="F996" i="8"/>
  <c r="K996" i="8"/>
  <c r="L996" i="8"/>
  <c r="M996" i="8"/>
  <c r="D997" i="8"/>
  <c r="E997" i="8"/>
  <c r="F997" i="8"/>
  <c r="K997" i="8"/>
  <c r="L997" i="8"/>
  <c r="M997" i="8"/>
  <c r="D998" i="8"/>
  <c r="E998" i="8"/>
  <c r="F998" i="8"/>
  <c r="K998" i="8"/>
  <c r="L998" i="8"/>
  <c r="M998" i="8"/>
  <c r="D999" i="8"/>
  <c r="E999" i="8"/>
  <c r="F999" i="8"/>
  <c r="K999" i="8"/>
  <c r="L999" i="8"/>
  <c r="M999" i="8"/>
  <c r="D1000" i="8"/>
  <c r="E1000" i="8"/>
  <c r="F1000" i="8"/>
  <c r="K1000" i="8"/>
  <c r="L1000" i="8"/>
  <c r="M1000" i="8"/>
  <c r="D1001" i="8"/>
  <c r="E1001" i="8"/>
  <c r="F1001" i="8"/>
  <c r="K1001" i="8"/>
  <c r="L1001" i="8"/>
  <c r="M1001" i="8"/>
  <c r="D1002" i="8"/>
  <c r="E1002" i="8"/>
  <c r="F1002" i="8"/>
  <c r="K1002" i="8"/>
  <c r="L1002" i="8"/>
  <c r="M1002" i="8"/>
  <c r="D1003" i="8"/>
  <c r="E1003" i="8"/>
  <c r="F1003" i="8"/>
  <c r="K1003" i="8"/>
  <c r="L1003" i="8"/>
  <c r="M1003" i="8"/>
  <c r="D1004" i="8"/>
  <c r="E1004" i="8"/>
  <c r="F1004" i="8"/>
  <c r="K1004" i="8"/>
  <c r="L1004" i="8"/>
  <c r="M1004" i="8"/>
  <c r="D1005" i="8"/>
  <c r="E1005" i="8"/>
  <c r="F1005" i="8"/>
  <c r="K1005" i="8"/>
  <c r="L1005" i="8"/>
  <c r="M1005" i="8"/>
  <c r="D1006" i="8"/>
  <c r="E1006" i="8"/>
  <c r="F1006" i="8"/>
  <c r="K1006" i="8"/>
  <c r="L1006" i="8"/>
  <c r="M1006" i="8"/>
  <c r="D1007" i="8"/>
  <c r="E1007" i="8"/>
  <c r="F1007" i="8"/>
  <c r="K1007" i="8"/>
  <c r="L1007" i="8"/>
  <c r="M1007" i="8"/>
  <c r="D1008" i="8"/>
  <c r="E1008" i="8"/>
  <c r="F1008" i="8"/>
  <c r="K1008" i="8"/>
  <c r="L1008" i="8"/>
  <c r="M1008" i="8"/>
  <c r="D1009" i="8"/>
  <c r="E1009" i="8"/>
  <c r="F1009" i="8"/>
  <c r="K1009" i="8"/>
  <c r="L1009" i="8"/>
  <c r="M1009" i="8"/>
  <c r="D1010" i="8"/>
  <c r="E1010" i="8"/>
  <c r="F1010" i="8"/>
  <c r="K1010" i="8"/>
  <c r="L1010" i="8"/>
  <c r="M1010" i="8"/>
  <c r="D1011" i="8"/>
  <c r="E1011" i="8"/>
  <c r="F1011" i="8"/>
  <c r="K1011" i="8"/>
  <c r="L1011" i="8"/>
  <c r="M1011" i="8"/>
  <c r="D1012" i="8"/>
  <c r="E1012" i="8"/>
  <c r="F1012" i="8"/>
  <c r="K1012" i="8"/>
  <c r="L1012" i="8"/>
  <c r="M1012" i="8"/>
  <c r="D1013" i="8"/>
  <c r="E1013" i="8"/>
  <c r="F1013" i="8"/>
  <c r="K1013" i="8"/>
  <c r="L1013" i="8"/>
  <c r="M1013" i="8"/>
  <c r="D1014" i="8"/>
  <c r="E1014" i="8"/>
  <c r="F1014" i="8"/>
  <c r="K1014" i="8"/>
  <c r="L1014" i="8"/>
  <c r="M1014" i="8"/>
  <c r="D1015" i="8"/>
  <c r="E1015" i="8"/>
  <c r="F1015" i="8"/>
  <c r="K1015" i="8"/>
  <c r="L1015" i="8"/>
  <c r="M1015" i="8"/>
  <c r="D1016" i="8"/>
  <c r="E1016" i="8"/>
  <c r="F1016" i="8"/>
  <c r="K1016" i="8"/>
  <c r="L1016" i="8"/>
  <c r="M1016" i="8"/>
  <c r="D1017" i="8"/>
  <c r="E1017" i="8"/>
  <c r="F1017" i="8"/>
  <c r="K1017" i="8"/>
  <c r="L1017" i="8"/>
  <c r="M1017" i="8"/>
  <c r="D1018" i="8"/>
  <c r="E1018" i="8"/>
  <c r="F1018" i="8"/>
  <c r="K1018" i="8"/>
  <c r="L1018" i="8"/>
  <c r="M1018" i="8"/>
  <c r="D1019" i="8"/>
  <c r="E1019" i="8"/>
  <c r="F1019" i="8"/>
  <c r="K1019" i="8"/>
  <c r="L1019" i="8"/>
  <c r="M1019" i="8"/>
  <c r="D1020" i="8"/>
  <c r="E1020" i="8"/>
  <c r="F1020" i="8"/>
  <c r="K1020" i="8"/>
  <c r="L1020" i="8"/>
  <c r="M1020" i="8"/>
  <c r="D1021" i="8"/>
  <c r="E1021" i="8"/>
  <c r="F1021" i="8"/>
  <c r="K1021" i="8"/>
  <c r="L1021" i="8"/>
  <c r="M1021" i="8"/>
  <c r="D1022" i="8"/>
  <c r="E1022" i="8"/>
  <c r="F1022" i="8"/>
  <c r="K1022" i="8"/>
  <c r="L1022" i="8"/>
  <c r="M1022" i="8"/>
  <c r="D1023" i="8"/>
  <c r="E1023" i="8"/>
  <c r="F1023" i="8"/>
  <c r="K1023" i="8"/>
  <c r="L1023" i="8"/>
  <c r="M1023" i="8"/>
  <c r="D1024" i="8"/>
  <c r="E1024" i="8"/>
  <c r="F1024" i="8"/>
  <c r="K1024" i="8"/>
  <c r="L1024" i="8"/>
  <c r="M1024" i="8"/>
  <c r="D1025" i="8"/>
  <c r="E1025" i="8"/>
  <c r="F1025" i="8"/>
  <c r="K1025" i="8"/>
  <c r="L1025" i="8"/>
  <c r="M1025" i="8"/>
  <c r="D1026" i="8"/>
  <c r="E1026" i="8"/>
  <c r="F1026" i="8"/>
  <c r="K1026" i="8"/>
  <c r="L1026" i="8"/>
  <c r="M1026" i="8"/>
  <c r="P6" i="6"/>
  <c r="Q6" i="6"/>
  <c r="R6" i="6" s="1"/>
  <c r="T6" i="6"/>
  <c r="AB6" i="6"/>
  <c r="P7" i="6"/>
  <c r="Q7" i="6"/>
  <c r="R7" i="6" s="1"/>
  <c r="T7" i="6"/>
  <c r="AB7" i="6"/>
  <c r="P8" i="6"/>
  <c r="Q8" i="6"/>
  <c r="R8" i="6" s="1"/>
  <c r="T8" i="6"/>
  <c r="AB8" i="6"/>
  <c r="P9" i="6"/>
  <c r="Q9" i="6"/>
  <c r="R9" i="6" s="1"/>
  <c r="T9" i="6"/>
  <c r="AB9" i="6"/>
  <c r="P10" i="6"/>
  <c r="Q10" i="6"/>
  <c r="R10" i="6" s="1"/>
  <c r="T10" i="6"/>
  <c r="AB10" i="6"/>
  <c r="P11" i="6"/>
  <c r="Q11" i="6"/>
  <c r="R11" i="6" s="1"/>
  <c r="T11" i="6"/>
  <c r="AB11" i="6"/>
  <c r="P12" i="6"/>
  <c r="Q12" i="6"/>
  <c r="R12" i="6" s="1"/>
  <c r="T12" i="6"/>
  <c r="AB12" i="6"/>
  <c r="P13" i="6"/>
  <c r="Q13" i="6"/>
  <c r="R13" i="6" s="1"/>
  <c r="T13" i="6"/>
  <c r="AB13" i="6"/>
  <c r="P14" i="6"/>
  <c r="Q14" i="6"/>
  <c r="R14" i="6" s="1"/>
  <c r="T14" i="6"/>
  <c r="AB14" i="6"/>
  <c r="P15" i="6"/>
  <c r="Q15" i="6"/>
  <c r="R15" i="6" s="1"/>
  <c r="T15" i="6"/>
  <c r="AB15" i="6"/>
  <c r="P16" i="6"/>
  <c r="Q16" i="6"/>
  <c r="R16" i="6" s="1"/>
  <c r="T16" i="6"/>
  <c r="AB16" i="6"/>
  <c r="P17" i="6"/>
  <c r="Q17" i="6"/>
  <c r="R17" i="6" s="1"/>
  <c r="T17" i="6"/>
  <c r="AB17" i="6"/>
  <c r="P18" i="6"/>
  <c r="Q18" i="6"/>
  <c r="R18" i="6" s="1"/>
  <c r="T18" i="6"/>
  <c r="AB18" i="6"/>
  <c r="P19" i="6"/>
  <c r="Q19" i="6"/>
  <c r="R19" i="6" s="1"/>
  <c r="T19" i="6"/>
  <c r="AB19" i="6"/>
  <c r="P20" i="6"/>
  <c r="Q20" i="6"/>
  <c r="R20" i="6" s="1"/>
  <c r="T20" i="6"/>
  <c r="AB20" i="6"/>
  <c r="P21" i="6"/>
  <c r="Q21" i="6"/>
  <c r="R21" i="6" s="1"/>
  <c r="T21" i="6"/>
  <c r="AB21" i="6"/>
  <c r="P22" i="6"/>
  <c r="Q22" i="6"/>
  <c r="R22" i="6" s="1"/>
  <c r="T22" i="6"/>
  <c r="AB22" i="6"/>
  <c r="P23" i="6"/>
  <c r="Q23" i="6"/>
  <c r="R23" i="6" s="1"/>
  <c r="T23" i="6"/>
  <c r="AB23" i="6"/>
  <c r="P24" i="6"/>
  <c r="Q24" i="6"/>
  <c r="R24" i="6" s="1"/>
  <c r="T24" i="6"/>
  <c r="AB24" i="6"/>
  <c r="P25" i="6"/>
  <c r="Q25" i="6"/>
  <c r="R25" i="6" s="1"/>
  <c r="T25" i="6"/>
  <c r="AB25" i="6"/>
  <c r="P26" i="6"/>
  <c r="Q26" i="6"/>
  <c r="R26" i="6" s="1"/>
  <c r="T26" i="6"/>
  <c r="AB26" i="6"/>
  <c r="P27" i="6"/>
  <c r="Q27" i="6"/>
  <c r="R27" i="6" s="1"/>
  <c r="T27" i="6"/>
  <c r="AB27" i="6"/>
  <c r="P28" i="6"/>
  <c r="Q28" i="6"/>
  <c r="R28" i="6" s="1"/>
  <c r="T28" i="6"/>
  <c r="AB28" i="6"/>
  <c r="P29" i="6"/>
  <c r="Q29" i="6"/>
  <c r="R29" i="6" s="1"/>
  <c r="T29" i="6"/>
  <c r="AB29" i="6"/>
  <c r="P30" i="6"/>
  <c r="Q30" i="6"/>
  <c r="R30" i="6" s="1"/>
  <c r="T30" i="6"/>
  <c r="AB30" i="6"/>
  <c r="P31" i="6"/>
  <c r="Q31" i="6"/>
  <c r="R31" i="6" s="1"/>
  <c r="T31" i="6"/>
  <c r="AB31" i="6"/>
  <c r="P32" i="6"/>
  <c r="Q32" i="6"/>
  <c r="R32" i="6" s="1"/>
  <c r="T32" i="6"/>
  <c r="AB32" i="6"/>
  <c r="P33" i="6"/>
  <c r="Q33" i="6"/>
  <c r="R33" i="6" s="1"/>
  <c r="T33" i="6"/>
  <c r="AB33" i="6"/>
  <c r="P34" i="6"/>
  <c r="Q34" i="6"/>
  <c r="R34" i="6" s="1"/>
  <c r="T34" i="6"/>
  <c r="AB34" i="6"/>
  <c r="P35" i="6"/>
  <c r="Q35" i="6"/>
  <c r="R35" i="6" s="1"/>
  <c r="T35" i="6"/>
  <c r="AB35" i="6"/>
  <c r="P36" i="6"/>
  <c r="Q36" i="6"/>
  <c r="R36" i="6" s="1"/>
  <c r="T36" i="6"/>
  <c r="AB36" i="6"/>
  <c r="P37" i="6"/>
  <c r="Q37" i="6"/>
  <c r="R37" i="6" s="1"/>
  <c r="T37" i="6"/>
  <c r="AB37" i="6"/>
  <c r="P38" i="6"/>
  <c r="Q38" i="6"/>
  <c r="R38" i="6" s="1"/>
  <c r="T38" i="6"/>
  <c r="AB38" i="6"/>
  <c r="P39" i="6"/>
  <c r="Q39" i="6"/>
  <c r="R39" i="6" s="1"/>
  <c r="T39" i="6"/>
  <c r="AB39" i="6"/>
  <c r="P40" i="6"/>
  <c r="Q40" i="6"/>
  <c r="R40" i="6" s="1"/>
  <c r="T40" i="6"/>
  <c r="AB40" i="6"/>
  <c r="P41" i="6"/>
  <c r="Q41" i="6"/>
  <c r="R41" i="6" s="1"/>
  <c r="T41" i="6"/>
  <c r="AB41" i="6"/>
  <c r="P42" i="6"/>
  <c r="Q42" i="6"/>
  <c r="R42" i="6" s="1"/>
  <c r="T42" i="6"/>
  <c r="AB42" i="6"/>
  <c r="P43" i="6"/>
  <c r="Q43" i="6"/>
  <c r="R43" i="6" s="1"/>
  <c r="T43" i="6"/>
  <c r="AB43" i="6"/>
  <c r="P44" i="6"/>
  <c r="Q44" i="6"/>
  <c r="R44" i="6" s="1"/>
  <c r="T44" i="6"/>
  <c r="AB44" i="6"/>
  <c r="P45" i="6"/>
  <c r="Q45" i="6"/>
  <c r="R45" i="6" s="1"/>
  <c r="T45" i="6"/>
  <c r="AB45" i="6"/>
  <c r="P46" i="6"/>
  <c r="Q46" i="6"/>
  <c r="R46" i="6" s="1"/>
  <c r="T46" i="6"/>
  <c r="AB46" i="6"/>
  <c r="P47" i="6"/>
  <c r="Q47" i="6"/>
  <c r="R47" i="6" s="1"/>
  <c r="T47" i="6"/>
  <c r="AB47" i="6"/>
  <c r="P48" i="6"/>
  <c r="Q48" i="6"/>
  <c r="R48" i="6" s="1"/>
  <c r="T48" i="6"/>
  <c r="AB48" i="6"/>
  <c r="P49" i="6"/>
  <c r="Q49" i="6"/>
  <c r="R49" i="6" s="1"/>
  <c r="T49" i="6"/>
  <c r="AB49" i="6"/>
  <c r="P50" i="6"/>
  <c r="Q50" i="6"/>
  <c r="R50" i="6" s="1"/>
  <c r="T50" i="6"/>
  <c r="AB50" i="6"/>
  <c r="P51" i="6"/>
  <c r="Q51" i="6"/>
  <c r="R51" i="6" s="1"/>
  <c r="T51" i="6"/>
  <c r="AB51" i="6"/>
  <c r="P52" i="6"/>
  <c r="Q52" i="6"/>
  <c r="R52" i="6" s="1"/>
  <c r="T52" i="6"/>
  <c r="AB52" i="6"/>
  <c r="P53" i="6"/>
  <c r="Q53" i="6"/>
  <c r="R53" i="6" s="1"/>
  <c r="T53" i="6"/>
  <c r="AB53" i="6"/>
  <c r="P54" i="6"/>
  <c r="Q54" i="6"/>
  <c r="R54" i="6" s="1"/>
  <c r="T54" i="6"/>
  <c r="AB54" i="6"/>
  <c r="P55" i="6"/>
  <c r="Q55" i="6"/>
  <c r="R55" i="6" s="1"/>
  <c r="T55" i="6"/>
  <c r="AB55" i="6"/>
  <c r="P56" i="6"/>
  <c r="Q56" i="6"/>
  <c r="R56" i="6" s="1"/>
  <c r="T56" i="6"/>
  <c r="AB56" i="6"/>
  <c r="P57" i="6"/>
  <c r="Q57" i="6"/>
  <c r="R57" i="6" s="1"/>
  <c r="T57" i="6"/>
  <c r="AB57" i="6"/>
  <c r="P58" i="6"/>
  <c r="Q58" i="6"/>
  <c r="R58" i="6" s="1"/>
  <c r="T58" i="6"/>
  <c r="AB58" i="6"/>
  <c r="P59" i="6"/>
  <c r="Q59" i="6"/>
  <c r="R59" i="6" s="1"/>
  <c r="T59" i="6"/>
  <c r="AB59" i="6"/>
  <c r="P60" i="6"/>
  <c r="Q60" i="6"/>
  <c r="R60" i="6" s="1"/>
  <c r="T60" i="6"/>
  <c r="AB60" i="6"/>
  <c r="P61" i="6"/>
  <c r="Q61" i="6"/>
  <c r="R61" i="6" s="1"/>
  <c r="T61" i="6"/>
  <c r="AB61" i="6"/>
  <c r="P62" i="6"/>
  <c r="Q62" i="6"/>
  <c r="R62" i="6" s="1"/>
  <c r="T62" i="6"/>
  <c r="AB62" i="6"/>
  <c r="P63" i="6"/>
  <c r="Q63" i="6"/>
  <c r="R63" i="6" s="1"/>
  <c r="T63" i="6"/>
  <c r="AB63" i="6"/>
  <c r="P64" i="6"/>
  <c r="Q64" i="6"/>
  <c r="R64" i="6" s="1"/>
  <c r="T64" i="6"/>
  <c r="AB64" i="6"/>
  <c r="P65" i="6"/>
  <c r="Q65" i="6"/>
  <c r="R65" i="6" s="1"/>
  <c r="T65" i="6"/>
  <c r="AB65" i="6"/>
  <c r="P66" i="6"/>
  <c r="Q66" i="6"/>
  <c r="R66" i="6" s="1"/>
  <c r="T66" i="6"/>
  <c r="AB66" i="6"/>
  <c r="P67" i="6"/>
  <c r="Q67" i="6"/>
  <c r="R67" i="6" s="1"/>
  <c r="T67" i="6"/>
  <c r="AB67" i="6"/>
  <c r="P68" i="6"/>
  <c r="Q68" i="6"/>
  <c r="R68" i="6" s="1"/>
  <c r="T68" i="6"/>
  <c r="AB68" i="6"/>
  <c r="P69" i="6"/>
  <c r="Q69" i="6"/>
  <c r="R69" i="6" s="1"/>
  <c r="T69" i="6"/>
  <c r="AB69" i="6"/>
  <c r="P70" i="6"/>
  <c r="Q70" i="6"/>
  <c r="R70" i="6" s="1"/>
  <c r="T70" i="6"/>
  <c r="AB70" i="6"/>
  <c r="P71" i="6"/>
  <c r="Q71" i="6"/>
  <c r="R71" i="6" s="1"/>
  <c r="T71" i="6"/>
  <c r="AB71" i="6"/>
  <c r="P72" i="6"/>
  <c r="Q72" i="6"/>
  <c r="R72" i="6" s="1"/>
  <c r="T72" i="6"/>
  <c r="AB72" i="6"/>
  <c r="P73" i="6"/>
  <c r="Q73" i="6"/>
  <c r="R73" i="6" s="1"/>
  <c r="T73" i="6"/>
  <c r="AB73" i="6"/>
  <c r="P74" i="6"/>
  <c r="Q74" i="6"/>
  <c r="R74" i="6" s="1"/>
  <c r="T74" i="6"/>
  <c r="AB74" i="6"/>
  <c r="P75" i="6"/>
  <c r="Q75" i="6"/>
  <c r="R75" i="6" s="1"/>
  <c r="T75" i="6"/>
  <c r="AB75" i="6"/>
  <c r="P76" i="6"/>
  <c r="Q76" i="6"/>
  <c r="R76" i="6" s="1"/>
  <c r="T76" i="6"/>
  <c r="AB76" i="6"/>
  <c r="P77" i="6"/>
  <c r="Q77" i="6"/>
  <c r="R77" i="6" s="1"/>
  <c r="T77" i="6"/>
  <c r="AB77" i="6"/>
  <c r="P78" i="6"/>
  <c r="Q78" i="6"/>
  <c r="R78" i="6" s="1"/>
  <c r="T78" i="6"/>
  <c r="AB78" i="6"/>
  <c r="P79" i="6"/>
  <c r="Q79" i="6"/>
  <c r="R79" i="6" s="1"/>
  <c r="T79" i="6"/>
  <c r="AB79" i="6"/>
  <c r="P80" i="6"/>
  <c r="Q80" i="6"/>
  <c r="R80" i="6" s="1"/>
  <c r="T80" i="6"/>
  <c r="AB80" i="6"/>
  <c r="P81" i="6"/>
  <c r="Q81" i="6"/>
  <c r="R81" i="6" s="1"/>
  <c r="T81" i="6"/>
  <c r="AB81" i="6"/>
  <c r="P82" i="6"/>
  <c r="Q82" i="6"/>
  <c r="R82" i="6" s="1"/>
  <c r="T82" i="6"/>
  <c r="AB82" i="6"/>
  <c r="P83" i="6"/>
  <c r="Q83" i="6"/>
  <c r="R83" i="6" s="1"/>
  <c r="T83" i="6"/>
  <c r="AB83" i="6"/>
  <c r="P84" i="6"/>
  <c r="Q84" i="6"/>
  <c r="R84" i="6" s="1"/>
  <c r="T84" i="6"/>
  <c r="AB84" i="6"/>
  <c r="P85" i="6"/>
  <c r="Q85" i="6"/>
  <c r="R85" i="6" s="1"/>
  <c r="T85" i="6"/>
  <c r="AB85" i="6"/>
  <c r="P86" i="6"/>
  <c r="Q86" i="6"/>
  <c r="R86" i="6" s="1"/>
  <c r="T86" i="6"/>
  <c r="AB86" i="6"/>
  <c r="P87" i="6"/>
  <c r="Q87" i="6"/>
  <c r="R87" i="6" s="1"/>
  <c r="T87" i="6"/>
  <c r="AB87" i="6"/>
  <c r="P88" i="6"/>
  <c r="Q88" i="6"/>
  <c r="R88" i="6" s="1"/>
  <c r="T88" i="6"/>
  <c r="AB88" i="6"/>
  <c r="P89" i="6"/>
  <c r="Q89" i="6"/>
  <c r="R89" i="6" s="1"/>
  <c r="T89" i="6"/>
  <c r="AB89" i="6"/>
  <c r="P90" i="6"/>
  <c r="Q90" i="6"/>
  <c r="R90" i="6" s="1"/>
  <c r="T90" i="6"/>
  <c r="AB90" i="6"/>
  <c r="P91" i="6"/>
  <c r="Q91" i="6"/>
  <c r="R91" i="6" s="1"/>
  <c r="T91" i="6"/>
  <c r="AB91" i="6"/>
  <c r="P92" i="6"/>
  <c r="Q92" i="6"/>
  <c r="R92" i="6" s="1"/>
  <c r="T92" i="6"/>
  <c r="AB92" i="6"/>
  <c r="P93" i="6"/>
  <c r="Q93" i="6"/>
  <c r="R93" i="6" s="1"/>
  <c r="T93" i="6"/>
  <c r="AB93" i="6"/>
  <c r="P94" i="6"/>
  <c r="Q94" i="6"/>
  <c r="R94" i="6" s="1"/>
  <c r="T94" i="6"/>
  <c r="AB94" i="6"/>
  <c r="P95" i="6"/>
  <c r="Q95" i="6"/>
  <c r="R95" i="6" s="1"/>
  <c r="T95" i="6"/>
  <c r="AB95" i="6"/>
  <c r="P96" i="6"/>
  <c r="Q96" i="6"/>
  <c r="R96" i="6" s="1"/>
  <c r="T96" i="6"/>
  <c r="AB96" i="6"/>
  <c r="P97" i="6"/>
  <c r="Q97" i="6"/>
  <c r="R97" i="6" s="1"/>
  <c r="T97" i="6"/>
  <c r="AB97" i="6"/>
  <c r="P98" i="6"/>
  <c r="Q98" i="6"/>
  <c r="R98" i="6" s="1"/>
  <c r="T98" i="6"/>
  <c r="AB98" i="6"/>
  <c r="P99" i="6"/>
  <c r="Q99" i="6"/>
  <c r="R99" i="6" s="1"/>
  <c r="T99" i="6"/>
  <c r="AB99" i="6"/>
  <c r="P100" i="6"/>
  <c r="Q100" i="6"/>
  <c r="R100" i="6" s="1"/>
  <c r="T100" i="6"/>
  <c r="AB100" i="6"/>
  <c r="P101" i="6"/>
  <c r="Q101" i="6"/>
  <c r="R101" i="6" s="1"/>
  <c r="T101" i="6"/>
  <c r="AB101" i="6"/>
  <c r="P102" i="6"/>
  <c r="Q102" i="6"/>
  <c r="R102" i="6" s="1"/>
  <c r="T102" i="6"/>
  <c r="AB102" i="6"/>
  <c r="P103" i="6"/>
  <c r="Q103" i="6"/>
  <c r="R103" i="6" s="1"/>
  <c r="T103" i="6"/>
  <c r="AB103" i="6"/>
  <c r="P104" i="6"/>
  <c r="Q104" i="6"/>
  <c r="R104" i="6" s="1"/>
  <c r="T104" i="6"/>
  <c r="AB104" i="6"/>
  <c r="P105" i="6"/>
  <c r="Q105" i="6"/>
  <c r="R105" i="6" s="1"/>
  <c r="T105" i="6"/>
  <c r="AB105" i="6"/>
  <c r="P106" i="6"/>
  <c r="Q106" i="6"/>
  <c r="R106" i="6" s="1"/>
  <c r="T106" i="6"/>
  <c r="AB106" i="6"/>
  <c r="P107" i="6"/>
  <c r="Q107" i="6"/>
  <c r="R107" i="6" s="1"/>
  <c r="T107" i="6"/>
  <c r="AB107" i="6"/>
  <c r="P108" i="6"/>
  <c r="Q108" i="6"/>
  <c r="R108" i="6" s="1"/>
  <c r="T108" i="6"/>
  <c r="AB108" i="6"/>
  <c r="P109" i="6"/>
  <c r="Q109" i="6"/>
  <c r="R109" i="6" s="1"/>
  <c r="T109" i="6"/>
  <c r="AB109" i="6"/>
  <c r="P110" i="6"/>
  <c r="Q110" i="6"/>
  <c r="R110" i="6" s="1"/>
  <c r="T110" i="6"/>
  <c r="AB110" i="6"/>
  <c r="P111" i="6"/>
  <c r="Q111" i="6"/>
  <c r="R111" i="6" s="1"/>
  <c r="T111" i="6"/>
  <c r="AB111" i="6"/>
  <c r="P112" i="6"/>
  <c r="Q112" i="6"/>
  <c r="R112" i="6" s="1"/>
  <c r="T112" i="6"/>
  <c r="AB112" i="6"/>
  <c r="P113" i="6"/>
  <c r="Q113" i="6"/>
  <c r="R113" i="6" s="1"/>
  <c r="T113" i="6"/>
  <c r="AB113" i="6"/>
  <c r="P114" i="6"/>
  <c r="Q114" i="6"/>
  <c r="R114" i="6" s="1"/>
  <c r="T114" i="6"/>
  <c r="AB114" i="6"/>
  <c r="P115" i="6"/>
  <c r="Q115" i="6"/>
  <c r="R115" i="6" s="1"/>
  <c r="T115" i="6"/>
  <c r="AB115" i="6"/>
  <c r="P116" i="6"/>
  <c r="Q116" i="6"/>
  <c r="R116" i="6" s="1"/>
  <c r="T116" i="6"/>
  <c r="AB116" i="6"/>
  <c r="P117" i="6"/>
  <c r="Q117" i="6"/>
  <c r="R117" i="6" s="1"/>
  <c r="T117" i="6"/>
  <c r="AB117" i="6"/>
  <c r="P118" i="6"/>
  <c r="Q118" i="6"/>
  <c r="R118" i="6" s="1"/>
  <c r="T118" i="6"/>
  <c r="AB118" i="6"/>
  <c r="P119" i="6"/>
  <c r="Q119" i="6"/>
  <c r="R119" i="6" s="1"/>
  <c r="T119" i="6"/>
  <c r="AB119" i="6"/>
  <c r="P120" i="6"/>
  <c r="Q120" i="6"/>
  <c r="R120" i="6" s="1"/>
  <c r="T120" i="6"/>
  <c r="AB120" i="6"/>
  <c r="P121" i="6"/>
  <c r="Q121" i="6"/>
  <c r="R121" i="6" s="1"/>
  <c r="T121" i="6"/>
  <c r="AB121" i="6"/>
  <c r="P122" i="6"/>
  <c r="Q122" i="6"/>
  <c r="R122" i="6" s="1"/>
  <c r="T122" i="6"/>
  <c r="AB122" i="6"/>
  <c r="P123" i="6"/>
  <c r="Q123" i="6"/>
  <c r="R123" i="6" s="1"/>
  <c r="T123" i="6"/>
  <c r="AB123" i="6"/>
  <c r="P124" i="6"/>
  <c r="Q124" i="6"/>
  <c r="R124" i="6" s="1"/>
  <c r="T124" i="6"/>
  <c r="AB124" i="6"/>
  <c r="P125" i="6"/>
  <c r="Q125" i="6"/>
  <c r="R125" i="6" s="1"/>
  <c r="T125" i="6"/>
  <c r="AB125" i="6"/>
  <c r="P126" i="6"/>
  <c r="Q126" i="6"/>
  <c r="R126" i="6" s="1"/>
  <c r="T126" i="6"/>
  <c r="AB126" i="6"/>
  <c r="P127" i="6"/>
  <c r="Q127" i="6"/>
  <c r="R127" i="6" s="1"/>
  <c r="T127" i="6"/>
  <c r="AB127" i="6"/>
  <c r="P128" i="6"/>
  <c r="Q128" i="6"/>
  <c r="R128" i="6" s="1"/>
  <c r="T128" i="6"/>
  <c r="AB128" i="6"/>
  <c r="P129" i="6"/>
  <c r="Q129" i="6"/>
  <c r="R129" i="6" s="1"/>
  <c r="T129" i="6"/>
  <c r="AB129" i="6"/>
  <c r="P130" i="6"/>
  <c r="Q130" i="6"/>
  <c r="R130" i="6" s="1"/>
  <c r="T130" i="6"/>
  <c r="AB130" i="6"/>
  <c r="P131" i="6"/>
  <c r="Q131" i="6"/>
  <c r="R131" i="6" s="1"/>
  <c r="T131" i="6"/>
  <c r="AB131" i="6"/>
  <c r="P132" i="6"/>
  <c r="Q132" i="6"/>
  <c r="R132" i="6" s="1"/>
  <c r="T132" i="6"/>
  <c r="AB132" i="6"/>
  <c r="P133" i="6"/>
  <c r="Q133" i="6"/>
  <c r="R133" i="6" s="1"/>
  <c r="T133" i="6"/>
  <c r="AB133" i="6"/>
  <c r="P134" i="6"/>
  <c r="Q134" i="6"/>
  <c r="R134" i="6" s="1"/>
  <c r="T134" i="6"/>
  <c r="AB134" i="6"/>
  <c r="P135" i="6"/>
  <c r="Q135" i="6"/>
  <c r="R135" i="6" s="1"/>
  <c r="T135" i="6"/>
  <c r="AB135" i="6"/>
  <c r="P136" i="6"/>
  <c r="Q136" i="6"/>
  <c r="R136" i="6" s="1"/>
  <c r="T136" i="6"/>
  <c r="AB136" i="6"/>
  <c r="P137" i="6"/>
  <c r="Q137" i="6"/>
  <c r="R137" i="6" s="1"/>
  <c r="T137" i="6"/>
  <c r="AB137" i="6"/>
  <c r="P138" i="6"/>
  <c r="Q138" i="6"/>
  <c r="R138" i="6" s="1"/>
  <c r="T138" i="6"/>
  <c r="AB138" i="6"/>
  <c r="P139" i="6"/>
  <c r="Q139" i="6"/>
  <c r="R139" i="6" s="1"/>
  <c r="T139" i="6"/>
  <c r="AB139" i="6"/>
  <c r="P140" i="6"/>
  <c r="Q140" i="6"/>
  <c r="R140" i="6" s="1"/>
  <c r="T140" i="6"/>
  <c r="AB140" i="6"/>
  <c r="P141" i="6"/>
  <c r="Q141" i="6"/>
  <c r="R141" i="6" s="1"/>
  <c r="T141" i="6"/>
  <c r="AB141" i="6"/>
  <c r="P142" i="6"/>
  <c r="Q142" i="6"/>
  <c r="R142" i="6" s="1"/>
  <c r="T142" i="6"/>
  <c r="AB142" i="6"/>
  <c r="P143" i="6"/>
  <c r="Q143" i="6"/>
  <c r="R143" i="6" s="1"/>
  <c r="T143" i="6"/>
  <c r="AB143" i="6"/>
  <c r="P144" i="6"/>
  <c r="Q144" i="6"/>
  <c r="R144" i="6" s="1"/>
  <c r="T144" i="6"/>
  <c r="AB144" i="6"/>
  <c r="P145" i="6"/>
  <c r="Q145" i="6"/>
  <c r="R145" i="6" s="1"/>
  <c r="T145" i="6"/>
  <c r="AB145" i="6"/>
  <c r="P146" i="6"/>
  <c r="Q146" i="6"/>
  <c r="R146" i="6" s="1"/>
  <c r="T146" i="6"/>
  <c r="AB146" i="6"/>
  <c r="P147" i="6"/>
  <c r="Q147" i="6"/>
  <c r="R147" i="6" s="1"/>
  <c r="T147" i="6"/>
  <c r="AB147" i="6"/>
  <c r="P148" i="6"/>
  <c r="Q148" i="6"/>
  <c r="R148" i="6" s="1"/>
  <c r="T148" i="6"/>
  <c r="AB148" i="6"/>
  <c r="P149" i="6"/>
  <c r="Q149" i="6"/>
  <c r="R149" i="6" s="1"/>
  <c r="T149" i="6"/>
  <c r="AB149" i="6"/>
  <c r="P150" i="6"/>
  <c r="Q150" i="6"/>
  <c r="R150" i="6" s="1"/>
  <c r="T150" i="6"/>
  <c r="AB150" i="6"/>
  <c r="P151" i="6"/>
  <c r="Q151" i="6"/>
  <c r="R151" i="6" s="1"/>
  <c r="T151" i="6"/>
  <c r="AB151" i="6"/>
  <c r="P152" i="6"/>
  <c r="Q152" i="6"/>
  <c r="R152" i="6" s="1"/>
  <c r="T152" i="6"/>
  <c r="AB152" i="6"/>
  <c r="P153" i="6"/>
  <c r="Q153" i="6"/>
  <c r="R153" i="6" s="1"/>
  <c r="T153" i="6"/>
  <c r="AB153" i="6"/>
  <c r="P154" i="6"/>
  <c r="Q154" i="6"/>
  <c r="R154" i="6" s="1"/>
  <c r="T154" i="6"/>
  <c r="AB154" i="6"/>
  <c r="P155" i="6"/>
  <c r="Q155" i="6"/>
  <c r="R155" i="6" s="1"/>
  <c r="T155" i="6"/>
  <c r="AB155" i="6"/>
  <c r="P156" i="6"/>
  <c r="Q156" i="6"/>
  <c r="R156" i="6" s="1"/>
  <c r="T156" i="6"/>
  <c r="AB156" i="6"/>
  <c r="P157" i="6"/>
  <c r="Q157" i="6"/>
  <c r="R157" i="6" s="1"/>
  <c r="T157" i="6"/>
  <c r="AB157" i="6"/>
  <c r="P158" i="6"/>
  <c r="Q158" i="6"/>
  <c r="R158" i="6" s="1"/>
  <c r="T158" i="6"/>
  <c r="AB158" i="6"/>
  <c r="P159" i="6"/>
  <c r="Q159" i="6"/>
  <c r="R159" i="6" s="1"/>
  <c r="T159" i="6"/>
  <c r="AB159" i="6"/>
  <c r="P160" i="6"/>
  <c r="Q160" i="6"/>
  <c r="R160" i="6" s="1"/>
  <c r="T160" i="6"/>
  <c r="AB160" i="6"/>
  <c r="P161" i="6"/>
  <c r="Q161" i="6"/>
  <c r="R161" i="6" s="1"/>
  <c r="T161" i="6"/>
  <c r="AB161" i="6"/>
  <c r="P162" i="6"/>
  <c r="Q162" i="6"/>
  <c r="R162" i="6" s="1"/>
  <c r="T162" i="6"/>
  <c r="AB162" i="6"/>
  <c r="P163" i="6"/>
  <c r="Q163" i="6"/>
  <c r="R163" i="6" s="1"/>
  <c r="T163" i="6"/>
  <c r="AB163" i="6"/>
  <c r="P164" i="6"/>
  <c r="Q164" i="6"/>
  <c r="R164" i="6" s="1"/>
  <c r="T164" i="6"/>
  <c r="AB164" i="6"/>
  <c r="P165" i="6"/>
  <c r="Q165" i="6"/>
  <c r="R165" i="6" s="1"/>
  <c r="T165" i="6"/>
  <c r="AB165" i="6"/>
  <c r="P166" i="6"/>
  <c r="Q166" i="6"/>
  <c r="R166" i="6" s="1"/>
  <c r="T166" i="6"/>
  <c r="AB166" i="6"/>
  <c r="P167" i="6"/>
  <c r="Q167" i="6"/>
  <c r="R167" i="6" s="1"/>
  <c r="T167" i="6"/>
  <c r="AB167" i="6"/>
  <c r="P168" i="6"/>
  <c r="Q168" i="6"/>
  <c r="R168" i="6" s="1"/>
  <c r="T168" i="6"/>
  <c r="AB168" i="6"/>
  <c r="P169" i="6"/>
  <c r="Q169" i="6"/>
  <c r="R169" i="6" s="1"/>
  <c r="T169" i="6"/>
  <c r="AB169" i="6"/>
  <c r="P170" i="6"/>
  <c r="Q170" i="6"/>
  <c r="R170" i="6" s="1"/>
  <c r="T170" i="6"/>
  <c r="AB170" i="6"/>
  <c r="P171" i="6"/>
  <c r="Q171" i="6"/>
  <c r="R171" i="6" s="1"/>
  <c r="T171" i="6"/>
  <c r="AB171" i="6"/>
  <c r="P172" i="6"/>
  <c r="Q172" i="6"/>
  <c r="R172" i="6" s="1"/>
  <c r="T172" i="6"/>
  <c r="AB172" i="6"/>
  <c r="P173" i="6"/>
  <c r="Q173" i="6"/>
  <c r="R173" i="6" s="1"/>
  <c r="T173" i="6"/>
  <c r="AB173" i="6"/>
  <c r="P174" i="6"/>
  <c r="Q174" i="6"/>
  <c r="R174" i="6" s="1"/>
  <c r="T174" i="6"/>
  <c r="AB174" i="6"/>
  <c r="P175" i="6"/>
  <c r="Q175" i="6"/>
  <c r="R175" i="6" s="1"/>
  <c r="T175" i="6"/>
  <c r="AB175" i="6"/>
  <c r="P176" i="6"/>
  <c r="Q176" i="6"/>
  <c r="R176" i="6" s="1"/>
  <c r="T176" i="6"/>
  <c r="AB176" i="6"/>
  <c r="P177" i="6"/>
  <c r="Q177" i="6"/>
  <c r="R177" i="6" s="1"/>
  <c r="T177" i="6"/>
  <c r="AB177" i="6"/>
  <c r="P178" i="6"/>
  <c r="Q178" i="6"/>
  <c r="R178" i="6" s="1"/>
  <c r="T178" i="6"/>
  <c r="AB178" i="6"/>
  <c r="P179" i="6"/>
  <c r="Q179" i="6"/>
  <c r="R179" i="6" s="1"/>
  <c r="T179" i="6"/>
  <c r="AB179" i="6"/>
  <c r="P180" i="6"/>
  <c r="Q180" i="6"/>
  <c r="R180" i="6" s="1"/>
  <c r="T180" i="6"/>
  <c r="AB180" i="6"/>
  <c r="P181" i="6"/>
  <c r="Q181" i="6"/>
  <c r="R181" i="6" s="1"/>
  <c r="T181" i="6"/>
  <c r="AB181" i="6"/>
  <c r="P182" i="6"/>
  <c r="Q182" i="6"/>
  <c r="R182" i="6" s="1"/>
  <c r="T182" i="6"/>
  <c r="AB182" i="6"/>
  <c r="P183" i="6"/>
  <c r="Q183" i="6"/>
  <c r="R183" i="6" s="1"/>
  <c r="T183" i="6"/>
  <c r="AB183" i="6"/>
  <c r="P184" i="6"/>
  <c r="Q184" i="6"/>
  <c r="R184" i="6" s="1"/>
  <c r="T184" i="6"/>
  <c r="AB184" i="6"/>
  <c r="P185" i="6"/>
  <c r="Q185" i="6"/>
  <c r="R185" i="6" s="1"/>
  <c r="T185" i="6"/>
  <c r="AB185" i="6"/>
  <c r="P186" i="6"/>
  <c r="Q186" i="6"/>
  <c r="R186" i="6" s="1"/>
  <c r="T186" i="6"/>
  <c r="AB186" i="6"/>
  <c r="P187" i="6"/>
  <c r="Q187" i="6"/>
  <c r="R187" i="6" s="1"/>
  <c r="T187" i="6"/>
  <c r="AB187" i="6"/>
  <c r="P188" i="6"/>
  <c r="Q188" i="6"/>
  <c r="R188" i="6" s="1"/>
  <c r="T188" i="6"/>
  <c r="AB188" i="6"/>
  <c r="P189" i="6"/>
  <c r="Q189" i="6"/>
  <c r="R189" i="6" s="1"/>
  <c r="T189" i="6"/>
  <c r="AB189" i="6"/>
  <c r="P190" i="6"/>
  <c r="Q190" i="6"/>
  <c r="R190" i="6" s="1"/>
  <c r="T190" i="6"/>
  <c r="AB190" i="6"/>
  <c r="P191" i="6"/>
  <c r="Q191" i="6"/>
  <c r="R191" i="6" s="1"/>
  <c r="T191" i="6"/>
  <c r="AB191" i="6"/>
  <c r="P192" i="6"/>
  <c r="Q192" i="6"/>
  <c r="R192" i="6" s="1"/>
  <c r="T192" i="6"/>
  <c r="AB192" i="6"/>
  <c r="P193" i="6"/>
  <c r="Q193" i="6"/>
  <c r="R193" i="6" s="1"/>
  <c r="T193" i="6"/>
  <c r="AB193" i="6"/>
  <c r="P194" i="6"/>
  <c r="Q194" i="6"/>
  <c r="R194" i="6" s="1"/>
  <c r="T194" i="6"/>
  <c r="AB194" i="6"/>
  <c r="P195" i="6"/>
  <c r="Q195" i="6"/>
  <c r="R195" i="6" s="1"/>
  <c r="T195" i="6"/>
  <c r="AB195" i="6"/>
  <c r="P196" i="6"/>
  <c r="Q196" i="6"/>
  <c r="R196" i="6" s="1"/>
  <c r="T196" i="6"/>
  <c r="AB196" i="6"/>
  <c r="P197" i="6"/>
  <c r="Q197" i="6"/>
  <c r="R197" i="6" s="1"/>
  <c r="T197" i="6"/>
  <c r="AB197" i="6"/>
  <c r="P198" i="6"/>
  <c r="Q198" i="6"/>
  <c r="R198" i="6" s="1"/>
  <c r="T198" i="6"/>
  <c r="AB198" i="6"/>
  <c r="P199" i="6"/>
  <c r="Q199" i="6"/>
  <c r="R199" i="6" s="1"/>
  <c r="T199" i="6"/>
  <c r="AB199" i="6"/>
  <c r="P200" i="6"/>
  <c r="Q200" i="6"/>
  <c r="R200" i="6" s="1"/>
  <c r="T200" i="6"/>
  <c r="AB200" i="6"/>
  <c r="P201" i="6"/>
  <c r="Q201" i="6"/>
  <c r="R201" i="6" s="1"/>
  <c r="T201" i="6"/>
  <c r="AB201" i="6"/>
  <c r="P202" i="6"/>
  <c r="Q202" i="6"/>
  <c r="R202" i="6" s="1"/>
  <c r="T202" i="6"/>
  <c r="AB202" i="6"/>
  <c r="P203" i="6"/>
  <c r="Q203" i="6"/>
  <c r="R203" i="6" s="1"/>
  <c r="T203" i="6"/>
  <c r="AB203" i="6"/>
  <c r="P204" i="6"/>
  <c r="Q204" i="6"/>
  <c r="R204" i="6" s="1"/>
  <c r="T204" i="6"/>
  <c r="AB204" i="6"/>
  <c r="P205" i="6"/>
  <c r="Q205" i="6"/>
  <c r="R205" i="6" s="1"/>
  <c r="T205" i="6"/>
  <c r="AB205" i="6"/>
  <c r="P206" i="6"/>
  <c r="Q206" i="6"/>
  <c r="R206" i="6" s="1"/>
  <c r="T206" i="6"/>
  <c r="AB206" i="6"/>
  <c r="P207" i="6"/>
  <c r="Q207" i="6"/>
  <c r="R207" i="6" s="1"/>
  <c r="T207" i="6"/>
  <c r="AB207" i="6"/>
  <c r="P208" i="6"/>
  <c r="Q208" i="6"/>
  <c r="R208" i="6" s="1"/>
  <c r="T208" i="6"/>
  <c r="AB208" i="6"/>
  <c r="P209" i="6"/>
  <c r="Q209" i="6"/>
  <c r="R209" i="6" s="1"/>
  <c r="T209" i="6"/>
  <c r="AB209" i="6"/>
  <c r="P210" i="6"/>
  <c r="Q210" i="6"/>
  <c r="R210" i="6" s="1"/>
  <c r="T210" i="6"/>
  <c r="AB210" i="6"/>
  <c r="P211" i="6"/>
  <c r="Q211" i="6"/>
  <c r="R211" i="6" s="1"/>
  <c r="T211" i="6"/>
  <c r="AB211" i="6"/>
  <c r="P212" i="6"/>
  <c r="Q212" i="6"/>
  <c r="R212" i="6" s="1"/>
  <c r="T212" i="6"/>
  <c r="AB212" i="6"/>
  <c r="P213" i="6"/>
  <c r="Q213" i="6"/>
  <c r="R213" i="6" s="1"/>
  <c r="T213" i="6"/>
  <c r="AB213" i="6"/>
  <c r="P214" i="6"/>
  <c r="Q214" i="6"/>
  <c r="R214" i="6" s="1"/>
  <c r="T214" i="6"/>
  <c r="AB214" i="6"/>
  <c r="P215" i="6"/>
  <c r="Q215" i="6"/>
  <c r="R215" i="6" s="1"/>
  <c r="T215" i="6"/>
  <c r="AB215" i="6"/>
  <c r="P216" i="6"/>
  <c r="Q216" i="6"/>
  <c r="R216" i="6" s="1"/>
  <c r="T216" i="6"/>
  <c r="AB216" i="6"/>
  <c r="P217" i="6"/>
  <c r="Q217" i="6"/>
  <c r="R217" i="6" s="1"/>
  <c r="T217" i="6"/>
  <c r="AB217" i="6"/>
  <c r="P218" i="6"/>
  <c r="Q218" i="6"/>
  <c r="R218" i="6" s="1"/>
  <c r="T218" i="6"/>
  <c r="AB218" i="6"/>
  <c r="P219" i="6"/>
  <c r="Q219" i="6"/>
  <c r="R219" i="6" s="1"/>
  <c r="T219" i="6"/>
  <c r="AB219" i="6"/>
  <c r="P220" i="6"/>
  <c r="Q220" i="6"/>
  <c r="R220" i="6" s="1"/>
  <c r="T220" i="6"/>
  <c r="AB220" i="6"/>
  <c r="P221" i="6"/>
  <c r="Q221" i="6"/>
  <c r="R221" i="6" s="1"/>
  <c r="T221" i="6"/>
  <c r="AB221" i="6"/>
  <c r="P222" i="6"/>
  <c r="Q222" i="6"/>
  <c r="R222" i="6" s="1"/>
  <c r="T222" i="6"/>
  <c r="AB222" i="6"/>
  <c r="P223" i="6"/>
  <c r="Q223" i="6"/>
  <c r="R223" i="6" s="1"/>
  <c r="T223" i="6"/>
  <c r="AB223" i="6"/>
  <c r="P224" i="6"/>
  <c r="Q224" i="6"/>
  <c r="R224" i="6" s="1"/>
  <c r="T224" i="6"/>
  <c r="AB224" i="6"/>
  <c r="P225" i="6"/>
  <c r="Q225" i="6"/>
  <c r="R225" i="6" s="1"/>
  <c r="T225" i="6"/>
  <c r="AB225" i="6"/>
  <c r="P226" i="6"/>
  <c r="Q226" i="6"/>
  <c r="R226" i="6" s="1"/>
  <c r="T226" i="6"/>
  <c r="AB226" i="6"/>
  <c r="P227" i="6"/>
  <c r="Q227" i="6"/>
  <c r="R227" i="6" s="1"/>
  <c r="T227" i="6"/>
  <c r="AB227" i="6"/>
  <c r="P228" i="6"/>
  <c r="Q228" i="6"/>
  <c r="R228" i="6" s="1"/>
  <c r="T228" i="6"/>
  <c r="AB228" i="6"/>
  <c r="P229" i="6"/>
  <c r="Q229" i="6"/>
  <c r="R229" i="6" s="1"/>
  <c r="T229" i="6"/>
  <c r="AB229" i="6"/>
  <c r="P230" i="6"/>
  <c r="Q230" i="6"/>
  <c r="R230" i="6" s="1"/>
  <c r="T230" i="6"/>
  <c r="AB230" i="6"/>
  <c r="P231" i="6"/>
  <c r="Q231" i="6"/>
  <c r="R231" i="6" s="1"/>
  <c r="T231" i="6"/>
  <c r="AB231" i="6"/>
  <c r="P232" i="6"/>
  <c r="Q232" i="6"/>
  <c r="R232" i="6" s="1"/>
  <c r="T232" i="6"/>
  <c r="AB232" i="6"/>
  <c r="P233" i="6"/>
  <c r="Q233" i="6"/>
  <c r="R233" i="6" s="1"/>
  <c r="T233" i="6"/>
  <c r="AB233" i="6"/>
  <c r="P234" i="6"/>
  <c r="Q234" i="6"/>
  <c r="R234" i="6" s="1"/>
  <c r="T234" i="6"/>
  <c r="AB234" i="6"/>
  <c r="P235" i="6"/>
  <c r="Q235" i="6"/>
  <c r="R235" i="6" s="1"/>
  <c r="T235" i="6"/>
  <c r="AB235" i="6"/>
  <c r="P236" i="6"/>
  <c r="Q236" i="6"/>
  <c r="R236" i="6" s="1"/>
  <c r="T236" i="6"/>
  <c r="AB236" i="6"/>
  <c r="P237" i="6"/>
  <c r="Q237" i="6"/>
  <c r="R237" i="6" s="1"/>
  <c r="T237" i="6"/>
  <c r="AB237" i="6"/>
  <c r="P238" i="6"/>
  <c r="Q238" i="6"/>
  <c r="R238" i="6" s="1"/>
  <c r="T238" i="6"/>
  <c r="AB238" i="6"/>
  <c r="P239" i="6"/>
  <c r="Q239" i="6"/>
  <c r="R239" i="6" s="1"/>
  <c r="T239" i="6"/>
  <c r="AB239" i="6"/>
  <c r="P240" i="6"/>
  <c r="Q240" i="6"/>
  <c r="R240" i="6" s="1"/>
  <c r="T240" i="6"/>
  <c r="AB240" i="6"/>
  <c r="P241" i="6"/>
  <c r="Q241" i="6"/>
  <c r="R241" i="6" s="1"/>
  <c r="T241" i="6"/>
  <c r="AB241" i="6"/>
  <c r="P242" i="6"/>
  <c r="Q242" i="6"/>
  <c r="R242" i="6" s="1"/>
  <c r="T242" i="6"/>
  <c r="AB242" i="6"/>
  <c r="P243" i="6"/>
  <c r="Q243" i="6"/>
  <c r="R243" i="6" s="1"/>
  <c r="T243" i="6"/>
  <c r="AB243" i="6"/>
  <c r="P244" i="6"/>
  <c r="Q244" i="6"/>
  <c r="R244" i="6" s="1"/>
  <c r="T244" i="6"/>
  <c r="AB244" i="6"/>
  <c r="P245" i="6"/>
  <c r="Q245" i="6"/>
  <c r="R245" i="6" s="1"/>
  <c r="T245" i="6"/>
  <c r="AB245" i="6"/>
  <c r="P246" i="6"/>
  <c r="Q246" i="6"/>
  <c r="R246" i="6" s="1"/>
  <c r="T246" i="6"/>
  <c r="AB246" i="6"/>
  <c r="P247" i="6"/>
  <c r="Q247" i="6"/>
  <c r="R247" i="6" s="1"/>
  <c r="T247" i="6"/>
  <c r="AB247" i="6"/>
  <c r="P248" i="6"/>
  <c r="Q248" i="6"/>
  <c r="R248" i="6" s="1"/>
  <c r="T248" i="6"/>
  <c r="AB248" i="6"/>
  <c r="P249" i="6"/>
  <c r="Q249" i="6"/>
  <c r="R249" i="6" s="1"/>
  <c r="T249" i="6"/>
  <c r="AB249" i="6"/>
  <c r="P250" i="6"/>
  <c r="Q250" i="6"/>
  <c r="R250" i="6" s="1"/>
  <c r="T250" i="6"/>
  <c r="AB250" i="6"/>
  <c r="P251" i="6"/>
  <c r="Q251" i="6"/>
  <c r="R251" i="6" s="1"/>
  <c r="T251" i="6"/>
  <c r="AB251" i="6"/>
  <c r="P252" i="6"/>
  <c r="Q252" i="6"/>
  <c r="R252" i="6" s="1"/>
  <c r="T252" i="6"/>
  <c r="AB252" i="6"/>
  <c r="P253" i="6"/>
  <c r="Q253" i="6"/>
  <c r="R253" i="6" s="1"/>
  <c r="T253" i="6"/>
  <c r="AB253" i="6"/>
  <c r="P254" i="6"/>
  <c r="Q254" i="6"/>
  <c r="R254" i="6" s="1"/>
  <c r="T254" i="6"/>
  <c r="AB254" i="6"/>
  <c r="P255" i="6"/>
  <c r="Q255" i="6"/>
  <c r="R255" i="6" s="1"/>
  <c r="T255" i="6"/>
  <c r="AB255" i="6"/>
  <c r="P256" i="6"/>
  <c r="Q256" i="6"/>
  <c r="R256" i="6" s="1"/>
  <c r="T256" i="6"/>
  <c r="AB256" i="6"/>
  <c r="P257" i="6"/>
  <c r="Q257" i="6"/>
  <c r="R257" i="6" s="1"/>
  <c r="T257" i="6"/>
  <c r="AB257" i="6"/>
  <c r="P258" i="6"/>
  <c r="Q258" i="6"/>
  <c r="R258" i="6" s="1"/>
  <c r="T258" i="6"/>
  <c r="AB258" i="6"/>
  <c r="P259" i="6"/>
  <c r="Q259" i="6"/>
  <c r="R259" i="6" s="1"/>
  <c r="T259" i="6"/>
  <c r="AB259" i="6"/>
  <c r="P260" i="6"/>
  <c r="Q260" i="6"/>
  <c r="R260" i="6" s="1"/>
  <c r="T260" i="6"/>
  <c r="AB260" i="6"/>
  <c r="P261" i="6"/>
  <c r="Q261" i="6"/>
  <c r="R261" i="6" s="1"/>
  <c r="T261" i="6"/>
  <c r="AB261" i="6"/>
  <c r="P262" i="6"/>
  <c r="Q262" i="6"/>
  <c r="R262" i="6" s="1"/>
  <c r="T262" i="6"/>
  <c r="AB262" i="6"/>
  <c r="P263" i="6"/>
  <c r="Q263" i="6"/>
  <c r="R263" i="6" s="1"/>
  <c r="T263" i="6"/>
  <c r="AB263" i="6"/>
  <c r="P264" i="6"/>
  <c r="Q264" i="6"/>
  <c r="R264" i="6" s="1"/>
  <c r="T264" i="6"/>
  <c r="AB264" i="6"/>
  <c r="P265" i="6"/>
  <c r="Q265" i="6"/>
  <c r="R265" i="6" s="1"/>
  <c r="T265" i="6"/>
  <c r="AB265" i="6"/>
  <c r="P266" i="6"/>
  <c r="Q266" i="6"/>
  <c r="R266" i="6" s="1"/>
  <c r="T266" i="6"/>
  <c r="AB266" i="6"/>
  <c r="P267" i="6"/>
  <c r="Q267" i="6"/>
  <c r="R267" i="6" s="1"/>
  <c r="T267" i="6"/>
  <c r="AB267" i="6"/>
  <c r="P268" i="6"/>
  <c r="Q268" i="6"/>
  <c r="R268" i="6" s="1"/>
  <c r="T268" i="6"/>
  <c r="AB268" i="6"/>
  <c r="P269" i="6"/>
  <c r="Q269" i="6"/>
  <c r="R269" i="6" s="1"/>
  <c r="T269" i="6"/>
  <c r="AB269" i="6"/>
  <c r="P270" i="6"/>
  <c r="Q270" i="6"/>
  <c r="R270" i="6" s="1"/>
  <c r="T270" i="6"/>
  <c r="AB270" i="6"/>
  <c r="P271" i="6"/>
  <c r="Q271" i="6"/>
  <c r="R271" i="6" s="1"/>
  <c r="T271" i="6"/>
  <c r="AB271" i="6"/>
  <c r="P272" i="6"/>
  <c r="Q272" i="6"/>
  <c r="R272" i="6" s="1"/>
  <c r="T272" i="6"/>
  <c r="AB272" i="6"/>
  <c r="P273" i="6"/>
  <c r="Q273" i="6"/>
  <c r="R273" i="6" s="1"/>
  <c r="T273" i="6"/>
  <c r="AB273" i="6"/>
  <c r="P274" i="6"/>
  <c r="Q274" i="6"/>
  <c r="R274" i="6" s="1"/>
  <c r="T274" i="6"/>
  <c r="AB274" i="6"/>
  <c r="P275" i="6"/>
  <c r="Q275" i="6"/>
  <c r="R275" i="6" s="1"/>
  <c r="T275" i="6"/>
  <c r="AB275" i="6"/>
  <c r="P276" i="6"/>
  <c r="Q276" i="6"/>
  <c r="R276" i="6" s="1"/>
  <c r="T276" i="6"/>
  <c r="AB276" i="6"/>
  <c r="P277" i="6"/>
  <c r="Q277" i="6"/>
  <c r="R277" i="6" s="1"/>
  <c r="T277" i="6"/>
  <c r="AB277" i="6"/>
  <c r="P278" i="6"/>
  <c r="Q278" i="6"/>
  <c r="R278" i="6" s="1"/>
  <c r="T278" i="6"/>
  <c r="AB278" i="6"/>
  <c r="P279" i="6"/>
  <c r="Q279" i="6"/>
  <c r="R279" i="6" s="1"/>
  <c r="T279" i="6"/>
  <c r="AB279" i="6"/>
  <c r="P280" i="6"/>
  <c r="Q280" i="6"/>
  <c r="R280" i="6" s="1"/>
  <c r="T280" i="6"/>
  <c r="AB280" i="6"/>
  <c r="P281" i="6"/>
  <c r="Q281" i="6"/>
  <c r="R281" i="6" s="1"/>
  <c r="T281" i="6"/>
  <c r="AB281" i="6"/>
  <c r="P282" i="6"/>
  <c r="Q282" i="6"/>
  <c r="R282" i="6" s="1"/>
  <c r="T282" i="6"/>
  <c r="AB282" i="6"/>
  <c r="P283" i="6"/>
  <c r="Q283" i="6"/>
  <c r="R283" i="6" s="1"/>
  <c r="T283" i="6"/>
  <c r="AB283" i="6"/>
  <c r="P284" i="6"/>
  <c r="Q284" i="6"/>
  <c r="R284" i="6" s="1"/>
  <c r="T284" i="6"/>
  <c r="AB284" i="6"/>
  <c r="P285" i="6"/>
  <c r="Q285" i="6"/>
  <c r="R285" i="6" s="1"/>
  <c r="T285" i="6"/>
  <c r="AB285" i="6"/>
  <c r="P286" i="6"/>
  <c r="Q286" i="6"/>
  <c r="R286" i="6" s="1"/>
  <c r="T286" i="6"/>
  <c r="AB286" i="6"/>
  <c r="P287" i="6"/>
  <c r="Q287" i="6"/>
  <c r="R287" i="6" s="1"/>
  <c r="T287" i="6"/>
  <c r="AB287" i="6"/>
  <c r="P288" i="6"/>
  <c r="Q288" i="6"/>
  <c r="R288" i="6" s="1"/>
  <c r="T288" i="6"/>
  <c r="AB288" i="6"/>
  <c r="P289" i="6"/>
  <c r="Q289" i="6"/>
  <c r="R289" i="6" s="1"/>
  <c r="T289" i="6"/>
  <c r="AB289" i="6"/>
  <c r="P290" i="6"/>
  <c r="Q290" i="6"/>
  <c r="R290" i="6" s="1"/>
  <c r="T290" i="6"/>
  <c r="AB290" i="6"/>
  <c r="P291" i="6"/>
  <c r="Q291" i="6"/>
  <c r="R291" i="6" s="1"/>
  <c r="T291" i="6"/>
  <c r="AB291" i="6"/>
  <c r="P292" i="6"/>
  <c r="Q292" i="6"/>
  <c r="R292" i="6" s="1"/>
  <c r="T292" i="6"/>
  <c r="AB292" i="6"/>
  <c r="P293" i="6"/>
  <c r="Q293" i="6"/>
  <c r="R293" i="6" s="1"/>
  <c r="T293" i="6"/>
  <c r="AB293" i="6"/>
  <c r="P294" i="6"/>
  <c r="Q294" i="6"/>
  <c r="R294" i="6" s="1"/>
  <c r="T294" i="6"/>
  <c r="AB294" i="6"/>
  <c r="P295" i="6"/>
  <c r="Q295" i="6"/>
  <c r="R295" i="6" s="1"/>
  <c r="T295" i="6"/>
  <c r="AB295" i="6"/>
  <c r="P296" i="6"/>
  <c r="Q296" i="6"/>
  <c r="R296" i="6" s="1"/>
  <c r="T296" i="6"/>
  <c r="AB296" i="6"/>
  <c r="P297" i="6"/>
  <c r="Q297" i="6"/>
  <c r="R297" i="6" s="1"/>
  <c r="T297" i="6"/>
  <c r="AB297" i="6"/>
  <c r="P298" i="6"/>
  <c r="Q298" i="6"/>
  <c r="R298" i="6" s="1"/>
  <c r="T298" i="6"/>
  <c r="AB298" i="6"/>
  <c r="P299" i="6"/>
  <c r="Q299" i="6"/>
  <c r="R299" i="6" s="1"/>
  <c r="T299" i="6"/>
  <c r="AB299" i="6"/>
  <c r="P300" i="6"/>
  <c r="Q300" i="6"/>
  <c r="R300" i="6" s="1"/>
  <c r="T300" i="6"/>
  <c r="AB300" i="6"/>
  <c r="P301" i="6"/>
  <c r="Q301" i="6"/>
  <c r="R301" i="6" s="1"/>
  <c r="T301" i="6"/>
  <c r="AB301" i="6"/>
  <c r="P302" i="6"/>
  <c r="Q302" i="6"/>
  <c r="R302" i="6" s="1"/>
  <c r="T302" i="6"/>
  <c r="AB302" i="6"/>
  <c r="P303" i="6"/>
  <c r="Q303" i="6"/>
  <c r="R303" i="6" s="1"/>
  <c r="T303" i="6"/>
  <c r="AB303" i="6"/>
  <c r="P304" i="6"/>
  <c r="Q304" i="6"/>
  <c r="R304" i="6" s="1"/>
  <c r="T304" i="6"/>
  <c r="AB304" i="6"/>
  <c r="P305" i="6"/>
  <c r="Q305" i="6"/>
  <c r="R305" i="6" s="1"/>
  <c r="T305" i="6"/>
  <c r="AB305" i="6"/>
  <c r="P306" i="6"/>
  <c r="Q306" i="6"/>
  <c r="R306" i="6" s="1"/>
  <c r="T306" i="6"/>
  <c r="AB306" i="6"/>
  <c r="P307" i="6"/>
  <c r="Q307" i="6"/>
  <c r="R307" i="6" s="1"/>
  <c r="T307" i="6"/>
  <c r="AB307" i="6"/>
  <c r="P308" i="6"/>
  <c r="Q308" i="6"/>
  <c r="R308" i="6" s="1"/>
  <c r="T308" i="6"/>
  <c r="AB308" i="6"/>
  <c r="P309" i="6"/>
  <c r="Q309" i="6"/>
  <c r="R309" i="6" s="1"/>
  <c r="T309" i="6"/>
  <c r="AB309" i="6"/>
  <c r="P310" i="6"/>
  <c r="Q310" i="6"/>
  <c r="R310" i="6" s="1"/>
  <c r="T310" i="6"/>
  <c r="AB310" i="6"/>
  <c r="P311" i="6"/>
  <c r="Q311" i="6"/>
  <c r="R311" i="6" s="1"/>
  <c r="T311" i="6"/>
  <c r="AB311" i="6"/>
  <c r="P312" i="6"/>
  <c r="Q312" i="6"/>
  <c r="R312" i="6" s="1"/>
  <c r="T312" i="6"/>
  <c r="AB312" i="6"/>
  <c r="P313" i="6"/>
  <c r="Q313" i="6"/>
  <c r="R313" i="6" s="1"/>
  <c r="T313" i="6"/>
  <c r="AB313" i="6"/>
  <c r="P314" i="6"/>
  <c r="Q314" i="6"/>
  <c r="R314" i="6" s="1"/>
  <c r="T314" i="6"/>
  <c r="AB314" i="6"/>
  <c r="P315" i="6"/>
  <c r="Q315" i="6"/>
  <c r="R315" i="6" s="1"/>
  <c r="T315" i="6"/>
  <c r="AB315" i="6"/>
  <c r="P316" i="6"/>
  <c r="Q316" i="6"/>
  <c r="R316" i="6" s="1"/>
  <c r="T316" i="6"/>
  <c r="AB316" i="6"/>
  <c r="P317" i="6"/>
  <c r="Q317" i="6"/>
  <c r="R317" i="6" s="1"/>
  <c r="T317" i="6"/>
  <c r="AB317" i="6"/>
  <c r="P318" i="6"/>
  <c r="Q318" i="6"/>
  <c r="R318" i="6" s="1"/>
  <c r="T318" i="6"/>
  <c r="AB318" i="6"/>
  <c r="P319" i="6"/>
  <c r="Q319" i="6"/>
  <c r="R319" i="6" s="1"/>
  <c r="T319" i="6"/>
  <c r="AB319" i="6"/>
  <c r="P320" i="6"/>
  <c r="Q320" i="6"/>
  <c r="R320" i="6" s="1"/>
  <c r="T320" i="6"/>
  <c r="AB320" i="6"/>
  <c r="P321" i="6"/>
  <c r="Q321" i="6"/>
  <c r="R321" i="6" s="1"/>
  <c r="T321" i="6"/>
  <c r="AB321" i="6"/>
  <c r="P322" i="6"/>
  <c r="Q322" i="6"/>
  <c r="R322" i="6" s="1"/>
  <c r="T322" i="6"/>
  <c r="AB322" i="6"/>
  <c r="P323" i="6"/>
  <c r="Q323" i="6"/>
  <c r="R323" i="6" s="1"/>
  <c r="T323" i="6"/>
  <c r="AB323" i="6"/>
  <c r="P324" i="6"/>
  <c r="Q324" i="6"/>
  <c r="R324" i="6" s="1"/>
  <c r="T324" i="6"/>
  <c r="AB324" i="6"/>
  <c r="P325" i="6"/>
  <c r="Q325" i="6"/>
  <c r="R325" i="6" s="1"/>
  <c r="T325" i="6"/>
  <c r="AB325" i="6"/>
  <c r="P326" i="6"/>
  <c r="Q326" i="6"/>
  <c r="R326" i="6" s="1"/>
  <c r="T326" i="6"/>
  <c r="AB326" i="6"/>
  <c r="P327" i="6"/>
  <c r="Q327" i="6"/>
  <c r="R327" i="6" s="1"/>
  <c r="T327" i="6"/>
  <c r="AB327" i="6"/>
  <c r="P328" i="6"/>
  <c r="Q328" i="6"/>
  <c r="R328" i="6" s="1"/>
  <c r="T328" i="6"/>
  <c r="AB328" i="6"/>
  <c r="P329" i="6"/>
  <c r="Q329" i="6"/>
  <c r="R329" i="6" s="1"/>
  <c r="T329" i="6"/>
  <c r="AB329" i="6"/>
  <c r="P330" i="6"/>
  <c r="Q330" i="6"/>
  <c r="R330" i="6" s="1"/>
  <c r="T330" i="6"/>
  <c r="AB330" i="6"/>
  <c r="P331" i="6"/>
  <c r="Q331" i="6"/>
  <c r="R331" i="6" s="1"/>
  <c r="T331" i="6"/>
  <c r="AB331" i="6"/>
  <c r="P332" i="6"/>
  <c r="Q332" i="6"/>
  <c r="R332" i="6" s="1"/>
  <c r="T332" i="6"/>
  <c r="AB332" i="6"/>
  <c r="P333" i="6"/>
  <c r="Q333" i="6"/>
  <c r="R333" i="6" s="1"/>
  <c r="T333" i="6"/>
  <c r="AB333" i="6"/>
  <c r="P334" i="6"/>
  <c r="Q334" i="6"/>
  <c r="R334" i="6" s="1"/>
  <c r="T334" i="6"/>
  <c r="AB334" i="6"/>
  <c r="P335" i="6"/>
  <c r="Q335" i="6"/>
  <c r="R335" i="6" s="1"/>
  <c r="T335" i="6"/>
  <c r="AB335" i="6"/>
  <c r="P336" i="6"/>
  <c r="Q336" i="6"/>
  <c r="R336" i="6" s="1"/>
  <c r="T336" i="6"/>
  <c r="AB336" i="6"/>
  <c r="P337" i="6"/>
  <c r="Q337" i="6"/>
  <c r="R337" i="6" s="1"/>
  <c r="T337" i="6"/>
  <c r="AB337" i="6"/>
  <c r="P338" i="6"/>
  <c r="Q338" i="6"/>
  <c r="R338" i="6" s="1"/>
  <c r="T338" i="6"/>
  <c r="AB338" i="6"/>
  <c r="P339" i="6"/>
  <c r="Q339" i="6"/>
  <c r="R339" i="6" s="1"/>
  <c r="T339" i="6"/>
  <c r="AB339" i="6"/>
  <c r="P340" i="6"/>
  <c r="Q340" i="6"/>
  <c r="R340" i="6" s="1"/>
  <c r="T340" i="6"/>
  <c r="AB340" i="6"/>
  <c r="P341" i="6"/>
  <c r="Q341" i="6"/>
  <c r="R341" i="6" s="1"/>
  <c r="T341" i="6"/>
  <c r="AB341" i="6"/>
  <c r="P342" i="6"/>
  <c r="Q342" i="6"/>
  <c r="R342" i="6" s="1"/>
  <c r="T342" i="6"/>
  <c r="AB342" i="6"/>
  <c r="P343" i="6"/>
  <c r="Q343" i="6"/>
  <c r="R343" i="6" s="1"/>
  <c r="T343" i="6"/>
  <c r="AB343" i="6"/>
  <c r="P344" i="6"/>
  <c r="Q344" i="6"/>
  <c r="R344" i="6" s="1"/>
  <c r="T344" i="6"/>
  <c r="AB344" i="6"/>
  <c r="P345" i="6"/>
  <c r="Q345" i="6"/>
  <c r="R345" i="6" s="1"/>
  <c r="T345" i="6"/>
  <c r="AB345" i="6"/>
  <c r="P346" i="6"/>
  <c r="Q346" i="6"/>
  <c r="R346" i="6" s="1"/>
  <c r="T346" i="6"/>
  <c r="AB346" i="6"/>
  <c r="P347" i="6"/>
  <c r="Q347" i="6"/>
  <c r="R347" i="6" s="1"/>
  <c r="T347" i="6"/>
  <c r="AB347" i="6"/>
  <c r="P348" i="6"/>
  <c r="Q348" i="6"/>
  <c r="R348" i="6" s="1"/>
  <c r="T348" i="6"/>
  <c r="AB348" i="6"/>
  <c r="P349" i="6"/>
  <c r="Q349" i="6"/>
  <c r="R349" i="6" s="1"/>
  <c r="T349" i="6"/>
  <c r="AB349" i="6"/>
  <c r="P350" i="6"/>
  <c r="Q350" i="6"/>
  <c r="R350" i="6" s="1"/>
  <c r="T350" i="6"/>
  <c r="AB350" i="6"/>
  <c r="P351" i="6"/>
  <c r="Q351" i="6"/>
  <c r="R351" i="6" s="1"/>
  <c r="T351" i="6"/>
  <c r="AB351" i="6"/>
  <c r="P352" i="6"/>
  <c r="Q352" i="6"/>
  <c r="R352" i="6" s="1"/>
  <c r="T352" i="6"/>
  <c r="AB352" i="6"/>
  <c r="P353" i="6"/>
  <c r="Q353" i="6"/>
  <c r="R353" i="6" s="1"/>
  <c r="T353" i="6"/>
  <c r="AB353" i="6"/>
  <c r="P354" i="6"/>
  <c r="Q354" i="6"/>
  <c r="R354" i="6" s="1"/>
  <c r="T354" i="6"/>
  <c r="AB354" i="6"/>
  <c r="P355" i="6"/>
  <c r="Q355" i="6"/>
  <c r="R355" i="6" s="1"/>
  <c r="T355" i="6"/>
  <c r="AB355" i="6"/>
  <c r="P356" i="6"/>
  <c r="Q356" i="6"/>
  <c r="R356" i="6" s="1"/>
  <c r="T356" i="6"/>
  <c r="AB356" i="6"/>
  <c r="P357" i="6"/>
  <c r="Q357" i="6"/>
  <c r="R357" i="6" s="1"/>
  <c r="T357" i="6"/>
  <c r="AB357" i="6"/>
  <c r="P358" i="6"/>
  <c r="Q358" i="6"/>
  <c r="R358" i="6" s="1"/>
  <c r="T358" i="6"/>
  <c r="AB358" i="6"/>
  <c r="P359" i="6"/>
  <c r="Q359" i="6"/>
  <c r="R359" i="6" s="1"/>
  <c r="T359" i="6"/>
  <c r="AB359" i="6"/>
  <c r="P360" i="6"/>
  <c r="Q360" i="6"/>
  <c r="R360" i="6" s="1"/>
  <c r="T360" i="6"/>
  <c r="AB360" i="6"/>
  <c r="P361" i="6"/>
  <c r="Q361" i="6"/>
  <c r="R361" i="6" s="1"/>
  <c r="T361" i="6"/>
  <c r="AB361" i="6"/>
  <c r="P362" i="6"/>
  <c r="Q362" i="6"/>
  <c r="R362" i="6" s="1"/>
  <c r="T362" i="6"/>
  <c r="AB362" i="6"/>
  <c r="P363" i="6"/>
  <c r="Q363" i="6"/>
  <c r="R363" i="6" s="1"/>
  <c r="T363" i="6"/>
  <c r="AB363" i="6"/>
  <c r="P364" i="6"/>
  <c r="Q364" i="6"/>
  <c r="R364" i="6" s="1"/>
  <c r="T364" i="6"/>
  <c r="AB364" i="6"/>
  <c r="P365" i="6"/>
  <c r="Q365" i="6"/>
  <c r="R365" i="6" s="1"/>
  <c r="T365" i="6"/>
  <c r="AB365" i="6"/>
  <c r="P366" i="6"/>
  <c r="Q366" i="6"/>
  <c r="R366" i="6" s="1"/>
  <c r="T366" i="6"/>
  <c r="AB366" i="6"/>
  <c r="P367" i="6"/>
  <c r="Q367" i="6"/>
  <c r="R367" i="6" s="1"/>
  <c r="T367" i="6"/>
  <c r="AB367" i="6"/>
  <c r="P368" i="6"/>
  <c r="Q368" i="6"/>
  <c r="R368" i="6" s="1"/>
  <c r="T368" i="6"/>
  <c r="AB368" i="6"/>
  <c r="P369" i="6"/>
  <c r="Q369" i="6"/>
  <c r="R369" i="6" s="1"/>
  <c r="T369" i="6"/>
  <c r="AB369" i="6"/>
  <c r="P370" i="6"/>
  <c r="Q370" i="6"/>
  <c r="R370" i="6" s="1"/>
  <c r="T370" i="6"/>
  <c r="AB370" i="6"/>
  <c r="P371" i="6"/>
  <c r="Q371" i="6"/>
  <c r="R371" i="6" s="1"/>
  <c r="T371" i="6"/>
  <c r="AB371" i="6"/>
  <c r="P372" i="6"/>
  <c r="Q372" i="6"/>
  <c r="R372" i="6" s="1"/>
  <c r="T372" i="6"/>
  <c r="AB372" i="6"/>
  <c r="P373" i="6"/>
  <c r="Q373" i="6"/>
  <c r="R373" i="6" s="1"/>
  <c r="T373" i="6"/>
  <c r="AB373" i="6"/>
  <c r="P374" i="6"/>
  <c r="Q374" i="6"/>
  <c r="R374" i="6" s="1"/>
  <c r="T374" i="6"/>
  <c r="AB374" i="6"/>
  <c r="P375" i="6"/>
  <c r="Q375" i="6"/>
  <c r="R375" i="6" s="1"/>
  <c r="T375" i="6"/>
  <c r="AB375" i="6"/>
  <c r="P376" i="6"/>
  <c r="Q376" i="6"/>
  <c r="R376" i="6" s="1"/>
  <c r="T376" i="6"/>
  <c r="AB376" i="6"/>
  <c r="P377" i="6"/>
  <c r="Q377" i="6"/>
  <c r="R377" i="6" s="1"/>
  <c r="T377" i="6"/>
  <c r="AB377" i="6"/>
  <c r="P378" i="6"/>
  <c r="Q378" i="6"/>
  <c r="R378" i="6" s="1"/>
  <c r="T378" i="6"/>
  <c r="AB378" i="6"/>
  <c r="P379" i="6"/>
  <c r="Q379" i="6"/>
  <c r="R379" i="6" s="1"/>
  <c r="T379" i="6"/>
  <c r="AB379" i="6"/>
  <c r="P380" i="6"/>
  <c r="Q380" i="6"/>
  <c r="R380" i="6" s="1"/>
  <c r="T380" i="6"/>
  <c r="AB380" i="6"/>
  <c r="P381" i="6"/>
  <c r="Q381" i="6"/>
  <c r="R381" i="6" s="1"/>
  <c r="T381" i="6"/>
  <c r="AB381" i="6"/>
  <c r="P382" i="6"/>
  <c r="Q382" i="6"/>
  <c r="R382" i="6" s="1"/>
  <c r="T382" i="6"/>
  <c r="AB382" i="6"/>
  <c r="P383" i="6"/>
  <c r="Q383" i="6"/>
  <c r="R383" i="6" s="1"/>
  <c r="T383" i="6"/>
  <c r="AB383" i="6"/>
  <c r="P384" i="6"/>
  <c r="Q384" i="6"/>
  <c r="R384" i="6" s="1"/>
  <c r="T384" i="6"/>
  <c r="AB384" i="6"/>
  <c r="P385" i="6"/>
  <c r="Q385" i="6"/>
  <c r="R385" i="6" s="1"/>
  <c r="T385" i="6"/>
  <c r="AB385" i="6"/>
  <c r="P386" i="6"/>
  <c r="Q386" i="6"/>
  <c r="R386" i="6" s="1"/>
  <c r="T386" i="6"/>
  <c r="AB386" i="6"/>
  <c r="P387" i="6"/>
  <c r="Q387" i="6"/>
  <c r="R387" i="6" s="1"/>
  <c r="T387" i="6"/>
  <c r="AB387" i="6"/>
  <c r="P388" i="6"/>
  <c r="Q388" i="6"/>
  <c r="R388" i="6" s="1"/>
  <c r="T388" i="6"/>
  <c r="AB388" i="6"/>
  <c r="P389" i="6"/>
  <c r="Q389" i="6"/>
  <c r="R389" i="6" s="1"/>
  <c r="T389" i="6"/>
  <c r="AB389" i="6"/>
  <c r="P390" i="6"/>
  <c r="Q390" i="6"/>
  <c r="R390" i="6" s="1"/>
  <c r="T390" i="6"/>
  <c r="AB390" i="6"/>
  <c r="P391" i="6"/>
  <c r="Q391" i="6"/>
  <c r="R391" i="6" s="1"/>
  <c r="T391" i="6"/>
  <c r="AB391" i="6"/>
  <c r="P392" i="6"/>
  <c r="Q392" i="6"/>
  <c r="R392" i="6" s="1"/>
  <c r="T392" i="6"/>
  <c r="AB392" i="6"/>
  <c r="P393" i="6"/>
  <c r="Q393" i="6"/>
  <c r="R393" i="6" s="1"/>
  <c r="T393" i="6"/>
  <c r="AB393" i="6"/>
  <c r="P394" i="6"/>
  <c r="Q394" i="6"/>
  <c r="R394" i="6" s="1"/>
  <c r="T394" i="6"/>
  <c r="AB394" i="6"/>
  <c r="P395" i="6"/>
  <c r="Q395" i="6"/>
  <c r="R395" i="6" s="1"/>
  <c r="T395" i="6"/>
  <c r="AB395" i="6"/>
  <c r="P396" i="6"/>
  <c r="Q396" i="6"/>
  <c r="R396" i="6" s="1"/>
  <c r="T396" i="6"/>
  <c r="AB396" i="6"/>
  <c r="P397" i="6"/>
  <c r="Q397" i="6"/>
  <c r="R397" i="6" s="1"/>
  <c r="T397" i="6"/>
  <c r="AB397" i="6"/>
  <c r="P398" i="6"/>
  <c r="Q398" i="6"/>
  <c r="R398" i="6" s="1"/>
  <c r="T398" i="6"/>
  <c r="AB398" i="6"/>
  <c r="P399" i="6"/>
  <c r="Q399" i="6"/>
  <c r="R399" i="6" s="1"/>
  <c r="T399" i="6"/>
  <c r="AB399" i="6"/>
  <c r="P400" i="6"/>
  <c r="Q400" i="6"/>
  <c r="R400" i="6" s="1"/>
  <c r="T400" i="6"/>
  <c r="AB400" i="6"/>
  <c r="P401" i="6"/>
  <c r="Q401" i="6"/>
  <c r="R401" i="6" s="1"/>
  <c r="T401" i="6"/>
  <c r="AB401" i="6"/>
  <c r="P402" i="6"/>
  <c r="Q402" i="6"/>
  <c r="R402" i="6" s="1"/>
  <c r="T402" i="6"/>
  <c r="AB402" i="6"/>
  <c r="P403" i="6"/>
  <c r="Q403" i="6"/>
  <c r="R403" i="6" s="1"/>
  <c r="T403" i="6"/>
  <c r="AB403" i="6"/>
  <c r="P404" i="6"/>
  <c r="Q404" i="6"/>
  <c r="R404" i="6" s="1"/>
  <c r="T404" i="6"/>
  <c r="AB404" i="6"/>
  <c r="P405" i="6"/>
  <c r="Q405" i="6"/>
  <c r="R405" i="6" s="1"/>
  <c r="T405" i="6"/>
  <c r="AB405" i="6"/>
  <c r="P406" i="6"/>
  <c r="Q406" i="6"/>
  <c r="R406" i="6" s="1"/>
  <c r="T406" i="6"/>
  <c r="AB406" i="6"/>
  <c r="P407" i="6"/>
  <c r="Q407" i="6"/>
  <c r="R407" i="6" s="1"/>
  <c r="T407" i="6"/>
  <c r="AB407" i="6"/>
  <c r="P408" i="6"/>
  <c r="Q408" i="6"/>
  <c r="R408" i="6" s="1"/>
  <c r="T408" i="6"/>
  <c r="AB408" i="6"/>
  <c r="P409" i="6"/>
  <c r="Q409" i="6"/>
  <c r="R409" i="6" s="1"/>
  <c r="T409" i="6"/>
  <c r="AB409" i="6"/>
  <c r="P410" i="6"/>
  <c r="Q410" i="6"/>
  <c r="R410" i="6" s="1"/>
  <c r="T410" i="6"/>
  <c r="AB410" i="6"/>
  <c r="P411" i="6"/>
  <c r="Q411" i="6"/>
  <c r="R411" i="6" s="1"/>
  <c r="T411" i="6"/>
  <c r="AB411" i="6"/>
  <c r="P412" i="6"/>
  <c r="Q412" i="6"/>
  <c r="R412" i="6" s="1"/>
  <c r="T412" i="6"/>
  <c r="AB412" i="6"/>
  <c r="P413" i="6"/>
  <c r="Q413" i="6"/>
  <c r="R413" i="6" s="1"/>
  <c r="T413" i="6"/>
  <c r="AB413" i="6"/>
  <c r="P414" i="6"/>
  <c r="Q414" i="6"/>
  <c r="R414" i="6" s="1"/>
  <c r="T414" i="6"/>
  <c r="AB414" i="6"/>
  <c r="P415" i="6"/>
  <c r="Q415" i="6"/>
  <c r="R415" i="6" s="1"/>
  <c r="T415" i="6"/>
  <c r="AB415" i="6"/>
  <c r="P416" i="6"/>
  <c r="Q416" i="6"/>
  <c r="R416" i="6" s="1"/>
  <c r="T416" i="6"/>
  <c r="AB416" i="6"/>
  <c r="P417" i="6"/>
  <c r="Q417" i="6"/>
  <c r="R417" i="6" s="1"/>
  <c r="T417" i="6"/>
  <c r="AB417" i="6"/>
  <c r="P418" i="6"/>
  <c r="Q418" i="6"/>
  <c r="R418" i="6" s="1"/>
  <c r="T418" i="6"/>
  <c r="AB418" i="6"/>
  <c r="P419" i="6"/>
  <c r="Q419" i="6"/>
  <c r="R419" i="6" s="1"/>
  <c r="T419" i="6"/>
  <c r="AB419" i="6"/>
  <c r="P420" i="6"/>
  <c r="Q420" i="6"/>
  <c r="R420" i="6" s="1"/>
  <c r="T420" i="6"/>
  <c r="AB420" i="6"/>
  <c r="P421" i="6"/>
  <c r="Q421" i="6"/>
  <c r="R421" i="6" s="1"/>
  <c r="T421" i="6"/>
  <c r="AB421" i="6"/>
  <c r="P422" i="6"/>
  <c r="Q422" i="6"/>
  <c r="R422" i="6" s="1"/>
  <c r="T422" i="6"/>
  <c r="AB422" i="6"/>
  <c r="P423" i="6"/>
  <c r="Q423" i="6"/>
  <c r="R423" i="6" s="1"/>
  <c r="T423" i="6"/>
  <c r="AB423" i="6"/>
  <c r="P424" i="6"/>
  <c r="Q424" i="6"/>
  <c r="R424" i="6" s="1"/>
  <c r="T424" i="6"/>
  <c r="AB424" i="6"/>
  <c r="P425" i="6"/>
  <c r="Q425" i="6"/>
  <c r="R425" i="6" s="1"/>
  <c r="T425" i="6"/>
  <c r="AB425" i="6"/>
  <c r="P426" i="6"/>
  <c r="Q426" i="6"/>
  <c r="R426" i="6" s="1"/>
  <c r="T426" i="6"/>
  <c r="AB426" i="6"/>
  <c r="P427" i="6"/>
  <c r="Q427" i="6"/>
  <c r="R427" i="6" s="1"/>
  <c r="T427" i="6"/>
  <c r="AB427" i="6"/>
  <c r="P428" i="6"/>
  <c r="Q428" i="6"/>
  <c r="R428" i="6" s="1"/>
  <c r="T428" i="6"/>
  <c r="AB428" i="6"/>
  <c r="P429" i="6"/>
  <c r="Q429" i="6"/>
  <c r="R429" i="6" s="1"/>
  <c r="T429" i="6"/>
  <c r="AB429" i="6"/>
  <c r="P430" i="6"/>
  <c r="Q430" i="6"/>
  <c r="R430" i="6" s="1"/>
  <c r="T430" i="6"/>
  <c r="AB430" i="6"/>
  <c r="P431" i="6"/>
  <c r="Q431" i="6"/>
  <c r="R431" i="6" s="1"/>
  <c r="T431" i="6"/>
  <c r="AB431" i="6"/>
  <c r="P432" i="6"/>
  <c r="Q432" i="6"/>
  <c r="R432" i="6" s="1"/>
  <c r="T432" i="6"/>
  <c r="AB432" i="6"/>
  <c r="P433" i="6"/>
  <c r="Q433" i="6"/>
  <c r="R433" i="6" s="1"/>
  <c r="T433" i="6"/>
  <c r="AB433" i="6"/>
  <c r="P434" i="6"/>
  <c r="Q434" i="6"/>
  <c r="R434" i="6" s="1"/>
  <c r="T434" i="6"/>
  <c r="AB434" i="6"/>
  <c r="P435" i="6"/>
  <c r="Q435" i="6"/>
  <c r="R435" i="6" s="1"/>
  <c r="T435" i="6"/>
  <c r="AB435" i="6"/>
  <c r="P436" i="6"/>
  <c r="Q436" i="6"/>
  <c r="R436" i="6" s="1"/>
  <c r="T436" i="6"/>
  <c r="AB436" i="6"/>
  <c r="P437" i="6"/>
  <c r="Q437" i="6"/>
  <c r="R437" i="6" s="1"/>
  <c r="T437" i="6"/>
  <c r="AB437" i="6"/>
  <c r="P438" i="6"/>
  <c r="Q438" i="6"/>
  <c r="R438" i="6" s="1"/>
  <c r="T438" i="6"/>
  <c r="AB438" i="6"/>
  <c r="P439" i="6"/>
  <c r="Q439" i="6"/>
  <c r="R439" i="6" s="1"/>
  <c r="T439" i="6"/>
  <c r="AB439" i="6"/>
  <c r="P440" i="6"/>
  <c r="Q440" i="6"/>
  <c r="R440" i="6" s="1"/>
  <c r="T440" i="6"/>
  <c r="AB440" i="6"/>
  <c r="P441" i="6"/>
  <c r="Q441" i="6"/>
  <c r="R441" i="6" s="1"/>
  <c r="T441" i="6"/>
  <c r="AB441" i="6"/>
  <c r="P442" i="6"/>
  <c r="Q442" i="6"/>
  <c r="R442" i="6" s="1"/>
  <c r="T442" i="6"/>
  <c r="AB442" i="6"/>
  <c r="P443" i="6"/>
  <c r="Q443" i="6"/>
  <c r="R443" i="6" s="1"/>
  <c r="T443" i="6"/>
  <c r="AB443" i="6"/>
  <c r="P444" i="6"/>
  <c r="Q444" i="6"/>
  <c r="R444" i="6" s="1"/>
  <c r="T444" i="6"/>
  <c r="AB444" i="6"/>
  <c r="P445" i="6"/>
  <c r="Q445" i="6"/>
  <c r="R445" i="6" s="1"/>
  <c r="T445" i="6"/>
  <c r="AB445" i="6"/>
  <c r="P446" i="6"/>
  <c r="Q446" i="6"/>
  <c r="R446" i="6" s="1"/>
  <c r="T446" i="6"/>
  <c r="AB446" i="6"/>
  <c r="P447" i="6"/>
  <c r="Q447" i="6"/>
  <c r="R447" i="6" s="1"/>
  <c r="T447" i="6"/>
  <c r="AB447" i="6"/>
  <c r="P448" i="6"/>
  <c r="Q448" i="6"/>
  <c r="R448" i="6" s="1"/>
  <c r="T448" i="6"/>
  <c r="AB448" i="6"/>
  <c r="P449" i="6"/>
  <c r="Q449" i="6"/>
  <c r="R449" i="6" s="1"/>
  <c r="T449" i="6"/>
  <c r="AB449" i="6"/>
  <c r="P450" i="6"/>
  <c r="Q450" i="6"/>
  <c r="R450" i="6" s="1"/>
  <c r="T450" i="6"/>
  <c r="AB450" i="6"/>
  <c r="P451" i="6"/>
  <c r="Q451" i="6"/>
  <c r="R451" i="6" s="1"/>
  <c r="T451" i="6"/>
  <c r="AB451" i="6"/>
  <c r="P452" i="6"/>
  <c r="Q452" i="6"/>
  <c r="R452" i="6" s="1"/>
  <c r="T452" i="6"/>
  <c r="AB452" i="6"/>
  <c r="P453" i="6"/>
  <c r="Q453" i="6"/>
  <c r="R453" i="6" s="1"/>
  <c r="T453" i="6"/>
  <c r="AB453" i="6"/>
  <c r="P454" i="6"/>
  <c r="Q454" i="6"/>
  <c r="R454" i="6" s="1"/>
  <c r="T454" i="6"/>
  <c r="AB454" i="6"/>
  <c r="P455" i="6"/>
  <c r="Q455" i="6"/>
  <c r="R455" i="6" s="1"/>
  <c r="T455" i="6"/>
  <c r="AB455" i="6"/>
  <c r="P456" i="6"/>
  <c r="Q456" i="6"/>
  <c r="R456" i="6" s="1"/>
  <c r="T456" i="6"/>
  <c r="AB456" i="6"/>
  <c r="P457" i="6"/>
  <c r="Q457" i="6"/>
  <c r="R457" i="6" s="1"/>
  <c r="T457" i="6"/>
  <c r="AB457" i="6"/>
  <c r="P458" i="6"/>
  <c r="Q458" i="6"/>
  <c r="R458" i="6" s="1"/>
  <c r="T458" i="6"/>
  <c r="AB458" i="6"/>
  <c r="P459" i="6"/>
  <c r="Q459" i="6"/>
  <c r="R459" i="6" s="1"/>
  <c r="T459" i="6"/>
  <c r="AB459" i="6"/>
  <c r="P460" i="6"/>
  <c r="Q460" i="6"/>
  <c r="R460" i="6" s="1"/>
  <c r="T460" i="6"/>
  <c r="AB460" i="6"/>
  <c r="P461" i="6"/>
  <c r="Q461" i="6"/>
  <c r="R461" i="6" s="1"/>
  <c r="T461" i="6"/>
  <c r="AB461" i="6"/>
  <c r="P462" i="6"/>
  <c r="Q462" i="6"/>
  <c r="R462" i="6" s="1"/>
  <c r="T462" i="6"/>
  <c r="AB462" i="6"/>
  <c r="P463" i="6"/>
  <c r="Q463" i="6"/>
  <c r="R463" i="6" s="1"/>
  <c r="T463" i="6"/>
  <c r="AB463" i="6"/>
  <c r="P464" i="6"/>
  <c r="Q464" i="6"/>
  <c r="R464" i="6" s="1"/>
  <c r="T464" i="6"/>
  <c r="AB464" i="6"/>
  <c r="P465" i="6"/>
  <c r="Q465" i="6"/>
  <c r="R465" i="6" s="1"/>
  <c r="T465" i="6"/>
  <c r="AB465" i="6"/>
  <c r="P466" i="6"/>
  <c r="Q466" i="6"/>
  <c r="R466" i="6" s="1"/>
  <c r="T466" i="6"/>
  <c r="AB466" i="6"/>
  <c r="P467" i="6"/>
  <c r="Q467" i="6"/>
  <c r="R467" i="6" s="1"/>
  <c r="T467" i="6"/>
  <c r="AB467" i="6"/>
  <c r="P468" i="6"/>
  <c r="Q468" i="6"/>
  <c r="R468" i="6" s="1"/>
  <c r="T468" i="6"/>
  <c r="AB468" i="6"/>
  <c r="P469" i="6"/>
  <c r="Q469" i="6"/>
  <c r="R469" i="6" s="1"/>
  <c r="T469" i="6"/>
  <c r="AB469" i="6"/>
  <c r="P470" i="6"/>
  <c r="Q470" i="6"/>
  <c r="R470" i="6" s="1"/>
  <c r="T470" i="6"/>
  <c r="AB470" i="6"/>
  <c r="P471" i="6"/>
  <c r="Q471" i="6"/>
  <c r="R471" i="6" s="1"/>
  <c r="T471" i="6"/>
  <c r="AB471" i="6"/>
  <c r="P472" i="6"/>
  <c r="Q472" i="6"/>
  <c r="R472" i="6" s="1"/>
  <c r="T472" i="6"/>
  <c r="AB472" i="6"/>
  <c r="P473" i="6"/>
  <c r="Q473" i="6"/>
  <c r="R473" i="6" s="1"/>
  <c r="T473" i="6"/>
  <c r="AB473" i="6"/>
  <c r="P474" i="6"/>
  <c r="Q474" i="6"/>
  <c r="R474" i="6" s="1"/>
  <c r="T474" i="6"/>
  <c r="AB474" i="6"/>
  <c r="P475" i="6"/>
  <c r="Q475" i="6"/>
  <c r="R475" i="6" s="1"/>
  <c r="T475" i="6"/>
  <c r="AB475" i="6"/>
  <c r="P476" i="6"/>
  <c r="Q476" i="6"/>
  <c r="R476" i="6" s="1"/>
  <c r="T476" i="6"/>
  <c r="AB476" i="6"/>
  <c r="P477" i="6"/>
  <c r="Q477" i="6"/>
  <c r="R477" i="6" s="1"/>
  <c r="T477" i="6"/>
  <c r="AB477" i="6"/>
  <c r="P478" i="6"/>
  <c r="Q478" i="6"/>
  <c r="R478" i="6" s="1"/>
  <c r="T478" i="6"/>
  <c r="AB478" i="6"/>
  <c r="P479" i="6"/>
  <c r="Q479" i="6"/>
  <c r="R479" i="6" s="1"/>
  <c r="T479" i="6"/>
  <c r="AB479" i="6"/>
  <c r="P480" i="6"/>
  <c r="Q480" i="6"/>
  <c r="R480" i="6" s="1"/>
  <c r="T480" i="6"/>
  <c r="AB480" i="6"/>
  <c r="P481" i="6"/>
  <c r="Q481" i="6"/>
  <c r="R481" i="6" s="1"/>
  <c r="T481" i="6"/>
  <c r="AB481" i="6"/>
  <c r="P482" i="6"/>
  <c r="Q482" i="6"/>
  <c r="R482" i="6" s="1"/>
  <c r="T482" i="6"/>
  <c r="AB482" i="6"/>
  <c r="P483" i="6"/>
  <c r="Q483" i="6"/>
  <c r="R483" i="6" s="1"/>
  <c r="T483" i="6"/>
  <c r="AB483" i="6"/>
  <c r="P484" i="6"/>
  <c r="Q484" i="6"/>
  <c r="R484" i="6" s="1"/>
  <c r="T484" i="6"/>
  <c r="AB484" i="6"/>
  <c r="P485" i="6"/>
  <c r="Q485" i="6"/>
  <c r="R485" i="6" s="1"/>
  <c r="T485" i="6"/>
  <c r="AB485" i="6"/>
  <c r="P486" i="6"/>
  <c r="Q486" i="6"/>
  <c r="R486" i="6" s="1"/>
  <c r="T486" i="6"/>
  <c r="AB486" i="6"/>
  <c r="P487" i="6"/>
  <c r="Q487" i="6"/>
  <c r="R487" i="6" s="1"/>
  <c r="T487" i="6"/>
  <c r="AB487" i="6"/>
  <c r="P488" i="6"/>
  <c r="Q488" i="6"/>
  <c r="R488" i="6" s="1"/>
  <c r="T488" i="6"/>
  <c r="AB488" i="6"/>
  <c r="P489" i="6"/>
  <c r="Q489" i="6"/>
  <c r="R489" i="6" s="1"/>
  <c r="T489" i="6"/>
  <c r="AB489" i="6"/>
  <c r="P490" i="6"/>
  <c r="Q490" i="6"/>
  <c r="R490" i="6" s="1"/>
  <c r="T490" i="6"/>
  <c r="AB490" i="6"/>
  <c r="P491" i="6"/>
  <c r="Q491" i="6"/>
  <c r="R491" i="6" s="1"/>
  <c r="T491" i="6"/>
  <c r="AB491" i="6"/>
  <c r="P492" i="6"/>
  <c r="Q492" i="6"/>
  <c r="R492" i="6" s="1"/>
  <c r="T492" i="6"/>
  <c r="AB492" i="6"/>
  <c r="P493" i="6"/>
  <c r="Q493" i="6"/>
  <c r="R493" i="6" s="1"/>
  <c r="T493" i="6"/>
  <c r="AB493" i="6"/>
  <c r="P494" i="6"/>
  <c r="Q494" i="6"/>
  <c r="R494" i="6" s="1"/>
  <c r="T494" i="6"/>
  <c r="AB494" i="6"/>
  <c r="P495" i="6"/>
  <c r="Q495" i="6"/>
  <c r="R495" i="6" s="1"/>
  <c r="T495" i="6"/>
  <c r="AB495" i="6"/>
  <c r="P496" i="6"/>
  <c r="Q496" i="6"/>
  <c r="R496" i="6" s="1"/>
  <c r="T496" i="6"/>
  <c r="AB496" i="6"/>
  <c r="P497" i="6"/>
  <c r="Q497" i="6"/>
  <c r="R497" i="6" s="1"/>
  <c r="T497" i="6"/>
  <c r="AB497" i="6"/>
  <c r="P498" i="6"/>
  <c r="Q498" i="6"/>
  <c r="R498" i="6" s="1"/>
  <c r="T498" i="6"/>
  <c r="AB498" i="6"/>
  <c r="P499" i="6"/>
  <c r="Q499" i="6"/>
  <c r="R499" i="6" s="1"/>
  <c r="T499" i="6"/>
  <c r="AB499" i="6"/>
  <c r="P500" i="6"/>
  <c r="Q500" i="6"/>
  <c r="R500" i="6" s="1"/>
  <c r="T500" i="6"/>
  <c r="AB500" i="6"/>
  <c r="P501" i="6"/>
  <c r="Q501" i="6"/>
  <c r="R501" i="6" s="1"/>
  <c r="T501" i="6"/>
  <c r="AB501" i="6"/>
  <c r="P502" i="6"/>
  <c r="Q502" i="6"/>
  <c r="R502" i="6" s="1"/>
  <c r="T502" i="6"/>
  <c r="AB502" i="6"/>
  <c r="P503" i="6"/>
  <c r="Q503" i="6"/>
  <c r="R503" i="6" s="1"/>
  <c r="T503" i="6"/>
  <c r="AB503" i="6"/>
  <c r="P504" i="6"/>
  <c r="Q504" i="6"/>
  <c r="R504" i="6" s="1"/>
  <c r="T504" i="6"/>
  <c r="AB504" i="6"/>
  <c r="P505" i="6"/>
  <c r="Q505" i="6"/>
  <c r="R505" i="6" s="1"/>
  <c r="T505" i="6"/>
  <c r="AB505" i="6"/>
  <c r="P506" i="6"/>
  <c r="Q506" i="6"/>
  <c r="R506" i="6" s="1"/>
  <c r="T506" i="6"/>
  <c r="AB506" i="6"/>
  <c r="P507" i="6"/>
  <c r="Q507" i="6"/>
  <c r="R507" i="6" s="1"/>
  <c r="T507" i="6"/>
  <c r="AB507" i="6"/>
  <c r="P508" i="6"/>
  <c r="Q508" i="6"/>
  <c r="R508" i="6" s="1"/>
  <c r="T508" i="6"/>
  <c r="AB508" i="6"/>
  <c r="P509" i="6"/>
  <c r="Q509" i="6"/>
  <c r="R509" i="6" s="1"/>
  <c r="T509" i="6"/>
  <c r="AB509" i="6"/>
  <c r="P510" i="6"/>
  <c r="Q510" i="6"/>
  <c r="R510" i="6" s="1"/>
  <c r="T510" i="6"/>
  <c r="AB510" i="6"/>
  <c r="P511" i="6"/>
  <c r="Q511" i="6"/>
  <c r="R511" i="6" s="1"/>
  <c r="T511" i="6"/>
  <c r="AB511" i="6"/>
  <c r="P512" i="6"/>
  <c r="Q512" i="6"/>
  <c r="R512" i="6" s="1"/>
  <c r="T512" i="6"/>
  <c r="AB512" i="6"/>
  <c r="P513" i="6"/>
  <c r="Q513" i="6"/>
  <c r="R513" i="6" s="1"/>
  <c r="T513" i="6"/>
  <c r="AB513" i="6"/>
  <c r="P514" i="6"/>
  <c r="Q514" i="6"/>
  <c r="R514" i="6" s="1"/>
  <c r="T514" i="6"/>
  <c r="AB514" i="6"/>
  <c r="P515" i="6"/>
  <c r="Q515" i="6"/>
  <c r="R515" i="6" s="1"/>
  <c r="T515" i="6"/>
  <c r="AB515" i="6"/>
  <c r="P516" i="6"/>
  <c r="Q516" i="6"/>
  <c r="R516" i="6" s="1"/>
  <c r="T516" i="6"/>
  <c r="AB516" i="6"/>
  <c r="P517" i="6"/>
  <c r="Q517" i="6"/>
  <c r="R517" i="6" s="1"/>
  <c r="T517" i="6"/>
  <c r="AB517" i="6"/>
  <c r="P518" i="6"/>
  <c r="Q518" i="6"/>
  <c r="R518" i="6" s="1"/>
  <c r="T518" i="6"/>
  <c r="AB518" i="6"/>
  <c r="P519" i="6"/>
  <c r="Q519" i="6"/>
  <c r="R519" i="6" s="1"/>
  <c r="T519" i="6"/>
  <c r="AB519" i="6"/>
  <c r="P520" i="6"/>
  <c r="Q520" i="6"/>
  <c r="R520" i="6" s="1"/>
  <c r="T520" i="6"/>
  <c r="AB520" i="6"/>
  <c r="P521" i="6"/>
  <c r="Q521" i="6"/>
  <c r="R521" i="6" s="1"/>
  <c r="T521" i="6"/>
  <c r="AB521" i="6"/>
  <c r="P522" i="6"/>
  <c r="Q522" i="6"/>
  <c r="R522" i="6" s="1"/>
  <c r="T522" i="6"/>
  <c r="AB522" i="6"/>
  <c r="P523" i="6"/>
  <c r="Q523" i="6"/>
  <c r="R523" i="6" s="1"/>
  <c r="T523" i="6"/>
  <c r="AB523" i="6"/>
  <c r="P524" i="6"/>
  <c r="Q524" i="6"/>
  <c r="R524" i="6" s="1"/>
  <c r="T524" i="6"/>
  <c r="AB524" i="6"/>
  <c r="P525" i="6"/>
  <c r="Q525" i="6"/>
  <c r="R525" i="6" s="1"/>
  <c r="T525" i="6"/>
  <c r="AB525" i="6"/>
  <c r="P526" i="6"/>
  <c r="Q526" i="6"/>
  <c r="R526" i="6" s="1"/>
  <c r="T526" i="6"/>
  <c r="AB526" i="6"/>
  <c r="P527" i="6"/>
  <c r="Q527" i="6"/>
  <c r="R527" i="6" s="1"/>
  <c r="T527" i="6"/>
  <c r="AB527" i="6"/>
  <c r="P528" i="6"/>
  <c r="Q528" i="6"/>
  <c r="R528" i="6" s="1"/>
  <c r="T528" i="6"/>
  <c r="AB528" i="6"/>
  <c r="P529" i="6"/>
  <c r="Q529" i="6"/>
  <c r="R529" i="6" s="1"/>
  <c r="T529" i="6"/>
  <c r="AB529" i="6"/>
  <c r="P530" i="6"/>
  <c r="Q530" i="6"/>
  <c r="R530" i="6" s="1"/>
  <c r="T530" i="6"/>
  <c r="AB530" i="6"/>
  <c r="P531" i="6"/>
  <c r="Q531" i="6"/>
  <c r="R531" i="6" s="1"/>
  <c r="T531" i="6"/>
  <c r="AB531" i="6"/>
  <c r="P532" i="6"/>
  <c r="Q532" i="6"/>
  <c r="R532" i="6" s="1"/>
  <c r="T532" i="6"/>
  <c r="AB532" i="6"/>
  <c r="P533" i="6"/>
  <c r="Q533" i="6"/>
  <c r="R533" i="6" s="1"/>
  <c r="T533" i="6"/>
  <c r="AB533" i="6"/>
  <c r="P534" i="6"/>
  <c r="Q534" i="6"/>
  <c r="R534" i="6" s="1"/>
  <c r="T534" i="6"/>
  <c r="AB534" i="6"/>
  <c r="P535" i="6"/>
  <c r="Q535" i="6"/>
  <c r="R535" i="6" s="1"/>
  <c r="T535" i="6"/>
  <c r="AB535" i="6"/>
  <c r="P536" i="6"/>
  <c r="Q536" i="6"/>
  <c r="R536" i="6" s="1"/>
  <c r="T536" i="6"/>
  <c r="AB536" i="6"/>
  <c r="P537" i="6"/>
  <c r="Q537" i="6"/>
  <c r="R537" i="6" s="1"/>
  <c r="T537" i="6"/>
  <c r="AB537" i="6"/>
  <c r="P538" i="6"/>
  <c r="Q538" i="6"/>
  <c r="R538" i="6" s="1"/>
  <c r="T538" i="6"/>
  <c r="AB538" i="6"/>
  <c r="P539" i="6"/>
  <c r="Q539" i="6"/>
  <c r="R539" i="6" s="1"/>
  <c r="T539" i="6"/>
  <c r="AB539" i="6"/>
  <c r="P540" i="6"/>
  <c r="Q540" i="6"/>
  <c r="R540" i="6" s="1"/>
  <c r="T540" i="6"/>
  <c r="AB540" i="6"/>
  <c r="P541" i="6"/>
  <c r="Q541" i="6"/>
  <c r="R541" i="6" s="1"/>
  <c r="T541" i="6"/>
  <c r="AB541" i="6"/>
  <c r="P542" i="6"/>
  <c r="Q542" i="6"/>
  <c r="R542" i="6" s="1"/>
  <c r="T542" i="6"/>
  <c r="AB542" i="6"/>
  <c r="P543" i="6"/>
  <c r="Q543" i="6"/>
  <c r="R543" i="6" s="1"/>
  <c r="T543" i="6"/>
  <c r="AB543" i="6"/>
  <c r="P544" i="6"/>
  <c r="Q544" i="6"/>
  <c r="R544" i="6" s="1"/>
  <c r="T544" i="6"/>
  <c r="AB544" i="6"/>
  <c r="P545" i="6"/>
  <c r="Q545" i="6"/>
  <c r="R545" i="6" s="1"/>
  <c r="T545" i="6"/>
  <c r="AB545" i="6"/>
  <c r="P546" i="6"/>
  <c r="Q546" i="6"/>
  <c r="R546" i="6" s="1"/>
  <c r="T546" i="6"/>
  <c r="AB546" i="6"/>
  <c r="P547" i="6"/>
  <c r="Q547" i="6"/>
  <c r="R547" i="6" s="1"/>
  <c r="T547" i="6"/>
  <c r="AB547" i="6"/>
  <c r="P548" i="6"/>
  <c r="Q548" i="6"/>
  <c r="R548" i="6" s="1"/>
  <c r="T548" i="6"/>
  <c r="AB548" i="6"/>
  <c r="P549" i="6"/>
  <c r="Q549" i="6"/>
  <c r="R549" i="6" s="1"/>
  <c r="T549" i="6"/>
  <c r="AB549" i="6"/>
  <c r="P550" i="6"/>
  <c r="Q550" i="6"/>
  <c r="R550" i="6" s="1"/>
  <c r="T550" i="6"/>
  <c r="AB550" i="6"/>
  <c r="P551" i="6"/>
  <c r="Q551" i="6"/>
  <c r="R551" i="6" s="1"/>
  <c r="T551" i="6"/>
  <c r="AB551" i="6"/>
  <c r="P552" i="6"/>
  <c r="Q552" i="6"/>
  <c r="R552" i="6" s="1"/>
  <c r="T552" i="6"/>
  <c r="AB552" i="6"/>
  <c r="P553" i="6"/>
  <c r="Q553" i="6"/>
  <c r="R553" i="6" s="1"/>
  <c r="T553" i="6"/>
  <c r="AB553" i="6"/>
  <c r="P554" i="6"/>
  <c r="Q554" i="6"/>
  <c r="R554" i="6" s="1"/>
  <c r="T554" i="6"/>
  <c r="AB554" i="6"/>
  <c r="P555" i="6"/>
  <c r="Q555" i="6"/>
  <c r="R555" i="6" s="1"/>
  <c r="T555" i="6"/>
  <c r="AB555" i="6"/>
  <c r="P556" i="6"/>
  <c r="Q556" i="6"/>
  <c r="R556" i="6" s="1"/>
  <c r="T556" i="6"/>
  <c r="AB556" i="6"/>
  <c r="P557" i="6"/>
  <c r="Q557" i="6"/>
  <c r="R557" i="6" s="1"/>
  <c r="T557" i="6"/>
  <c r="AB557" i="6"/>
  <c r="P558" i="6"/>
  <c r="Q558" i="6"/>
  <c r="R558" i="6" s="1"/>
  <c r="T558" i="6"/>
  <c r="AB558" i="6"/>
  <c r="P559" i="6"/>
  <c r="Q559" i="6"/>
  <c r="R559" i="6" s="1"/>
  <c r="T559" i="6"/>
  <c r="AB559" i="6"/>
  <c r="P560" i="6"/>
  <c r="Q560" i="6"/>
  <c r="R560" i="6" s="1"/>
  <c r="T560" i="6"/>
  <c r="AB560" i="6"/>
  <c r="P561" i="6"/>
  <c r="Q561" i="6"/>
  <c r="R561" i="6" s="1"/>
  <c r="T561" i="6"/>
  <c r="AB561" i="6"/>
  <c r="P562" i="6"/>
  <c r="Q562" i="6"/>
  <c r="R562" i="6" s="1"/>
  <c r="T562" i="6"/>
  <c r="AB562" i="6"/>
  <c r="P563" i="6"/>
  <c r="Q563" i="6"/>
  <c r="R563" i="6" s="1"/>
  <c r="T563" i="6"/>
  <c r="AB563" i="6"/>
  <c r="P564" i="6"/>
  <c r="Q564" i="6"/>
  <c r="R564" i="6" s="1"/>
  <c r="T564" i="6"/>
  <c r="AB564" i="6"/>
  <c r="P565" i="6"/>
  <c r="Q565" i="6"/>
  <c r="R565" i="6" s="1"/>
  <c r="T565" i="6"/>
  <c r="AB565" i="6"/>
  <c r="P566" i="6"/>
  <c r="Q566" i="6"/>
  <c r="R566" i="6" s="1"/>
  <c r="T566" i="6"/>
  <c r="AB566" i="6"/>
  <c r="P567" i="6"/>
  <c r="Q567" i="6"/>
  <c r="R567" i="6" s="1"/>
  <c r="T567" i="6"/>
  <c r="AB567" i="6"/>
  <c r="P568" i="6"/>
  <c r="Q568" i="6"/>
  <c r="R568" i="6" s="1"/>
  <c r="T568" i="6"/>
  <c r="AB568" i="6"/>
  <c r="P569" i="6"/>
  <c r="Q569" i="6"/>
  <c r="R569" i="6" s="1"/>
  <c r="T569" i="6"/>
  <c r="AB569" i="6"/>
  <c r="P570" i="6"/>
  <c r="Q570" i="6"/>
  <c r="R570" i="6" s="1"/>
  <c r="T570" i="6"/>
  <c r="AB570" i="6"/>
  <c r="P571" i="6"/>
  <c r="Q571" i="6"/>
  <c r="R571" i="6" s="1"/>
  <c r="T571" i="6"/>
  <c r="AB571" i="6"/>
  <c r="P572" i="6"/>
  <c r="Q572" i="6"/>
  <c r="R572" i="6" s="1"/>
  <c r="T572" i="6"/>
  <c r="AB572" i="6"/>
  <c r="P573" i="6"/>
  <c r="Q573" i="6"/>
  <c r="R573" i="6" s="1"/>
  <c r="T573" i="6"/>
  <c r="AB573" i="6"/>
  <c r="P574" i="6"/>
  <c r="Q574" i="6"/>
  <c r="R574" i="6" s="1"/>
  <c r="T574" i="6"/>
  <c r="AB574" i="6"/>
  <c r="P575" i="6"/>
  <c r="Q575" i="6"/>
  <c r="R575" i="6" s="1"/>
  <c r="T575" i="6"/>
  <c r="AB575" i="6"/>
  <c r="P576" i="6"/>
  <c r="Q576" i="6"/>
  <c r="R576" i="6" s="1"/>
  <c r="T576" i="6"/>
  <c r="AB576" i="6"/>
  <c r="P577" i="6"/>
  <c r="Q577" i="6"/>
  <c r="R577" i="6" s="1"/>
  <c r="T577" i="6"/>
  <c r="AB577" i="6"/>
  <c r="P578" i="6"/>
  <c r="Q578" i="6"/>
  <c r="R578" i="6" s="1"/>
  <c r="T578" i="6"/>
  <c r="AB578" i="6"/>
  <c r="P579" i="6"/>
  <c r="Q579" i="6"/>
  <c r="R579" i="6" s="1"/>
  <c r="T579" i="6"/>
  <c r="AB579" i="6"/>
  <c r="P580" i="6"/>
  <c r="Q580" i="6"/>
  <c r="R580" i="6" s="1"/>
  <c r="T580" i="6"/>
  <c r="AB580" i="6"/>
  <c r="P581" i="6"/>
  <c r="Q581" i="6"/>
  <c r="R581" i="6" s="1"/>
  <c r="T581" i="6"/>
  <c r="AB581" i="6"/>
  <c r="P582" i="6"/>
  <c r="Q582" i="6"/>
  <c r="R582" i="6" s="1"/>
  <c r="T582" i="6"/>
  <c r="AB582" i="6"/>
  <c r="P583" i="6"/>
  <c r="Q583" i="6"/>
  <c r="R583" i="6" s="1"/>
  <c r="T583" i="6"/>
  <c r="AB583" i="6"/>
  <c r="P584" i="6"/>
  <c r="Q584" i="6"/>
  <c r="R584" i="6" s="1"/>
  <c r="T584" i="6"/>
  <c r="AB584" i="6"/>
  <c r="P585" i="6"/>
  <c r="Q585" i="6"/>
  <c r="R585" i="6" s="1"/>
  <c r="T585" i="6"/>
  <c r="AB585" i="6"/>
  <c r="P586" i="6"/>
  <c r="Q586" i="6"/>
  <c r="R586" i="6" s="1"/>
  <c r="T586" i="6"/>
  <c r="AB586" i="6"/>
  <c r="P587" i="6"/>
  <c r="Q587" i="6"/>
  <c r="R587" i="6" s="1"/>
  <c r="T587" i="6"/>
  <c r="AB587" i="6"/>
  <c r="P588" i="6"/>
  <c r="Q588" i="6"/>
  <c r="R588" i="6" s="1"/>
  <c r="T588" i="6"/>
  <c r="AB588" i="6"/>
  <c r="P589" i="6"/>
  <c r="Q589" i="6"/>
  <c r="R589" i="6" s="1"/>
  <c r="T589" i="6"/>
  <c r="AB589" i="6"/>
  <c r="P590" i="6"/>
  <c r="Q590" i="6"/>
  <c r="R590" i="6" s="1"/>
  <c r="T590" i="6"/>
  <c r="AB590" i="6"/>
  <c r="P591" i="6"/>
  <c r="Q591" i="6"/>
  <c r="R591" i="6" s="1"/>
  <c r="T591" i="6"/>
  <c r="AB591" i="6"/>
  <c r="P592" i="6"/>
  <c r="Q592" i="6"/>
  <c r="R592" i="6" s="1"/>
  <c r="T592" i="6"/>
  <c r="AB592" i="6"/>
  <c r="P593" i="6"/>
  <c r="Q593" i="6"/>
  <c r="R593" i="6" s="1"/>
  <c r="T593" i="6"/>
  <c r="AB593" i="6"/>
  <c r="P594" i="6"/>
  <c r="Q594" i="6"/>
  <c r="R594" i="6" s="1"/>
  <c r="T594" i="6"/>
  <c r="AB594" i="6"/>
  <c r="P595" i="6"/>
  <c r="Q595" i="6"/>
  <c r="R595" i="6" s="1"/>
  <c r="T595" i="6"/>
  <c r="AB595" i="6"/>
  <c r="P596" i="6"/>
  <c r="Q596" i="6"/>
  <c r="R596" i="6" s="1"/>
  <c r="T596" i="6"/>
  <c r="AB596" i="6"/>
  <c r="P597" i="6"/>
  <c r="Q597" i="6"/>
  <c r="R597" i="6" s="1"/>
  <c r="T597" i="6"/>
  <c r="AB597" i="6"/>
  <c r="P598" i="6"/>
  <c r="Q598" i="6"/>
  <c r="R598" i="6" s="1"/>
  <c r="T598" i="6"/>
  <c r="AB598" i="6"/>
  <c r="P599" i="6"/>
  <c r="Q599" i="6"/>
  <c r="R599" i="6" s="1"/>
  <c r="T599" i="6"/>
  <c r="AB599" i="6"/>
  <c r="P600" i="6"/>
  <c r="Q600" i="6"/>
  <c r="R600" i="6" s="1"/>
  <c r="T600" i="6"/>
  <c r="AB600" i="6"/>
  <c r="P601" i="6"/>
  <c r="Q601" i="6"/>
  <c r="R601" i="6" s="1"/>
  <c r="T601" i="6"/>
  <c r="AB601" i="6"/>
  <c r="P602" i="6"/>
  <c r="Q602" i="6"/>
  <c r="R602" i="6" s="1"/>
  <c r="T602" i="6"/>
  <c r="AB602" i="6"/>
  <c r="P603" i="6"/>
  <c r="Q603" i="6"/>
  <c r="R603" i="6" s="1"/>
  <c r="T603" i="6"/>
  <c r="AB603" i="6"/>
  <c r="P604" i="6"/>
  <c r="Q604" i="6"/>
  <c r="R604" i="6" s="1"/>
  <c r="T604" i="6"/>
  <c r="AB604" i="6"/>
  <c r="P605" i="6"/>
  <c r="Q605" i="6"/>
  <c r="R605" i="6" s="1"/>
  <c r="T605" i="6"/>
  <c r="AB605" i="6"/>
  <c r="P606" i="6"/>
  <c r="Q606" i="6"/>
  <c r="R606" i="6" s="1"/>
  <c r="T606" i="6"/>
  <c r="AB606" i="6"/>
  <c r="P607" i="6"/>
  <c r="Q607" i="6"/>
  <c r="R607" i="6" s="1"/>
  <c r="T607" i="6"/>
  <c r="AB607" i="6"/>
  <c r="P608" i="6"/>
  <c r="Q608" i="6"/>
  <c r="R608" i="6" s="1"/>
  <c r="T608" i="6"/>
  <c r="AB608" i="6"/>
  <c r="P609" i="6"/>
  <c r="Q609" i="6"/>
  <c r="R609" i="6" s="1"/>
  <c r="T609" i="6"/>
  <c r="AB609" i="6"/>
  <c r="P610" i="6"/>
  <c r="Q610" i="6"/>
  <c r="R610" i="6" s="1"/>
  <c r="T610" i="6"/>
  <c r="AB610" i="6"/>
  <c r="P611" i="6"/>
  <c r="Q611" i="6"/>
  <c r="R611" i="6" s="1"/>
  <c r="T611" i="6"/>
  <c r="AB611" i="6"/>
  <c r="P612" i="6"/>
  <c r="Q612" i="6"/>
  <c r="R612" i="6" s="1"/>
  <c r="T612" i="6"/>
  <c r="AB612" i="6"/>
  <c r="P613" i="6"/>
  <c r="Q613" i="6"/>
  <c r="R613" i="6" s="1"/>
  <c r="T613" i="6"/>
  <c r="AB613" i="6"/>
  <c r="P614" i="6"/>
  <c r="Q614" i="6"/>
  <c r="R614" i="6" s="1"/>
  <c r="T614" i="6"/>
  <c r="AB614" i="6"/>
  <c r="P615" i="6"/>
  <c r="Q615" i="6"/>
  <c r="R615" i="6" s="1"/>
  <c r="T615" i="6"/>
  <c r="AB615" i="6"/>
  <c r="P616" i="6"/>
  <c r="Q616" i="6"/>
  <c r="R616" i="6" s="1"/>
  <c r="T616" i="6"/>
  <c r="AB616" i="6"/>
  <c r="P617" i="6"/>
  <c r="Q617" i="6"/>
  <c r="R617" i="6" s="1"/>
  <c r="T617" i="6"/>
  <c r="AB617" i="6"/>
  <c r="P618" i="6"/>
  <c r="Q618" i="6"/>
  <c r="R618" i="6" s="1"/>
  <c r="T618" i="6"/>
  <c r="AB618" i="6"/>
  <c r="P619" i="6"/>
  <c r="Q619" i="6"/>
  <c r="R619" i="6" s="1"/>
  <c r="T619" i="6"/>
  <c r="AB619" i="6"/>
  <c r="P620" i="6"/>
  <c r="Q620" i="6"/>
  <c r="R620" i="6" s="1"/>
  <c r="T620" i="6"/>
  <c r="AB620" i="6"/>
  <c r="P621" i="6"/>
  <c r="Q621" i="6"/>
  <c r="R621" i="6" s="1"/>
  <c r="T621" i="6"/>
  <c r="AB621" i="6"/>
  <c r="P622" i="6"/>
  <c r="Q622" i="6"/>
  <c r="R622" i="6" s="1"/>
  <c r="T622" i="6"/>
  <c r="AB622" i="6"/>
  <c r="P623" i="6"/>
  <c r="Q623" i="6"/>
  <c r="R623" i="6" s="1"/>
  <c r="T623" i="6"/>
  <c r="AB623" i="6"/>
  <c r="P624" i="6"/>
  <c r="Q624" i="6"/>
  <c r="R624" i="6" s="1"/>
  <c r="T624" i="6"/>
  <c r="AB624" i="6"/>
  <c r="P625" i="6"/>
  <c r="Q625" i="6"/>
  <c r="R625" i="6" s="1"/>
  <c r="T625" i="6"/>
  <c r="AB625" i="6"/>
  <c r="P626" i="6"/>
  <c r="Q626" i="6"/>
  <c r="R626" i="6" s="1"/>
  <c r="T626" i="6"/>
  <c r="AB626" i="6"/>
  <c r="P627" i="6"/>
  <c r="Q627" i="6"/>
  <c r="R627" i="6" s="1"/>
  <c r="T627" i="6"/>
  <c r="AB627" i="6"/>
  <c r="P628" i="6"/>
  <c r="Q628" i="6"/>
  <c r="R628" i="6" s="1"/>
  <c r="T628" i="6"/>
  <c r="AB628" i="6"/>
  <c r="P629" i="6"/>
  <c r="Q629" i="6"/>
  <c r="R629" i="6" s="1"/>
  <c r="T629" i="6"/>
  <c r="AB629" i="6"/>
  <c r="P630" i="6"/>
  <c r="Q630" i="6"/>
  <c r="R630" i="6" s="1"/>
  <c r="T630" i="6"/>
  <c r="AB630" i="6"/>
  <c r="P631" i="6"/>
  <c r="Q631" i="6"/>
  <c r="R631" i="6" s="1"/>
  <c r="T631" i="6"/>
  <c r="AB631" i="6"/>
  <c r="P632" i="6"/>
  <c r="Q632" i="6"/>
  <c r="R632" i="6" s="1"/>
  <c r="T632" i="6"/>
  <c r="AB632" i="6"/>
  <c r="P633" i="6"/>
  <c r="Q633" i="6"/>
  <c r="R633" i="6" s="1"/>
  <c r="T633" i="6"/>
  <c r="AB633" i="6"/>
  <c r="P634" i="6"/>
  <c r="Q634" i="6"/>
  <c r="R634" i="6" s="1"/>
  <c r="T634" i="6"/>
  <c r="AB634" i="6"/>
  <c r="P635" i="6"/>
  <c r="Q635" i="6"/>
  <c r="R635" i="6" s="1"/>
  <c r="T635" i="6"/>
  <c r="AB635" i="6"/>
  <c r="P636" i="6"/>
  <c r="Q636" i="6"/>
  <c r="R636" i="6" s="1"/>
  <c r="T636" i="6"/>
  <c r="AB636" i="6"/>
  <c r="P637" i="6"/>
  <c r="Q637" i="6"/>
  <c r="R637" i="6" s="1"/>
  <c r="T637" i="6"/>
  <c r="AB637" i="6"/>
  <c r="P638" i="6"/>
  <c r="Q638" i="6"/>
  <c r="R638" i="6" s="1"/>
  <c r="T638" i="6"/>
  <c r="AB638" i="6"/>
  <c r="P639" i="6"/>
  <c r="Q639" i="6"/>
  <c r="R639" i="6" s="1"/>
  <c r="T639" i="6"/>
  <c r="AB639" i="6"/>
  <c r="P640" i="6"/>
  <c r="Q640" i="6"/>
  <c r="R640" i="6" s="1"/>
  <c r="T640" i="6"/>
  <c r="AB640" i="6"/>
  <c r="P641" i="6"/>
  <c r="Q641" i="6"/>
  <c r="R641" i="6" s="1"/>
  <c r="T641" i="6"/>
  <c r="AB641" i="6"/>
  <c r="P642" i="6"/>
  <c r="Q642" i="6"/>
  <c r="R642" i="6" s="1"/>
  <c r="T642" i="6"/>
  <c r="AB642" i="6"/>
  <c r="P643" i="6"/>
  <c r="Q643" i="6"/>
  <c r="R643" i="6" s="1"/>
  <c r="T643" i="6"/>
  <c r="AB643" i="6"/>
  <c r="P644" i="6"/>
  <c r="Q644" i="6"/>
  <c r="R644" i="6" s="1"/>
  <c r="T644" i="6"/>
  <c r="AB644" i="6"/>
  <c r="P645" i="6"/>
  <c r="Q645" i="6"/>
  <c r="R645" i="6" s="1"/>
  <c r="T645" i="6"/>
  <c r="AB645" i="6"/>
  <c r="P646" i="6"/>
  <c r="Q646" i="6"/>
  <c r="R646" i="6" s="1"/>
  <c r="T646" i="6"/>
  <c r="AB646" i="6"/>
  <c r="P647" i="6"/>
  <c r="Q647" i="6"/>
  <c r="R647" i="6" s="1"/>
  <c r="T647" i="6"/>
  <c r="AB647" i="6"/>
  <c r="P648" i="6"/>
  <c r="Q648" i="6"/>
  <c r="R648" i="6" s="1"/>
  <c r="T648" i="6"/>
  <c r="AB648" i="6"/>
  <c r="P649" i="6"/>
  <c r="Q649" i="6"/>
  <c r="R649" i="6" s="1"/>
  <c r="T649" i="6"/>
  <c r="AB649" i="6"/>
  <c r="P650" i="6"/>
  <c r="Q650" i="6"/>
  <c r="R650" i="6" s="1"/>
  <c r="T650" i="6"/>
  <c r="AB650" i="6"/>
  <c r="P651" i="6"/>
  <c r="Q651" i="6"/>
  <c r="R651" i="6" s="1"/>
  <c r="T651" i="6"/>
  <c r="AB651" i="6"/>
  <c r="P652" i="6"/>
  <c r="Q652" i="6"/>
  <c r="R652" i="6" s="1"/>
  <c r="T652" i="6"/>
  <c r="AB652" i="6"/>
  <c r="P653" i="6"/>
  <c r="Q653" i="6"/>
  <c r="R653" i="6" s="1"/>
  <c r="T653" i="6"/>
  <c r="AB653" i="6"/>
  <c r="P654" i="6"/>
  <c r="Q654" i="6"/>
  <c r="R654" i="6" s="1"/>
  <c r="T654" i="6"/>
  <c r="AB654" i="6"/>
  <c r="P655" i="6"/>
  <c r="Q655" i="6"/>
  <c r="R655" i="6" s="1"/>
  <c r="T655" i="6"/>
  <c r="AB655" i="6"/>
  <c r="P656" i="6"/>
  <c r="Q656" i="6"/>
  <c r="R656" i="6" s="1"/>
  <c r="T656" i="6"/>
  <c r="AB656" i="6"/>
  <c r="P657" i="6"/>
  <c r="Q657" i="6"/>
  <c r="R657" i="6" s="1"/>
  <c r="T657" i="6"/>
  <c r="AB657" i="6"/>
  <c r="P658" i="6"/>
  <c r="Q658" i="6"/>
  <c r="R658" i="6" s="1"/>
  <c r="T658" i="6"/>
  <c r="AB658" i="6"/>
  <c r="P659" i="6"/>
  <c r="Q659" i="6"/>
  <c r="R659" i="6" s="1"/>
  <c r="T659" i="6"/>
  <c r="AB659" i="6"/>
  <c r="P660" i="6"/>
  <c r="Q660" i="6"/>
  <c r="R660" i="6" s="1"/>
  <c r="T660" i="6"/>
  <c r="AB660" i="6"/>
  <c r="P661" i="6"/>
  <c r="Q661" i="6"/>
  <c r="R661" i="6" s="1"/>
  <c r="T661" i="6"/>
  <c r="AB661" i="6"/>
  <c r="P662" i="6"/>
  <c r="Q662" i="6"/>
  <c r="R662" i="6" s="1"/>
  <c r="T662" i="6"/>
  <c r="AB662" i="6"/>
  <c r="P663" i="6"/>
  <c r="Q663" i="6"/>
  <c r="R663" i="6" s="1"/>
  <c r="T663" i="6"/>
  <c r="AB663" i="6"/>
  <c r="P664" i="6"/>
  <c r="Q664" i="6"/>
  <c r="R664" i="6" s="1"/>
  <c r="T664" i="6"/>
  <c r="AB664" i="6"/>
  <c r="P665" i="6"/>
  <c r="Q665" i="6"/>
  <c r="R665" i="6" s="1"/>
  <c r="T665" i="6"/>
  <c r="AB665" i="6"/>
  <c r="P666" i="6"/>
  <c r="Q666" i="6"/>
  <c r="R666" i="6" s="1"/>
  <c r="T666" i="6"/>
  <c r="AB666" i="6"/>
  <c r="P667" i="6"/>
  <c r="Q667" i="6"/>
  <c r="R667" i="6" s="1"/>
  <c r="T667" i="6"/>
  <c r="AB667" i="6"/>
  <c r="P668" i="6"/>
  <c r="Q668" i="6"/>
  <c r="R668" i="6" s="1"/>
  <c r="T668" i="6"/>
  <c r="AB668" i="6"/>
  <c r="P669" i="6"/>
  <c r="Q669" i="6"/>
  <c r="R669" i="6" s="1"/>
  <c r="T669" i="6"/>
  <c r="AB669" i="6"/>
  <c r="P670" i="6"/>
  <c r="Q670" i="6"/>
  <c r="R670" i="6" s="1"/>
  <c r="T670" i="6"/>
  <c r="AB670" i="6"/>
  <c r="P671" i="6"/>
  <c r="Q671" i="6"/>
  <c r="R671" i="6" s="1"/>
  <c r="T671" i="6"/>
  <c r="AB671" i="6"/>
  <c r="P672" i="6"/>
  <c r="Q672" i="6"/>
  <c r="R672" i="6" s="1"/>
  <c r="T672" i="6"/>
  <c r="AB672" i="6"/>
  <c r="P673" i="6"/>
  <c r="Q673" i="6"/>
  <c r="R673" i="6" s="1"/>
  <c r="T673" i="6"/>
  <c r="AB673" i="6"/>
  <c r="P674" i="6"/>
  <c r="Q674" i="6"/>
  <c r="R674" i="6" s="1"/>
  <c r="T674" i="6"/>
  <c r="AB674" i="6"/>
  <c r="P675" i="6"/>
  <c r="Q675" i="6"/>
  <c r="R675" i="6" s="1"/>
  <c r="T675" i="6"/>
  <c r="AB675" i="6"/>
  <c r="P676" i="6"/>
  <c r="Q676" i="6"/>
  <c r="R676" i="6" s="1"/>
  <c r="T676" i="6"/>
  <c r="AB676" i="6"/>
  <c r="P677" i="6"/>
  <c r="Q677" i="6"/>
  <c r="R677" i="6" s="1"/>
  <c r="T677" i="6"/>
  <c r="AB677" i="6"/>
  <c r="P678" i="6"/>
  <c r="Q678" i="6"/>
  <c r="R678" i="6" s="1"/>
  <c r="T678" i="6"/>
  <c r="AB678" i="6"/>
  <c r="P679" i="6"/>
  <c r="Q679" i="6"/>
  <c r="R679" i="6" s="1"/>
  <c r="T679" i="6"/>
  <c r="AB679" i="6"/>
  <c r="P680" i="6"/>
  <c r="Q680" i="6"/>
  <c r="R680" i="6" s="1"/>
  <c r="T680" i="6"/>
  <c r="AB680" i="6"/>
  <c r="P681" i="6"/>
  <c r="Q681" i="6"/>
  <c r="R681" i="6" s="1"/>
  <c r="T681" i="6"/>
  <c r="AB681" i="6"/>
  <c r="P682" i="6"/>
  <c r="Q682" i="6"/>
  <c r="R682" i="6" s="1"/>
  <c r="T682" i="6"/>
  <c r="AB682" i="6"/>
  <c r="P683" i="6"/>
  <c r="Q683" i="6"/>
  <c r="R683" i="6" s="1"/>
  <c r="T683" i="6"/>
  <c r="AB683" i="6"/>
  <c r="P684" i="6"/>
  <c r="Q684" i="6"/>
  <c r="R684" i="6" s="1"/>
  <c r="T684" i="6"/>
  <c r="AB684" i="6"/>
  <c r="P685" i="6"/>
  <c r="Q685" i="6"/>
  <c r="R685" i="6" s="1"/>
  <c r="T685" i="6"/>
  <c r="AB685" i="6"/>
  <c r="P686" i="6"/>
  <c r="Q686" i="6"/>
  <c r="R686" i="6" s="1"/>
  <c r="T686" i="6"/>
  <c r="AB686" i="6"/>
  <c r="P687" i="6"/>
  <c r="Q687" i="6"/>
  <c r="R687" i="6" s="1"/>
  <c r="T687" i="6"/>
  <c r="AB687" i="6"/>
  <c r="P688" i="6"/>
  <c r="Q688" i="6"/>
  <c r="R688" i="6" s="1"/>
  <c r="T688" i="6"/>
  <c r="AB688" i="6"/>
  <c r="P689" i="6"/>
  <c r="Q689" i="6"/>
  <c r="R689" i="6" s="1"/>
  <c r="T689" i="6"/>
  <c r="AB689" i="6"/>
  <c r="P690" i="6"/>
  <c r="Q690" i="6"/>
  <c r="R690" i="6" s="1"/>
  <c r="T690" i="6"/>
  <c r="AB690" i="6"/>
  <c r="P691" i="6"/>
  <c r="Q691" i="6"/>
  <c r="R691" i="6" s="1"/>
  <c r="T691" i="6"/>
  <c r="AB691" i="6"/>
  <c r="P692" i="6"/>
  <c r="Q692" i="6"/>
  <c r="R692" i="6" s="1"/>
  <c r="T692" i="6"/>
  <c r="AB692" i="6"/>
  <c r="P693" i="6"/>
  <c r="Q693" i="6"/>
  <c r="R693" i="6" s="1"/>
  <c r="T693" i="6"/>
  <c r="AB693" i="6"/>
  <c r="P694" i="6"/>
  <c r="Q694" i="6"/>
  <c r="R694" i="6" s="1"/>
  <c r="T694" i="6"/>
  <c r="AB694" i="6"/>
  <c r="P695" i="6"/>
  <c r="Q695" i="6"/>
  <c r="R695" i="6" s="1"/>
  <c r="T695" i="6"/>
  <c r="AB695" i="6"/>
  <c r="P696" i="6"/>
  <c r="Q696" i="6"/>
  <c r="R696" i="6" s="1"/>
  <c r="T696" i="6"/>
  <c r="AB696" i="6"/>
  <c r="P697" i="6"/>
  <c r="Q697" i="6"/>
  <c r="R697" i="6" s="1"/>
  <c r="T697" i="6"/>
  <c r="AB697" i="6"/>
  <c r="P698" i="6"/>
  <c r="Q698" i="6"/>
  <c r="R698" i="6" s="1"/>
  <c r="T698" i="6"/>
  <c r="AB698" i="6"/>
  <c r="P699" i="6"/>
  <c r="Q699" i="6"/>
  <c r="R699" i="6" s="1"/>
  <c r="T699" i="6"/>
  <c r="AB699" i="6"/>
  <c r="P700" i="6"/>
  <c r="Q700" i="6"/>
  <c r="R700" i="6" s="1"/>
  <c r="T700" i="6"/>
  <c r="AB700" i="6"/>
  <c r="P701" i="6"/>
  <c r="Q701" i="6"/>
  <c r="R701" i="6" s="1"/>
  <c r="T701" i="6"/>
  <c r="AB701" i="6"/>
  <c r="P702" i="6"/>
  <c r="Q702" i="6"/>
  <c r="R702" i="6" s="1"/>
  <c r="T702" i="6"/>
  <c r="AB702" i="6"/>
  <c r="P703" i="6"/>
  <c r="Q703" i="6"/>
  <c r="R703" i="6" s="1"/>
  <c r="T703" i="6"/>
  <c r="AB703" i="6"/>
  <c r="P704" i="6"/>
  <c r="Q704" i="6"/>
  <c r="R704" i="6" s="1"/>
  <c r="T704" i="6"/>
  <c r="AB704" i="6"/>
  <c r="P705" i="6"/>
  <c r="Q705" i="6"/>
  <c r="R705" i="6" s="1"/>
  <c r="T705" i="6"/>
  <c r="AB705" i="6"/>
  <c r="P706" i="6"/>
  <c r="Q706" i="6"/>
  <c r="R706" i="6" s="1"/>
  <c r="T706" i="6"/>
  <c r="AB706" i="6"/>
  <c r="P707" i="6"/>
  <c r="Q707" i="6"/>
  <c r="R707" i="6" s="1"/>
  <c r="T707" i="6"/>
  <c r="AB707" i="6"/>
  <c r="P708" i="6"/>
  <c r="Q708" i="6"/>
  <c r="R708" i="6" s="1"/>
  <c r="T708" i="6"/>
  <c r="AB708" i="6"/>
  <c r="P709" i="6"/>
  <c r="Q709" i="6"/>
  <c r="R709" i="6" s="1"/>
  <c r="T709" i="6"/>
  <c r="AB709" i="6"/>
  <c r="P710" i="6"/>
  <c r="Q710" i="6"/>
  <c r="R710" i="6" s="1"/>
  <c r="T710" i="6"/>
  <c r="AB710" i="6"/>
  <c r="P711" i="6"/>
  <c r="Q711" i="6"/>
  <c r="R711" i="6" s="1"/>
  <c r="T711" i="6"/>
  <c r="AB711" i="6"/>
  <c r="P712" i="6"/>
  <c r="Q712" i="6"/>
  <c r="R712" i="6" s="1"/>
  <c r="T712" i="6"/>
  <c r="AB712" i="6"/>
  <c r="P713" i="6"/>
  <c r="Q713" i="6"/>
  <c r="R713" i="6" s="1"/>
  <c r="T713" i="6"/>
  <c r="AB713" i="6"/>
  <c r="P714" i="6"/>
  <c r="Q714" i="6"/>
  <c r="R714" i="6" s="1"/>
  <c r="T714" i="6"/>
  <c r="AB714" i="6"/>
  <c r="P715" i="6"/>
  <c r="Q715" i="6"/>
  <c r="R715" i="6" s="1"/>
  <c r="T715" i="6"/>
  <c r="AB715" i="6"/>
  <c r="P716" i="6"/>
  <c r="Q716" i="6"/>
  <c r="R716" i="6" s="1"/>
  <c r="T716" i="6"/>
  <c r="AB716" i="6"/>
  <c r="P717" i="6"/>
  <c r="Q717" i="6"/>
  <c r="R717" i="6" s="1"/>
  <c r="T717" i="6"/>
  <c r="AB717" i="6"/>
  <c r="P718" i="6"/>
  <c r="Q718" i="6"/>
  <c r="R718" i="6" s="1"/>
  <c r="T718" i="6"/>
  <c r="AB718" i="6"/>
  <c r="P719" i="6"/>
  <c r="Q719" i="6"/>
  <c r="R719" i="6" s="1"/>
  <c r="T719" i="6"/>
  <c r="AB719" i="6"/>
  <c r="P720" i="6"/>
  <c r="Q720" i="6"/>
  <c r="R720" i="6" s="1"/>
  <c r="T720" i="6"/>
  <c r="AB720" i="6"/>
  <c r="P721" i="6"/>
  <c r="Q721" i="6"/>
  <c r="R721" i="6" s="1"/>
  <c r="T721" i="6"/>
  <c r="AB721" i="6"/>
  <c r="P722" i="6"/>
  <c r="Q722" i="6"/>
  <c r="R722" i="6" s="1"/>
  <c r="T722" i="6"/>
  <c r="AB722" i="6"/>
  <c r="P723" i="6"/>
  <c r="Q723" i="6"/>
  <c r="R723" i="6" s="1"/>
  <c r="T723" i="6"/>
  <c r="AB723" i="6"/>
  <c r="P724" i="6"/>
  <c r="Q724" i="6"/>
  <c r="R724" i="6" s="1"/>
  <c r="T724" i="6"/>
  <c r="AB724" i="6"/>
  <c r="P725" i="6"/>
  <c r="Q725" i="6"/>
  <c r="R725" i="6" s="1"/>
  <c r="T725" i="6"/>
  <c r="AB725" i="6"/>
  <c r="P726" i="6"/>
  <c r="Q726" i="6"/>
  <c r="R726" i="6" s="1"/>
  <c r="T726" i="6"/>
  <c r="AB726" i="6"/>
  <c r="P727" i="6"/>
  <c r="Q727" i="6"/>
  <c r="R727" i="6" s="1"/>
  <c r="T727" i="6"/>
  <c r="AB727" i="6"/>
  <c r="P728" i="6"/>
  <c r="Q728" i="6"/>
  <c r="R728" i="6" s="1"/>
  <c r="T728" i="6"/>
  <c r="AB728" i="6"/>
  <c r="P729" i="6"/>
  <c r="Q729" i="6"/>
  <c r="R729" i="6" s="1"/>
  <c r="T729" i="6"/>
  <c r="AB729" i="6"/>
  <c r="P730" i="6"/>
  <c r="Q730" i="6"/>
  <c r="R730" i="6" s="1"/>
  <c r="T730" i="6"/>
  <c r="AB730" i="6"/>
  <c r="P731" i="6"/>
  <c r="Q731" i="6"/>
  <c r="R731" i="6" s="1"/>
  <c r="T731" i="6"/>
  <c r="AB731" i="6"/>
  <c r="P732" i="6"/>
  <c r="Q732" i="6"/>
  <c r="R732" i="6" s="1"/>
  <c r="T732" i="6"/>
  <c r="AB732" i="6"/>
  <c r="P733" i="6"/>
  <c r="Q733" i="6"/>
  <c r="R733" i="6" s="1"/>
  <c r="T733" i="6"/>
  <c r="AB733" i="6"/>
  <c r="P734" i="6"/>
  <c r="Q734" i="6"/>
  <c r="R734" i="6" s="1"/>
  <c r="T734" i="6"/>
  <c r="AB734" i="6"/>
  <c r="P735" i="6"/>
  <c r="Q735" i="6"/>
  <c r="R735" i="6" s="1"/>
  <c r="T735" i="6"/>
  <c r="AB735" i="6"/>
  <c r="P736" i="6"/>
  <c r="Q736" i="6"/>
  <c r="R736" i="6" s="1"/>
  <c r="T736" i="6"/>
  <c r="AB736" i="6"/>
  <c r="P737" i="6"/>
  <c r="Q737" i="6"/>
  <c r="R737" i="6" s="1"/>
  <c r="T737" i="6"/>
  <c r="AB737" i="6"/>
  <c r="P738" i="6"/>
  <c r="Q738" i="6"/>
  <c r="R738" i="6" s="1"/>
  <c r="T738" i="6"/>
  <c r="AB738" i="6"/>
  <c r="P739" i="6"/>
  <c r="Q739" i="6"/>
  <c r="R739" i="6" s="1"/>
  <c r="T739" i="6"/>
  <c r="AB739" i="6"/>
  <c r="P740" i="6"/>
  <c r="Q740" i="6"/>
  <c r="R740" i="6" s="1"/>
  <c r="T740" i="6"/>
  <c r="AB740" i="6"/>
  <c r="P741" i="6"/>
  <c r="Q741" i="6"/>
  <c r="R741" i="6" s="1"/>
  <c r="T741" i="6"/>
  <c r="AB741" i="6"/>
  <c r="P742" i="6"/>
  <c r="Q742" i="6"/>
  <c r="R742" i="6" s="1"/>
  <c r="T742" i="6"/>
  <c r="AB742" i="6"/>
  <c r="P743" i="6"/>
  <c r="Q743" i="6"/>
  <c r="R743" i="6" s="1"/>
  <c r="T743" i="6"/>
  <c r="AB743" i="6"/>
  <c r="P744" i="6"/>
  <c r="Q744" i="6"/>
  <c r="R744" i="6" s="1"/>
  <c r="T744" i="6"/>
  <c r="AB744" i="6"/>
  <c r="P745" i="6"/>
  <c r="Q745" i="6"/>
  <c r="R745" i="6" s="1"/>
  <c r="T745" i="6"/>
  <c r="AB745" i="6"/>
  <c r="P746" i="6"/>
  <c r="Q746" i="6"/>
  <c r="R746" i="6" s="1"/>
  <c r="T746" i="6"/>
  <c r="AB746" i="6"/>
  <c r="P747" i="6"/>
  <c r="Q747" i="6"/>
  <c r="R747" i="6" s="1"/>
  <c r="T747" i="6"/>
  <c r="AB747" i="6"/>
  <c r="P748" i="6"/>
  <c r="Q748" i="6"/>
  <c r="R748" i="6" s="1"/>
  <c r="T748" i="6"/>
  <c r="AB748" i="6"/>
  <c r="P749" i="6"/>
  <c r="Q749" i="6"/>
  <c r="R749" i="6" s="1"/>
  <c r="T749" i="6"/>
  <c r="AB749" i="6"/>
  <c r="P750" i="6"/>
  <c r="Q750" i="6"/>
  <c r="R750" i="6" s="1"/>
  <c r="T750" i="6"/>
  <c r="AB750" i="6"/>
  <c r="P751" i="6"/>
  <c r="Q751" i="6"/>
  <c r="R751" i="6" s="1"/>
  <c r="T751" i="6"/>
  <c r="AB751" i="6"/>
  <c r="P752" i="6"/>
  <c r="Q752" i="6"/>
  <c r="R752" i="6" s="1"/>
  <c r="T752" i="6"/>
  <c r="AB752" i="6"/>
  <c r="P753" i="6"/>
  <c r="Q753" i="6"/>
  <c r="R753" i="6" s="1"/>
  <c r="T753" i="6"/>
  <c r="AB753" i="6"/>
  <c r="P754" i="6"/>
  <c r="Q754" i="6"/>
  <c r="R754" i="6" s="1"/>
  <c r="T754" i="6"/>
  <c r="AB754" i="6"/>
  <c r="P755" i="6"/>
  <c r="Q755" i="6"/>
  <c r="R755" i="6" s="1"/>
  <c r="T755" i="6"/>
  <c r="AB755" i="6"/>
  <c r="P756" i="6"/>
  <c r="Q756" i="6"/>
  <c r="R756" i="6" s="1"/>
  <c r="T756" i="6"/>
  <c r="AB756" i="6"/>
  <c r="P757" i="6"/>
  <c r="Q757" i="6"/>
  <c r="R757" i="6" s="1"/>
  <c r="T757" i="6"/>
  <c r="AB757" i="6"/>
  <c r="P758" i="6"/>
  <c r="Q758" i="6"/>
  <c r="R758" i="6" s="1"/>
  <c r="T758" i="6"/>
  <c r="AB758" i="6"/>
  <c r="P759" i="6"/>
  <c r="Q759" i="6"/>
  <c r="R759" i="6" s="1"/>
  <c r="T759" i="6"/>
  <c r="AB759" i="6"/>
  <c r="P760" i="6"/>
  <c r="Q760" i="6"/>
  <c r="R760" i="6" s="1"/>
  <c r="T760" i="6"/>
  <c r="AB760" i="6"/>
  <c r="P761" i="6"/>
  <c r="Q761" i="6"/>
  <c r="R761" i="6" s="1"/>
  <c r="T761" i="6"/>
  <c r="AB761" i="6"/>
  <c r="P762" i="6"/>
  <c r="Q762" i="6"/>
  <c r="R762" i="6" s="1"/>
  <c r="T762" i="6"/>
  <c r="AB762" i="6"/>
  <c r="P763" i="6"/>
  <c r="Q763" i="6"/>
  <c r="R763" i="6" s="1"/>
  <c r="T763" i="6"/>
  <c r="AB763" i="6"/>
  <c r="P764" i="6"/>
  <c r="Q764" i="6"/>
  <c r="R764" i="6" s="1"/>
  <c r="T764" i="6"/>
  <c r="AB764" i="6"/>
  <c r="P765" i="6"/>
  <c r="Q765" i="6"/>
  <c r="R765" i="6" s="1"/>
  <c r="T765" i="6"/>
  <c r="AB765" i="6"/>
  <c r="P766" i="6"/>
  <c r="Q766" i="6"/>
  <c r="R766" i="6" s="1"/>
  <c r="T766" i="6"/>
  <c r="AB766" i="6"/>
  <c r="P767" i="6"/>
  <c r="Q767" i="6"/>
  <c r="R767" i="6" s="1"/>
  <c r="T767" i="6"/>
  <c r="AB767" i="6"/>
  <c r="P768" i="6"/>
  <c r="Q768" i="6"/>
  <c r="R768" i="6" s="1"/>
  <c r="T768" i="6"/>
  <c r="AB768" i="6"/>
  <c r="P769" i="6"/>
  <c r="Q769" i="6"/>
  <c r="R769" i="6" s="1"/>
  <c r="T769" i="6"/>
  <c r="AB769" i="6"/>
  <c r="P770" i="6"/>
  <c r="Q770" i="6"/>
  <c r="R770" i="6" s="1"/>
  <c r="T770" i="6"/>
  <c r="AB770" i="6"/>
  <c r="P771" i="6"/>
  <c r="Q771" i="6"/>
  <c r="R771" i="6" s="1"/>
  <c r="T771" i="6"/>
  <c r="AB771" i="6"/>
  <c r="P772" i="6"/>
  <c r="Q772" i="6"/>
  <c r="R772" i="6" s="1"/>
  <c r="T772" i="6"/>
  <c r="AB772" i="6"/>
  <c r="P773" i="6"/>
  <c r="Q773" i="6"/>
  <c r="R773" i="6" s="1"/>
  <c r="T773" i="6"/>
  <c r="AB773" i="6"/>
  <c r="P774" i="6"/>
  <c r="Q774" i="6"/>
  <c r="R774" i="6" s="1"/>
  <c r="T774" i="6"/>
  <c r="AB774" i="6"/>
  <c r="P775" i="6"/>
  <c r="Q775" i="6"/>
  <c r="R775" i="6" s="1"/>
  <c r="T775" i="6"/>
  <c r="AB775" i="6"/>
  <c r="P776" i="6"/>
  <c r="Q776" i="6"/>
  <c r="R776" i="6" s="1"/>
  <c r="T776" i="6"/>
  <c r="AB776" i="6"/>
  <c r="P777" i="6"/>
  <c r="Q777" i="6"/>
  <c r="R777" i="6" s="1"/>
  <c r="T777" i="6"/>
  <c r="AB777" i="6"/>
  <c r="P778" i="6"/>
  <c r="Q778" i="6"/>
  <c r="R778" i="6" s="1"/>
  <c r="T778" i="6"/>
  <c r="AB778" i="6"/>
  <c r="P779" i="6"/>
  <c r="Q779" i="6"/>
  <c r="R779" i="6" s="1"/>
  <c r="T779" i="6"/>
  <c r="AB779" i="6"/>
  <c r="P780" i="6"/>
  <c r="Q780" i="6"/>
  <c r="R780" i="6" s="1"/>
  <c r="T780" i="6"/>
  <c r="AB780" i="6"/>
  <c r="P781" i="6"/>
  <c r="Q781" i="6"/>
  <c r="R781" i="6" s="1"/>
  <c r="T781" i="6"/>
  <c r="AB781" i="6"/>
  <c r="P782" i="6"/>
  <c r="Q782" i="6"/>
  <c r="R782" i="6" s="1"/>
  <c r="T782" i="6"/>
  <c r="AB782" i="6"/>
  <c r="P783" i="6"/>
  <c r="Q783" i="6"/>
  <c r="R783" i="6" s="1"/>
  <c r="T783" i="6"/>
  <c r="AB783" i="6"/>
  <c r="P784" i="6"/>
  <c r="Q784" i="6"/>
  <c r="R784" i="6" s="1"/>
  <c r="T784" i="6"/>
  <c r="AB784" i="6"/>
  <c r="P785" i="6"/>
  <c r="Q785" i="6"/>
  <c r="R785" i="6" s="1"/>
  <c r="T785" i="6"/>
  <c r="AB785" i="6"/>
  <c r="P786" i="6"/>
  <c r="Q786" i="6"/>
  <c r="R786" i="6" s="1"/>
  <c r="T786" i="6"/>
  <c r="AB786" i="6"/>
  <c r="P787" i="6"/>
  <c r="Q787" i="6"/>
  <c r="R787" i="6" s="1"/>
  <c r="T787" i="6"/>
  <c r="AB787" i="6"/>
  <c r="P788" i="6"/>
  <c r="Q788" i="6"/>
  <c r="R788" i="6" s="1"/>
  <c r="T788" i="6"/>
  <c r="AB788" i="6"/>
  <c r="P789" i="6"/>
  <c r="Q789" i="6"/>
  <c r="R789" i="6" s="1"/>
  <c r="T789" i="6"/>
  <c r="AB789" i="6"/>
  <c r="P790" i="6"/>
  <c r="Q790" i="6"/>
  <c r="R790" i="6" s="1"/>
  <c r="T790" i="6"/>
  <c r="AB790" i="6"/>
  <c r="P791" i="6"/>
  <c r="Q791" i="6"/>
  <c r="R791" i="6" s="1"/>
  <c r="T791" i="6"/>
  <c r="AB791" i="6"/>
  <c r="P792" i="6"/>
  <c r="Q792" i="6"/>
  <c r="R792" i="6" s="1"/>
  <c r="T792" i="6"/>
  <c r="AB792" i="6"/>
  <c r="P793" i="6"/>
  <c r="Q793" i="6"/>
  <c r="R793" i="6" s="1"/>
  <c r="T793" i="6"/>
  <c r="AB793" i="6"/>
  <c r="P794" i="6"/>
  <c r="Q794" i="6"/>
  <c r="R794" i="6" s="1"/>
  <c r="T794" i="6"/>
  <c r="AB794" i="6"/>
  <c r="P795" i="6"/>
  <c r="Q795" i="6"/>
  <c r="R795" i="6" s="1"/>
  <c r="T795" i="6"/>
  <c r="AB795" i="6"/>
  <c r="P796" i="6"/>
  <c r="Q796" i="6"/>
  <c r="R796" i="6" s="1"/>
  <c r="T796" i="6"/>
  <c r="AB796" i="6"/>
  <c r="P797" i="6"/>
  <c r="Q797" i="6"/>
  <c r="R797" i="6" s="1"/>
  <c r="T797" i="6"/>
  <c r="AB797" i="6"/>
  <c r="P798" i="6"/>
  <c r="Q798" i="6"/>
  <c r="R798" i="6" s="1"/>
  <c r="T798" i="6"/>
  <c r="AB798" i="6"/>
  <c r="P799" i="6"/>
  <c r="Q799" i="6"/>
  <c r="R799" i="6" s="1"/>
  <c r="T799" i="6"/>
  <c r="AB799" i="6"/>
  <c r="P800" i="6"/>
  <c r="Q800" i="6"/>
  <c r="R800" i="6" s="1"/>
  <c r="T800" i="6"/>
  <c r="AB800" i="6"/>
  <c r="P801" i="6"/>
  <c r="Q801" i="6"/>
  <c r="R801" i="6" s="1"/>
  <c r="T801" i="6"/>
  <c r="AB801" i="6"/>
  <c r="P802" i="6"/>
  <c r="Q802" i="6"/>
  <c r="R802" i="6" s="1"/>
  <c r="T802" i="6"/>
  <c r="AB802" i="6"/>
  <c r="P803" i="6"/>
  <c r="Q803" i="6"/>
  <c r="R803" i="6" s="1"/>
  <c r="T803" i="6"/>
  <c r="AB803" i="6"/>
  <c r="P804" i="6"/>
  <c r="Q804" i="6"/>
  <c r="R804" i="6" s="1"/>
  <c r="T804" i="6"/>
  <c r="AB804" i="6"/>
  <c r="P805" i="6"/>
  <c r="Q805" i="6"/>
  <c r="R805" i="6" s="1"/>
  <c r="T805" i="6"/>
  <c r="AB805" i="6"/>
  <c r="P806" i="6"/>
  <c r="Q806" i="6"/>
  <c r="R806" i="6" s="1"/>
  <c r="T806" i="6"/>
  <c r="AB806" i="6"/>
  <c r="P807" i="6"/>
  <c r="Q807" i="6"/>
  <c r="R807" i="6" s="1"/>
  <c r="T807" i="6"/>
  <c r="AB807" i="6"/>
  <c r="P808" i="6"/>
  <c r="Q808" i="6"/>
  <c r="R808" i="6" s="1"/>
  <c r="T808" i="6"/>
  <c r="AB808" i="6"/>
  <c r="P809" i="6"/>
  <c r="Q809" i="6"/>
  <c r="R809" i="6" s="1"/>
  <c r="T809" i="6"/>
  <c r="AB809" i="6"/>
  <c r="P810" i="6"/>
  <c r="Q810" i="6"/>
  <c r="R810" i="6" s="1"/>
  <c r="T810" i="6"/>
  <c r="AB810" i="6"/>
  <c r="P811" i="6"/>
  <c r="Q811" i="6"/>
  <c r="R811" i="6" s="1"/>
  <c r="T811" i="6"/>
  <c r="AB811" i="6"/>
  <c r="P812" i="6"/>
  <c r="Q812" i="6"/>
  <c r="R812" i="6" s="1"/>
  <c r="T812" i="6"/>
  <c r="AB812" i="6"/>
  <c r="P813" i="6"/>
  <c r="Q813" i="6"/>
  <c r="R813" i="6" s="1"/>
  <c r="T813" i="6"/>
  <c r="AB813" i="6"/>
  <c r="P814" i="6"/>
  <c r="Q814" i="6"/>
  <c r="R814" i="6" s="1"/>
  <c r="T814" i="6"/>
  <c r="AB814" i="6"/>
  <c r="P815" i="6"/>
  <c r="Q815" i="6"/>
  <c r="R815" i="6" s="1"/>
  <c r="T815" i="6"/>
  <c r="AB815" i="6"/>
  <c r="P816" i="6"/>
  <c r="Q816" i="6"/>
  <c r="R816" i="6" s="1"/>
  <c r="T816" i="6"/>
  <c r="AB816" i="6"/>
  <c r="P817" i="6"/>
  <c r="Q817" i="6"/>
  <c r="R817" i="6" s="1"/>
  <c r="T817" i="6"/>
  <c r="AB817" i="6"/>
  <c r="P818" i="6"/>
  <c r="Q818" i="6"/>
  <c r="R818" i="6" s="1"/>
  <c r="T818" i="6"/>
  <c r="AB818" i="6"/>
  <c r="P819" i="6"/>
  <c r="Q819" i="6"/>
  <c r="R819" i="6" s="1"/>
  <c r="T819" i="6"/>
  <c r="AB819" i="6"/>
  <c r="P820" i="6"/>
  <c r="Q820" i="6"/>
  <c r="R820" i="6" s="1"/>
  <c r="T820" i="6"/>
  <c r="AB820" i="6"/>
  <c r="P821" i="6"/>
  <c r="Q821" i="6"/>
  <c r="R821" i="6" s="1"/>
  <c r="T821" i="6"/>
  <c r="AB821" i="6"/>
  <c r="P822" i="6"/>
  <c r="Q822" i="6"/>
  <c r="R822" i="6" s="1"/>
  <c r="T822" i="6"/>
  <c r="AB822" i="6"/>
  <c r="P823" i="6"/>
  <c r="Q823" i="6"/>
  <c r="R823" i="6" s="1"/>
  <c r="T823" i="6"/>
  <c r="AB823" i="6"/>
  <c r="P824" i="6"/>
  <c r="Q824" i="6"/>
  <c r="R824" i="6" s="1"/>
  <c r="T824" i="6"/>
  <c r="AB824" i="6"/>
  <c r="P825" i="6"/>
  <c r="Q825" i="6"/>
  <c r="R825" i="6" s="1"/>
  <c r="T825" i="6"/>
  <c r="AB825" i="6"/>
  <c r="P826" i="6"/>
  <c r="Q826" i="6"/>
  <c r="R826" i="6" s="1"/>
  <c r="T826" i="6"/>
  <c r="AB826" i="6"/>
  <c r="P827" i="6"/>
  <c r="Q827" i="6"/>
  <c r="R827" i="6" s="1"/>
  <c r="T827" i="6"/>
  <c r="AB827" i="6"/>
  <c r="P828" i="6"/>
  <c r="Q828" i="6"/>
  <c r="R828" i="6" s="1"/>
  <c r="T828" i="6"/>
  <c r="AB828" i="6"/>
  <c r="P829" i="6"/>
  <c r="Q829" i="6"/>
  <c r="R829" i="6" s="1"/>
  <c r="T829" i="6"/>
  <c r="AB829" i="6"/>
  <c r="P830" i="6"/>
  <c r="Q830" i="6"/>
  <c r="R830" i="6" s="1"/>
  <c r="T830" i="6"/>
  <c r="AB830" i="6"/>
  <c r="P831" i="6"/>
  <c r="Q831" i="6"/>
  <c r="R831" i="6" s="1"/>
  <c r="T831" i="6"/>
  <c r="AB831" i="6"/>
  <c r="P832" i="6"/>
  <c r="Q832" i="6"/>
  <c r="R832" i="6" s="1"/>
  <c r="T832" i="6"/>
  <c r="AB832" i="6"/>
  <c r="P833" i="6"/>
  <c r="Q833" i="6"/>
  <c r="R833" i="6" s="1"/>
  <c r="T833" i="6"/>
  <c r="AB833" i="6"/>
  <c r="P834" i="6"/>
  <c r="Q834" i="6"/>
  <c r="R834" i="6" s="1"/>
  <c r="T834" i="6"/>
  <c r="AB834" i="6"/>
  <c r="P835" i="6"/>
  <c r="Q835" i="6"/>
  <c r="R835" i="6" s="1"/>
  <c r="T835" i="6"/>
  <c r="AB835" i="6"/>
  <c r="P836" i="6"/>
  <c r="Q836" i="6"/>
  <c r="R836" i="6" s="1"/>
  <c r="T836" i="6"/>
  <c r="AB836" i="6"/>
  <c r="P837" i="6"/>
  <c r="Q837" i="6"/>
  <c r="R837" i="6" s="1"/>
  <c r="T837" i="6"/>
  <c r="AB837" i="6"/>
  <c r="P838" i="6"/>
  <c r="Q838" i="6"/>
  <c r="R838" i="6" s="1"/>
  <c r="T838" i="6"/>
  <c r="AB838" i="6"/>
  <c r="P839" i="6"/>
  <c r="Q839" i="6"/>
  <c r="R839" i="6" s="1"/>
  <c r="T839" i="6"/>
  <c r="AB839" i="6"/>
  <c r="P840" i="6"/>
  <c r="Q840" i="6"/>
  <c r="R840" i="6" s="1"/>
  <c r="T840" i="6"/>
  <c r="AB840" i="6"/>
  <c r="P841" i="6"/>
  <c r="Q841" i="6"/>
  <c r="R841" i="6" s="1"/>
  <c r="T841" i="6"/>
  <c r="AB841" i="6"/>
  <c r="P842" i="6"/>
  <c r="Q842" i="6"/>
  <c r="R842" i="6" s="1"/>
  <c r="T842" i="6"/>
  <c r="AB842" i="6"/>
  <c r="P843" i="6"/>
  <c r="Q843" i="6"/>
  <c r="R843" i="6" s="1"/>
  <c r="T843" i="6"/>
  <c r="AB843" i="6"/>
  <c r="P844" i="6"/>
  <c r="Q844" i="6"/>
  <c r="R844" i="6" s="1"/>
  <c r="T844" i="6"/>
  <c r="AB844" i="6"/>
  <c r="P845" i="6"/>
  <c r="Q845" i="6"/>
  <c r="R845" i="6" s="1"/>
  <c r="T845" i="6"/>
  <c r="AB845" i="6"/>
  <c r="P846" i="6"/>
  <c r="Q846" i="6"/>
  <c r="R846" i="6" s="1"/>
  <c r="T846" i="6"/>
  <c r="AB846" i="6"/>
  <c r="P847" i="6"/>
  <c r="Q847" i="6"/>
  <c r="R847" i="6" s="1"/>
  <c r="T847" i="6"/>
  <c r="AB847" i="6"/>
  <c r="P848" i="6"/>
  <c r="Q848" i="6"/>
  <c r="R848" i="6" s="1"/>
  <c r="T848" i="6"/>
  <c r="AB848" i="6"/>
  <c r="P849" i="6"/>
  <c r="Q849" i="6"/>
  <c r="R849" i="6" s="1"/>
  <c r="T849" i="6"/>
  <c r="AB849" i="6"/>
  <c r="P850" i="6"/>
  <c r="Q850" i="6"/>
  <c r="R850" i="6" s="1"/>
  <c r="T850" i="6"/>
  <c r="AB850" i="6"/>
  <c r="P851" i="6"/>
  <c r="Q851" i="6"/>
  <c r="R851" i="6" s="1"/>
  <c r="T851" i="6"/>
  <c r="AB851" i="6"/>
  <c r="P852" i="6"/>
  <c r="Q852" i="6"/>
  <c r="R852" i="6" s="1"/>
  <c r="T852" i="6"/>
  <c r="AB852" i="6"/>
  <c r="P853" i="6"/>
  <c r="Q853" i="6"/>
  <c r="R853" i="6" s="1"/>
  <c r="T853" i="6"/>
  <c r="AB853" i="6"/>
  <c r="P854" i="6"/>
  <c r="Q854" i="6"/>
  <c r="R854" i="6" s="1"/>
  <c r="T854" i="6"/>
  <c r="AB854" i="6"/>
  <c r="P855" i="6"/>
  <c r="Q855" i="6"/>
  <c r="R855" i="6" s="1"/>
  <c r="T855" i="6"/>
  <c r="AB855" i="6"/>
  <c r="P856" i="6"/>
  <c r="Q856" i="6"/>
  <c r="R856" i="6" s="1"/>
  <c r="T856" i="6"/>
  <c r="AB856" i="6"/>
  <c r="P857" i="6"/>
  <c r="Q857" i="6"/>
  <c r="R857" i="6" s="1"/>
  <c r="T857" i="6"/>
  <c r="AB857" i="6"/>
  <c r="P858" i="6"/>
  <c r="Q858" i="6"/>
  <c r="R858" i="6" s="1"/>
  <c r="T858" i="6"/>
  <c r="AB858" i="6"/>
  <c r="P859" i="6"/>
  <c r="Q859" i="6"/>
  <c r="R859" i="6" s="1"/>
  <c r="T859" i="6"/>
  <c r="AB859" i="6"/>
  <c r="P860" i="6"/>
  <c r="Q860" i="6"/>
  <c r="R860" i="6" s="1"/>
  <c r="T860" i="6"/>
  <c r="AB860" i="6"/>
  <c r="P861" i="6"/>
  <c r="Q861" i="6"/>
  <c r="R861" i="6" s="1"/>
  <c r="T861" i="6"/>
  <c r="AB861" i="6"/>
  <c r="P862" i="6"/>
  <c r="Q862" i="6"/>
  <c r="R862" i="6" s="1"/>
  <c r="T862" i="6"/>
  <c r="AB862" i="6"/>
  <c r="P863" i="6"/>
  <c r="Q863" i="6"/>
  <c r="R863" i="6" s="1"/>
  <c r="T863" i="6"/>
  <c r="AB863" i="6"/>
  <c r="P864" i="6"/>
  <c r="Q864" i="6"/>
  <c r="R864" i="6" s="1"/>
  <c r="T864" i="6"/>
  <c r="AB864" i="6"/>
  <c r="P865" i="6"/>
  <c r="Q865" i="6"/>
  <c r="R865" i="6" s="1"/>
  <c r="T865" i="6"/>
  <c r="AB865" i="6"/>
  <c r="P866" i="6"/>
  <c r="Q866" i="6"/>
  <c r="R866" i="6" s="1"/>
  <c r="T866" i="6"/>
  <c r="AB866" i="6"/>
  <c r="P867" i="6"/>
  <c r="Q867" i="6"/>
  <c r="R867" i="6" s="1"/>
  <c r="T867" i="6"/>
  <c r="AB867" i="6"/>
  <c r="P868" i="6"/>
  <c r="Q868" i="6"/>
  <c r="R868" i="6" s="1"/>
  <c r="T868" i="6"/>
  <c r="AB868" i="6"/>
  <c r="P869" i="6"/>
  <c r="Q869" i="6"/>
  <c r="R869" i="6" s="1"/>
  <c r="T869" i="6"/>
  <c r="AB869" i="6"/>
  <c r="P870" i="6"/>
  <c r="Q870" i="6"/>
  <c r="R870" i="6" s="1"/>
  <c r="T870" i="6"/>
  <c r="AB870" i="6"/>
  <c r="P871" i="6"/>
  <c r="Q871" i="6"/>
  <c r="R871" i="6" s="1"/>
  <c r="T871" i="6"/>
  <c r="AB871" i="6"/>
  <c r="P872" i="6"/>
  <c r="Q872" i="6"/>
  <c r="R872" i="6" s="1"/>
  <c r="T872" i="6"/>
  <c r="AB872" i="6"/>
  <c r="P873" i="6"/>
  <c r="Q873" i="6"/>
  <c r="R873" i="6" s="1"/>
  <c r="T873" i="6"/>
  <c r="AB873" i="6"/>
  <c r="P874" i="6"/>
  <c r="Q874" i="6"/>
  <c r="R874" i="6" s="1"/>
  <c r="T874" i="6"/>
  <c r="AB874" i="6"/>
  <c r="P875" i="6"/>
  <c r="Q875" i="6"/>
  <c r="R875" i="6" s="1"/>
  <c r="T875" i="6"/>
  <c r="AB875" i="6"/>
  <c r="P876" i="6"/>
  <c r="Q876" i="6"/>
  <c r="R876" i="6" s="1"/>
  <c r="T876" i="6"/>
  <c r="AB876" i="6"/>
  <c r="P877" i="6"/>
  <c r="Q877" i="6"/>
  <c r="R877" i="6" s="1"/>
  <c r="T877" i="6"/>
  <c r="AB877" i="6"/>
  <c r="P878" i="6"/>
  <c r="Q878" i="6"/>
  <c r="R878" i="6" s="1"/>
  <c r="T878" i="6"/>
  <c r="AB878" i="6"/>
  <c r="P879" i="6"/>
  <c r="Q879" i="6"/>
  <c r="R879" i="6" s="1"/>
  <c r="T879" i="6"/>
  <c r="AB879" i="6"/>
  <c r="P880" i="6"/>
  <c r="Q880" i="6"/>
  <c r="R880" i="6" s="1"/>
  <c r="T880" i="6"/>
  <c r="AB880" i="6"/>
  <c r="P881" i="6"/>
  <c r="Q881" i="6"/>
  <c r="R881" i="6" s="1"/>
  <c r="T881" i="6"/>
  <c r="AB881" i="6"/>
  <c r="P882" i="6"/>
  <c r="Q882" i="6"/>
  <c r="R882" i="6" s="1"/>
  <c r="T882" i="6"/>
  <c r="AB882" i="6"/>
  <c r="P883" i="6"/>
  <c r="Q883" i="6"/>
  <c r="R883" i="6" s="1"/>
  <c r="T883" i="6"/>
  <c r="AB883" i="6"/>
  <c r="P884" i="6"/>
  <c r="Q884" i="6"/>
  <c r="R884" i="6" s="1"/>
  <c r="T884" i="6"/>
  <c r="AB884" i="6"/>
  <c r="P885" i="6"/>
  <c r="Q885" i="6"/>
  <c r="R885" i="6" s="1"/>
  <c r="T885" i="6"/>
  <c r="AB885" i="6"/>
  <c r="P886" i="6"/>
  <c r="Q886" i="6"/>
  <c r="R886" i="6" s="1"/>
  <c r="T886" i="6"/>
  <c r="AB886" i="6"/>
  <c r="P887" i="6"/>
  <c r="Q887" i="6"/>
  <c r="R887" i="6" s="1"/>
  <c r="T887" i="6"/>
  <c r="AB887" i="6"/>
  <c r="P888" i="6"/>
  <c r="Q888" i="6"/>
  <c r="R888" i="6" s="1"/>
  <c r="T888" i="6"/>
  <c r="AB888" i="6"/>
  <c r="P889" i="6"/>
  <c r="Q889" i="6"/>
  <c r="R889" i="6" s="1"/>
  <c r="T889" i="6"/>
  <c r="AB889" i="6"/>
  <c r="P890" i="6"/>
  <c r="Q890" i="6"/>
  <c r="R890" i="6" s="1"/>
  <c r="T890" i="6"/>
  <c r="AB890" i="6"/>
  <c r="P891" i="6"/>
  <c r="Q891" i="6"/>
  <c r="R891" i="6" s="1"/>
  <c r="T891" i="6"/>
  <c r="AB891" i="6"/>
  <c r="P892" i="6"/>
  <c r="Q892" i="6"/>
  <c r="R892" i="6" s="1"/>
  <c r="T892" i="6"/>
  <c r="AB892" i="6"/>
  <c r="P893" i="6"/>
  <c r="Q893" i="6"/>
  <c r="R893" i="6" s="1"/>
  <c r="T893" i="6"/>
  <c r="AB893" i="6"/>
  <c r="P894" i="6"/>
  <c r="Q894" i="6"/>
  <c r="R894" i="6" s="1"/>
  <c r="T894" i="6"/>
  <c r="AB894" i="6"/>
  <c r="P895" i="6"/>
  <c r="Q895" i="6"/>
  <c r="R895" i="6" s="1"/>
  <c r="T895" i="6"/>
  <c r="AB895" i="6"/>
  <c r="P896" i="6"/>
  <c r="Q896" i="6"/>
  <c r="R896" i="6" s="1"/>
  <c r="T896" i="6"/>
  <c r="AB896" i="6"/>
  <c r="P897" i="6"/>
  <c r="Q897" i="6"/>
  <c r="R897" i="6" s="1"/>
  <c r="T897" i="6"/>
  <c r="AB897" i="6"/>
  <c r="P898" i="6"/>
  <c r="Q898" i="6"/>
  <c r="R898" i="6" s="1"/>
  <c r="T898" i="6"/>
  <c r="AB898" i="6"/>
  <c r="P899" i="6"/>
  <c r="Q899" i="6"/>
  <c r="R899" i="6" s="1"/>
  <c r="T899" i="6"/>
  <c r="AB899" i="6"/>
  <c r="P900" i="6"/>
  <c r="Q900" i="6"/>
  <c r="R900" i="6" s="1"/>
  <c r="T900" i="6"/>
  <c r="AB900" i="6"/>
  <c r="P901" i="6"/>
  <c r="Q901" i="6"/>
  <c r="R901" i="6" s="1"/>
  <c r="T901" i="6"/>
  <c r="AB901" i="6"/>
  <c r="P902" i="6"/>
  <c r="Q902" i="6"/>
  <c r="R902" i="6" s="1"/>
  <c r="T902" i="6"/>
  <c r="AB902" i="6"/>
  <c r="P903" i="6"/>
  <c r="Q903" i="6"/>
  <c r="R903" i="6" s="1"/>
  <c r="T903" i="6"/>
  <c r="AB903" i="6"/>
  <c r="P904" i="6"/>
  <c r="Q904" i="6"/>
  <c r="R904" i="6" s="1"/>
  <c r="T904" i="6"/>
  <c r="AB904" i="6"/>
  <c r="P905" i="6"/>
  <c r="Q905" i="6"/>
  <c r="R905" i="6" s="1"/>
  <c r="T905" i="6"/>
  <c r="AB905" i="6"/>
  <c r="P906" i="6"/>
  <c r="Q906" i="6"/>
  <c r="R906" i="6" s="1"/>
  <c r="T906" i="6"/>
  <c r="AB906" i="6"/>
  <c r="P907" i="6"/>
  <c r="Q907" i="6"/>
  <c r="R907" i="6" s="1"/>
  <c r="T907" i="6"/>
  <c r="AB907" i="6"/>
  <c r="P908" i="6"/>
  <c r="Q908" i="6"/>
  <c r="R908" i="6" s="1"/>
  <c r="T908" i="6"/>
  <c r="AB908" i="6"/>
  <c r="P909" i="6"/>
  <c r="Q909" i="6"/>
  <c r="R909" i="6" s="1"/>
  <c r="T909" i="6"/>
  <c r="AB909" i="6"/>
  <c r="P910" i="6"/>
  <c r="Q910" i="6"/>
  <c r="R910" i="6" s="1"/>
  <c r="T910" i="6"/>
  <c r="AB910" i="6"/>
  <c r="P911" i="6"/>
  <c r="Q911" i="6"/>
  <c r="R911" i="6" s="1"/>
  <c r="T911" i="6"/>
  <c r="AB911" i="6"/>
  <c r="P912" i="6"/>
  <c r="Q912" i="6"/>
  <c r="R912" i="6" s="1"/>
  <c r="T912" i="6"/>
  <c r="AB912" i="6"/>
  <c r="P913" i="6"/>
  <c r="Q913" i="6"/>
  <c r="R913" i="6" s="1"/>
  <c r="T913" i="6"/>
  <c r="AB913" i="6"/>
  <c r="P914" i="6"/>
  <c r="Q914" i="6"/>
  <c r="R914" i="6" s="1"/>
  <c r="T914" i="6"/>
  <c r="AB914" i="6"/>
  <c r="P915" i="6"/>
  <c r="Q915" i="6"/>
  <c r="R915" i="6" s="1"/>
  <c r="T915" i="6"/>
  <c r="AB915" i="6"/>
  <c r="P916" i="6"/>
  <c r="Q916" i="6"/>
  <c r="R916" i="6" s="1"/>
  <c r="T916" i="6"/>
  <c r="AB916" i="6"/>
  <c r="P917" i="6"/>
  <c r="Q917" i="6"/>
  <c r="R917" i="6" s="1"/>
  <c r="T917" i="6"/>
  <c r="AB917" i="6"/>
  <c r="P918" i="6"/>
  <c r="Q918" i="6"/>
  <c r="R918" i="6" s="1"/>
  <c r="T918" i="6"/>
  <c r="AB918" i="6"/>
  <c r="P919" i="6"/>
  <c r="Q919" i="6"/>
  <c r="R919" i="6" s="1"/>
  <c r="T919" i="6"/>
  <c r="AB919" i="6"/>
  <c r="P920" i="6"/>
  <c r="Q920" i="6"/>
  <c r="R920" i="6" s="1"/>
  <c r="T920" i="6"/>
  <c r="AB920" i="6"/>
  <c r="P921" i="6"/>
  <c r="Q921" i="6"/>
  <c r="R921" i="6" s="1"/>
  <c r="T921" i="6"/>
  <c r="AB921" i="6"/>
  <c r="P922" i="6"/>
  <c r="Q922" i="6"/>
  <c r="R922" i="6" s="1"/>
  <c r="T922" i="6"/>
  <c r="AB922" i="6"/>
  <c r="P923" i="6"/>
  <c r="Q923" i="6"/>
  <c r="R923" i="6" s="1"/>
  <c r="T923" i="6"/>
  <c r="AB923" i="6"/>
  <c r="P924" i="6"/>
  <c r="Q924" i="6"/>
  <c r="R924" i="6" s="1"/>
  <c r="T924" i="6"/>
  <c r="AB924" i="6"/>
  <c r="P925" i="6"/>
  <c r="Q925" i="6"/>
  <c r="R925" i="6" s="1"/>
  <c r="T925" i="6"/>
  <c r="AB925" i="6"/>
  <c r="P926" i="6"/>
  <c r="Q926" i="6"/>
  <c r="R926" i="6" s="1"/>
  <c r="T926" i="6"/>
  <c r="AB926" i="6"/>
  <c r="P927" i="6"/>
  <c r="Q927" i="6"/>
  <c r="R927" i="6" s="1"/>
  <c r="T927" i="6"/>
  <c r="AB927" i="6"/>
  <c r="P928" i="6"/>
  <c r="Q928" i="6"/>
  <c r="R928" i="6" s="1"/>
  <c r="T928" i="6"/>
  <c r="AB928" i="6"/>
  <c r="P929" i="6"/>
  <c r="Q929" i="6"/>
  <c r="R929" i="6" s="1"/>
  <c r="T929" i="6"/>
  <c r="AB929" i="6"/>
  <c r="P930" i="6"/>
  <c r="Q930" i="6"/>
  <c r="R930" i="6" s="1"/>
  <c r="T930" i="6"/>
  <c r="AB930" i="6"/>
  <c r="P931" i="6"/>
  <c r="Q931" i="6"/>
  <c r="R931" i="6" s="1"/>
  <c r="T931" i="6"/>
  <c r="AB931" i="6"/>
  <c r="P932" i="6"/>
  <c r="Q932" i="6"/>
  <c r="R932" i="6" s="1"/>
  <c r="T932" i="6"/>
  <c r="AB932" i="6"/>
  <c r="P933" i="6"/>
  <c r="Q933" i="6"/>
  <c r="R933" i="6" s="1"/>
  <c r="T933" i="6"/>
  <c r="AB933" i="6"/>
  <c r="P934" i="6"/>
  <c r="Q934" i="6"/>
  <c r="R934" i="6" s="1"/>
  <c r="T934" i="6"/>
  <c r="AB934" i="6"/>
  <c r="P935" i="6"/>
  <c r="Q935" i="6"/>
  <c r="R935" i="6" s="1"/>
  <c r="T935" i="6"/>
  <c r="AB935" i="6"/>
  <c r="P936" i="6"/>
  <c r="Q936" i="6"/>
  <c r="R936" i="6" s="1"/>
  <c r="T936" i="6"/>
  <c r="AB936" i="6"/>
  <c r="P937" i="6"/>
  <c r="Q937" i="6"/>
  <c r="R937" i="6" s="1"/>
  <c r="T937" i="6"/>
  <c r="AB937" i="6"/>
  <c r="P938" i="6"/>
  <c r="Q938" i="6"/>
  <c r="R938" i="6" s="1"/>
  <c r="T938" i="6"/>
  <c r="AB938" i="6"/>
  <c r="P939" i="6"/>
  <c r="Q939" i="6"/>
  <c r="R939" i="6" s="1"/>
  <c r="T939" i="6"/>
  <c r="AB939" i="6"/>
  <c r="P940" i="6"/>
  <c r="Q940" i="6"/>
  <c r="R940" i="6" s="1"/>
  <c r="T940" i="6"/>
  <c r="AB940" i="6"/>
  <c r="P941" i="6"/>
  <c r="Q941" i="6"/>
  <c r="R941" i="6" s="1"/>
  <c r="T941" i="6"/>
  <c r="AB941" i="6"/>
  <c r="P942" i="6"/>
  <c r="Q942" i="6"/>
  <c r="R942" i="6" s="1"/>
  <c r="T942" i="6"/>
  <c r="AB942" i="6"/>
  <c r="P943" i="6"/>
  <c r="Q943" i="6"/>
  <c r="R943" i="6" s="1"/>
  <c r="T943" i="6"/>
  <c r="AB943" i="6"/>
  <c r="P944" i="6"/>
  <c r="Q944" i="6"/>
  <c r="R944" i="6" s="1"/>
  <c r="T944" i="6"/>
  <c r="AB944" i="6"/>
  <c r="P945" i="6"/>
  <c r="Q945" i="6"/>
  <c r="R945" i="6" s="1"/>
  <c r="T945" i="6"/>
  <c r="AB945" i="6"/>
  <c r="P946" i="6"/>
  <c r="Q946" i="6"/>
  <c r="R946" i="6" s="1"/>
  <c r="T946" i="6"/>
  <c r="AB946" i="6"/>
  <c r="P947" i="6"/>
  <c r="Q947" i="6"/>
  <c r="R947" i="6" s="1"/>
  <c r="T947" i="6"/>
  <c r="AB947" i="6"/>
  <c r="P948" i="6"/>
  <c r="Q948" i="6"/>
  <c r="R948" i="6" s="1"/>
  <c r="T948" i="6"/>
  <c r="AB948" i="6"/>
  <c r="P949" i="6"/>
  <c r="Q949" i="6"/>
  <c r="R949" i="6" s="1"/>
  <c r="T949" i="6"/>
  <c r="AB949" i="6"/>
  <c r="P950" i="6"/>
  <c r="Q950" i="6"/>
  <c r="R950" i="6" s="1"/>
  <c r="T950" i="6"/>
  <c r="AB950" i="6"/>
  <c r="P951" i="6"/>
  <c r="Q951" i="6"/>
  <c r="R951" i="6" s="1"/>
  <c r="T951" i="6"/>
  <c r="AB951" i="6"/>
  <c r="P952" i="6"/>
  <c r="Q952" i="6"/>
  <c r="R952" i="6" s="1"/>
  <c r="T952" i="6"/>
  <c r="AB952" i="6"/>
  <c r="P953" i="6"/>
  <c r="Q953" i="6"/>
  <c r="R953" i="6" s="1"/>
  <c r="T953" i="6"/>
  <c r="AB953" i="6"/>
  <c r="P954" i="6"/>
  <c r="Q954" i="6"/>
  <c r="R954" i="6" s="1"/>
  <c r="T954" i="6"/>
  <c r="AB954" i="6"/>
  <c r="P955" i="6"/>
  <c r="Q955" i="6"/>
  <c r="R955" i="6" s="1"/>
  <c r="T955" i="6"/>
  <c r="AB955" i="6"/>
  <c r="P956" i="6"/>
  <c r="Q956" i="6"/>
  <c r="R956" i="6" s="1"/>
  <c r="T956" i="6"/>
  <c r="AB956" i="6"/>
  <c r="P957" i="6"/>
  <c r="Q957" i="6"/>
  <c r="R957" i="6" s="1"/>
  <c r="T957" i="6"/>
  <c r="AB957" i="6"/>
  <c r="P958" i="6"/>
  <c r="Q958" i="6"/>
  <c r="R958" i="6" s="1"/>
  <c r="T958" i="6"/>
  <c r="AB958" i="6"/>
  <c r="P959" i="6"/>
  <c r="Q959" i="6"/>
  <c r="R959" i="6" s="1"/>
  <c r="T959" i="6"/>
  <c r="AB959" i="6"/>
  <c r="P960" i="6"/>
  <c r="Q960" i="6"/>
  <c r="R960" i="6" s="1"/>
  <c r="T960" i="6"/>
  <c r="AB960" i="6"/>
  <c r="P961" i="6"/>
  <c r="Q961" i="6"/>
  <c r="R961" i="6" s="1"/>
  <c r="T961" i="6"/>
  <c r="AB961" i="6"/>
  <c r="P962" i="6"/>
  <c r="Q962" i="6"/>
  <c r="R962" i="6" s="1"/>
  <c r="T962" i="6"/>
  <c r="AB962" i="6"/>
  <c r="P963" i="6"/>
  <c r="Q963" i="6"/>
  <c r="R963" i="6" s="1"/>
  <c r="T963" i="6"/>
  <c r="AB963" i="6"/>
  <c r="P964" i="6"/>
  <c r="Q964" i="6"/>
  <c r="R964" i="6" s="1"/>
  <c r="T964" i="6"/>
  <c r="AB964" i="6"/>
  <c r="P965" i="6"/>
  <c r="Q965" i="6"/>
  <c r="R965" i="6" s="1"/>
  <c r="T965" i="6"/>
  <c r="AB965" i="6"/>
  <c r="P966" i="6"/>
  <c r="Q966" i="6"/>
  <c r="R966" i="6" s="1"/>
  <c r="T966" i="6"/>
  <c r="AB966" i="6"/>
  <c r="P967" i="6"/>
  <c r="Q967" i="6"/>
  <c r="R967" i="6" s="1"/>
  <c r="T967" i="6"/>
  <c r="AB967" i="6"/>
  <c r="P968" i="6"/>
  <c r="Q968" i="6"/>
  <c r="R968" i="6" s="1"/>
  <c r="T968" i="6"/>
  <c r="AB968" i="6"/>
  <c r="P969" i="6"/>
  <c r="Q969" i="6"/>
  <c r="R969" i="6" s="1"/>
  <c r="T969" i="6"/>
  <c r="AB969" i="6"/>
  <c r="P970" i="6"/>
  <c r="Q970" i="6"/>
  <c r="R970" i="6" s="1"/>
  <c r="T970" i="6"/>
  <c r="AB970" i="6"/>
  <c r="P971" i="6"/>
  <c r="Q971" i="6"/>
  <c r="R971" i="6" s="1"/>
  <c r="T971" i="6"/>
  <c r="AB971" i="6"/>
  <c r="P972" i="6"/>
  <c r="Q972" i="6"/>
  <c r="R972" i="6" s="1"/>
  <c r="T972" i="6"/>
  <c r="AB972" i="6"/>
  <c r="P973" i="6"/>
  <c r="Q973" i="6"/>
  <c r="R973" i="6" s="1"/>
  <c r="T973" i="6"/>
  <c r="AB973" i="6"/>
  <c r="P974" i="6"/>
  <c r="Q974" i="6"/>
  <c r="R974" i="6" s="1"/>
  <c r="T974" i="6"/>
  <c r="AB974" i="6"/>
  <c r="P975" i="6"/>
  <c r="Q975" i="6"/>
  <c r="R975" i="6" s="1"/>
  <c r="T975" i="6"/>
  <c r="AB975" i="6"/>
  <c r="P976" i="6"/>
  <c r="Q976" i="6"/>
  <c r="R976" i="6" s="1"/>
  <c r="T976" i="6"/>
  <c r="AB976" i="6"/>
  <c r="P977" i="6"/>
  <c r="Q977" i="6"/>
  <c r="R977" i="6" s="1"/>
  <c r="T977" i="6"/>
  <c r="AB977" i="6"/>
  <c r="P978" i="6"/>
  <c r="Q978" i="6"/>
  <c r="R978" i="6" s="1"/>
  <c r="T978" i="6"/>
  <c r="AB978" i="6"/>
  <c r="P979" i="6"/>
  <c r="Q979" i="6"/>
  <c r="R979" i="6" s="1"/>
  <c r="T979" i="6"/>
  <c r="AB979" i="6"/>
  <c r="P980" i="6"/>
  <c r="Q980" i="6"/>
  <c r="R980" i="6" s="1"/>
  <c r="T980" i="6"/>
  <c r="AB980" i="6"/>
  <c r="P981" i="6"/>
  <c r="Q981" i="6"/>
  <c r="R981" i="6" s="1"/>
  <c r="T981" i="6"/>
  <c r="AB981" i="6"/>
  <c r="P982" i="6"/>
  <c r="Q982" i="6"/>
  <c r="R982" i="6" s="1"/>
  <c r="T982" i="6"/>
  <c r="AB982" i="6"/>
  <c r="P983" i="6"/>
  <c r="Q983" i="6"/>
  <c r="R983" i="6" s="1"/>
  <c r="T983" i="6"/>
  <c r="AB983" i="6"/>
  <c r="P984" i="6"/>
  <c r="Q984" i="6"/>
  <c r="R984" i="6" s="1"/>
  <c r="T984" i="6"/>
  <c r="AB984" i="6"/>
  <c r="P985" i="6"/>
  <c r="Q985" i="6"/>
  <c r="R985" i="6" s="1"/>
  <c r="T985" i="6"/>
  <c r="AB985" i="6"/>
  <c r="P986" i="6"/>
  <c r="Q986" i="6"/>
  <c r="R986" i="6" s="1"/>
  <c r="T986" i="6"/>
  <c r="AB986" i="6"/>
  <c r="P987" i="6"/>
  <c r="Q987" i="6"/>
  <c r="R987" i="6" s="1"/>
  <c r="T987" i="6"/>
  <c r="AB987" i="6"/>
  <c r="P988" i="6"/>
  <c r="Q988" i="6"/>
  <c r="R988" i="6" s="1"/>
  <c r="T988" i="6"/>
  <c r="AB988" i="6"/>
  <c r="P989" i="6"/>
  <c r="Q989" i="6"/>
  <c r="R989" i="6" s="1"/>
  <c r="T989" i="6"/>
  <c r="AB989" i="6"/>
  <c r="P990" i="6"/>
  <c r="Q990" i="6"/>
  <c r="R990" i="6" s="1"/>
  <c r="T990" i="6"/>
  <c r="AB990" i="6"/>
  <c r="P991" i="6"/>
  <c r="Q991" i="6"/>
  <c r="R991" i="6" s="1"/>
  <c r="T991" i="6"/>
  <c r="AB991" i="6"/>
  <c r="P992" i="6"/>
  <c r="Q992" i="6"/>
  <c r="R992" i="6" s="1"/>
  <c r="T992" i="6"/>
  <c r="AB992" i="6"/>
  <c r="P993" i="6"/>
  <c r="Q993" i="6"/>
  <c r="R993" i="6" s="1"/>
  <c r="T993" i="6"/>
  <c r="AB993" i="6"/>
  <c r="P994" i="6"/>
  <c r="Q994" i="6"/>
  <c r="R994" i="6" s="1"/>
  <c r="T994" i="6"/>
  <c r="AB994" i="6"/>
  <c r="P995" i="6"/>
  <c r="Q995" i="6"/>
  <c r="R995" i="6" s="1"/>
  <c r="T995" i="6"/>
  <c r="AB995" i="6"/>
  <c r="P996" i="6"/>
  <c r="Q996" i="6"/>
  <c r="R996" i="6" s="1"/>
  <c r="T996" i="6"/>
  <c r="AB996" i="6"/>
  <c r="P997" i="6"/>
  <c r="Q997" i="6"/>
  <c r="R997" i="6" s="1"/>
  <c r="T997" i="6"/>
  <c r="AB997" i="6"/>
  <c r="P998" i="6"/>
  <c r="Q998" i="6"/>
  <c r="R998" i="6" s="1"/>
  <c r="T998" i="6"/>
  <c r="AB998" i="6"/>
  <c r="P999" i="6"/>
  <c r="Q999" i="6"/>
  <c r="R999" i="6" s="1"/>
  <c r="T999" i="6"/>
  <c r="AB999" i="6"/>
  <c r="P1000" i="6"/>
  <c r="Q1000" i="6"/>
  <c r="R1000" i="6" s="1"/>
  <c r="T1000" i="6"/>
  <c r="AB1000" i="6"/>
  <c r="P1001" i="6"/>
  <c r="Q1001" i="6"/>
  <c r="R1001" i="6" s="1"/>
  <c r="T1001" i="6"/>
  <c r="AB1001" i="6"/>
  <c r="P1002" i="6"/>
  <c r="Q1002" i="6"/>
  <c r="R1002" i="6" s="1"/>
  <c r="T1002" i="6"/>
  <c r="AB1002" i="6"/>
  <c r="P1003" i="6"/>
  <c r="Q1003" i="6"/>
  <c r="R1003" i="6" s="1"/>
  <c r="T1003" i="6"/>
  <c r="AB1003" i="6"/>
  <c r="P1004" i="6"/>
  <c r="Q1004" i="6"/>
  <c r="R1004" i="6" s="1"/>
  <c r="T1004" i="6"/>
  <c r="AB1004" i="6"/>
  <c r="P1005" i="6"/>
  <c r="Q1005" i="6"/>
  <c r="R1005" i="6" s="1"/>
  <c r="T1005" i="6"/>
  <c r="AB1005" i="6"/>
  <c r="P1006" i="6"/>
  <c r="Q1006" i="6"/>
  <c r="R1006" i="6" s="1"/>
  <c r="T1006" i="6"/>
  <c r="AB1006" i="6"/>
  <c r="P1007" i="6"/>
  <c r="Q1007" i="6"/>
  <c r="R1007" i="6" s="1"/>
  <c r="T1007" i="6"/>
  <c r="AB1007" i="6"/>
  <c r="P1008" i="6"/>
  <c r="Q1008" i="6"/>
  <c r="R1008" i="6" s="1"/>
  <c r="T1008" i="6"/>
  <c r="AB1008" i="6"/>
  <c r="P1009" i="6"/>
  <c r="Q1009" i="6"/>
  <c r="R1009" i="6" s="1"/>
  <c r="T1009" i="6"/>
  <c r="AB1009" i="6"/>
  <c r="P1010" i="6"/>
  <c r="Q1010" i="6"/>
  <c r="R1010" i="6" s="1"/>
  <c r="T1010" i="6"/>
  <c r="AB1010" i="6"/>
  <c r="P1011" i="6"/>
  <c r="Q1011" i="6"/>
  <c r="R1011" i="6" s="1"/>
  <c r="T1011" i="6"/>
  <c r="AB1011" i="6"/>
  <c r="P1012" i="6"/>
  <c r="Q1012" i="6"/>
  <c r="R1012" i="6" s="1"/>
  <c r="T1012" i="6"/>
  <c r="AB1012" i="6"/>
  <c r="P1013" i="6"/>
  <c r="Q1013" i="6"/>
  <c r="R1013" i="6" s="1"/>
  <c r="T1013" i="6"/>
  <c r="AB1013" i="6"/>
  <c r="P1014" i="6"/>
  <c r="Q1014" i="6"/>
  <c r="R1014" i="6" s="1"/>
  <c r="T1014" i="6"/>
  <c r="AB1014" i="6"/>
  <c r="P1015" i="6"/>
  <c r="Q1015" i="6"/>
  <c r="R1015" i="6" s="1"/>
  <c r="T1015" i="6"/>
  <c r="AB1015" i="6"/>
  <c r="P1016" i="6"/>
  <c r="Q1016" i="6"/>
  <c r="R1016" i="6" s="1"/>
  <c r="T1016" i="6"/>
  <c r="AB1016" i="6"/>
  <c r="P1017" i="6"/>
  <c r="Q1017" i="6"/>
  <c r="R1017" i="6" s="1"/>
  <c r="T1017" i="6"/>
  <c r="AB1017" i="6"/>
  <c r="P1018" i="6"/>
  <c r="Q1018" i="6"/>
  <c r="R1018" i="6" s="1"/>
  <c r="T1018" i="6"/>
  <c r="AB1018" i="6"/>
  <c r="P1019" i="6"/>
  <c r="Q1019" i="6"/>
  <c r="R1019" i="6" s="1"/>
  <c r="T1019" i="6"/>
  <c r="AB1019" i="6"/>
  <c r="P1020" i="6"/>
  <c r="Q1020" i="6"/>
  <c r="R1020" i="6" s="1"/>
  <c r="T1020" i="6"/>
  <c r="AB1020" i="6"/>
  <c r="P1021" i="6"/>
  <c r="Q1021" i="6"/>
  <c r="R1021" i="6" s="1"/>
  <c r="T1021" i="6"/>
  <c r="AB1021" i="6"/>
  <c r="P1022" i="6"/>
  <c r="Q1022" i="6"/>
  <c r="R1022" i="6" s="1"/>
  <c r="T1022" i="6"/>
  <c r="AB1022" i="6"/>
  <c r="P1023" i="6"/>
  <c r="Q1023" i="6"/>
  <c r="R1023" i="6" s="1"/>
  <c r="T1023" i="6"/>
  <c r="AB1023" i="6"/>
  <c r="P1024" i="6"/>
  <c r="Q1024" i="6"/>
  <c r="R1024" i="6" s="1"/>
  <c r="T1024" i="6"/>
  <c r="AB1024" i="6"/>
  <c r="P1025" i="6"/>
  <c r="Q1025" i="6"/>
  <c r="R1025" i="6" s="1"/>
  <c r="T1025" i="6"/>
  <c r="AB1025" i="6"/>
  <c r="P1026" i="6"/>
  <c r="Q1026" i="6"/>
  <c r="R1026" i="6" s="1"/>
  <c r="T1026" i="6"/>
  <c r="AB1026" i="6"/>
  <c r="P1027" i="6"/>
  <c r="Q1027" i="6"/>
  <c r="R1027" i="6" s="1"/>
  <c r="T1027" i="6"/>
  <c r="AB1027" i="6"/>
  <c r="P1028" i="6"/>
  <c r="Q1028" i="6"/>
  <c r="R1028" i="6" s="1"/>
  <c r="T1028" i="6"/>
  <c r="AB1028" i="6"/>
  <c r="P1029" i="6"/>
  <c r="Q1029" i="6"/>
  <c r="R1029" i="6" s="1"/>
  <c r="T1029" i="6"/>
  <c r="AB1029" i="6"/>
  <c r="L156" i="9"/>
  <c r="K156" i="9"/>
  <c r="J156" i="9"/>
  <c r="L155" i="9"/>
  <c r="K155" i="9"/>
  <c r="J155" i="9"/>
  <c r="L154" i="9"/>
  <c r="K154" i="9"/>
  <c r="J154" i="9"/>
  <c r="L153" i="9"/>
  <c r="K153" i="9"/>
  <c r="J153" i="9"/>
  <c r="L152" i="9"/>
  <c r="K152" i="9"/>
  <c r="J152" i="9"/>
  <c r="L151" i="9"/>
  <c r="K151" i="9"/>
  <c r="J151" i="9"/>
  <c r="L150" i="9"/>
  <c r="K150" i="9"/>
  <c r="J150" i="9"/>
  <c r="L149" i="9"/>
  <c r="K149" i="9"/>
  <c r="J149" i="9"/>
  <c r="L148" i="9"/>
  <c r="K148" i="9"/>
  <c r="J148" i="9"/>
  <c r="L147" i="9"/>
  <c r="K147" i="9"/>
  <c r="J147" i="9"/>
  <c r="L146" i="9"/>
  <c r="K146" i="9"/>
  <c r="J146" i="9"/>
  <c r="L145" i="9"/>
  <c r="K145" i="9"/>
  <c r="J145" i="9"/>
  <c r="L144" i="9"/>
  <c r="K144" i="9"/>
  <c r="J144" i="9"/>
  <c r="L143" i="9"/>
  <c r="K143" i="9"/>
  <c r="J143" i="9"/>
  <c r="L142" i="9"/>
  <c r="K142" i="9"/>
  <c r="J142" i="9"/>
  <c r="L141" i="9"/>
  <c r="K141" i="9"/>
  <c r="J141" i="9"/>
  <c r="L140" i="9"/>
  <c r="K140" i="9"/>
  <c r="J140" i="9"/>
  <c r="L139" i="9"/>
  <c r="K139" i="9"/>
  <c r="J139" i="9"/>
  <c r="L138" i="9"/>
  <c r="K138" i="9"/>
  <c r="J138" i="9"/>
  <c r="L137" i="9"/>
  <c r="K137" i="9"/>
  <c r="J137" i="9"/>
  <c r="L136" i="9"/>
  <c r="K136" i="9"/>
  <c r="J136" i="9"/>
  <c r="L135" i="9"/>
  <c r="K135" i="9"/>
  <c r="J135" i="9"/>
  <c r="L134" i="9"/>
  <c r="K134" i="9"/>
  <c r="J134" i="9"/>
  <c r="L133" i="9"/>
  <c r="K133" i="9"/>
  <c r="J133" i="9"/>
  <c r="L132" i="9"/>
  <c r="K132" i="9"/>
  <c r="J132" i="9"/>
  <c r="L131" i="9"/>
  <c r="K131" i="9"/>
  <c r="J131" i="9"/>
  <c r="L130" i="9"/>
  <c r="K130" i="9"/>
  <c r="J130" i="9"/>
  <c r="L129" i="9"/>
  <c r="K129" i="9"/>
  <c r="J129" i="9"/>
  <c r="L128" i="9"/>
  <c r="K128" i="9"/>
  <c r="J128" i="9"/>
  <c r="L127" i="9"/>
  <c r="K127" i="9"/>
  <c r="J127" i="9"/>
  <c r="L126" i="9"/>
  <c r="K126" i="9"/>
  <c r="J126" i="9"/>
  <c r="L125" i="9"/>
  <c r="K125" i="9"/>
  <c r="J125" i="9"/>
  <c r="L124" i="9"/>
  <c r="K124" i="9"/>
  <c r="J124" i="9"/>
  <c r="L123" i="9"/>
  <c r="K123" i="9"/>
  <c r="J123" i="9"/>
  <c r="L122" i="9"/>
  <c r="K122" i="9"/>
  <c r="J122" i="9"/>
  <c r="L121" i="9"/>
  <c r="K121" i="9"/>
  <c r="J121" i="9"/>
  <c r="L120" i="9"/>
  <c r="K120" i="9"/>
  <c r="J120" i="9"/>
  <c r="L119" i="9"/>
  <c r="K119" i="9"/>
  <c r="J119" i="9"/>
  <c r="L118" i="9"/>
  <c r="K118" i="9"/>
  <c r="J118" i="9"/>
  <c r="L117" i="9"/>
  <c r="K117" i="9"/>
  <c r="J117" i="9"/>
  <c r="L116" i="9"/>
  <c r="K116" i="9"/>
  <c r="J116" i="9"/>
  <c r="L115" i="9"/>
  <c r="K115" i="9"/>
  <c r="J115" i="9"/>
  <c r="L114" i="9"/>
  <c r="K114" i="9"/>
  <c r="J114" i="9"/>
  <c r="L113" i="9"/>
  <c r="K113" i="9"/>
  <c r="J113" i="9"/>
  <c r="L112" i="9"/>
  <c r="K112" i="9"/>
  <c r="J112" i="9"/>
  <c r="L111" i="9"/>
  <c r="K111" i="9"/>
  <c r="J111" i="9"/>
  <c r="L110" i="9"/>
  <c r="K110" i="9"/>
  <c r="J110" i="9"/>
  <c r="L109" i="9"/>
  <c r="K109" i="9"/>
  <c r="J109" i="9"/>
  <c r="L108" i="9"/>
  <c r="K108" i="9"/>
  <c r="J108" i="9"/>
  <c r="L107" i="9"/>
  <c r="K107" i="9"/>
  <c r="J107" i="9"/>
  <c r="L106" i="9"/>
  <c r="K106" i="9"/>
  <c r="J106" i="9"/>
  <c r="L105" i="9"/>
  <c r="K105" i="9"/>
  <c r="J105" i="9"/>
  <c r="L104" i="9"/>
  <c r="K104" i="9"/>
  <c r="J104" i="9"/>
  <c r="L103" i="9"/>
  <c r="K103" i="9"/>
  <c r="J103" i="9"/>
  <c r="L102" i="9"/>
  <c r="K102" i="9"/>
  <c r="J102" i="9"/>
  <c r="L101" i="9"/>
  <c r="K101" i="9"/>
  <c r="J101" i="9"/>
  <c r="L100" i="9"/>
  <c r="K100" i="9"/>
  <c r="J100" i="9"/>
  <c r="L99" i="9"/>
  <c r="K99" i="9"/>
  <c r="J99" i="9"/>
  <c r="L98" i="9"/>
  <c r="K98" i="9"/>
  <c r="J98" i="9"/>
  <c r="L97" i="9"/>
  <c r="K97" i="9"/>
  <c r="J97" i="9"/>
  <c r="L96" i="9"/>
  <c r="K96" i="9"/>
  <c r="J96" i="9"/>
  <c r="L95" i="9"/>
  <c r="K95" i="9"/>
  <c r="J95" i="9"/>
  <c r="L94" i="9"/>
  <c r="K94" i="9"/>
  <c r="J94" i="9"/>
  <c r="L93" i="9"/>
  <c r="K93" i="9"/>
  <c r="J93" i="9"/>
  <c r="L92" i="9"/>
  <c r="K92" i="9"/>
  <c r="J92" i="9"/>
  <c r="L91" i="9"/>
  <c r="K91" i="9"/>
  <c r="J91" i="9"/>
  <c r="L90" i="9"/>
  <c r="K90" i="9"/>
  <c r="J90" i="9"/>
  <c r="L89" i="9"/>
  <c r="K89" i="9"/>
  <c r="J89" i="9"/>
  <c r="L88" i="9"/>
  <c r="K88" i="9"/>
  <c r="J88" i="9"/>
  <c r="L87" i="9"/>
  <c r="K87" i="9"/>
  <c r="J87" i="9"/>
  <c r="L86" i="9"/>
  <c r="K86" i="9"/>
  <c r="J86" i="9"/>
  <c r="L85" i="9"/>
  <c r="K85" i="9"/>
  <c r="J85" i="9"/>
  <c r="L84" i="9"/>
  <c r="K84" i="9"/>
  <c r="J84" i="9"/>
  <c r="L83" i="9"/>
  <c r="K83" i="9"/>
  <c r="J83" i="9"/>
  <c r="L82" i="9"/>
  <c r="K82" i="9"/>
  <c r="J82" i="9"/>
  <c r="L81" i="9"/>
  <c r="K81" i="9"/>
  <c r="J81" i="9"/>
  <c r="L80" i="9"/>
  <c r="K80" i="9"/>
  <c r="J80" i="9"/>
  <c r="L79" i="9"/>
  <c r="K79" i="9"/>
  <c r="J79" i="9"/>
  <c r="I79" i="9"/>
  <c r="H79" i="9"/>
  <c r="L78" i="9"/>
  <c r="K78" i="9"/>
  <c r="J78" i="9"/>
  <c r="I78" i="9"/>
  <c r="H78" i="9"/>
  <c r="L77" i="9"/>
  <c r="K77" i="9"/>
  <c r="J77" i="9"/>
  <c r="I77" i="9"/>
  <c r="H77" i="9"/>
  <c r="L76" i="9"/>
  <c r="K76" i="9"/>
  <c r="J76" i="9"/>
  <c r="I76" i="9"/>
  <c r="H76" i="9"/>
  <c r="L75" i="9"/>
  <c r="K75" i="9"/>
  <c r="J75" i="9"/>
  <c r="I75" i="9"/>
  <c r="H75" i="9"/>
  <c r="L74" i="9"/>
  <c r="K74" i="9"/>
  <c r="J74" i="9"/>
  <c r="I74" i="9"/>
  <c r="H74" i="9"/>
  <c r="L73" i="9"/>
  <c r="K73" i="9"/>
  <c r="J73" i="9"/>
  <c r="I73" i="9"/>
  <c r="H73" i="9"/>
  <c r="L72" i="9"/>
  <c r="K72" i="9"/>
  <c r="J72" i="9"/>
  <c r="I72" i="9"/>
  <c r="H72" i="9"/>
  <c r="L71" i="9"/>
  <c r="K71" i="9"/>
  <c r="J71" i="9"/>
  <c r="I71" i="9"/>
  <c r="H71" i="9"/>
  <c r="L70" i="9"/>
  <c r="K70" i="9"/>
  <c r="J70" i="9"/>
  <c r="I70" i="9"/>
  <c r="H70" i="9"/>
  <c r="L69" i="9"/>
  <c r="K69" i="9"/>
  <c r="J69" i="9"/>
  <c r="I69" i="9"/>
  <c r="H69" i="9"/>
  <c r="L68" i="9"/>
  <c r="K68" i="9"/>
  <c r="J68" i="9"/>
  <c r="I68" i="9"/>
  <c r="H68" i="9"/>
  <c r="L67" i="9"/>
  <c r="K67" i="9"/>
  <c r="J67" i="9"/>
  <c r="I67" i="9"/>
  <c r="H67" i="9"/>
  <c r="L66" i="9"/>
  <c r="K66" i="9"/>
  <c r="J66" i="9"/>
  <c r="I66" i="9"/>
  <c r="H66" i="9"/>
  <c r="L65" i="9"/>
  <c r="K65" i="9"/>
  <c r="J65" i="9"/>
  <c r="I65" i="9"/>
  <c r="H65" i="9"/>
  <c r="L64" i="9"/>
  <c r="K64" i="9"/>
  <c r="J64" i="9"/>
  <c r="I64" i="9"/>
  <c r="H64" i="9"/>
  <c r="L63" i="9"/>
  <c r="K63" i="9"/>
  <c r="J63" i="9"/>
  <c r="I63" i="9"/>
  <c r="H63" i="9"/>
  <c r="L62" i="9"/>
  <c r="K62" i="9"/>
  <c r="J62" i="9"/>
  <c r="I62" i="9"/>
  <c r="H62" i="9"/>
  <c r="L61" i="9"/>
  <c r="K61" i="9"/>
  <c r="J61" i="9"/>
  <c r="I61" i="9"/>
  <c r="H61" i="9"/>
  <c r="L60" i="9"/>
  <c r="K60" i="9"/>
  <c r="J60" i="9"/>
  <c r="I60" i="9"/>
  <c r="H60" i="9"/>
  <c r="L59" i="9"/>
  <c r="K59" i="9"/>
  <c r="J59" i="9"/>
  <c r="I59" i="9"/>
  <c r="H59" i="9"/>
  <c r="L58" i="9"/>
  <c r="K58" i="9"/>
  <c r="J58" i="9"/>
  <c r="I58" i="9"/>
  <c r="H58" i="9"/>
  <c r="L57" i="9"/>
  <c r="K57" i="9"/>
  <c r="J57" i="9"/>
  <c r="I57" i="9"/>
  <c r="H57" i="9"/>
  <c r="L56" i="9"/>
  <c r="K56" i="9"/>
  <c r="J56" i="9"/>
  <c r="I56" i="9"/>
  <c r="H56" i="9"/>
  <c r="L55" i="9"/>
  <c r="K55" i="9"/>
  <c r="J55" i="9"/>
  <c r="I55" i="9"/>
  <c r="H55" i="9"/>
  <c r="L54" i="9"/>
  <c r="K54" i="9"/>
  <c r="J54" i="9"/>
  <c r="I54" i="9"/>
  <c r="H54" i="9"/>
  <c r="L53" i="9"/>
  <c r="K53" i="9"/>
  <c r="J53" i="9"/>
  <c r="I53" i="9"/>
  <c r="H53" i="9"/>
  <c r="L52" i="9"/>
  <c r="K52" i="9"/>
  <c r="J52" i="9"/>
  <c r="I52" i="9"/>
  <c r="H52" i="9"/>
  <c r="L51" i="9"/>
  <c r="K51" i="9"/>
  <c r="J51" i="9"/>
  <c r="I51" i="9"/>
  <c r="H51" i="9"/>
  <c r="L50" i="9"/>
  <c r="K50" i="9"/>
  <c r="J50" i="9"/>
  <c r="I50" i="9"/>
  <c r="H50" i="9"/>
  <c r="L49" i="9"/>
  <c r="K49" i="9"/>
  <c r="J49" i="9"/>
  <c r="I49" i="9"/>
  <c r="H49" i="9"/>
  <c r="L48" i="9"/>
  <c r="K48" i="9"/>
  <c r="J48" i="9"/>
  <c r="I48" i="9"/>
  <c r="H48" i="9"/>
  <c r="L47" i="9"/>
  <c r="K47" i="9"/>
  <c r="J47" i="9"/>
  <c r="I47" i="9"/>
  <c r="H47" i="9"/>
  <c r="L46" i="9"/>
  <c r="K46" i="9"/>
  <c r="J46" i="9"/>
  <c r="I46" i="9"/>
  <c r="H46" i="9"/>
  <c r="L45" i="9"/>
  <c r="K45" i="9"/>
  <c r="J45" i="9"/>
  <c r="I45" i="9"/>
  <c r="H45" i="9"/>
  <c r="L44" i="9"/>
  <c r="K44" i="9"/>
  <c r="J44" i="9"/>
  <c r="I44" i="9"/>
  <c r="H44" i="9"/>
  <c r="L43" i="9"/>
  <c r="K43" i="9"/>
  <c r="J43" i="9"/>
  <c r="I43" i="9"/>
  <c r="H43" i="9"/>
  <c r="L42" i="9"/>
  <c r="K42" i="9"/>
  <c r="J42" i="9"/>
  <c r="I42" i="9"/>
  <c r="H42" i="9"/>
  <c r="L41" i="9"/>
  <c r="K41" i="9"/>
  <c r="J41" i="9"/>
  <c r="I41" i="9"/>
  <c r="H41" i="9"/>
  <c r="L40" i="9"/>
  <c r="K40" i="9"/>
  <c r="J40" i="9"/>
  <c r="I40" i="9"/>
  <c r="H40" i="9"/>
  <c r="L39" i="9"/>
  <c r="K39" i="9"/>
  <c r="J39" i="9"/>
  <c r="I39" i="9"/>
  <c r="H39" i="9"/>
  <c r="L38" i="9"/>
  <c r="K38" i="9"/>
  <c r="J38" i="9"/>
  <c r="I38" i="9"/>
  <c r="H38" i="9"/>
  <c r="L37" i="9"/>
  <c r="K37" i="9"/>
  <c r="J37" i="9"/>
  <c r="I37" i="9"/>
  <c r="H37" i="9"/>
  <c r="L36" i="9"/>
  <c r="K36" i="9"/>
  <c r="J36" i="9"/>
  <c r="I36" i="9"/>
  <c r="H36" i="9"/>
  <c r="L35" i="9"/>
  <c r="K35" i="9"/>
  <c r="J35" i="9"/>
  <c r="I35" i="9"/>
  <c r="H35" i="9"/>
  <c r="L34" i="9"/>
  <c r="K34" i="9"/>
  <c r="J34" i="9"/>
  <c r="I34" i="9"/>
  <c r="H34" i="9"/>
  <c r="L33" i="9"/>
  <c r="K33" i="9"/>
  <c r="J33" i="9"/>
  <c r="I33" i="9"/>
  <c r="H33" i="9"/>
  <c r="L32" i="9"/>
  <c r="K32" i="9"/>
  <c r="J32" i="9"/>
  <c r="I32" i="9"/>
  <c r="H32" i="9"/>
  <c r="L31" i="9"/>
  <c r="K31" i="9"/>
  <c r="J31" i="9"/>
  <c r="I31" i="9"/>
  <c r="H31" i="9"/>
  <c r="L30" i="9"/>
  <c r="K30" i="9"/>
  <c r="J30" i="9"/>
  <c r="I30" i="9"/>
  <c r="H30" i="9"/>
  <c r="L29" i="9"/>
  <c r="K29" i="9"/>
  <c r="J29" i="9"/>
  <c r="I29" i="9"/>
  <c r="H29" i="9"/>
  <c r="L28" i="9"/>
  <c r="K28" i="9"/>
  <c r="J28" i="9"/>
  <c r="I28" i="9"/>
  <c r="H28" i="9"/>
  <c r="L27" i="9"/>
  <c r="K27" i="9"/>
  <c r="J27" i="9"/>
  <c r="I27" i="9"/>
  <c r="H27" i="9"/>
  <c r="AB5" i="6"/>
  <c r="AA5" i="6"/>
  <c r="P5" i="6"/>
  <c r="AH5" i="6" s="1"/>
  <c r="U4" i="6"/>
  <c r="AL5" i="6" s="1"/>
  <c r="M2" i="6"/>
  <c r="F22" i="9" s="1"/>
  <c r="F24" i="9" s="1"/>
  <c r="E1" i="6"/>
  <c r="A1" i="6"/>
  <c r="D56" i="4"/>
  <c r="D55" i="4"/>
  <c r="D54" i="4"/>
  <c r="D53" i="4"/>
  <c r="D51" i="4"/>
  <c r="D50" i="4"/>
  <c r="D48" i="4"/>
  <c r="D47" i="4"/>
  <c r="D46" i="4"/>
  <c r="D45" i="4"/>
  <c r="D44" i="4"/>
  <c r="D43" i="4"/>
  <c r="D41" i="4"/>
  <c r="D40" i="4"/>
  <c r="D39" i="4"/>
  <c r="E38" i="4"/>
  <c r="D38" i="4"/>
  <c r="E37" i="4"/>
  <c r="D37" i="4"/>
  <c r="E36" i="4"/>
  <c r="D36" i="4"/>
  <c r="E35" i="4"/>
  <c r="D35" i="4"/>
  <c r="E34" i="4"/>
  <c r="D34" i="4"/>
  <c r="E33" i="4"/>
  <c r="D33" i="4"/>
  <c r="E32" i="4"/>
  <c r="E31" i="4"/>
  <c r="D31" i="4"/>
  <c r="E30" i="4"/>
  <c r="D30" i="4"/>
  <c r="E29" i="4"/>
  <c r="D29" i="4"/>
  <c r="E28" i="4"/>
  <c r="D28" i="4"/>
  <c r="E27" i="4"/>
  <c r="D27" i="4"/>
  <c r="E26" i="4"/>
  <c r="D26" i="4"/>
  <c r="E25" i="4"/>
  <c r="D25" i="4"/>
  <c r="E24" i="4"/>
  <c r="D24" i="4"/>
  <c r="E23" i="4"/>
  <c r="E22" i="4"/>
  <c r="D22" i="4"/>
  <c r="E21" i="4"/>
  <c r="D21" i="4"/>
  <c r="E20" i="4"/>
  <c r="D20" i="4"/>
  <c r="E19" i="4"/>
  <c r="D19" i="4"/>
  <c r="E18" i="4"/>
  <c r="D18" i="4"/>
  <c r="E17" i="4"/>
  <c r="D17" i="4"/>
  <c r="E16" i="4"/>
  <c r="D16" i="4"/>
  <c r="E15" i="4"/>
  <c r="D15" i="4"/>
  <c r="E14" i="4"/>
  <c r="D14" i="4"/>
  <c r="E13" i="4"/>
  <c r="D13" i="4"/>
  <c r="E12" i="4"/>
  <c r="D12" i="4"/>
  <c r="E11" i="4"/>
  <c r="D11" i="4"/>
  <c r="E10" i="4"/>
  <c r="D10" i="4"/>
  <c r="E9" i="4"/>
  <c r="E8" i="4"/>
  <c r="D8" i="4"/>
  <c r="E7" i="4"/>
  <c r="D7" i="4"/>
  <c r="E6" i="4"/>
  <c r="D6" i="4"/>
  <c r="E5" i="4"/>
  <c r="D5" i="4"/>
  <c r="E4" i="4"/>
  <c r="D4" i="4"/>
  <c r="G31" i="3"/>
  <c r="B3" i="2"/>
  <c r="I12" i="9"/>
  <c r="I6" i="9"/>
  <c r="I16" i="9"/>
  <c r="I15" i="9"/>
  <c r="I4" i="9"/>
  <c r="I14" i="9"/>
  <c r="I9" i="9"/>
  <c r="I7" i="9"/>
  <c r="I8" i="9"/>
  <c r="I10" i="9"/>
  <c r="I20" i="9"/>
  <c r="I18" i="9"/>
  <c r="I13" i="9"/>
  <c r="I11" i="9"/>
  <c r="I3" i="9"/>
  <c r="I5" i="9"/>
  <c r="I22" i="9"/>
  <c r="I21" i="9"/>
  <c r="I17" i="9"/>
  <c r="I19" i="9"/>
  <c r="D2" i="4" l="1"/>
  <c r="D3" i="4"/>
  <c r="AH6" i="6"/>
  <c r="AH7" i="6" s="1"/>
  <c r="AH8" i="6" s="1"/>
  <c r="AC5" i="6"/>
  <c r="AD5" i="6" s="1"/>
  <c r="AE5" i="6" s="1"/>
  <c r="AF5" i="6" s="1"/>
  <c r="AG5" i="6" s="1"/>
  <c r="AL6" i="6"/>
  <c r="AL7" i="6" s="1"/>
  <c r="AL8" i="6" s="1"/>
  <c r="AL9" i="6" s="1"/>
  <c r="AL10" i="6" s="1"/>
  <c r="AL11" i="6" s="1"/>
  <c r="AL12" i="6" s="1"/>
  <c r="AL13" i="6" s="1"/>
  <c r="AL14" i="6" s="1"/>
  <c r="AL15" i="6" s="1"/>
  <c r="AL16" i="6" s="1"/>
  <c r="AL17" i="6" s="1"/>
  <c r="AL18" i="6" s="1"/>
  <c r="AL19" i="6" s="1"/>
  <c r="AL20" i="6" s="1"/>
  <c r="AL21" i="6" s="1"/>
  <c r="AL22" i="6" s="1"/>
  <c r="AL23" i="6" s="1"/>
  <c r="AL24" i="6" s="1"/>
  <c r="AL25" i="6" s="1"/>
  <c r="AL26" i="6" s="1"/>
  <c r="AL27" i="6" s="1"/>
  <c r="AL28" i="6" s="1"/>
  <c r="AL29" i="6" s="1"/>
  <c r="AL30" i="6" s="1"/>
  <c r="AL31" i="6" s="1"/>
  <c r="AL32" i="6" s="1"/>
  <c r="AL33" i="6" s="1"/>
  <c r="AL34" i="6" s="1"/>
  <c r="AL35" i="6" s="1"/>
  <c r="AL36" i="6" s="1"/>
  <c r="AL37" i="6" s="1"/>
  <c r="AL38" i="6" s="1"/>
  <c r="AL39" i="6" s="1"/>
  <c r="AL40" i="6" s="1"/>
  <c r="AL41" i="6" s="1"/>
  <c r="AL42" i="6" s="1"/>
  <c r="AL43" i="6" s="1"/>
  <c r="AL44" i="6" s="1"/>
  <c r="AL45" i="6" s="1"/>
  <c r="AL46" i="6" s="1"/>
  <c r="AL47" i="6" s="1"/>
  <c r="AL48" i="6" s="1"/>
  <c r="AL49" i="6" s="1"/>
  <c r="AL50" i="6" s="1"/>
  <c r="AL51" i="6" s="1"/>
  <c r="AL52" i="6" s="1"/>
  <c r="AL53" i="6" s="1"/>
  <c r="AL54" i="6" s="1"/>
  <c r="AL55" i="6" s="1"/>
  <c r="AL56" i="6" s="1"/>
  <c r="AL57" i="6" s="1"/>
  <c r="AL58" i="6" s="1"/>
  <c r="AL59" i="6" s="1"/>
  <c r="AL60" i="6" s="1"/>
  <c r="AL61" i="6" s="1"/>
  <c r="AL62" i="6" s="1"/>
  <c r="AL63" i="6" s="1"/>
  <c r="AL64" i="6" s="1"/>
  <c r="AL65" i="6" s="1"/>
  <c r="AL66" i="6" s="1"/>
  <c r="AL67" i="6" s="1"/>
  <c r="AL68" i="6" s="1"/>
  <c r="AL69" i="6" s="1"/>
  <c r="AL70" i="6" s="1"/>
  <c r="AL71" i="6" s="1"/>
  <c r="AL72" i="6" s="1"/>
  <c r="AL73" i="6" s="1"/>
  <c r="AL74" i="6" s="1"/>
  <c r="AL75" i="6" s="1"/>
  <c r="AL76" i="6" s="1"/>
  <c r="AL77" i="6" s="1"/>
  <c r="AL78" i="6" s="1"/>
  <c r="AL79" i="6" s="1"/>
  <c r="AL80" i="6" s="1"/>
  <c r="AL81" i="6" s="1"/>
  <c r="AL82" i="6" s="1"/>
  <c r="AL83" i="6" s="1"/>
  <c r="AL84" i="6" s="1"/>
  <c r="AL85" i="6" s="1"/>
  <c r="AL86" i="6" s="1"/>
  <c r="AL87" i="6" s="1"/>
  <c r="AL88" i="6" s="1"/>
  <c r="AL89" i="6" s="1"/>
  <c r="AL90" i="6" s="1"/>
  <c r="AL91" i="6" s="1"/>
  <c r="AL92" i="6" s="1"/>
  <c r="AL93" i="6" s="1"/>
  <c r="AL94" i="6" s="1"/>
  <c r="AL95" i="6" s="1"/>
  <c r="AL96" i="6" s="1"/>
  <c r="AL97" i="6" s="1"/>
  <c r="AL98" i="6" s="1"/>
  <c r="AL99" i="6" s="1"/>
  <c r="AL100" i="6" s="1"/>
  <c r="AL101" i="6" s="1"/>
  <c r="AL102" i="6" s="1"/>
  <c r="AL103" i="6" s="1"/>
  <c r="AL104" i="6" s="1"/>
  <c r="AL105" i="6" s="1"/>
  <c r="AL106" i="6" s="1"/>
  <c r="AL107" i="6" s="1"/>
  <c r="AL108" i="6" s="1"/>
  <c r="AL109" i="6" s="1"/>
  <c r="AL110" i="6" s="1"/>
  <c r="AL111" i="6" s="1"/>
  <c r="AL112" i="6" s="1"/>
  <c r="AL113" i="6" s="1"/>
  <c r="AL114" i="6" s="1"/>
  <c r="AL115" i="6" s="1"/>
  <c r="AL116" i="6" s="1"/>
  <c r="AL117" i="6" s="1"/>
  <c r="AL118" i="6" s="1"/>
  <c r="AL119" i="6" s="1"/>
  <c r="AL120" i="6" s="1"/>
  <c r="AL121" i="6" s="1"/>
  <c r="AL122" i="6" s="1"/>
  <c r="AL123" i="6" s="1"/>
  <c r="AL124" i="6" s="1"/>
  <c r="AL125" i="6" s="1"/>
  <c r="AL126" i="6" s="1"/>
  <c r="AL127" i="6" s="1"/>
  <c r="AL128" i="6" s="1"/>
  <c r="AL129" i="6" s="1"/>
  <c r="AL130" i="6" s="1"/>
  <c r="AL131" i="6" s="1"/>
  <c r="AL132" i="6" s="1"/>
  <c r="AL133" i="6" s="1"/>
  <c r="AL134" i="6" s="1"/>
  <c r="AL135" i="6" s="1"/>
  <c r="AL136" i="6" s="1"/>
  <c r="AL137" i="6" s="1"/>
  <c r="AL138" i="6" s="1"/>
  <c r="AL139" i="6" s="1"/>
  <c r="AL140" i="6" s="1"/>
  <c r="AL141" i="6" s="1"/>
  <c r="AL142" i="6" s="1"/>
  <c r="AL143" i="6" s="1"/>
  <c r="AL144" i="6" s="1"/>
  <c r="AL145" i="6" s="1"/>
  <c r="AL146" i="6" s="1"/>
  <c r="AL147" i="6" s="1"/>
  <c r="AL148" i="6" s="1"/>
  <c r="AL149" i="6" s="1"/>
  <c r="AL150" i="6" s="1"/>
  <c r="AL151" i="6" s="1"/>
  <c r="AL152" i="6" s="1"/>
  <c r="AL153" i="6" s="1"/>
  <c r="AL154" i="6" s="1"/>
  <c r="AL155" i="6" s="1"/>
  <c r="AL156" i="6" s="1"/>
  <c r="AL157" i="6" s="1"/>
  <c r="AL158" i="6" s="1"/>
  <c r="AL159" i="6" s="1"/>
  <c r="AL160" i="6" s="1"/>
  <c r="AL161" i="6" s="1"/>
  <c r="AL162" i="6" s="1"/>
  <c r="AL163" i="6" s="1"/>
  <c r="AL164" i="6" s="1"/>
  <c r="AL165" i="6" s="1"/>
  <c r="AL166" i="6" s="1"/>
  <c r="AL167" i="6" s="1"/>
  <c r="AL168" i="6" s="1"/>
  <c r="AL169" i="6" s="1"/>
  <c r="AL170" i="6" s="1"/>
  <c r="AL171" i="6" s="1"/>
  <c r="AL172" i="6" s="1"/>
  <c r="AL173" i="6" s="1"/>
  <c r="AL174" i="6" s="1"/>
  <c r="AL175" i="6" s="1"/>
  <c r="AL176" i="6" s="1"/>
  <c r="AL177" i="6" s="1"/>
  <c r="AL178" i="6" s="1"/>
  <c r="AL179" i="6" s="1"/>
  <c r="AL180" i="6" s="1"/>
  <c r="AL181" i="6" s="1"/>
  <c r="AL182" i="6" s="1"/>
  <c r="AL183" i="6" s="1"/>
  <c r="AL184" i="6" s="1"/>
  <c r="AL185" i="6" s="1"/>
  <c r="AL186" i="6" s="1"/>
  <c r="AL187" i="6" s="1"/>
  <c r="AL188" i="6" s="1"/>
  <c r="AL189" i="6" s="1"/>
  <c r="AL190" i="6" s="1"/>
  <c r="AL191" i="6" s="1"/>
  <c r="AL192" i="6" s="1"/>
  <c r="AL193" i="6" s="1"/>
  <c r="AL194" i="6" s="1"/>
  <c r="AL195" i="6" s="1"/>
  <c r="AL196" i="6" s="1"/>
  <c r="AL197" i="6" s="1"/>
  <c r="AL198" i="6" s="1"/>
  <c r="AL199" i="6" s="1"/>
  <c r="AL200" i="6" s="1"/>
  <c r="AL201" i="6" s="1"/>
  <c r="AL202" i="6" s="1"/>
  <c r="AL203" i="6" s="1"/>
  <c r="AL204" i="6" s="1"/>
  <c r="AL205" i="6" s="1"/>
  <c r="AL206" i="6" s="1"/>
  <c r="AL207" i="6" s="1"/>
  <c r="AL208" i="6" s="1"/>
  <c r="AL209" i="6" s="1"/>
  <c r="AL210" i="6" s="1"/>
  <c r="AL211" i="6" s="1"/>
  <c r="AL212" i="6" s="1"/>
  <c r="AL213" i="6" s="1"/>
  <c r="AL214" i="6" s="1"/>
  <c r="AL215" i="6" s="1"/>
  <c r="AL216" i="6" s="1"/>
  <c r="AL217" i="6" s="1"/>
  <c r="AL218" i="6" s="1"/>
  <c r="AL219" i="6" s="1"/>
  <c r="AL220" i="6" s="1"/>
  <c r="AL221" i="6" s="1"/>
  <c r="AL222" i="6" s="1"/>
  <c r="AL223" i="6" s="1"/>
  <c r="AL224" i="6" s="1"/>
  <c r="AL225" i="6" s="1"/>
  <c r="AL226" i="6" s="1"/>
  <c r="AL227" i="6" s="1"/>
  <c r="AL228" i="6" s="1"/>
  <c r="AL229" i="6" s="1"/>
  <c r="AL230" i="6" s="1"/>
  <c r="AL231" i="6" s="1"/>
  <c r="AL232" i="6" s="1"/>
  <c r="AL233" i="6" s="1"/>
  <c r="AL234" i="6" s="1"/>
  <c r="AL235" i="6" s="1"/>
  <c r="AL236" i="6" s="1"/>
  <c r="AL237" i="6" s="1"/>
  <c r="AL238" i="6" s="1"/>
  <c r="AL239" i="6" s="1"/>
  <c r="AL240" i="6" s="1"/>
  <c r="AL241" i="6" s="1"/>
  <c r="AL242" i="6" s="1"/>
  <c r="AL243" i="6" s="1"/>
  <c r="AL244" i="6" s="1"/>
  <c r="AL245" i="6" s="1"/>
  <c r="AL246" i="6" s="1"/>
  <c r="AL247" i="6" s="1"/>
  <c r="AL248" i="6" s="1"/>
  <c r="AL249" i="6" s="1"/>
  <c r="AL250" i="6" s="1"/>
  <c r="AL251" i="6" s="1"/>
  <c r="AL252" i="6" s="1"/>
  <c r="AL253" i="6" s="1"/>
  <c r="AL254" i="6" s="1"/>
  <c r="AL255" i="6" s="1"/>
  <c r="AL256" i="6" s="1"/>
  <c r="AL257" i="6" s="1"/>
  <c r="AL258" i="6" s="1"/>
  <c r="AL259" i="6" s="1"/>
  <c r="AL260" i="6" s="1"/>
  <c r="AL261" i="6" s="1"/>
  <c r="AL262" i="6" s="1"/>
  <c r="AL263" i="6" s="1"/>
  <c r="AL264" i="6" s="1"/>
  <c r="AL265" i="6" s="1"/>
  <c r="AL266" i="6" s="1"/>
  <c r="AL267" i="6" s="1"/>
  <c r="AL268" i="6" s="1"/>
  <c r="AL269" i="6" s="1"/>
  <c r="AL270" i="6" s="1"/>
  <c r="AL271" i="6" s="1"/>
  <c r="AL272" i="6" s="1"/>
  <c r="AL273" i="6" s="1"/>
  <c r="AL274" i="6" s="1"/>
  <c r="AL275" i="6" s="1"/>
  <c r="AL276" i="6" s="1"/>
  <c r="AL277" i="6" s="1"/>
  <c r="AL278" i="6" s="1"/>
  <c r="AL279" i="6" s="1"/>
  <c r="AL280" i="6" s="1"/>
  <c r="AL281" i="6" s="1"/>
  <c r="AL282" i="6" s="1"/>
  <c r="AL283" i="6" s="1"/>
  <c r="AL284" i="6" s="1"/>
  <c r="AL285" i="6" s="1"/>
  <c r="AL286" i="6" s="1"/>
  <c r="AL287" i="6" s="1"/>
  <c r="AL288" i="6" s="1"/>
  <c r="AL289" i="6" s="1"/>
  <c r="AL290" i="6" s="1"/>
  <c r="AL291" i="6" s="1"/>
  <c r="AL292" i="6" s="1"/>
  <c r="AL293" i="6" s="1"/>
  <c r="AL294" i="6" s="1"/>
  <c r="AL295" i="6" s="1"/>
  <c r="AL296" i="6" s="1"/>
  <c r="AL297" i="6" s="1"/>
  <c r="AL298" i="6" s="1"/>
  <c r="AL299" i="6" s="1"/>
  <c r="AL300" i="6" s="1"/>
  <c r="AL301" i="6" s="1"/>
  <c r="AL302" i="6" s="1"/>
  <c r="AL303" i="6" s="1"/>
  <c r="AL304" i="6" s="1"/>
  <c r="AL305" i="6" s="1"/>
  <c r="AL306" i="6" s="1"/>
  <c r="AL307" i="6" s="1"/>
  <c r="AL308" i="6" s="1"/>
  <c r="AL309" i="6" s="1"/>
  <c r="AL310" i="6" s="1"/>
  <c r="AL311" i="6" s="1"/>
  <c r="AL312" i="6" s="1"/>
  <c r="AL313" i="6" s="1"/>
  <c r="AL314" i="6" s="1"/>
  <c r="AL315" i="6" s="1"/>
  <c r="AL316" i="6" s="1"/>
  <c r="AL317" i="6" s="1"/>
  <c r="AL318" i="6" s="1"/>
  <c r="AL319" i="6" s="1"/>
  <c r="AL320" i="6" s="1"/>
  <c r="AL321" i="6" s="1"/>
  <c r="AL322" i="6" s="1"/>
  <c r="AL323" i="6" s="1"/>
  <c r="AL324" i="6" s="1"/>
  <c r="AL325" i="6" s="1"/>
  <c r="AL326" i="6" s="1"/>
  <c r="AL327" i="6" s="1"/>
  <c r="AL328" i="6" s="1"/>
  <c r="AL329" i="6" s="1"/>
  <c r="AL330" i="6" s="1"/>
  <c r="AL331" i="6" s="1"/>
  <c r="AL332" i="6" s="1"/>
  <c r="AL333" i="6" s="1"/>
  <c r="AL334" i="6" s="1"/>
  <c r="AL335" i="6" s="1"/>
  <c r="AL336" i="6" s="1"/>
  <c r="AL337" i="6" s="1"/>
  <c r="AL338" i="6" s="1"/>
  <c r="AL339" i="6" s="1"/>
  <c r="AL340" i="6" s="1"/>
  <c r="AL341" i="6" s="1"/>
  <c r="AL342" i="6" s="1"/>
  <c r="AL343" i="6" s="1"/>
  <c r="AL344" i="6" s="1"/>
  <c r="AL345" i="6" s="1"/>
  <c r="AL346" i="6" s="1"/>
  <c r="AL347" i="6" s="1"/>
  <c r="AL348" i="6" s="1"/>
  <c r="AL349" i="6" s="1"/>
  <c r="AL350" i="6" s="1"/>
  <c r="AL351" i="6" s="1"/>
  <c r="AL352" i="6" s="1"/>
  <c r="AL353" i="6" s="1"/>
  <c r="AL354" i="6" s="1"/>
  <c r="AL355" i="6" s="1"/>
  <c r="AL356" i="6" s="1"/>
  <c r="AL357" i="6" s="1"/>
  <c r="AL358" i="6" s="1"/>
  <c r="AL359" i="6" s="1"/>
  <c r="AL360" i="6" s="1"/>
  <c r="AL361" i="6" s="1"/>
  <c r="AL362" i="6" s="1"/>
  <c r="AL363" i="6" s="1"/>
  <c r="AL364" i="6" s="1"/>
  <c r="AL365" i="6" s="1"/>
  <c r="AL366" i="6" s="1"/>
  <c r="AL367" i="6" s="1"/>
  <c r="AL368" i="6" s="1"/>
  <c r="AL369" i="6" s="1"/>
  <c r="AL370" i="6" s="1"/>
  <c r="AL371" i="6" s="1"/>
  <c r="AL372" i="6" s="1"/>
  <c r="AL373" i="6" s="1"/>
  <c r="AL374" i="6" s="1"/>
  <c r="AL375" i="6" s="1"/>
  <c r="AL376" i="6" s="1"/>
  <c r="AL377" i="6" s="1"/>
  <c r="AL378" i="6" s="1"/>
  <c r="AL379" i="6" s="1"/>
  <c r="AL380" i="6" s="1"/>
  <c r="AL381" i="6" s="1"/>
  <c r="AL382" i="6" s="1"/>
  <c r="AL383" i="6" s="1"/>
  <c r="AL384" i="6" s="1"/>
  <c r="AL385" i="6" s="1"/>
  <c r="AL386" i="6" s="1"/>
  <c r="AL387" i="6" s="1"/>
  <c r="AL388" i="6" s="1"/>
  <c r="AL389" i="6" s="1"/>
  <c r="AL390" i="6" s="1"/>
  <c r="AL391" i="6" s="1"/>
  <c r="AL392" i="6" s="1"/>
  <c r="AL393" i="6" s="1"/>
  <c r="AL394" i="6" s="1"/>
  <c r="AL395" i="6" s="1"/>
  <c r="AL396" i="6" s="1"/>
  <c r="AL397" i="6" s="1"/>
  <c r="AL398" i="6" s="1"/>
  <c r="AL399" i="6" s="1"/>
  <c r="AL400" i="6" s="1"/>
  <c r="AL401" i="6" s="1"/>
  <c r="AL402" i="6" s="1"/>
  <c r="AL403" i="6" s="1"/>
  <c r="AL404" i="6" s="1"/>
  <c r="AL405" i="6" s="1"/>
  <c r="AL406" i="6" s="1"/>
  <c r="AL407" i="6" s="1"/>
  <c r="AL408" i="6" s="1"/>
  <c r="AL409" i="6" s="1"/>
  <c r="AL410" i="6" s="1"/>
  <c r="AL411" i="6" s="1"/>
  <c r="AL412" i="6" s="1"/>
  <c r="AL413" i="6" s="1"/>
  <c r="AL414" i="6" s="1"/>
  <c r="AL415" i="6" s="1"/>
  <c r="AL416" i="6" s="1"/>
  <c r="AL417" i="6" s="1"/>
  <c r="AL418" i="6" s="1"/>
  <c r="AL419" i="6" s="1"/>
  <c r="AL420" i="6" s="1"/>
  <c r="AL421" i="6" s="1"/>
  <c r="AL422" i="6" s="1"/>
  <c r="AL423" i="6" s="1"/>
  <c r="AL424" i="6" s="1"/>
  <c r="AL425" i="6" s="1"/>
  <c r="AL426" i="6" s="1"/>
  <c r="AL427" i="6" s="1"/>
  <c r="AL428" i="6" s="1"/>
  <c r="AL429" i="6" s="1"/>
  <c r="AL430" i="6" s="1"/>
  <c r="AL431" i="6" s="1"/>
  <c r="AL432" i="6" s="1"/>
  <c r="AL433" i="6" s="1"/>
  <c r="AL434" i="6" s="1"/>
  <c r="AL435" i="6" s="1"/>
  <c r="AL436" i="6" s="1"/>
  <c r="AL437" i="6" s="1"/>
  <c r="AL438" i="6" s="1"/>
  <c r="AL439" i="6" s="1"/>
  <c r="AL440" i="6" s="1"/>
  <c r="AL441" i="6" s="1"/>
  <c r="AL442" i="6" s="1"/>
  <c r="AL443" i="6" s="1"/>
  <c r="AL444" i="6" s="1"/>
  <c r="AL445" i="6" s="1"/>
  <c r="AL446" i="6" s="1"/>
  <c r="AL447" i="6" s="1"/>
  <c r="AL448" i="6" s="1"/>
  <c r="AL449" i="6" s="1"/>
  <c r="AL450" i="6" s="1"/>
  <c r="AL451" i="6" s="1"/>
  <c r="AL452" i="6" s="1"/>
  <c r="AL453" i="6" s="1"/>
  <c r="AL454" i="6" s="1"/>
  <c r="AL455" i="6" s="1"/>
  <c r="AL456" i="6" s="1"/>
  <c r="AL457" i="6" s="1"/>
  <c r="AL458" i="6" s="1"/>
  <c r="AL459" i="6" s="1"/>
  <c r="AL460" i="6" s="1"/>
  <c r="AL461" i="6" s="1"/>
  <c r="AL462" i="6" s="1"/>
  <c r="AL463" i="6" s="1"/>
  <c r="AL464" i="6" s="1"/>
  <c r="AL465" i="6" s="1"/>
  <c r="AL466" i="6" s="1"/>
  <c r="AL467" i="6" s="1"/>
  <c r="AL468" i="6" s="1"/>
  <c r="AL469" i="6" s="1"/>
  <c r="AL470" i="6" s="1"/>
  <c r="AL471" i="6" s="1"/>
  <c r="AL472" i="6" s="1"/>
  <c r="AL473" i="6" s="1"/>
  <c r="AL474" i="6" s="1"/>
  <c r="AL475" i="6" s="1"/>
  <c r="AL476" i="6" s="1"/>
  <c r="AL477" i="6" s="1"/>
  <c r="AL478" i="6" s="1"/>
  <c r="AL479" i="6" s="1"/>
  <c r="AL480" i="6" s="1"/>
  <c r="AL481" i="6" s="1"/>
  <c r="AL482" i="6" s="1"/>
  <c r="AL483" i="6" s="1"/>
  <c r="AL484" i="6" s="1"/>
  <c r="AL485" i="6" s="1"/>
  <c r="AL486" i="6" s="1"/>
  <c r="AL487" i="6" s="1"/>
  <c r="AL488" i="6" s="1"/>
  <c r="AL489" i="6" s="1"/>
  <c r="AL490" i="6" s="1"/>
  <c r="AL491" i="6" s="1"/>
  <c r="AL492" i="6" s="1"/>
  <c r="AL493" i="6" s="1"/>
  <c r="AL494" i="6" s="1"/>
  <c r="AL495" i="6" s="1"/>
  <c r="AL496" i="6" s="1"/>
  <c r="AL497" i="6" s="1"/>
  <c r="AL498" i="6" s="1"/>
  <c r="AL499" i="6" s="1"/>
  <c r="AL500" i="6" s="1"/>
  <c r="AL501" i="6" s="1"/>
  <c r="AL502" i="6" s="1"/>
  <c r="AL503" i="6" s="1"/>
  <c r="AL504" i="6" s="1"/>
  <c r="AL505" i="6" s="1"/>
  <c r="AL506" i="6" s="1"/>
  <c r="AL507" i="6" s="1"/>
  <c r="AL508" i="6" s="1"/>
  <c r="AL509" i="6" s="1"/>
  <c r="AL510" i="6" s="1"/>
  <c r="AL511" i="6" s="1"/>
  <c r="AL512" i="6" s="1"/>
  <c r="AL513" i="6" s="1"/>
  <c r="AL514" i="6" s="1"/>
  <c r="AL515" i="6" s="1"/>
  <c r="AL516" i="6" s="1"/>
  <c r="AL517" i="6" s="1"/>
  <c r="AL518" i="6" s="1"/>
  <c r="AL519" i="6" s="1"/>
  <c r="AL520" i="6" s="1"/>
  <c r="AL521" i="6" s="1"/>
  <c r="AL522" i="6" s="1"/>
  <c r="AL523" i="6" s="1"/>
  <c r="AL524" i="6" s="1"/>
  <c r="AL525" i="6" s="1"/>
  <c r="AL526" i="6" s="1"/>
  <c r="AL527" i="6" s="1"/>
  <c r="AL528" i="6" s="1"/>
  <c r="AL529" i="6" s="1"/>
  <c r="AL530" i="6" s="1"/>
  <c r="AL531" i="6" s="1"/>
  <c r="AL532" i="6" s="1"/>
  <c r="AL533" i="6" s="1"/>
  <c r="AL534" i="6" s="1"/>
  <c r="AL535" i="6" s="1"/>
  <c r="AL536" i="6" s="1"/>
  <c r="AL537" i="6" s="1"/>
  <c r="AL538" i="6" s="1"/>
  <c r="AL539" i="6" s="1"/>
  <c r="AL540" i="6" s="1"/>
  <c r="AL541" i="6" s="1"/>
  <c r="AL542" i="6" s="1"/>
  <c r="AL543" i="6" s="1"/>
  <c r="AL544" i="6" s="1"/>
  <c r="AL545" i="6" s="1"/>
  <c r="AL546" i="6" s="1"/>
  <c r="AL547" i="6" s="1"/>
  <c r="AL548" i="6" s="1"/>
  <c r="AL549" i="6" s="1"/>
  <c r="AL550" i="6" s="1"/>
  <c r="AL551" i="6" s="1"/>
  <c r="AL552" i="6" s="1"/>
  <c r="AL553" i="6" s="1"/>
  <c r="AL554" i="6" s="1"/>
  <c r="AL555" i="6" s="1"/>
  <c r="AL556" i="6" s="1"/>
  <c r="AL557" i="6" s="1"/>
  <c r="AL558" i="6" s="1"/>
  <c r="AL559" i="6" s="1"/>
  <c r="AL560" i="6" s="1"/>
  <c r="AL561" i="6" s="1"/>
  <c r="AL562" i="6" s="1"/>
  <c r="AL563" i="6" s="1"/>
  <c r="AL564" i="6" s="1"/>
  <c r="AL565" i="6" s="1"/>
  <c r="AL566" i="6" s="1"/>
  <c r="AL567" i="6" s="1"/>
  <c r="AL568" i="6" s="1"/>
  <c r="AL569" i="6" s="1"/>
  <c r="AL570" i="6" s="1"/>
  <c r="AL571" i="6" s="1"/>
  <c r="AL572" i="6" s="1"/>
  <c r="AL573" i="6" s="1"/>
  <c r="AL574" i="6" s="1"/>
  <c r="AL575" i="6" s="1"/>
  <c r="AL576" i="6" s="1"/>
  <c r="AL577" i="6" s="1"/>
  <c r="AL578" i="6" s="1"/>
  <c r="AL579" i="6" s="1"/>
  <c r="AL580" i="6" s="1"/>
  <c r="AL581" i="6" s="1"/>
  <c r="AL582" i="6" s="1"/>
  <c r="AL583" i="6" s="1"/>
  <c r="AL584" i="6" s="1"/>
  <c r="AL585" i="6" s="1"/>
  <c r="AL586" i="6" s="1"/>
  <c r="AL587" i="6" s="1"/>
  <c r="AL588" i="6" s="1"/>
  <c r="AL589" i="6" s="1"/>
  <c r="AL590" i="6" s="1"/>
  <c r="AL591" i="6" s="1"/>
  <c r="AL592" i="6" s="1"/>
  <c r="AL593" i="6" s="1"/>
  <c r="AL594" i="6" s="1"/>
  <c r="AL595" i="6" s="1"/>
  <c r="AL596" i="6" s="1"/>
  <c r="AL597" i="6" s="1"/>
  <c r="AL598" i="6" s="1"/>
  <c r="AL599" i="6" s="1"/>
  <c r="AL600" i="6" s="1"/>
  <c r="AL601" i="6" s="1"/>
  <c r="AL602" i="6" s="1"/>
  <c r="AL603" i="6" s="1"/>
  <c r="AL604" i="6" s="1"/>
  <c r="AL605" i="6" s="1"/>
  <c r="AL606" i="6" s="1"/>
  <c r="AL607" i="6" s="1"/>
  <c r="AL608" i="6" s="1"/>
  <c r="AL609" i="6" s="1"/>
  <c r="AL610" i="6" s="1"/>
  <c r="AL611" i="6" s="1"/>
  <c r="AL612" i="6" s="1"/>
  <c r="AL613" i="6" s="1"/>
  <c r="AL614" i="6" s="1"/>
  <c r="AL615" i="6" s="1"/>
  <c r="AL616" i="6" s="1"/>
  <c r="AL617" i="6" s="1"/>
  <c r="AL618" i="6" s="1"/>
  <c r="AL619" i="6" s="1"/>
  <c r="AL620" i="6" s="1"/>
  <c r="AL621" i="6" s="1"/>
  <c r="AL622" i="6" s="1"/>
  <c r="AL623" i="6" s="1"/>
  <c r="AL624" i="6" s="1"/>
  <c r="AL625" i="6" s="1"/>
  <c r="AL626" i="6" s="1"/>
  <c r="AL627" i="6" s="1"/>
  <c r="AL628" i="6" s="1"/>
  <c r="AL629" i="6" s="1"/>
  <c r="AL630" i="6" s="1"/>
  <c r="AL631" i="6" s="1"/>
  <c r="AL632" i="6" s="1"/>
  <c r="AL633" i="6" s="1"/>
  <c r="AL634" i="6" s="1"/>
  <c r="AL635" i="6" s="1"/>
  <c r="AL636" i="6" s="1"/>
  <c r="AL637" i="6" s="1"/>
  <c r="AL638" i="6" s="1"/>
  <c r="AL639" i="6" s="1"/>
  <c r="AL640" i="6" s="1"/>
  <c r="AL641" i="6" s="1"/>
  <c r="AL642" i="6" s="1"/>
  <c r="AL643" i="6" s="1"/>
  <c r="AL644" i="6" s="1"/>
  <c r="AL645" i="6" s="1"/>
  <c r="AL646" i="6" s="1"/>
  <c r="AL647" i="6" s="1"/>
  <c r="AL648" i="6" s="1"/>
  <c r="AL649" i="6" s="1"/>
  <c r="AL650" i="6" s="1"/>
  <c r="AL651" i="6" s="1"/>
  <c r="AL652" i="6" s="1"/>
  <c r="AL653" i="6" s="1"/>
  <c r="AL654" i="6" s="1"/>
  <c r="AL655" i="6" s="1"/>
  <c r="AL656" i="6" s="1"/>
  <c r="AL657" i="6" s="1"/>
  <c r="AL658" i="6" s="1"/>
  <c r="AL659" i="6" s="1"/>
  <c r="AL660" i="6" s="1"/>
  <c r="AL661" i="6" s="1"/>
  <c r="AL662" i="6" s="1"/>
  <c r="AL663" i="6" s="1"/>
  <c r="AL664" i="6" s="1"/>
  <c r="AL665" i="6" s="1"/>
  <c r="AL666" i="6" s="1"/>
  <c r="AL667" i="6" s="1"/>
  <c r="AL668" i="6" s="1"/>
  <c r="AL669" i="6" s="1"/>
  <c r="AL670" i="6" s="1"/>
  <c r="AL671" i="6" s="1"/>
  <c r="AL672" i="6" s="1"/>
  <c r="AL673" i="6" s="1"/>
  <c r="AL674" i="6" s="1"/>
  <c r="AL675" i="6" s="1"/>
  <c r="AL676" i="6" s="1"/>
  <c r="AL677" i="6" s="1"/>
  <c r="AL678" i="6" s="1"/>
  <c r="AL679" i="6" s="1"/>
  <c r="AL680" i="6" s="1"/>
  <c r="AL681" i="6" s="1"/>
  <c r="AL682" i="6" s="1"/>
  <c r="AL683" i="6" s="1"/>
  <c r="AL684" i="6" s="1"/>
  <c r="AL685" i="6" s="1"/>
  <c r="AL686" i="6" s="1"/>
  <c r="AL687" i="6" s="1"/>
  <c r="AL688" i="6" s="1"/>
  <c r="AL689" i="6" s="1"/>
  <c r="AL690" i="6" s="1"/>
  <c r="AL691" i="6" s="1"/>
  <c r="AL692" i="6" s="1"/>
  <c r="AL693" i="6" s="1"/>
  <c r="AL694" i="6" s="1"/>
  <c r="AL695" i="6" s="1"/>
  <c r="AL696" i="6" s="1"/>
  <c r="AL697" i="6" s="1"/>
  <c r="AL698" i="6" s="1"/>
  <c r="AL699" i="6" s="1"/>
  <c r="AL700" i="6" s="1"/>
  <c r="AL701" i="6" s="1"/>
  <c r="AL702" i="6" s="1"/>
  <c r="AL703" i="6" s="1"/>
  <c r="AL704" i="6" s="1"/>
  <c r="AL705" i="6" s="1"/>
  <c r="AL706" i="6" s="1"/>
  <c r="AL707" i="6" s="1"/>
  <c r="AL708" i="6" s="1"/>
  <c r="AL709" i="6" s="1"/>
  <c r="AL710" i="6" s="1"/>
  <c r="AL711" i="6" s="1"/>
  <c r="AL712" i="6" s="1"/>
  <c r="AL713" i="6" s="1"/>
  <c r="AL714" i="6" s="1"/>
  <c r="AL715" i="6" s="1"/>
  <c r="AL716" i="6" s="1"/>
  <c r="AL717" i="6" s="1"/>
  <c r="AL718" i="6" s="1"/>
  <c r="AL719" i="6" s="1"/>
  <c r="AL720" i="6" s="1"/>
  <c r="AL721" i="6" s="1"/>
  <c r="AL722" i="6" s="1"/>
  <c r="AL723" i="6" s="1"/>
  <c r="AL724" i="6" s="1"/>
  <c r="AL725" i="6" s="1"/>
  <c r="AL726" i="6" s="1"/>
  <c r="AL727" i="6" s="1"/>
  <c r="AL728" i="6" s="1"/>
  <c r="AL729" i="6" s="1"/>
  <c r="AL730" i="6" s="1"/>
  <c r="AL731" i="6" s="1"/>
  <c r="AL732" i="6" s="1"/>
  <c r="AL733" i="6" s="1"/>
  <c r="AL734" i="6" s="1"/>
  <c r="AL735" i="6" s="1"/>
  <c r="AL736" i="6" s="1"/>
  <c r="AL737" i="6" s="1"/>
  <c r="AL738" i="6" s="1"/>
  <c r="AL739" i="6" s="1"/>
  <c r="AL740" i="6" s="1"/>
  <c r="AL741" i="6" s="1"/>
  <c r="AL742" i="6" s="1"/>
  <c r="AL743" i="6" s="1"/>
  <c r="AL744" i="6" s="1"/>
  <c r="AL745" i="6" s="1"/>
  <c r="AL746" i="6" s="1"/>
  <c r="AL747" i="6" s="1"/>
  <c r="AL748" i="6" s="1"/>
  <c r="AL749" i="6" s="1"/>
  <c r="AL750" i="6" s="1"/>
  <c r="AL751" i="6" s="1"/>
  <c r="AL752" i="6" s="1"/>
  <c r="AL753" i="6" s="1"/>
  <c r="AL754" i="6" s="1"/>
  <c r="AL755" i="6" s="1"/>
  <c r="AL756" i="6" s="1"/>
  <c r="AL757" i="6" s="1"/>
  <c r="AL758" i="6" s="1"/>
  <c r="AL759" i="6" s="1"/>
  <c r="AL760" i="6" s="1"/>
  <c r="AL761" i="6" s="1"/>
  <c r="AL762" i="6" s="1"/>
  <c r="AL763" i="6" s="1"/>
  <c r="AL764" i="6" s="1"/>
  <c r="AL765" i="6" s="1"/>
  <c r="AL766" i="6" s="1"/>
  <c r="AL767" i="6" s="1"/>
  <c r="AL768" i="6" s="1"/>
  <c r="AL769" i="6" s="1"/>
  <c r="AL770" i="6" s="1"/>
  <c r="AL771" i="6" s="1"/>
  <c r="AL772" i="6" s="1"/>
  <c r="AL773" i="6" s="1"/>
  <c r="AL774" i="6" s="1"/>
  <c r="AL775" i="6" s="1"/>
  <c r="AL776" i="6" s="1"/>
  <c r="AL777" i="6" s="1"/>
  <c r="AL778" i="6" s="1"/>
  <c r="AL779" i="6" s="1"/>
  <c r="AL780" i="6" s="1"/>
  <c r="AL781" i="6" s="1"/>
  <c r="AL782" i="6" s="1"/>
  <c r="AL783" i="6" s="1"/>
  <c r="AL784" i="6" s="1"/>
  <c r="AL785" i="6" s="1"/>
  <c r="AL786" i="6" s="1"/>
  <c r="AL787" i="6" s="1"/>
  <c r="AL788" i="6" s="1"/>
  <c r="AL789" i="6" s="1"/>
  <c r="AL790" i="6" s="1"/>
  <c r="AL791" i="6" s="1"/>
  <c r="AL792" i="6" s="1"/>
  <c r="AL793" i="6" s="1"/>
  <c r="AL794" i="6" s="1"/>
  <c r="AL795" i="6" s="1"/>
  <c r="AL796" i="6" s="1"/>
  <c r="AL797" i="6" s="1"/>
  <c r="AL798" i="6" s="1"/>
  <c r="AL799" i="6" s="1"/>
  <c r="AL800" i="6" s="1"/>
  <c r="AL801" i="6" s="1"/>
  <c r="AL802" i="6" s="1"/>
  <c r="AL803" i="6" s="1"/>
  <c r="AL804" i="6" s="1"/>
  <c r="AL805" i="6" s="1"/>
  <c r="AL806" i="6" s="1"/>
  <c r="AL807" i="6" s="1"/>
  <c r="AL808" i="6" s="1"/>
  <c r="AL809" i="6" s="1"/>
  <c r="AL810" i="6" s="1"/>
  <c r="AL811" i="6" s="1"/>
  <c r="AL812" i="6" s="1"/>
  <c r="AL813" i="6" s="1"/>
  <c r="AL814" i="6" s="1"/>
  <c r="AL815" i="6" s="1"/>
  <c r="AL816" i="6" s="1"/>
  <c r="AL817" i="6" s="1"/>
  <c r="AL818" i="6" s="1"/>
  <c r="AL819" i="6" s="1"/>
  <c r="AL820" i="6" s="1"/>
  <c r="AL821" i="6" s="1"/>
  <c r="AL822" i="6" s="1"/>
  <c r="AL823" i="6" s="1"/>
  <c r="AL824" i="6" s="1"/>
  <c r="AL825" i="6" s="1"/>
  <c r="AL826" i="6" s="1"/>
  <c r="AL827" i="6" s="1"/>
  <c r="AL828" i="6" s="1"/>
  <c r="AL829" i="6" s="1"/>
  <c r="AL830" i="6" s="1"/>
  <c r="AL831" i="6" s="1"/>
  <c r="AL832" i="6" s="1"/>
  <c r="AL833" i="6" s="1"/>
  <c r="AL834" i="6" s="1"/>
  <c r="AL835" i="6" s="1"/>
  <c r="AL836" i="6" s="1"/>
  <c r="AL837" i="6" s="1"/>
  <c r="AL838" i="6" s="1"/>
  <c r="AL839" i="6" s="1"/>
  <c r="AL840" i="6" s="1"/>
  <c r="AL841" i="6" s="1"/>
  <c r="AL842" i="6" s="1"/>
  <c r="AL843" i="6" s="1"/>
  <c r="AL844" i="6" s="1"/>
  <c r="AL845" i="6" s="1"/>
  <c r="AL846" i="6" s="1"/>
  <c r="AL847" i="6" s="1"/>
  <c r="AL848" i="6" s="1"/>
  <c r="AL849" i="6" s="1"/>
  <c r="AL850" i="6" s="1"/>
  <c r="AL851" i="6" s="1"/>
  <c r="AL852" i="6" s="1"/>
  <c r="AL853" i="6" s="1"/>
  <c r="AL854" i="6" s="1"/>
  <c r="AL855" i="6" s="1"/>
  <c r="AL856" i="6" s="1"/>
  <c r="AL857" i="6" s="1"/>
  <c r="AL858" i="6" s="1"/>
  <c r="AL859" i="6" s="1"/>
  <c r="AL860" i="6" s="1"/>
  <c r="AL861" i="6" s="1"/>
  <c r="AL862" i="6" s="1"/>
  <c r="AL863" i="6" s="1"/>
  <c r="AL864" i="6" s="1"/>
  <c r="AL865" i="6" s="1"/>
  <c r="AL866" i="6" s="1"/>
  <c r="AL867" i="6" s="1"/>
  <c r="AL868" i="6" s="1"/>
  <c r="AL869" i="6" s="1"/>
  <c r="AL870" i="6" s="1"/>
  <c r="AL871" i="6" s="1"/>
  <c r="AL872" i="6" s="1"/>
  <c r="AL873" i="6" s="1"/>
  <c r="AL874" i="6" s="1"/>
  <c r="AL875" i="6" s="1"/>
  <c r="AL876" i="6" s="1"/>
  <c r="AL877" i="6" s="1"/>
  <c r="AL878" i="6" s="1"/>
  <c r="AL879" i="6" s="1"/>
  <c r="AL880" i="6" s="1"/>
  <c r="AL881" i="6" s="1"/>
  <c r="AL882" i="6" s="1"/>
  <c r="AL883" i="6" s="1"/>
  <c r="AL884" i="6" s="1"/>
  <c r="AL885" i="6" s="1"/>
  <c r="AL886" i="6" s="1"/>
  <c r="AL887" i="6" s="1"/>
  <c r="AL888" i="6" s="1"/>
  <c r="AL889" i="6" s="1"/>
  <c r="AL890" i="6" s="1"/>
  <c r="AL891" i="6" s="1"/>
  <c r="AL892" i="6" s="1"/>
  <c r="AL893" i="6" s="1"/>
  <c r="AL894" i="6" s="1"/>
  <c r="AL895" i="6" s="1"/>
  <c r="AL896" i="6" s="1"/>
  <c r="AL897" i="6" s="1"/>
  <c r="AL898" i="6" s="1"/>
  <c r="AL899" i="6" s="1"/>
  <c r="AL900" i="6" s="1"/>
  <c r="AL901" i="6" s="1"/>
  <c r="AL902" i="6" s="1"/>
  <c r="AL903" i="6" s="1"/>
  <c r="AL904" i="6" s="1"/>
  <c r="AL905" i="6" s="1"/>
  <c r="AL906" i="6" s="1"/>
  <c r="AL907" i="6" s="1"/>
  <c r="AL908" i="6" s="1"/>
  <c r="AL909" i="6" s="1"/>
  <c r="AL910" i="6" s="1"/>
  <c r="AL911" i="6" s="1"/>
  <c r="AL912" i="6" s="1"/>
  <c r="AL913" i="6" s="1"/>
  <c r="AL914" i="6" s="1"/>
  <c r="AL915" i="6" s="1"/>
  <c r="AL916" i="6" s="1"/>
  <c r="AL917" i="6" s="1"/>
  <c r="AL918" i="6" s="1"/>
  <c r="AL919" i="6" s="1"/>
  <c r="AL920" i="6" s="1"/>
  <c r="AL921" i="6" s="1"/>
  <c r="AL922" i="6" s="1"/>
  <c r="AL923" i="6" s="1"/>
  <c r="AL924" i="6" s="1"/>
  <c r="AL925" i="6" s="1"/>
  <c r="AL926" i="6" s="1"/>
  <c r="AL927" i="6" s="1"/>
  <c r="AL928" i="6" s="1"/>
  <c r="AL929" i="6" s="1"/>
  <c r="AL930" i="6" s="1"/>
  <c r="AL931" i="6" s="1"/>
  <c r="AL932" i="6" s="1"/>
  <c r="AL933" i="6" s="1"/>
  <c r="AL934" i="6" s="1"/>
  <c r="AL935" i="6" s="1"/>
  <c r="AL936" i="6" s="1"/>
  <c r="AL937" i="6" s="1"/>
  <c r="AL938" i="6" s="1"/>
  <c r="AL939" i="6" s="1"/>
  <c r="AL940" i="6" s="1"/>
  <c r="AL941" i="6" s="1"/>
  <c r="AL942" i="6" s="1"/>
  <c r="AL943" i="6" s="1"/>
  <c r="AL944" i="6" s="1"/>
  <c r="AL945" i="6" s="1"/>
  <c r="AL946" i="6" s="1"/>
  <c r="AL947" i="6" s="1"/>
  <c r="AL948" i="6" s="1"/>
  <c r="AL949" i="6" s="1"/>
  <c r="AL950" i="6" s="1"/>
  <c r="AL951" i="6" s="1"/>
  <c r="AL952" i="6" s="1"/>
  <c r="AL953" i="6" s="1"/>
  <c r="AL954" i="6" s="1"/>
  <c r="AL955" i="6" s="1"/>
  <c r="AL956" i="6" s="1"/>
  <c r="AL957" i="6" s="1"/>
  <c r="AL958" i="6" s="1"/>
  <c r="AL959" i="6" s="1"/>
  <c r="AL960" i="6" s="1"/>
  <c r="AL961" i="6" s="1"/>
  <c r="AL962" i="6" s="1"/>
  <c r="AL963" i="6" s="1"/>
  <c r="AL964" i="6" s="1"/>
  <c r="AL965" i="6" s="1"/>
  <c r="AL966" i="6" s="1"/>
  <c r="AL967" i="6" s="1"/>
  <c r="AL968" i="6" s="1"/>
  <c r="AL969" i="6" s="1"/>
  <c r="AL970" i="6" s="1"/>
  <c r="AL971" i="6" s="1"/>
  <c r="AL972" i="6" s="1"/>
  <c r="AL973" i="6" s="1"/>
  <c r="AL974" i="6" s="1"/>
  <c r="AL975" i="6" s="1"/>
  <c r="AL976" i="6" s="1"/>
  <c r="AL977" i="6" s="1"/>
  <c r="AL978" i="6" s="1"/>
  <c r="AL979" i="6" s="1"/>
  <c r="AL980" i="6" s="1"/>
  <c r="AL981" i="6" s="1"/>
  <c r="AL982" i="6" s="1"/>
  <c r="AL983" i="6" s="1"/>
  <c r="AL984" i="6" s="1"/>
  <c r="AL985" i="6" s="1"/>
  <c r="AL986" i="6" s="1"/>
  <c r="AL987" i="6" s="1"/>
  <c r="AL988" i="6" s="1"/>
  <c r="AL989" i="6" s="1"/>
  <c r="AL990" i="6" s="1"/>
  <c r="AL991" i="6" s="1"/>
  <c r="AL992" i="6" s="1"/>
  <c r="AL993" i="6" s="1"/>
  <c r="AL994" i="6" s="1"/>
  <c r="AL995" i="6" s="1"/>
  <c r="AL996" i="6" s="1"/>
  <c r="AL997" i="6" s="1"/>
  <c r="AL998" i="6" s="1"/>
  <c r="AL999" i="6" s="1"/>
  <c r="AL1000" i="6" s="1"/>
  <c r="AL1001" i="6" s="1"/>
  <c r="AL1002" i="6" s="1"/>
  <c r="AL1003" i="6" s="1"/>
  <c r="AL1004" i="6" s="1"/>
  <c r="AL1005" i="6" s="1"/>
  <c r="AL1006" i="6" s="1"/>
  <c r="AL1007" i="6" s="1"/>
  <c r="AL1008" i="6" s="1"/>
  <c r="AL1009" i="6" s="1"/>
  <c r="AL1010" i="6" s="1"/>
  <c r="AL1011" i="6" s="1"/>
  <c r="AL1012" i="6" s="1"/>
  <c r="AL1013" i="6" s="1"/>
  <c r="AL1014" i="6" s="1"/>
  <c r="AL1015" i="6" s="1"/>
  <c r="AL1016" i="6" s="1"/>
  <c r="AL1017" i="6" s="1"/>
  <c r="AL1018" i="6" s="1"/>
  <c r="AL1019" i="6" s="1"/>
  <c r="AL1020" i="6" s="1"/>
  <c r="AL1021" i="6" s="1"/>
  <c r="AL1022" i="6" s="1"/>
  <c r="AL1023" i="6" s="1"/>
  <c r="AL1024" i="6" s="1"/>
  <c r="AL1025" i="6" s="1"/>
  <c r="AL1026" i="6" s="1"/>
  <c r="AL1027" i="6" s="1"/>
  <c r="AL1028" i="6" s="1"/>
  <c r="AL1029" i="6" s="1"/>
  <c r="H21" i="9"/>
  <c r="H15" i="9"/>
  <c r="H13" i="9"/>
  <c r="H19" i="9"/>
  <c r="H9" i="9"/>
  <c r="H16" i="9"/>
  <c r="H12" i="9"/>
  <c r="H4" i="9"/>
  <c r="H7" i="9"/>
  <c r="H10" i="9"/>
  <c r="H5" i="9"/>
  <c r="H8" i="9"/>
  <c r="H11" i="9"/>
  <c r="H14" i="9"/>
  <c r="H17" i="9"/>
  <c r="H20" i="9"/>
  <c r="H18" i="9"/>
  <c r="H3" i="9"/>
  <c r="H6" i="9"/>
  <c r="Q5" i="6"/>
  <c r="AI5" i="6"/>
  <c r="AI6" i="6" s="1"/>
  <c r="AJ5" i="6"/>
  <c r="AJ6" i="6" s="1"/>
  <c r="AJ7" i="6" s="1"/>
  <c r="AJ8" i="6" s="1"/>
  <c r="AJ9" i="6" s="1"/>
  <c r="AJ10" i="6" s="1"/>
  <c r="AJ11" i="6" s="1"/>
  <c r="AJ12" i="6" s="1"/>
  <c r="AJ13" i="6" s="1"/>
  <c r="AJ14" i="6" s="1"/>
  <c r="AJ15" i="6" s="1"/>
  <c r="AJ16" i="6" s="1"/>
  <c r="AJ17" i="6" s="1"/>
  <c r="AJ18" i="6" s="1"/>
  <c r="AJ19" i="6" s="1"/>
  <c r="AJ20" i="6" s="1"/>
  <c r="AJ21" i="6" s="1"/>
  <c r="AJ22" i="6" s="1"/>
  <c r="AJ23" i="6" s="1"/>
  <c r="AJ24" i="6" s="1"/>
  <c r="AJ25" i="6" s="1"/>
  <c r="AJ26" i="6" s="1"/>
  <c r="AJ27" i="6" s="1"/>
  <c r="AJ28" i="6" s="1"/>
  <c r="AJ29" i="6" s="1"/>
  <c r="AJ30" i="6" s="1"/>
  <c r="AJ31" i="6" s="1"/>
  <c r="AJ32" i="6" s="1"/>
  <c r="AJ33" i="6" s="1"/>
  <c r="AJ34" i="6" s="1"/>
  <c r="AJ35" i="6" s="1"/>
  <c r="AJ36" i="6" s="1"/>
  <c r="AJ37" i="6" s="1"/>
  <c r="AJ38" i="6" s="1"/>
  <c r="AJ39" i="6" s="1"/>
  <c r="AJ40" i="6" s="1"/>
  <c r="AJ41" i="6" s="1"/>
  <c r="AJ42" i="6" s="1"/>
  <c r="AJ43" i="6" s="1"/>
  <c r="AJ44" i="6" s="1"/>
  <c r="AJ45" i="6" s="1"/>
  <c r="AJ46" i="6" s="1"/>
  <c r="AJ47" i="6" s="1"/>
  <c r="AJ48" i="6" s="1"/>
  <c r="AJ49" i="6" s="1"/>
  <c r="AJ50" i="6" s="1"/>
  <c r="AJ51" i="6" s="1"/>
  <c r="AJ52" i="6" s="1"/>
  <c r="AJ53" i="6" s="1"/>
  <c r="AJ54" i="6" s="1"/>
  <c r="AJ55" i="6" s="1"/>
  <c r="AJ56" i="6" s="1"/>
  <c r="AJ57" i="6" s="1"/>
  <c r="AJ58" i="6" s="1"/>
  <c r="AJ59" i="6" s="1"/>
  <c r="AJ60" i="6" s="1"/>
  <c r="AJ61" i="6" s="1"/>
  <c r="AJ62" i="6" s="1"/>
  <c r="AJ63" i="6" s="1"/>
  <c r="AJ64" i="6" s="1"/>
  <c r="AJ65" i="6" s="1"/>
  <c r="AJ66" i="6" s="1"/>
  <c r="AJ67" i="6" s="1"/>
  <c r="AJ68" i="6" s="1"/>
  <c r="AJ69" i="6" s="1"/>
  <c r="AJ70" i="6" s="1"/>
  <c r="AJ71" i="6" s="1"/>
  <c r="AJ72" i="6" s="1"/>
  <c r="AJ73" i="6" s="1"/>
  <c r="AJ74" i="6" s="1"/>
  <c r="AJ75" i="6" s="1"/>
  <c r="AJ76" i="6" s="1"/>
  <c r="AJ77" i="6" s="1"/>
  <c r="AJ78" i="6" s="1"/>
  <c r="AJ79" i="6" s="1"/>
  <c r="AJ80" i="6" s="1"/>
  <c r="AJ81" i="6" s="1"/>
  <c r="AJ82" i="6" s="1"/>
  <c r="AJ83" i="6" s="1"/>
  <c r="AJ84" i="6" s="1"/>
  <c r="AJ85" i="6" s="1"/>
  <c r="AJ86" i="6" s="1"/>
  <c r="AJ87" i="6" s="1"/>
  <c r="AJ88" i="6" s="1"/>
  <c r="AJ89" i="6" s="1"/>
  <c r="AJ90" i="6" s="1"/>
  <c r="AJ91" i="6" s="1"/>
  <c r="AJ92" i="6" s="1"/>
  <c r="AJ93" i="6" s="1"/>
  <c r="AJ94" i="6" s="1"/>
  <c r="AJ95" i="6" s="1"/>
  <c r="AJ96" i="6" s="1"/>
  <c r="AJ97" i="6" s="1"/>
  <c r="AJ98" i="6" s="1"/>
  <c r="AJ99" i="6" s="1"/>
  <c r="AJ100" i="6" s="1"/>
  <c r="AJ101" i="6" s="1"/>
  <c r="AJ102" i="6" s="1"/>
  <c r="AJ103" i="6" s="1"/>
  <c r="AJ104" i="6" s="1"/>
  <c r="AJ105" i="6" s="1"/>
  <c r="AJ106" i="6" s="1"/>
  <c r="AJ107" i="6" s="1"/>
  <c r="AJ108" i="6" s="1"/>
  <c r="AJ109" i="6" s="1"/>
  <c r="AJ110" i="6" s="1"/>
  <c r="AJ111" i="6" s="1"/>
  <c r="AJ112" i="6" s="1"/>
  <c r="AJ113" i="6" s="1"/>
  <c r="AJ114" i="6" s="1"/>
  <c r="AJ115" i="6" s="1"/>
  <c r="AJ116" i="6" s="1"/>
  <c r="AJ117" i="6" s="1"/>
  <c r="AJ118" i="6" s="1"/>
  <c r="AJ119" i="6" s="1"/>
  <c r="AJ120" i="6" s="1"/>
  <c r="AJ121" i="6" s="1"/>
  <c r="AJ122" i="6" s="1"/>
  <c r="AJ123" i="6" s="1"/>
  <c r="AJ124" i="6" s="1"/>
  <c r="AJ125" i="6" s="1"/>
  <c r="AJ126" i="6" s="1"/>
  <c r="AJ127" i="6" s="1"/>
  <c r="AJ128" i="6" s="1"/>
  <c r="AJ129" i="6" s="1"/>
  <c r="AJ130" i="6" s="1"/>
  <c r="AJ131" i="6" s="1"/>
  <c r="AJ132" i="6" s="1"/>
  <c r="AJ133" i="6" s="1"/>
  <c r="AJ134" i="6" s="1"/>
  <c r="AJ135" i="6" s="1"/>
  <c r="AJ136" i="6" s="1"/>
  <c r="AJ137" i="6" s="1"/>
  <c r="AJ138" i="6" s="1"/>
  <c r="AJ139" i="6" s="1"/>
  <c r="AJ140" i="6" s="1"/>
  <c r="AJ141" i="6" s="1"/>
  <c r="AJ142" i="6" s="1"/>
  <c r="AJ143" i="6" s="1"/>
  <c r="AJ144" i="6" s="1"/>
  <c r="AJ145" i="6" s="1"/>
  <c r="AJ146" i="6" s="1"/>
  <c r="AJ147" i="6" s="1"/>
  <c r="AJ148" i="6" s="1"/>
  <c r="AJ149" i="6" s="1"/>
  <c r="AJ150" i="6" s="1"/>
  <c r="AJ151" i="6" s="1"/>
  <c r="AJ152" i="6" s="1"/>
  <c r="AJ153" i="6" s="1"/>
  <c r="AJ154" i="6" s="1"/>
  <c r="AJ155" i="6" s="1"/>
  <c r="AJ156" i="6" s="1"/>
  <c r="AJ157" i="6" s="1"/>
  <c r="AJ158" i="6" s="1"/>
  <c r="AJ159" i="6" s="1"/>
  <c r="AJ160" i="6" s="1"/>
  <c r="AJ161" i="6" s="1"/>
  <c r="AJ162" i="6" s="1"/>
  <c r="AJ163" i="6" s="1"/>
  <c r="AJ164" i="6" s="1"/>
  <c r="AJ165" i="6" s="1"/>
  <c r="AJ166" i="6" s="1"/>
  <c r="AJ167" i="6" s="1"/>
  <c r="AJ168" i="6" s="1"/>
  <c r="AJ169" i="6" s="1"/>
  <c r="AJ170" i="6" s="1"/>
  <c r="AJ171" i="6" s="1"/>
  <c r="AJ172" i="6" s="1"/>
  <c r="AJ173" i="6" s="1"/>
  <c r="AJ174" i="6" s="1"/>
  <c r="AJ175" i="6" s="1"/>
  <c r="AJ176" i="6" s="1"/>
  <c r="AJ177" i="6" s="1"/>
  <c r="AJ178" i="6" s="1"/>
  <c r="AJ179" i="6" s="1"/>
  <c r="AJ180" i="6" s="1"/>
  <c r="AJ181" i="6" s="1"/>
  <c r="AJ182" i="6" s="1"/>
  <c r="AJ183" i="6" s="1"/>
  <c r="AJ184" i="6" s="1"/>
  <c r="AJ185" i="6" s="1"/>
  <c r="AJ186" i="6" s="1"/>
  <c r="AJ187" i="6" s="1"/>
  <c r="AJ188" i="6" s="1"/>
  <c r="AJ189" i="6" s="1"/>
  <c r="AJ190" i="6" s="1"/>
  <c r="AJ191" i="6" s="1"/>
  <c r="AJ192" i="6" s="1"/>
  <c r="AJ193" i="6" s="1"/>
  <c r="AJ194" i="6" s="1"/>
  <c r="AJ195" i="6" s="1"/>
  <c r="AJ196" i="6" s="1"/>
  <c r="AJ197" i="6" s="1"/>
  <c r="AJ198" i="6" s="1"/>
  <c r="AJ199" i="6" s="1"/>
  <c r="AJ200" i="6" s="1"/>
  <c r="AJ201" i="6" s="1"/>
  <c r="AJ202" i="6" s="1"/>
  <c r="AJ203" i="6" s="1"/>
  <c r="AJ204" i="6" s="1"/>
  <c r="AJ205" i="6" s="1"/>
  <c r="AJ206" i="6" s="1"/>
  <c r="AJ207" i="6" s="1"/>
  <c r="AJ208" i="6" s="1"/>
  <c r="AJ209" i="6" s="1"/>
  <c r="AJ210" i="6" s="1"/>
  <c r="AJ211" i="6" s="1"/>
  <c r="AJ212" i="6" s="1"/>
  <c r="AJ213" i="6" s="1"/>
  <c r="AJ214" i="6" s="1"/>
  <c r="AJ215" i="6" s="1"/>
  <c r="AJ216" i="6" s="1"/>
  <c r="AJ217" i="6" s="1"/>
  <c r="AJ218" i="6" s="1"/>
  <c r="AJ219" i="6" s="1"/>
  <c r="AJ220" i="6" s="1"/>
  <c r="AJ221" i="6" s="1"/>
  <c r="AJ222" i="6" s="1"/>
  <c r="AJ223" i="6" s="1"/>
  <c r="AJ224" i="6" s="1"/>
  <c r="AJ225" i="6" s="1"/>
  <c r="AJ226" i="6" s="1"/>
  <c r="AJ227" i="6" s="1"/>
  <c r="AJ228" i="6" s="1"/>
  <c r="AJ229" i="6" s="1"/>
  <c r="AJ230" i="6" s="1"/>
  <c r="AJ231" i="6" s="1"/>
  <c r="AJ232" i="6" s="1"/>
  <c r="AJ233" i="6" s="1"/>
  <c r="AJ234" i="6" s="1"/>
  <c r="AJ235" i="6" s="1"/>
  <c r="AJ236" i="6" s="1"/>
  <c r="AJ237" i="6" s="1"/>
  <c r="AJ238" i="6" s="1"/>
  <c r="AJ239" i="6" s="1"/>
  <c r="AJ240" i="6" s="1"/>
  <c r="AJ241" i="6" s="1"/>
  <c r="AJ242" i="6" s="1"/>
  <c r="AJ243" i="6" s="1"/>
  <c r="AJ244" i="6" s="1"/>
  <c r="AJ245" i="6" s="1"/>
  <c r="AJ246" i="6" s="1"/>
  <c r="AJ247" i="6" s="1"/>
  <c r="AJ248" i="6" s="1"/>
  <c r="AJ249" i="6" s="1"/>
  <c r="AJ250" i="6" s="1"/>
  <c r="AJ251" i="6" s="1"/>
  <c r="AJ252" i="6" s="1"/>
  <c r="AJ253" i="6" s="1"/>
  <c r="AJ254" i="6" s="1"/>
  <c r="AJ255" i="6" s="1"/>
  <c r="AJ256" i="6" s="1"/>
  <c r="AJ257" i="6" s="1"/>
  <c r="AJ258" i="6" s="1"/>
  <c r="AJ259" i="6" s="1"/>
  <c r="AJ260" i="6" s="1"/>
  <c r="AJ261" i="6" s="1"/>
  <c r="AJ262" i="6" s="1"/>
  <c r="AJ263" i="6" s="1"/>
  <c r="AJ264" i="6" s="1"/>
  <c r="AJ265" i="6" s="1"/>
  <c r="AJ266" i="6" s="1"/>
  <c r="AJ267" i="6" s="1"/>
  <c r="AJ268" i="6" s="1"/>
  <c r="AJ269" i="6" s="1"/>
  <c r="AJ270" i="6" s="1"/>
  <c r="AJ271" i="6" s="1"/>
  <c r="AJ272" i="6" s="1"/>
  <c r="AJ273" i="6" s="1"/>
  <c r="AJ274" i="6" s="1"/>
  <c r="AJ275" i="6" s="1"/>
  <c r="AJ276" i="6" s="1"/>
  <c r="AJ277" i="6" s="1"/>
  <c r="AJ278" i="6" s="1"/>
  <c r="AJ279" i="6" s="1"/>
  <c r="AJ280" i="6" s="1"/>
  <c r="AJ281" i="6" s="1"/>
  <c r="AJ282" i="6" s="1"/>
  <c r="AJ283" i="6" s="1"/>
  <c r="AJ284" i="6" s="1"/>
  <c r="AJ285" i="6" s="1"/>
  <c r="AJ286" i="6" s="1"/>
  <c r="AJ287" i="6" s="1"/>
  <c r="AJ288" i="6" s="1"/>
  <c r="AJ289" i="6" s="1"/>
  <c r="AJ290" i="6" s="1"/>
  <c r="AJ291" i="6" s="1"/>
  <c r="AJ292" i="6" s="1"/>
  <c r="AJ293" i="6" s="1"/>
  <c r="AJ294" i="6" s="1"/>
  <c r="AJ295" i="6" s="1"/>
  <c r="AJ296" i="6" s="1"/>
  <c r="AJ297" i="6" s="1"/>
  <c r="AJ298" i="6" s="1"/>
  <c r="AJ299" i="6" s="1"/>
  <c r="AJ300" i="6" s="1"/>
  <c r="AJ301" i="6" s="1"/>
  <c r="AJ302" i="6" s="1"/>
  <c r="AJ303" i="6" s="1"/>
  <c r="AJ304" i="6" s="1"/>
  <c r="AJ305" i="6" s="1"/>
  <c r="AJ306" i="6" s="1"/>
  <c r="AJ307" i="6" s="1"/>
  <c r="AJ308" i="6" s="1"/>
  <c r="AJ309" i="6" s="1"/>
  <c r="AJ310" i="6" s="1"/>
  <c r="AJ311" i="6" s="1"/>
  <c r="AJ312" i="6" s="1"/>
  <c r="AJ313" i="6" s="1"/>
  <c r="AJ314" i="6" s="1"/>
  <c r="AJ315" i="6" s="1"/>
  <c r="AJ316" i="6" s="1"/>
  <c r="AJ317" i="6" s="1"/>
  <c r="AJ318" i="6" s="1"/>
  <c r="AJ319" i="6" s="1"/>
  <c r="AJ320" i="6" s="1"/>
  <c r="AJ321" i="6" s="1"/>
  <c r="AJ322" i="6" s="1"/>
  <c r="AJ323" i="6" s="1"/>
  <c r="AJ324" i="6" s="1"/>
  <c r="AJ325" i="6" s="1"/>
  <c r="AJ326" i="6" s="1"/>
  <c r="AJ327" i="6" s="1"/>
  <c r="AJ328" i="6" s="1"/>
  <c r="AJ329" i="6" s="1"/>
  <c r="AJ330" i="6" s="1"/>
  <c r="AJ331" i="6" s="1"/>
  <c r="AJ332" i="6" s="1"/>
  <c r="AJ333" i="6" s="1"/>
  <c r="AJ334" i="6" s="1"/>
  <c r="AJ335" i="6" s="1"/>
  <c r="AJ336" i="6" s="1"/>
  <c r="AJ337" i="6" s="1"/>
  <c r="AJ338" i="6" s="1"/>
  <c r="AJ339" i="6" s="1"/>
  <c r="AJ340" i="6" s="1"/>
  <c r="AJ341" i="6" s="1"/>
  <c r="AJ342" i="6" s="1"/>
  <c r="AJ343" i="6" s="1"/>
  <c r="AJ344" i="6" s="1"/>
  <c r="AJ345" i="6" s="1"/>
  <c r="AJ346" i="6" s="1"/>
  <c r="AJ347" i="6" s="1"/>
  <c r="AJ348" i="6" s="1"/>
  <c r="AJ349" i="6" s="1"/>
  <c r="AJ350" i="6" s="1"/>
  <c r="AJ351" i="6" s="1"/>
  <c r="AJ352" i="6" s="1"/>
  <c r="AJ353" i="6" s="1"/>
  <c r="AJ354" i="6" s="1"/>
  <c r="AJ355" i="6" s="1"/>
  <c r="AJ356" i="6" s="1"/>
  <c r="AJ357" i="6" s="1"/>
  <c r="AJ358" i="6" s="1"/>
  <c r="AJ359" i="6" s="1"/>
  <c r="AJ360" i="6" s="1"/>
  <c r="AJ361" i="6" s="1"/>
  <c r="AJ362" i="6" s="1"/>
  <c r="AJ363" i="6" s="1"/>
  <c r="AJ364" i="6" s="1"/>
  <c r="AJ365" i="6" s="1"/>
  <c r="AJ366" i="6" s="1"/>
  <c r="AJ367" i="6" s="1"/>
  <c r="AJ368" i="6" s="1"/>
  <c r="AJ369" i="6" s="1"/>
  <c r="AJ370" i="6" s="1"/>
  <c r="AJ371" i="6" s="1"/>
  <c r="AJ372" i="6" s="1"/>
  <c r="AJ373" i="6" s="1"/>
  <c r="AJ374" i="6" s="1"/>
  <c r="AJ375" i="6" s="1"/>
  <c r="AJ376" i="6" s="1"/>
  <c r="AJ377" i="6" s="1"/>
  <c r="AJ378" i="6" s="1"/>
  <c r="AJ379" i="6" s="1"/>
  <c r="AJ380" i="6" s="1"/>
  <c r="AJ381" i="6" s="1"/>
  <c r="AJ382" i="6" s="1"/>
  <c r="AJ383" i="6" s="1"/>
  <c r="AJ384" i="6" s="1"/>
  <c r="AJ385" i="6" s="1"/>
  <c r="AJ386" i="6" s="1"/>
  <c r="AJ387" i="6" s="1"/>
  <c r="AJ388" i="6" s="1"/>
  <c r="AJ389" i="6" s="1"/>
  <c r="AJ390" i="6" s="1"/>
  <c r="AJ391" i="6" s="1"/>
  <c r="AJ392" i="6" s="1"/>
  <c r="AJ393" i="6" s="1"/>
  <c r="AJ394" i="6" s="1"/>
  <c r="AJ395" i="6" s="1"/>
  <c r="AJ396" i="6" s="1"/>
  <c r="AJ397" i="6" s="1"/>
  <c r="AJ398" i="6" s="1"/>
  <c r="AJ399" i="6" s="1"/>
  <c r="AJ400" i="6" s="1"/>
  <c r="AJ401" i="6" s="1"/>
  <c r="AJ402" i="6" s="1"/>
  <c r="AJ403" i="6" s="1"/>
  <c r="AJ404" i="6" s="1"/>
  <c r="AJ405" i="6" s="1"/>
  <c r="AJ406" i="6" s="1"/>
  <c r="AJ407" i="6" s="1"/>
  <c r="AJ408" i="6" s="1"/>
  <c r="AJ409" i="6" s="1"/>
  <c r="AJ410" i="6" s="1"/>
  <c r="AJ411" i="6" s="1"/>
  <c r="AJ412" i="6" s="1"/>
  <c r="AJ413" i="6" s="1"/>
  <c r="AJ414" i="6" s="1"/>
  <c r="AJ415" i="6" s="1"/>
  <c r="AJ416" i="6" s="1"/>
  <c r="AJ417" i="6" s="1"/>
  <c r="AJ418" i="6" s="1"/>
  <c r="AJ419" i="6" s="1"/>
  <c r="AJ420" i="6" s="1"/>
  <c r="AJ421" i="6" s="1"/>
  <c r="AJ422" i="6" s="1"/>
  <c r="AJ423" i="6" s="1"/>
  <c r="AJ424" i="6" s="1"/>
  <c r="AJ425" i="6" s="1"/>
  <c r="AJ426" i="6" s="1"/>
  <c r="AJ427" i="6" s="1"/>
  <c r="AJ428" i="6" s="1"/>
  <c r="AJ429" i="6" s="1"/>
  <c r="AJ430" i="6" s="1"/>
  <c r="AJ431" i="6" s="1"/>
  <c r="AJ432" i="6" s="1"/>
  <c r="AJ433" i="6" s="1"/>
  <c r="AJ434" i="6" s="1"/>
  <c r="AJ435" i="6" s="1"/>
  <c r="AJ436" i="6" s="1"/>
  <c r="AJ437" i="6" s="1"/>
  <c r="AJ438" i="6" s="1"/>
  <c r="AJ439" i="6" s="1"/>
  <c r="AJ440" i="6" s="1"/>
  <c r="AJ441" i="6" s="1"/>
  <c r="AJ442" i="6" s="1"/>
  <c r="AJ443" i="6" s="1"/>
  <c r="AJ444" i="6" s="1"/>
  <c r="AJ445" i="6" s="1"/>
  <c r="AJ446" i="6" s="1"/>
  <c r="AJ447" i="6" s="1"/>
  <c r="AJ448" i="6" s="1"/>
  <c r="AJ449" i="6" s="1"/>
  <c r="AJ450" i="6" s="1"/>
  <c r="AJ451" i="6" s="1"/>
  <c r="AJ452" i="6" s="1"/>
  <c r="AJ453" i="6" s="1"/>
  <c r="AJ454" i="6" s="1"/>
  <c r="AJ455" i="6" s="1"/>
  <c r="AJ456" i="6" s="1"/>
  <c r="AJ457" i="6" s="1"/>
  <c r="AJ458" i="6" s="1"/>
  <c r="AJ459" i="6" s="1"/>
  <c r="AJ460" i="6" s="1"/>
  <c r="AJ461" i="6" s="1"/>
  <c r="AJ462" i="6" s="1"/>
  <c r="AJ463" i="6" s="1"/>
  <c r="AJ464" i="6" s="1"/>
  <c r="AJ465" i="6" s="1"/>
  <c r="AJ466" i="6" s="1"/>
  <c r="AJ467" i="6" s="1"/>
  <c r="AJ468" i="6" s="1"/>
  <c r="AJ469" i="6" s="1"/>
  <c r="AJ470" i="6" s="1"/>
  <c r="AJ471" i="6" s="1"/>
  <c r="AJ472" i="6" s="1"/>
  <c r="AJ473" i="6" s="1"/>
  <c r="AJ474" i="6" s="1"/>
  <c r="AJ475" i="6" s="1"/>
  <c r="AJ476" i="6" s="1"/>
  <c r="AJ477" i="6" s="1"/>
  <c r="AJ478" i="6" s="1"/>
  <c r="AJ479" i="6" s="1"/>
  <c r="AJ480" i="6" s="1"/>
  <c r="AJ481" i="6" s="1"/>
  <c r="AJ482" i="6" s="1"/>
  <c r="AJ483" i="6" s="1"/>
  <c r="AJ484" i="6" s="1"/>
  <c r="AJ485" i="6" s="1"/>
  <c r="AJ486" i="6" s="1"/>
  <c r="AJ487" i="6" s="1"/>
  <c r="AJ488" i="6" s="1"/>
  <c r="AJ489" i="6" s="1"/>
  <c r="AJ490" i="6" s="1"/>
  <c r="AJ491" i="6" s="1"/>
  <c r="AJ492" i="6" s="1"/>
  <c r="AJ493" i="6" s="1"/>
  <c r="AJ494" i="6" s="1"/>
  <c r="AJ495" i="6" s="1"/>
  <c r="AJ496" i="6" s="1"/>
  <c r="AJ497" i="6" s="1"/>
  <c r="AJ498" i="6" s="1"/>
  <c r="AJ499" i="6" s="1"/>
  <c r="AJ500" i="6" s="1"/>
  <c r="AJ501" i="6" s="1"/>
  <c r="AJ502" i="6" s="1"/>
  <c r="AJ503" i="6" s="1"/>
  <c r="AJ504" i="6" s="1"/>
  <c r="AJ505" i="6" s="1"/>
  <c r="AJ506" i="6" s="1"/>
  <c r="AJ507" i="6" s="1"/>
  <c r="AJ508" i="6" s="1"/>
  <c r="AJ509" i="6" s="1"/>
  <c r="AJ510" i="6" s="1"/>
  <c r="AJ511" i="6" s="1"/>
  <c r="AJ512" i="6" s="1"/>
  <c r="AJ513" i="6" s="1"/>
  <c r="AJ514" i="6" s="1"/>
  <c r="AJ515" i="6" s="1"/>
  <c r="AJ516" i="6" s="1"/>
  <c r="AJ517" i="6" s="1"/>
  <c r="AJ518" i="6" s="1"/>
  <c r="AJ519" i="6" s="1"/>
  <c r="AJ520" i="6" s="1"/>
  <c r="AJ521" i="6" s="1"/>
  <c r="AJ522" i="6" s="1"/>
  <c r="AJ523" i="6" s="1"/>
  <c r="AJ524" i="6" s="1"/>
  <c r="AJ525" i="6" s="1"/>
  <c r="AJ526" i="6" s="1"/>
  <c r="AJ527" i="6" s="1"/>
  <c r="AJ528" i="6" s="1"/>
  <c r="AJ529" i="6" s="1"/>
  <c r="AJ530" i="6" s="1"/>
  <c r="AJ531" i="6" s="1"/>
  <c r="AJ532" i="6" s="1"/>
  <c r="AJ533" i="6" s="1"/>
  <c r="AJ534" i="6" s="1"/>
  <c r="AJ535" i="6" s="1"/>
  <c r="AJ536" i="6" s="1"/>
  <c r="AJ537" i="6" s="1"/>
  <c r="AJ538" i="6" s="1"/>
  <c r="AJ539" i="6" s="1"/>
  <c r="AJ540" i="6" s="1"/>
  <c r="AJ541" i="6" s="1"/>
  <c r="AJ542" i="6" s="1"/>
  <c r="AJ543" i="6" s="1"/>
  <c r="AJ544" i="6" s="1"/>
  <c r="AJ545" i="6" s="1"/>
  <c r="AJ546" i="6" s="1"/>
  <c r="AJ547" i="6" s="1"/>
  <c r="AJ548" i="6" s="1"/>
  <c r="AJ549" i="6" s="1"/>
  <c r="AJ550" i="6" s="1"/>
  <c r="AJ551" i="6" s="1"/>
  <c r="AJ552" i="6" s="1"/>
  <c r="AJ553" i="6" s="1"/>
  <c r="AJ554" i="6" s="1"/>
  <c r="AJ555" i="6" s="1"/>
  <c r="AJ556" i="6" s="1"/>
  <c r="AJ557" i="6" s="1"/>
  <c r="AJ558" i="6" s="1"/>
  <c r="AJ559" i="6" s="1"/>
  <c r="AJ560" i="6" s="1"/>
  <c r="AJ561" i="6" s="1"/>
  <c r="AJ562" i="6" s="1"/>
  <c r="AJ563" i="6" s="1"/>
  <c r="AJ564" i="6" s="1"/>
  <c r="AJ565" i="6" s="1"/>
  <c r="AJ566" i="6" s="1"/>
  <c r="AJ567" i="6" s="1"/>
  <c r="AJ568" i="6" s="1"/>
  <c r="AJ569" i="6" s="1"/>
  <c r="AJ570" i="6" s="1"/>
  <c r="AJ571" i="6" s="1"/>
  <c r="AJ572" i="6" s="1"/>
  <c r="AJ573" i="6" s="1"/>
  <c r="AJ574" i="6" s="1"/>
  <c r="AJ575" i="6" s="1"/>
  <c r="AJ576" i="6" s="1"/>
  <c r="AJ577" i="6" s="1"/>
  <c r="AJ578" i="6" s="1"/>
  <c r="AJ579" i="6" s="1"/>
  <c r="AJ580" i="6" s="1"/>
  <c r="AJ581" i="6" s="1"/>
  <c r="AJ582" i="6" s="1"/>
  <c r="AJ583" i="6" s="1"/>
  <c r="AJ584" i="6" s="1"/>
  <c r="AJ585" i="6" s="1"/>
  <c r="AJ586" i="6" s="1"/>
  <c r="AJ587" i="6" s="1"/>
  <c r="AJ588" i="6" s="1"/>
  <c r="AJ589" i="6" s="1"/>
  <c r="AJ590" i="6" s="1"/>
  <c r="AJ591" i="6" s="1"/>
  <c r="AJ592" i="6" s="1"/>
  <c r="AJ593" i="6" s="1"/>
  <c r="AJ594" i="6" s="1"/>
  <c r="AJ595" i="6" s="1"/>
  <c r="AJ596" i="6" s="1"/>
  <c r="AJ597" i="6" s="1"/>
  <c r="AJ598" i="6" s="1"/>
  <c r="AJ599" i="6" s="1"/>
  <c r="AJ600" i="6" s="1"/>
  <c r="AJ601" i="6" s="1"/>
  <c r="AJ602" i="6" s="1"/>
  <c r="AJ603" i="6" s="1"/>
  <c r="AJ604" i="6" s="1"/>
  <c r="AJ605" i="6" s="1"/>
  <c r="AJ606" i="6" s="1"/>
  <c r="AJ607" i="6" s="1"/>
  <c r="AJ608" i="6" s="1"/>
  <c r="AJ609" i="6" s="1"/>
  <c r="AJ610" i="6" s="1"/>
  <c r="AJ611" i="6" s="1"/>
  <c r="AJ612" i="6" s="1"/>
  <c r="AJ613" i="6" s="1"/>
  <c r="AJ614" i="6" s="1"/>
  <c r="AJ615" i="6" s="1"/>
  <c r="AJ616" i="6" s="1"/>
  <c r="AJ617" i="6" s="1"/>
  <c r="AJ618" i="6" s="1"/>
  <c r="AJ619" i="6" s="1"/>
  <c r="AJ620" i="6" s="1"/>
  <c r="AJ621" i="6" s="1"/>
  <c r="AJ622" i="6" s="1"/>
  <c r="AJ623" i="6" s="1"/>
  <c r="AJ624" i="6" s="1"/>
  <c r="AJ625" i="6" s="1"/>
  <c r="AJ626" i="6" s="1"/>
  <c r="AJ627" i="6" s="1"/>
  <c r="AJ628" i="6" s="1"/>
  <c r="AJ629" i="6" s="1"/>
  <c r="AJ630" i="6" s="1"/>
  <c r="AJ631" i="6" s="1"/>
  <c r="AJ632" i="6" s="1"/>
  <c r="AJ633" i="6" s="1"/>
  <c r="AJ634" i="6" s="1"/>
  <c r="AJ635" i="6" s="1"/>
  <c r="AJ636" i="6" s="1"/>
  <c r="AJ637" i="6" s="1"/>
  <c r="AJ638" i="6" s="1"/>
  <c r="AJ639" i="6" s="1"/>
  <c r="AJ640" i="6" s="1"/>
  <c r="AJ641" i="6" s="1"/>
  <c r="AJ642" i="6" s="1"/>
  <c r="AJ643" i="6" s="1"/>
  <c r="AJ644" i="6" s="1"/>
  <c r="AJ645" i="6" s="1"/>
  <c r="AJ646" i="6" s="1"/>
  <c r="AJ647" i="6" s="1"/>
  <c r="AJ648" i="6" s="1"/>
  <c r="AJ649" i="6" s="1"/>
  <c r="AJ650" i="6" s="1"/>
  <c r="AJ651" i="6" s="1"/>
  <c r="AJ652" i="6" s="1"/>
  <c r="AJ653" i="6" s="1"/>
  <c r="AJ654" i="6" s="1"/>
  <c r="AJ655" i="6" s="1"/>
  <c r="AJ656" i="6" s="1"/>
  <c r="AJ657" i="6" s="1"/>
  <c r="AJ658" i="6" s="1"/>
  <c r="AJ659" i="6" s="1"/>
  <c r="AJ660" i="6" s="1"/>
  <c r="AJ661" i="6" s="1"/>
  <c r="AJ662" i="6" s="1"/>
  <c r="AJ663" i="6" s="1"/>
  <c r="AJ664" i="6" s="1"/>
  <c r="AJ665" i="6" s="1"/>
  <c r="AJ666" i="6" s="1"/>
  <c r="AJ667" i="6" s="1"/>
  <c r="AJ668" i="6" s="1"/>
  <c r="AJ669" i="6" s="1"/>
  <c r="AJ670" i="6" s="1"/>
  <c r="AJ671" i="6" s="1"/>
  <c r="AJ672" i="6" s="1"/>
  <c r="AJ673" i="6" s="1"/>
  <c r="AJ674" i="6" s="1"/>
  <c r="AJ675" i="6" s="1"/>
  <c r="AJ676" i="6" s="1"/>
  <c r="AJ677" i="6" s="1"/>
  <c r="AJ678" i="6" s="1"/>
  <c r="AJ679" i="6" s="1"/>
  <c r="AJ680" i="6" s="1"/>
  <c r="AJ681" i="6" s="1"/>
  <c r="AJ682" i="6" s="1"/>
  <c r="AJ683" i="6" s="1"/>
  <c r="AJ684" i="6" s="1"/>
  <c r="AJ685" i="6" s="1"/>
  <c r="AJ686" i="6" s="1"/>
  <c r="AJ687" i="6" s="1"/>
  <c r="AJ688" i="6" s="1"/>
  <c r="AJ689" i="6" s="1"/>
  <c r="AJ690" i="6" s="1"/>
  <c r="AJ691" i="6" s="1"/>
  <c r="AJ692" i="6" s="1"/>
  <c r="AJ693" i="6" s="1"/>
  <c r="AJ694" i="6" s="1"/>
  <c r="AJ695" i="6" s="1"/>
  <c r="AJ696" i="6" s="1"/>
  <c r="AJ697" i="6" s="1"/>
  <c r="AJ698" i="6" s="1"/>
  <c r="AJ699" i="6" s="1"/>
  <c r="AJ700" i="6" s="1"/>
  <c r="AJ701" i="6" s="1"/>
  <c r="AJ702" i="6" s="1"/>
  <c r="AJ703" i="6" s="1"/>
  <c r="AJ704" i="6" s="1"/>
  <c r="AJ705" i="6" s="1"/>
  <c r="AJ706" i="6" s="1"/>
  <c r="AJ707" i="6" s="1"/>
  <c r="AJ708" i="6" s="1"/>
  <c r="AJ709" i="6" s="1"/>
  <c r="AJ710" i="6" s="1"/>
  <c r="AJ711" i="6" s="1"/>
  <c r="AJ712" i="6" s="1"/>
  <c r="AJ713" i="6" s="1"/>
  <c r="AJ714" i="6" s="1"/>
  <c r="AJ715" i="6" s="1"/>
  <c r="AJ716" i="6" s="1"/>
  <c r="AJ717" i="6" s="1"/>
  <c r="AJ718" i="6" s="1"/>
  <c r="AJ719" i="6" s="1"/>
  <c r="AJ720" i="6" s="1"/>
  <c r="AJ721" i="6" s="1"/>
  <c r="AJ722" i="6" s="1"/>
  <c r="AJ723" i="6" s="1"/>
  <c r="AJ724" i="6" s="1"/>
  <c r="AJ725" i="6" s="1"/>
  <c r="AJ726" i="6" s="1"/>
  <c r="AJ727" i="6" s="1"/>
  <c r="AJ728" i="6" s="1"/>
  <c r="AJ729" i="6" s="1"/>
  <c r="AJ730" i="6" s="1"/>
  <c r="AJ731" i="6" s="1"/>
  <c r="AJ732" i="6" s="1"/>
  <c r="AJ733" i="6" s="1"/>
  <c r="AJ734" i="6" s="1"/>
  <c r="AJ735" i="6" s="1"/>
  <c r="AJ736" i="6" s="1"/>
  <c r="AJ737" i="6" s="1"/>
  <c r="AJ738" i="6" s="1"/>
  <c r="AJ739" i="6" s="1"/>
  <c r="AJ740" i="6" s="1"/>
  <c r="AJ741" i="6" s="1"/>
  <c r="AJ742" i="6" s="1"/>
  <c r="AJ743" i="6" s="1"/>
  <c r="AJ744" i="6" s="1"/>
  <c r="AJ745" i="6" s="1"/>
  <c r="AJ746" i="6" s="1"/>
  <c r="AJ747" i="6" s="1"/>
  <c r="AJ748" i="6" s="1"/>
  <c r="AJ749" i="6" s="1"/>
  <c r="AJ750" i="6" s="1"/>
  <c r="AJ751" i="6" s="1"/>
  <c r="AJ752" i="6" s="1"/>
  <c r="AJ753" i="6" s="1"/>
  <c r="AJ754" i="6" s="1"/>
  <c r="AJ755" i="6" s="1"/>
  <c r="AJ756" i="6" s="1"/>
  <c r="AJ757" i="6" s="1"/>
  <c r="AJ758" i="6" s="1"/>
  <c r="AJ759" i="6" s="1"/>
  <c r="AJ760" i="6" s="1"/>
  <c r="AJ761" i="6" s="1"/>
  <c r="AJ762" i="6" s="1"/>
  <c r="AJ763" i="6" s="1"/>
  <c r="AJ764" i="6" s="1"/>
  <c r="AJ765" i="6" s="1"/>
  <c r="AJ766" i="6" s="1"/>
  <c r="AJ767" i="6" s="1"/>
  <c r="AJ768" i="6" s="1"/>
  <c r="AJ769" i="6" s="1"/>
  <c r="AJ770" i="6" s="1"/>
  <c r="AJ771" i="6" s="1"/>
  <c r="AJ772" i="6" s="1"/>
  <c r="AJ773" i="6" s="1"/>
  <c r="AJ774" i="6" s="1"/>
  <c r="AJ775" i="6" s="1"/>
  <c r="AJ776" i="6" s="1"/>
  <c r="AJ777" i="6" s="1"/>
  <c r="AJ778" i="6" s="1"/>
  <c r="AJ779" i="6" s="1"/>
  <c r="AJ780" i="6" s="1"/>
  <c r="AJ781" i="6" s="1"/>
  <c r="AJ782" i="6" s="1"/>
  <c r="AJ783" i="6" s="1"/>
  <c r="AJ784" i="6" s="1"/>
  <c r="AJ785" i="6" s="1"/>
  <c r="AJ786" i="6" s="1"/>
  <c r="AJ787" i="6" s="1"/>
  <c r="AJ788" i="6" s="1"/>
  <c r="AJ789" i="6" s="1"/>
  <c r="AJ790" i="6" s="1"/>
  <c r="AJ791" i="6" s="1"/>
  <c r="AJ792" i="6" s="1"/>
  <c r="AJ793" i="6" s="1"/>
  <c r="AJ794" i="6" s="1"/>
  <c r="AJ795" i="6" s="1"/>
  <c r="AJ796" i="6" s="1"/>
  <c r="AJ797" i="6" s="1"/>
  <c r="AJ798" i="6" s="1"/>
  <c r="AJ799" i="6" s="1"/>
  <c r="AJ800" i="6" s="1"/>
  <c r="AJ801" i="6" s="1"/>
  <c r="AJ802" i="6" s="1"/>
  <c r="AJ803" i="6" s="1"/>
  <c r="AJ804" i="6" s="1"/>
  <c r="AJ805" i="6" s="1"/>
  <c r="AJ806" i="6" s="1"/>
  <c r="AJ807" i="6" s="1"/>
  <c r="AJ808" i="6" s="1"/>
  <c r="AJ809" i="6" s="1"/>
  <c r="AJ810" i="6" s="1"/>
  <c r="AJ811" i="6" s="1"/>
  <c r="AJ812" i="6" s="1"/>
  <c r="AJ813" i="6" s="1"/>
  <c r="AJ814" i="6" s="1"/>
  <c r="AJ815" i="6" s="1"/>
  <c r="AJ816" i="6" s="1"/>
  <c r="AJ817" i="6" s="1"/>
  <c r="AJ818" i="6" s="1"/>
  <c r="AJ819" i="6" s="1"/>
  <c r="AJ820" i="6" s="1"/>
  <c r="AJ821" i="6" s="1"/>
  <c r="AJ822" i="6" s="1"/>
  <c r="AJ823" i="6" s="1"/>
  <c r="AJ824" i="6" s="1"/>
  <c r="AJ825" i="6" s="1"/>
  <c r="AJ826" i="6" s="1"/>
  <c r="AJ827" i="6" s="1"/>
  <c r="AJ828" i="6" s="1"/>
  <c r="AJ829" i="6" s="1"/>
  <c r="AJ830" i="6" s="1"/>
  <c r="AJ831" i="6" s="1"/>
  <c r="AJ832" i="6" s="1"/>
  <c r="AJ833" i="6" s="1"/>
  <c r="AJ834" i="6" s="1"/>
  <c r="AJ835" i="6" s="1"/>
  <c r="AJ836" i="6" s="1"/>
  <c r="AJ837" i="6" s="1"/>
  <c r="AJ838" i="6" s="1"/>
  <c r="AJ839" i="6" s="1"/>
  <c r="AJ840" i="6" s="1"/>
  <c r="AJ841" i="6" s="1"/>
  <c r="AJ842" i="6" s="1"/>
  <c r="AJ843" i="6" s="1"/>
  <c r="AJ844" i="6" s="1"/>
  <c r="AJ845" i="6" s="1"/>
  <c r="AJ846" i="6" s="1"/>
  <c r="AJ847" i="6" s="1"/>
  <c r="AJ848" i="6" s="1"/>
  <c r="AJ849" i="6" s="1"/>
  <c r="AJ850" i="6" s="1"/>
  <c r="AJ851" i="6" s="1"/>
  <c r="AJ852" i="6" s="1"/>
  <c r="AJ853" i="6" s="1"/>
  <c r="AJ854" i="6" s="1"/>
  <c r="AJ855" i="6" s="1"/>
  <c r="AJ856" i="6" s="1"/>
  <c r="AJ857" i="6" s="1"/>
  <c r="AJ858" i="6" s="1"/>
  <c r="AJ859" i="6" s="1"/>
  <c r="AJ860" i="6" s="1"/>
  <c r="AJ861" i="6" s="1"/>
  <c r="AJ862" i="6" s="1"/>
  <c r="AJ863" i="6" s="1"/>
  <c r="AJ864" i="6" s="1"/>
  <c r="AJ865" i="6" s="1"/>
  <c r="AJ866" i="6" s="1"/>
  <c r="AJ867" i="6" s="1"/>
  <c r="AJ868" i="6" s="1"/>
  <c r="AJ869" i="6" s="1"/>
  <c r="AJ870" i="6" s="1"/>
  <c r="AJ871" i="6" s="1"/>
  <c r="AJ872" i="6" s="1"/>
  <c r="AJ873" i="6" s="1"/>
  <c r="AJ874" i="6" s="1"/>
  <c r="AJ875" i="6" s="1"/>
  <c r="AJ876" i="6" s="1"/>
  <c r="AJ877" i="6" s="1"/>
  <c r="AJ878" i="6" s="1"/>
  <c r="AJ879" i="6" s="1"/>
  <c r="AJ880" i="6" s="1"/>
  <c r="AJ881" i="6" s="1"/>
  <c r="AJ882" i="6" s="1"/>
  <c r="AJ883" i="6" s="1"/>
  <c r="AJ884" i="6" s="1"/>
  <c r="AJ885" i="6" s="1"/>
  <c r="AJ886" i="6" s="1"/>
  <c r="AJ887" i="6" s="1"/>
  <c r="AJ888" i="6" s="1"/>
  <c r="AJ889" i="6" s="1"/>
  <c r="AJ890" i="6" s="1"/>
  <c r="AJ891" i="6" s="1"/>
  <c r="AJ892" i="6" s="1"/>
  <c r="AJ893" i="6" s="1"/>
  <c r="AJ894" i="6" s="1"/>
  <c r="AJ895" i="6" s="1"/>
  <c r="AJ896" i="6" s="1"/>
  <c r="AJ897" i="6" s="1"/>
  <c r="AJ898" i="6" s="1"/>
  <c r="AJ899" i="6" s="1"/>
  <c r="AJ900" i="6" s="1"/>
  <c r="AJ901" i="6" s="1"/>
  <c r="AJ902" i="6" s="1"/>
  <c r="AJ903" i="6" s="1"/>
  <c r="AJ904" i="6" s="1"/>
  <c r="AJ905" i="6" s="1"/>
  <c r="AJ906" i="6" s="1"/>
  <c r="AJ907" i="6" s="1"/>
  <c r="AJ908" i="6" s="1"/>
  <c r="AJ909" i="6" s="1"/>
  <c r="AJ910" i="6" s="1"/>
  <c r="AJ911" i="6" s="1"/>
  <c r="AJ912" i="6" s="1"/>
  <c r="AJ913" i="6" s="1"/>
  <c r="AJ914" i="6" s="1"/>
  <c r="AJ915" i="6" s="1"/>
  <c r="AJ916" i="6" s="1"/>
  <c r="AJ917" i="6" s="1"/>
  <c r="AJ918" i="6" s="1"/>
  <c r="AJ919" i="6" s="1"/>
  <c r="AJ920" i="6" s="1"/>
  <c r="AJ921" i="6" s="1"/>
  <c r="AJ922" i="6" s="1"/>
  <c r="AJ923" i="6" s="1"/>
  <c r="AJ924" i="6" s="1"/>
  <c r="AJ925" i="6" s="1"/>
  <c r="AJ926" i="6" s="1"/>
  <c r="AJ927" i="6" s="1"/>
  <c r="AJ928" i="6" s="1"/>
  <c r="AJ929" i="6" s="1"/>
  <c r="AJ930" i="6" s="1"/>
  <c r="AJ931" i="6" s="1"/>
  <c r="AJ932" i="6" s="1"/>
  <c r="AJ933" i="6" s="1"/>
  <c r="AJ934" i="6" s="1"/>
  <c r="AJ935" i="6" s="1"/>
  <c r="AJ936" i="6" s="1"/>
  <c r="AJ937" i="6" s="1"/>
  <c r="AJ938" i="6" s="1"/>
  <c r="AJ939" i="6" s="1"/>
  <c r="AJ940" i="6" s="1"/>
  <c r="AJ941" i="6" s="1"/>
  <c r="AJ942" i="6" s="1"/>
  <c r="AJ943" i="6" s="1"/>
  <c r="AJ944" i="6" s="1"/>
  <c r="AJ945" i="6" s="1"/>
  <c r="AJ946" i="6" s="1"/>
  <c r="AJ947" i="6" s="1"/>
  <c r="AJ948" i="6" s="1"/>
  <c r="AJ949" i="6" s="1"/>
  <c r="AJ950" i="6" s="1"/>
  <c r="AJ951" i="6" s="1"/>
  <c r="AJ952" i="6" s="1"/>
  <c r="AJ953" i="6" s="1"/>
  <c r="AJ954" i="6" s="1"/>
  <c r="AJ955" i="6" s="1"/>
  <c r="AJ956" i="6" s="1"/>
  <c r="AJ957" i="6" s="1"/>
  <c r="AJ958" i="6" s="1"/>
  <c r="AJ959" i="6" s="1"/>
  <c r="AJ960" i="6" s="1"/>
  <c r="AJ961" i="6" s="1"/>
  <c r="AJ962" i="6" s="1"/>
  <c r="AJ963" i="6" s="1"/>
  <c r="AJ964" i="6" s="1"/>
  <c r="AJ965" i="6" s="1"/>
  <c r="AJ966" i="6" s="1"/>
  <c r="AJ967" i="6" s="1"/>
  <c r="AJ968" i="6" s="1"/>
  <c r="AJ969" i="6" s="1"/>
  <c r="AJ970" i="6" s="1"/>
  <c r="AJ971" i="6" s="1"/>
  <c r="AJ972" i="6" s="1"/>
  <c r="AJ973" i="6" s="1"/>
  <c r="AJ974" i="6" s="1"/>
  <c r="AJ975" i="6" s="1"/>
  <c r="AJ976" i="6" s="1"/>
  <c r="AJ977" i="6" s="1"/>
  <c r="AJ978" i="6" s="1"/>
  <c r="AJ979" i="6" s="1"/>
  <c r="AJ980" i="6" s="1"/>
  <c r="AJ981" i="6" s="1"/>
  <c r="AJ982" i="6" s="1"/>
  <c r="AJ983" i="6" s="1"/>
  <c r="AJ984" i="6" s="1"/>
  <c r="AJ985" i="6" s="1"/>
  <c r="AJ986" i="6" s="1"/>
  <c r="AJ987" i="6" s="1"/>
  <c r="AJ988" i="6" s="1"/>
  <c r="AJ989" i="6" s="1"/>
  <c r="AJ990" i="6" s="1"/>
  <c r="AJ991" i="6" s="1"/>
  <c r="AJ992" i="6" s="1"/>
  <c r="AJ993" i="6" s="1"/>
  <c r="AJ994" i="6" s="1"/>
  <c r="AJ995" i="6" s="1"/>
  <c r="AJ996" i="6" s="1"/>
  <c r="AJ997" i="6" s="1"/>
  <c r="AJ998" i="6" s="1"/>
  <c r="AJ999" i="6" s="1"/>
  <c r="AJ1000" i="6" s="1"/>
  <c r="AJ1001" i="6" s="1"/>
  <c r="AJ1002" i="6" s="1"/>
  <c r="AJ1003" i="6" s="1"/>
  <c r="AJ1004" i="6" s="1"/>
  <c r="AJ1005" i="6" s="1"/>
  <c r="AJ1006" i="6" s="1"/>
  <c r="AJ1007" i="6" s="1"/>
  <c r="AJ1008" i="6" s="1"/>
  <c r="AJ1009" i="6" s="1"/>
  <c r="AJ1010" i="6" s="1"/>
  <c r="AJ1011" i="6" s="1"/>
  <c r="AJ1012" i="6" s="1"/>
  <c r="AJ1013" i="6" s="1"/>
  <c r="AJ1014" i="6" s="1"/>
  <c r="AJ1015" i="6" s="1"/>
  <c r="AJ1016" i="6" s="1"/>
  <c r="AJ1017" i="6" s="1"/>
  <c r="AJ1018" i="6" s="1"/>
  <c r="AJ1019" i="6" s="1"/>
  <c r="AJ1020" i="6" s="1"/>
  <c r="AJ1021" i="6" s="1"/>
  <c r="AJ1022" i="6" s="1"/>
  <c r="AJ1023" i="6" s="1"/>
  <c r="AJ1024" i="6" s="1"/>
  <c r="AJ1025" i="6" s="1"/>
  <c r="AJ1026" i="6" s="1"/>
  <c r="AJ1027" i="6" s="1"/>
  <c r="AJ1028" i="6" s="1"/>
  <c r="AJ1029" i="6" s="1"/>
  <c r="AK5" i="6"/>
  <c r="AK6" i="6" s="1"/>
  <c r="AK7" i="6" s="1"/>
  <c r="AK8" i="6" s="1"/>
  <c r="AK9" i="6" s="1"/>
  <c r="AK10" i="6" s="1"/>
  <c r="AK11" i="6" s="1"/>
  <c r="AK12" i="6" s="1"/>
  <c r="AK13" i="6" s="1"/>
  <c r="AK14" i="6" s="1"/>
  <c r="AK15" i="6" s="1"/>
  <c r="AK16" i="6" s="1"/>
  <c r="AK17" i="6" s="1"/>
  <c r="AK18" i="6" s="1"/>
  <c r="AK19" i="6" s="1"/>
  <c r="AK20" i="6" s="1"/>
  <c r="AK21" i="6" s="1"/>
  <c r="AK22" i="6" s="1"/>
  <c r="AK23" i="6" s="1"/>
  <c r="AK24" i="6" s="1"/>
  <c r="AK25" i="6" s="1"/>
  <c r="AK26" i="6" s="1"/>
  <c r="AK27" i="6" s="1"/>
  <c r="AK28" i="6" s="1"/>
  <c r="AK29" i="6" s="1"/>
  <c r="AK30" i="6" s="1"/>
  <c r="AK31" i="6" s="1"/>
  <c r="AK32" i="6" s="1"/>
  <c r="AK33" i="6" s="1"/>
  <c r="AK34" i="6" s="1"/>
  <c r="AK35" i="6" s="1"/>
  <c r="AK36" i="6" s="1"/>
  <c r="AK37" i="6" s="1"/>
  <c r="AK38" i="6" s="1"/>
  <c r="AK39" i="6" s="1"/>
  <c r="AK40" i="6" s="1"/>
  <c r="AK41" i="6" s="1"/>
  <c r="AK42" i="6" s="1"/>
  <c r="AK43" i="6" s="1"/>
  <c r="AK44" i="6" s="1"/>
  <c r="AK45" i="6" s="1"/>
  <c r="AK46" i="6" s="1"/>
  <c r="AK47" i="6" s="1"/>
  <c r="AK48" i="6" s="1"/>
  <c r="AK49" i="6" s="1"/>
  <c r="AK50" i="6" s="1"/>
  <c r="AK51" i="6" s="1"/>
  <c r="AK52" i="6" s="1"/>
  <c r="AK53" i="6" s="1"/>
  <c r="AK54" i="6" s="1"/>
  <c r="AK55" i="6" s="1"/>
  <c r="AK56" i="6" s="1"/>
  <c r="AK57" i="6" s="1"/>
  <c r="AK58" i="6" s="1"/>
  <c r="AK59" i="6" s="1"/>
  <c r="AK60" i="6" s="1"/>
  <c r="AK61" i="6" s="1"/>
  <c r="AK62" i="6" s="1"/>
  <c r="AK63" i="6" s="1"/>
  <c r="AK64" i="6" s="1"/>
  <c r="AK65" i="6" s="1"/>
  <c r="AK66" i="6" s="1"/>
  <c r="AK67" i="6" s="1"/>
  <c r="AK68" i="6" s="1"/>
  <c r="AK69" i="6" s="1"/>
  <c r="AK70" i="6" s="1"/>
  <c r="AK71" i="6" s="1"/>
  <c r="AK72" i="6" s="1"/>
  <c r="AK73" i="6" s="1"/>
  <c r="AK74" i="6" s="1"/>
  <c r="AK75" i="6" s="1"/>
  <c r="AK76" i="6" s="1"/>
  <c r="AK77" i="6" s="1"/>
  <c r="AK78" i="6" s="1"/>
  <c r="AK79" i="6" s="1"/>
  <c r="AK80" i="6" s="1"/>
  <c r="AK81" i="6" s="1"/>
  <c r="AK82" i="6" s="1"/>
  <c r="AK83" i="6" s="1"/>
  <c r="AK84" i="6" s="1"/>
  <c r="AK85" i="6" s="1"/>
  <c r="AK86" i="6" s="1"/>
  <c r="AK87" i="6" s="1"/>
  <c r="AK88" i="6" s="1"/>
  <c r="AK89" i="6" s="1"/>
  <c r="AK90" i="6" s="1"/>
  <c r="AK91" i="6" s="1"/>
  <c r="AK92" i="6" s="1"/>
  <c r="AK93" i="6" s="1"/>
  <c r="AK94" i="6" s="1"/>
  <c r="AK95" i="6" s="1"/>
  <c r="AK96" i="6" s="1"/>
  <c r="AK97" i="6" s="1"/>
  <c r="AK98" i="6" s="1"/>
  <c r="AK99" i="6" s="1"/>
  <c r="AK100" i="6" s="1"/>
  <c r="AK101" i="6" s="1"/>
  <c r="AK102" i="6" s="1"/>
  <c r="AK103" i="6" s="1"/>
  <c r="AK104" i="6" s="1"/>
  <c r="AK105" i="6" s="1"/>
  <c r="AK106" i="6" s="1"/>
  <c r="AK107" i="6" s="1"/>
  <c r="AK108" i="6" s="1"/>
  <c r="AK109" i="6" s="1"/>
  <c r="AK110" i="6" s="1"/>
  <c r="AK111" i="6" s="1"/>
  <c r="AK112" i="6" s="1"/>
  <c r="AK113" i="6" s="1"/>
  <c r="AK114" i="6" s="1"/>
  <c r="AK115" i="6" s="1"/>
  <c r="AK116" i="6" s="1"/>
  <c r="AK117" i="6" s="1"/>
  <c r="AK118" i="6" s="1"/>
  <c r="AK119" i="6" s="1"/>
  <c r="AK120" i="6" s="1"/>
  <c r="AK121" i="6" s="1"/>
  <c r="AK122" i="6" s="1"/>
  <c r="AK123" i="6" s="1"/>
  <c r="AK124" i="6" s="1"/>
  <c r="AK125" i="6" s="1"/>
  <c r="AK126" i="6" s="1"/>
  <c r="AK127" i="6" s="1"/>
  <c r="AK128" i="6" s="1"/>
  <c r="AK129" i="6" s="1"/>
  <c r="AK130" i="6" s="1"/>
  <c r="AK131" i="6" s="1"/>
  <c r="AK132" i="6" s="1"/>
  <c r="AK133" i="6" s="1"/>
  <c r="AK134" i="6" s="1"/>
  <c r="AK135" i="6" s="1"/>
  <c r="AK136" i="6" s="1"/>
  <c r="AK137" i="6" s="1"/>
  <c r="AK138" i="6" s="1"/>
  <c r="AK139" i="6" s="1"/>
  <c r="AK140" i="6" s="1"/>
  <c r="AK141" i="6" s="1"/>
  <c r="AK142" i="6" s="1"/>
  <c r="AK143" i="6" s="1"/>
  <c r="AK144" i="6" s="1"/>
  <c r="AK145" i="6" s="1"/>
  <c r="AK146" i="6" s="1"/>
  <c r="AK147" i="6" s="1"/>
  <c r="AK148" i="6" s="1"/>
  <c r="AK149" i="6" s="1"/>
  <c r="AK150" i="6" s="1"/>
  <c r="AK151" i="6" s="1"/>
  <c r="AK152" i="6" s="1"/>
  <c r="AK153" i="6" s="1"/>
  <c r="AK154" i="6" s="1"/>
  <c r="AK155" i="6" s="1"/>
  <c r="AK156" i="6" s="1"/>
  <c r="AK157" i="6" s="1"/>
  <c r="AK158" i="6" s="1"/>
  <c r="AK159" i="6" s="1"/>
  <c r="AK160" i="6" s="1"/>
  <c r="AK161" i="6" s="1"/>
  <c r="AK162" i="6" s="1"/>
  <c r="AK163" i="6" s="1"/>
  <c r="AK164" i="6" s="1"/>
  <c r="AK165" i="6" s="1"/>
  <c r="AK166" i="6" s="1"/>
  <c r="AK167" i="6" s="1"/>
  <c r="AK168" i="6" s="1"/>
  <c r="AK169" i="6" s="1"/>
  <c r="AK170" i="6" s="1"/>
  <c r="AK171" i="6" s="1"/>
  <c r="AK172" i="6" s="1"/>
  <c r="AK173" i="6" s="1"/>
  <c r="AK174" i="6" s="1"/>
  <c r="AK175" i="6" s="1"/>
  <c r="AK176" i="6" s="1"/>
  <c r="AK177" i="6" s="1"/>
  <c r="AK178" i="6" s="1"/>
  <c r="AK179" i="6" s="1"/>
  <c r="AK180" i="6" s="1"/>
  <c r="AK181" i="6" s="1"/>
  <c r="AK182" i="6" s="1"/>
  <c r="AK183" i="6" s="1"/>
  <c r="AK184" i="6" s="1"/>
  <c r="AK185" i="6" s="1"/>
  <c r="AK186" i="6" s="1"/>
  <c r="AK187" i="6" s="1"/>
  <c r="AK188" i="6" s="1"/>
  <c r="AK189" i="6" s="1"/>
  <c r="AK190" i="6" s="1"/>
  <c r="AK191" i="6" s="1"/>
  <c r="AK192" i="6" s="1"/>
  <c r="AK193" i="6" s="1"/>
  <c r="AK194" i="6" s="1"/>
  <c r="AK195" i="6" s="1"/>
  <c r="AK196" i="6" s="1"/>
  <c r="AK197" i="6" s="1"/>
  <c r="AK198" i="6" s="1"/>
  <c r="AK199" i="6" s="1"/>
  <c r="AK200" i="6" s="1"/>
  <c r="AK201" i="6" s="1"/>
  <c r="AK202" i="6" s="1"/>
  <c r="AK203" i="6" s="1"/>
  <c r="AK204" i="6" s="1"/>
  <c r="AK205" i="6" s="1"/>
  <c r="AK206" i="6" s="1"/>
  <c r="AK207" i="6" s="1"/>
  <c r="AK208" i="6" s="1"/>
  <c r="AK209" i="6" s="1"/>
  <c r="AK210" i="6" s="1"/>
  <c r="AK211" i="6" s="1"/>
  <c r="AK212" i="6" s="1"/>
  <c r="AK213" i="6" s="1"/>
  <c r="AK214" i="6" s="1"/>
  <c r="AK215" i="6" s="1"/>
  <c r="AK216" i="6" s="1"/>
  <c r="AK217" i="6" s="1"/>
  <c r="AK218" i="6" s="1"/>
  <c r="AK219" i="6" s="1"/>
  <c r="AK220" i="6" s="1"/>
  <c r="AK221" i="6" s="1"/>
  <c r="AK222" i="6" s="1"/>
  <c r="AK223" i="6" s="1"/>
  <c r="AK224" i="6" s="1"/>
  <c r="AK225" i="6" s="1"/>
  <c r="AK226" i="6" s="1"/>
  <c r="AK227" i="6" s="1"/>
  <c r="AK228" i="6" s="1"/>
  <c r="AK229" i="6" s="1"/>
  <c r="AK230" i="6" s="1"/>
  <c r="AK231" i="6" s="1"/>
  <c r="AK232" i="6" s="1"/>
  <c r="AK233" i="6" s="1"/>
  <c r="AK234" i="6" s="1"/>
  <c r="AK235" i="6" s="1"/>
  <c r="AK236" i="6" s="1"/>
  <c r="AK237" i="6" s="1"/>
  <c r="AK238" i="6" s="1"/>
  <c r="AK239" i="6" s="1"/>
  <c r="AK240" i="6" s="1"/>
  <c r="AK241" i="6" s="1"/>
  <c r="AK242" i="6" s="1"/>
  <c r="AK243" i="6" s="1"/>
  <c r="AK244" i="6" s="1"/>
  <c r="AK245" i="6" s="1"/>
  <c r="AK246" i="6" s="1"/>
  <c r="AK247" i="6" s="1"/>
  <c r="AK248" i="6" s="1"/>
  <c r="AK249" i="6" s="1"/>
  <c r="AK250" i="6" s="1"/>
  <c r="AK251" i="6" s="1"/>
  <c r="AK252" i="6" s="1"/>
  <c r="AK253" i="6" s="1"/>
  <c r="AK254" i="6" s="1"/>
  <c r="AK255" i="6" s="1"/>
  <c r="AK256" i="6" s="1"/>
  <c r="AK257" i="6" s="1"/>
  <c r="AK258" i="6" s="1"/>
  <c r="AK259" i="6" s="1"/>
  <c r="AK260" i="6" s="1"/>
  <c r="AK261" i="6" s="1"/>
  <c r="AK262" i="6" s="1"/>
  <c r="AK263" i="6" s="1"/>
  <c r="AK264" i="6" s="1"/>
  <c r="AK265" i="6" s="1"/>
  <c r="AK266" i="6" s="1"/>
  <c r="AK267" i="6" s="1"/>
  <c r="AK268" i="6" s="1"/>
  <c r="AK269" i="6" s="1"/>
  <c r="AK270" i="6" s="1"/>
  <c r="AK271" i="6" s="1"/>
  <c r="AK272" i="6" s="1"/>
  <c r="AK273" i="6" s="1"/>
  <c r="AK274" i="6" s="1"/>
  <c r="AK275" i="6" s="1"/>
  <c r="AK276" i="6" s="1"/>
  <c r="AK277" i="6" s="1"/>
  <c r="AK278" i="6" s="1"/>
  <c r="AK279" i="6" s="1"/>
  <c r="AK280" i="6" s="1"/>
  <c r="AK281" i="6" s="1"/>
  <c r="AK282" i="6" s="1"/>
  <c r="AK283" i="6" s="1"/>
  <c r="AK284" i="6" s="1"/>
  <c r="AK285" i="6" s="1"/>
  <c r="AK286" i="6" s="1"/>
  <c r="AK287" i="6" s="1"/>
  <c r="AK288" i="6" s="1"/>
  <c r="AK289" i="6" s="1"/>
  <c r="AK290" i="6" s="1"/>
  <c r="AK291" i="6" s="1"/>
  <c r="AK292" i="6" s="1"/>
  <c r="AK293" i="6" s="1"/>
  <c r="AK294" i="6" s="1"/>
  <c r="AK295" i="6" s="1"/>
  <c r="AK296" i="6" s="1"/>
  <c r="AK297" i="6" s="1"/>
  <c r="AK298" i="6" s="1"/>
  <c r="AK299" i="6" s="1"/>
  <c r="AK300" i="6" s="1"/>
  <c r="AK301" i="6" s="1"/>
  <c r="AK302" i="6" s="1"/>
  <c r="AK303" i="6" s="1"/>
  <c r="AK304" i="6" s="1"/>
  <c r="AK305" i="6" s="1"/>
  <c r="AK306" i="6" s="1"/>
  <c r="AK307" i="6" s="1"/>
  <c r="AK308" i="6" s="1"/>
  <c r="AK309" i="6" s="1"/>
  <c r="AK310" i="6" s="1"/>
  <c r="AK311" i="6" s="1"/>
  <c r="AK312" i="6" s="1"/>
  <c r="AK313" i="6" s="1"/>
  <c r="AK314" i="6" s="1"/>
  <c r="AK315" i="6" s="1"/>
  <c r="AK316" i="6" s="1"/>
  <c r="AK317" i="6" s="1"/>
  <c r="AK318" i="6" s="1"/>
  <c r="AK319" i="6" s="1"/>
  <c r="AK320" i="6" s="1"/>
  <c r="AK321" i="6" s="1"/>
  <c r="AK322" i="6" s="1"/>
  <c r="AK323" i="6" s="1"/>
  <c r="AK324" i="6" s="1"/>
  <c r="AK325" i="6" s="1"/>
  <c r="AK326" i="6" s="1"/>
  <c r="AK327" i="6" s="1"/>
  <c r="AK328" i="6" s="1"/>
  <c r="AK329" i="6" s="1"/>
  <c r="AK330" i="6" s="1"/>
  <c r="AK331" i="6" s="1"/>
  <c r="AK332" i="6" s="1"/>
  <c r="AK333" i="6" s="1"/>
  <c r="AK334" i="6" s="1"/>
  <c r="AK335" i="6" s="1"/>
  <c r="AK336" i="6" s="1"/>
  <c r="AK337" i="6" s="1"/>
  <c r="AK338" i="6" s="1"/>
  <c r="AK339" i="6" s="1"/>
  <c r="AK340" i="6" s="1"/>
  <c r="AK341" i="6" s="1"/>
  <c r="AK342" i="6" s="1"/>
  <c r="AK343" i="6" s="1"/>
  <c r="AK344" i="6" s="1"/>
  <c r="AK345" i="6" s="1"/>
  <c r="AK346" i="6" s="1"/>
  <c r="AK347" i="6" s="1"/>
  <c r="AK348" i="6" s="1"/>
  <c r="AK349" i="6" s="1"/>
  <c r="AK350" i="6" s="1"/>
  <c r="AK351" i="6" s="1"/>
  <c r="AK352" i="6" s="1"/>
  <c r="AK353" i="6" s="1"/>
  <c r="AK354" i="6" s="1"/>
  <c r="AK355" i="6" s="1"/>
  <c r="AK356" i="6" s="1"/>
  <c r="AK357" i="6" s="1"/>
  <c r="AK358" i="6" s="1"/>
  <c r="AK359" i="6" s="1"/>
  <c r="AK360" i="6" s="1"/>
  <c r="AK361" i="6" s="1"/>
  <c r="AK362" i="6" s="1"/>
  <c r="AK363" i="6" s="1"/>
  <c r="AK364" i="6" s="1"/>
  <c r="AK365" i="6" s="1"/>
  <c r="AK366" i="6" s="1"/>
  <c r="AK367" i="6" s="1"/>
  <c r="AK368" i="6" s="1"/>
  <c r="AK369" i="6" s="1"/>
  <c r="AK370" i="6" s="1"/>
  <c r="AK371" i="6" s="1"/>
  <c r="AK372" i="6" s="1"/>
  <c r="AK373" i="6" s="1"/>
  <c r="AK374" i="6" s="1"/>
  <c r="AK375" i="6" s="1"/>
  <c r="AK376" i="6" s="1"/>
  <c r="AK377" i="6" s="1"/>
  <c r="AK378" i="6" s="1"/>
  <c r="AK379" i="6" s="1"/>
  <c r="AK380" i="6" s="1"/>
  <c r="AK381" i="6" s="1"/>
  <c r="AK382" i="6" s="1"/>
  <c r="AK383" i="6" s="1"/>
  <c r="AK384" i="6" s="1"/>
  <c r="AK385" i="6" s="1"/>
  <c r="AK386" i="6" s="1"/>
  <c r="AK387" i="6" s="1"/>
  <c r="AK388" i="6" s="1"/>
  <c r="AK389" i="6" s="1"/>
  <c r="AK390" i="6" s="1"/>
  <c r="AK391" i="6" s="1"/>
  <c r="AK392" i="6" s="1"/>
  <c r="AK393" i="6" s="1"/>
  <c r="AK394" i="6" s="1"/>
  <c r="AK395" i="6" s="1"/>
  <c r="AK396" i="6" s="1"/>
  <c r="AK397" i="6" s="1"/>
  <c r="AK398" i="6" s="1"/>
  <c r="AK399" i="6" s="1"/>
  <c r="AK400" i="6" s="1"/>
  <c r="AK401" i="6" s="1"/>
  <c r="AK402" i="6" s="1"/>
  <c r="AK403" i="6" s="1"/>
  <c r="AK404" i="6" s="1"/>
  <c r="AK405" i="6" s="1"/>
  <c r="AK406" i="6" s="1"/>
  <c r="AK407" i="6" s="1"/>
  <c r="AK408" i="6" s="1"/>
  <c r="AK409" i="6" s="1"/>
  <c r="AK410" i="6" s="1"/>
  <c r="AK411" i="6" s="1"/>
  <c r="AK412" i="6" s="1"/>
  <c r="AK413" i="6" s="1"/>
  <c r="AK414" i="6" s="1"/>
  <c r="AK415" i="6" s="1"/>
  <c r="AK416" i="6" s="1"/>
  <c r="AK417" i="6" s="1"/>
  <c r="AK418" i="6" s="1"/>
  <c r="AK419" i="6" s="1"/>
  <c r="AK420" i="6" s="1"/>
  <c r="AK421" i="6" s="1"/>
  <c r="AK422" i="6" s="1"/>
  <c r="AK423" i="6" s="1"/>
  <c r="AK424" i="6" s="1"/>
  <c r="AK425" i="6" s="1"/>
  <c r="AK426" i="6" s="1"/>
  <c r="AK427" i="6" s="1"/>
  <c r="AK428" i="6" s="1"/>
  <c r="AK429" i="6" s="1"/>
  <c r="AK430" i="6" s="1"/>
  <c r="AK431" i="6" s="1"/>
  <c r="AK432" i="6" s="1"/>
  <c r="AK433" i="6" s="1"/>
  <c r="AK434" i="6" s="1"/>
  <c r="AK435" i="6" s="1"/>
  <c r="AK436" i="6" s="1"/>
  <c r="AK437" i="6" s="1"/>
  <c r="AK438" i="6" s="1"/>
  <c r="AK439" i="6" s="1"/>
  <c r="AK440" i="6" s="1"/>
  <c r="AK441" i="6" s="1"/>
  <c r="AK442" i="6" s="1"/>
  <c r="AK443" i="6" s="1"/>
  <c r="AK444" i="6" s="1"/>
  <c r="AK445" i="6" s="1"/>
  <c r="AK446" i="6" s="1"/>
  <c r="AK447" i="6" s="1"/>
  <c r="AK448" i="6" s="1"/>
  <c r="AK449" i="6" s="1"/>
  <c r="AK450" i="6" s="1"/>
  <c r="AK451" i="6" s="1"/>
  <c r="AK452" i="6" s="1"/>
  <c r="AK453" i="6" s="1"/>
  <c r="AK454" i="6" s="1"/>
  <c r="AK455" i="6" s="1"/>
  <c r="AK456" i="6" s="1"/>
  <c r="AK457" i="6" s="1"/>
  <c r="AK458" i="6" s="1"/>
  <c r="AK459" i="6" s="1"/>
  <c r="AK460" i="6" s="1"/>
  <c r="AK461" i="6" s="1"/>
  <c r="AK462" i="6" s="1"/>
  <c r="AK463" i="6" s="1"/>
  <c r="AK464" i="6" s="1"/>
  <c r="AK465" i="6" s="1"/>
  <c r="AK466" i="6" s="1"/>
  <c r="AK467" i="6" s="1"/>
  <c r="AK468" i="6" s="1"/>
  <c r="AK469" i="6" s="1"/>
  <c r="AK470" i="6" s="1"/>
  <c r="AK471" i="6" s="1"/>
  <c r="AK472" i="6" s="1"/>
  <c r="AK473" i="6" s="1"/>
  <c r="AK474" i="6" s="1"/>
  <c r="AK475" i="6" s="1"/>
  <c r="AK476" i="6" s="1"/>
  <c r="AK477" i="6" s="1"/>
  <c r="AK478" i="6" s="1"/>
  <c r="AK479" i="6" s="1"/>
  <c r="AK480" i="6" s="1"/>
  <c r="AK481" i="6" s="1"/>
  <c r="AK482" i="6" s="1"/>
  <c r="AK483" i="6" s="1"/>
  <c r="AK484" i="6" s="1"/>
  <c r="AK485" i="6" s="1"/>
  <c r="AK486" i="6" s="1"/>
  <c r="AK487" i="6" s="1"/>
  <c r="AK488" i="6" s="1"/>
  <c r="AK489" i="6" s="1"/>
  <c r="AK490" i="6" s="1"/>
  <c r="AK491" i="6" s="1"/>
  <c r="AK492" i="6" s="1"/>
  <c r="AK493" i="6" s="1"/>
  <c r="AK494" i="6" s="1"/>
  <c r="AK495" i="6" s="1"/>
  <c r="AK496" i="6" s="1"/>
  <c r="AK497" i="6" s="1"/>
  <c r="AK498" i="6" s="1"/>
  <c r="AK499" i="6" s="1"/>
  <c r="AK500" i="6" s="1"/>
  <c r="AK501" i="6" s="1"/>
  <c r="AK502" i="6" s="1"/>
  <c r="AK503" i="6" s="1"/>
  <c r="AK504" i="6" s="1"/>
  <c r="AK505" i="6" s="1"/>
  <c r="AK506" i="6" s="1"/>
  <c r="AK507" i="6" s="1"/>
  <c r="AK508" i="6" s="1"/>
  <c r="AK509" i="6" s="1"/>
  <c r="AK510" i="6" s="1"/>
  <c r="AK511" i="6" s="1"/>
  <c r="AK512" i="6" s="1"/>
  <c r="AK513" i="6" s="1"/>
  <c r="AK514" i="6" s="1"/>
  <c r="AK515" i="6" s="1"/>
  <c r="AK516" i="6" s="1"/>
  <c r="AK517" i="6" s="1"/>
  <c r="AK518" i="6" s="1"/>
  <c r="AK519" i="6" s="1"/>
  <c r="AK520" i="6" s="1"/>
  <c r="AK521" i="6" s="1"/>
  <c r="AK522" i="6" s="1"/>
  <c r="AK523" i="6" s="1"/>
  <c r="AK524" i="6" s="1"/>
  <c r="AK525" i="6" s="1"/>
  <c r="AK526" i="6" s="1"/>
  <c r="AK527" i="6" s="1"/>
  <c r="AK528" i="6" s="1"/>
  <c r="AK529" i="6" s="1"/>
  <c r="AK530" i="6" s="1"/>
  <c r="AK531" i="6" s="1"/>
  <c r="AK532" i="6" s="1"/>
  <c r="AK533" i="6" s="1"/>
  <c r="AK534" i="6" s="1"/>
  <c r="AK535" i="6" s="1"/>
  <c r="AK536" i="6" s="1"/>
  <c r="AK537" i="6" s="1"/>
  <c r="AK538" i="6" s="1"/>
  <c r="AK539" i="6" s="1"/>
  <c r="AK540" i="6" s="1"/>
  <c r="AK541" i="6" s="1"/>
  <c r="AK542" i="6" s="1"/>
  <c r="AK543" i="6" s="1"/>
  <c r="AK544" i="6" s="1"/>
  <c r="AK545" i="6" s="1"/>
  <c r="AK546" i="6" s="1"/>
  <c r="AK547" i="6" s="1"/>
  <c r="AK548" i="6" s="1"/>
  <c r="AK549" i="6" s="1"/>
  <c r="AK550" i="6" s="1"/>
  <c r="AK551" i="6" s="1"/>
  <c r="AK552" i="6" s="1"/>
  <c r="AK553" i="6" s="1"/>
  <c r="AK554" i="6" s="1"/>
  <c r="AK555" i="6" s="1"/>
  <c r="AK556" i="6" s="1"/>
  <c r="AK557" i="6" s="1"/>
  <c r="AK558" i="6" s="1"/>
  <c r="AK559" i="6" s="1"/>
  <c r="AK560" i="6" s="1"/>
  <c r="AK561" i="6" s="1"/>
  <c r="AK562" i="6" s="1"/>
  <c r="AK563" i="6" s="1"/>
  <c r="AK564" i="6" s="1"/>
  <c r="AK565" i="6" s="1"/>
  <c r="AK566" i="6" s="1"/>
  <c r="AK567" i="6" s="1"/>
  <c r="AK568" i="6" s="1"/>
  <c r="AK569" i="6" s="1"/>
  <c r="AK570" i="6" s="1"/>
  <c r="AK571" i="6" s="1"/>
  <c r="AK572" i="6" s="1"/>
  <c r="AK573" i="6" s="1"/>
  <c r="AK574" i="6" s="1"/>
  <c r="AK575" i="6" s="1"/>
  <c r="AK576" i="6" s="1"/>
  <c r="AK577" i="6" s="1"/>
  <c r="AK578" i="6" s="1"/>
  <c r="AK579" i="6" s="1"/>
  <c r="AK580" i="6" s="1"/>
  <c r="AK581" i="6" s="1"/>
  <c r="AK582" i="6" s="1"/>
  <c r="AK583" i="6" s="1"/>
  <c r="AK584" i="6" s="1"/>
  <c r="AK585" i="6" s="1"/>
  <c r="AK586" i="6" s="1"/>
  <c r="AK587" i="6" s="1"/>
  <c r="AK588" i="6" s="1"/>
  <c r="AK589" i="6" s="1"/>
  <c r="AK590" i="6" s="1"/>
  <c r="AK591" i="6" s="1"/>
  <c r="AK592" i="6" s="1"/>
  <c r="AK593" i="6" s="1"/>
  <c r="AK594" i="6" s="1"/>
  <c r="AK595" i="6" s="1"/>
  <c r="AK596" i="6" s="1"/>
  <c r="AK597" i="6" s="1"/>
  <c r="AK598" i="6" s="1"/>
  <c r="AK599" i="6" s="1"/>
  <c r="AK600" i="6" s="1"/>
  <c r="AK601" i="6" s="1"/>
  <c r="AK602" i="6" s="1"/>
  <c r="AK603" i="6" s="1"/>
  <c r="AK604" i="6" s="1"/>
  <c r="AK605" i="6" s="1"/>
  <c r="AK606" i="6" s="1"/>
  <c r="AK607" i="6" s="1"/>
  <c r="AK608" i="6" s="1"/>
  <c r="AK609" i="6" s="1"/>
  <c r="AK610" i="6" s="1"/>
  <c r="AK611" i="6" s="1"/>
  <c r="AK612" i="6" s="1"/>
  <c r="AK613" i="6" s="1"/>
  <c r="AK614" i="6" s="1"/>
  <c r="AK615" i="6" s="1"/>
  <c r="AK616" i="6" s="1"/>
  <c r="AK617" i="6" s="1"/>
  <c r="AK618" i="6" s="1"/>
  <c r="AK619" i="6" s="1"/>
  <c r="AK620" i="6" s="1"/>
  <c r="AK621" i="6" s="1"/>
  <c r="AK622" i="6" s="1"/>
  <c r="AK623" i="6" s="1"/>
  <c r="AK624" i="6" s="1"/>
  <c r="AK625" i="6" s="1"/>
  <c r="AK626" i="6" s="1"/>
  <c r="AK627" i="6" s="1"/>
  <c r="AK628" i="6" s="1"/>
  <c r="AK629" i="6" s="1"/>
  <c r="AK630" i="6" s="1"/>
  <c r="AK631" i="6" s="1"/>
  <c r="AK632" i="6" s="1"/>
  <c r="AK633" i="6" s="1"/>
  <c r="AK634" i="6" s="1"/>
  <c r="AK635" i="6" s="1"/>
  <c r="AK636" i="6" s="1"/>
  <c r="AK637" i="6" s="1"/>
  <c r="AK638" i="6" s="1"/>
  <c r="AK639" i="6" s="1"/>
  <c r="AK640" i="6" s="1"/>
  <c r="AK641" i="6" s="1"/>
  <c r="AK642" i="6" s="1"/>
  <c r="AK643" i="6" s="1"/>
  <c r="AK644" i="6" s="1"/>
  <c r="AK645" i="6" s="1"/>
  <c r="AK646" i="6" s="1"/>
  <c r="AK647" i="6" s="1"/>
  <c r="AK648" i="6" s="1"/>
  <c r="AK649" i="6" s="1"/>
  <c r="AK650" i="6" s="1"/>
  <c r="AK651" i="6" s="1"/>
  <c r="AK652" i="6" s="1"/>
  <c r="AK653" i="6" s="1"/>
  <c r="AK654" i="6" s="1"/>
  <c r="AK655" i="6" s="1"/>
  <c r="AK656" i="6" s="1"/>
  <c r="AK657" i="6" s="1"/>
  <c r="AK658" i="6" s="1"/>
  <c r="AK659" i="6" s="1"/>
  <c r="AK660" i="6" s="1"/>
  <c r="AK661" i="6" s="1"/>
  <c r="AK662" i="6" s="1"/>
  <c r="AK663" i="6" s="1"/>
  <c r="AK664" i="6" s="1"/>
  <c r="AK665" i="6" s="1"/>
  <c r="AK666" i="6" s="1"/>
  <c r="AK667" i="6" s="1"/>
  <c r="AK668" i="6" s="1"/>
  <c r="AK669" i="6" s="1"/>
  <c r="AK670" i="6" s="1"/>
  <c r="AK671" i="6" s="1"/>
  <c r="AK672" i="6" s="1"/>
  <c r="AK673" i="6" s="1"/>
  <c r="AK674" i="6" s="1"/>
  <c r="AK675" i="6" s="1"/>
  <c r="AK676" i="6" s="1"/>
  <c r="AK677" i="6" s="1"/>
  <c r="AK678" i="6" s="1"/>
  <c r="AK679" i="6" s="1"/>
  <c r="AK680" i="6" s="1"/>
  <c r="AK681" i="6" s="1"/>
  <c r="AK682" i="6" s="1"/>
  <c r="AK683" i="6" s="1"/>
  <c r="AK684" i="6" s="1"/>
  <c r="AK685" i="6" s="1"/>
  <c r="AK686" i="6" s="1"/>
  <c r="AK687" i="6" s="1"/>
  <c r="AK688" i="6" s="1"/>
  <c r="AK689" i="6" s="1"/>
  <c r="AK690" i="6" s="1"/>
  <c r="AK691" i="6" s="1"/>
  <c r="AK692" i="6" s="1"/>
  <c r="AK693" i="6" s="1"/>
  <c r="AK694" i="6" s="1"/>
  <c r="AK695" i="6" s="1"/>
  <c r="AK696" i="6" s="1"/>
  <c r="AK697" i="6" s="1"/>
  <c r="AK698" i="6" s="1"/>
  <c r="AK699" i="6" s="1"/>
  <c r="AK700" i="6" s="1"/>
  <c r="AK701" i="6" s="1"/>
  <c r="AK702" i="6" s="1"/>
  <c r="AK703" i="6" s="1"/>
  <c r="AK704" i="6" s="1"/>
  <c r="AK705" i="6" s="1"/>
  <c r="AK706" i="6" s="1"/>
  <c r="AK707" i="6" s="1"/>
  <c r="AK708" i="6" s="1"/>
  <c r="AK709" i="6" s="1"/>
  <c r="AK710" i="6" s="1"/>
  <c r="AK711" i="6" s="1"/>
  <c r="AK712" i="6" s="1"/>
  <c r="AK713" i="6" s="1"/>
  <c r="AK714" i="6" s="1"/>
  <c r="AK715" i="6" s="1"/>
  <c r="AK716" i="6" s="1"/>
  <c r="AK717" i="6" s="1"/>
  <c r="AK718" i="6" s="1"/>
  <c r="AK719" i="6" s="1"/>
  <c r="AK720" i="6" s="1"/>
  <c r="AK721" i="6" s="1"/>
  <c r="AK722" i="6" s="1"/>
  <c r="AK723" i="6" s="1"/>
  <c r="AK724" i="6" s="1"/>
  <c r="AK725" i="6" s="1"/>
  <c r="AK726" i="6" s="1"/>
  <c r="AK727" i="6" s="1"/>
  <c r="AK728" i="6" s="1"/>
  <c r="AK729" i="6" s="1"/>
  <c r="AK730" i="6" s="1"/>
  <c r="AK731" i="6" s="1"/>
  <c r="AK732" i="6" s="1"/>
  <c r="AK733" i="6" s="1"/>
  <c r="AK734" i="6" s="1"/>
  <c r="AK735" i="6" s="1"/>
  <c r="AK736" i="6" s="1"/>
  <c r="AK737" i="6" s="1"/>
  <c r="AK738" i="6" s="1"/>
  <c r="AK739" i="6" s="1"/>
  <c r="AK740" i="6" s="1"/>
  <c r="AK741" i="6" s="1"/>
  <c r="AK742" i="6" s="1"/>
  <c r="AK743" i="6" s="1"/>
  <c r="AK744" i="6" s="1"/>
  <c r="AK745" i="6" s="1"/>
  <c r="AK746" i="6" s="1"/>
  <c r="AK747" i="6" s="1"/>
  <c r="AK748" i="6" s="1"/>
  <c r="AK749" i="6" s="1"/>
  <c r="AK750" i="6" s="1"/>
  <c r="AK751" i="6" s="1"/>
  <c r="AK752" i="6" s="1"/>
  <c r="AK753" i="6" s="1"/>
  <c r="AK754" i="6" s="1"/>
  <c r="AK755" i="6" s="1"/>
  <c r="AK756" i="6" s="1"/>
  <c r="AK757" i="6" s="1"/>
  <c r="AK758" i="6" s="1"/>
  <c r="AK759" i="6" s="1"/>
  <c r="AK760" i="6" s="1"/>
  <c r="AK761" i="6" s="1"/>
  <c r="AK762" i="6" s="1"/>
  <c r="AK763" i="6" s="1"/>
  <c r="AK764" i="6" s="1"/>
  <c r="AK765" i="6" s="1"/>
  <c r="AK766" i="6" s="1"/>
  <c r="AK767" i="6" s="1"/>
  <c r="AK768" i="6" s="1"/>
  <c r="AK769" i="6" s="1"/>
  <c r="AK770" i="6" s="1"/>
  <c r="AK771" i="6" s="1"/>
  <c r="AK772" i="6" s="1"/>
  <c r="AK773" i="6" s="1"/>
  <c r="AK774" i="6" s="1"/>
  <c r="AK775" i="6" s="1"/>
  <c r="AK776" i="6" s="1"/>
  <c r="AK777" i="6" s="1"/>
  <c r="AK778" i="6" s="1"/>
  <c r="AK779" i="6" s="1"/>
  <c r="AK780" i="6" s="1"/>
  <c r="AK781" i="6" s="1"/>
  <c r="AK782" i="6" s="1"/>
  <c r="AK783" i="6" s="1"/>
  <c r="AK784" i="6" s="1"/>
  <c r="AK785" i="6" s="1"/>
  <c r="AK786" i="6" s="1"/>
  <c r="AK787" i="6" s="1"/>
  <c r="AK788" i="6" s="1"/>
  <c r="AK789" i="6" s="1"/>
  <c r="AK790" i="6" s="1"/>
  <c r="AK791" i="6" s="1"/>
  <c r="AK792" i="6" s="1"/>
  <c r="AK793" i="6" s="1"/>
  <c r="AK794" i="6" s="1"/>
  <c r="AK795" i="6" s="1"/>
  <c r="AK796" i="6" s="1"/>
  <c r="AK797" i="6" s="1"/>
  <c r="AK798" i="6" s="1"/>
  <c r="AK799" i="6" s="1"/>
  <c r="AK800" i="6" s="1"/>
  <c r="AK801" i="6" s="1"/>
  <c r="AK802" i="6" s="1"/>
  <c r="AK803" i="6" s="1"/>
  <c r="AK804" i="6" s="1"/>
  <c r="AK805" i="6" s="1"/>
  <c r="AK806" i="6" s="1"/>
  <c r="AK807" i="6" s="1"/>
  <c r="AK808" i="6" s="1"/>
  <c r="AK809" i="6" s="1"/>
  <c r="AK810" i="6" s="1"/>
  <c r="AK811" i="6" s="1"/>
  <c r="AK812" i="6" s="1"/>
  <c r="AK813" i="6" s="1"/>
  <c r="AK814" i="6" s="1"/>
  <c r="AK815" i="6" s="1"/>
  <c r="AK816" i="6" s="1"/>
  <c r="AK817" i="6" s="1"/>
  <c r="AK818" i="6" s="1"/>
  <c r="AK819" i="6" s="1"/>
  <c r="AK820" i="6" s="1"/>
  <c r="AK821" i="6" s="1"/>
  <c r="AK822" i="6" s="1"/>
  <c r="AK823" i="6" s="1"/>
  <c r="AK824" i="6" s="1"/>
  <c r="AK825" i="6" s="1"/>
  <c r="AK826" i="6" s="1"/>
  <c r="AK827" i="6" s="1"/>
  <c r="AK828" i="6" s="1"/>
  <c r="AK829" i="6" s="1"/>
  <c r="AK830" i="6" s="1"/>
  <c r="AK831" i="6" s="1"/>
  <c r="AK832" i="6" s="1"/>
  <c r="AK833" i="6" s="1"/>
  <c r="AK834" i="6" s="1"/>
  <c r="AK835" i="6" s="1"/>
  <c r="AK836" i="6" s="1"/>
  <c r="AK837" i="6" s="1"/>
  <c r="AK838" i="6" s="1"/>
  <c r="AK839" i="6" s="1"/>
  <c r="AK840" i="6" s="1"/>
  <c r="AK841" i="6" s="1"/>
  <c r="AK842" i="6" s="1"/>
  <c r="AK843" i="6" s="1"/>
  <c r="AK844" i="6" s="1"/>
  <c r="AK845" i="6" s="1"/>
  <c r="AK846" i="6" s="1"/>
  <c r="AK847" i="6" s="1"/>
  <c r="AK848" i="6" s="1"/>
  <c r="AK849" i="6" s="1"/>
  <c r="AK850" i="6" s="1"/>
  <c r="AK851" i="6" s="1"/>
  <c r="AK852" i="6" s="1"/>
  <c r="AK853" i="6" s="1"/>
  <c r="AK854" i="6" s="1"/>
  <c r="AK855" i="6" s="1"/>
  <c r="AK856" i="6" s="1"/>
  <c r="AK857" i="6" s="1"/>
  <c r="AK858" i="6" s="1"/>
  <c r="AK859" i="6" s="1"/>
  <c r="AK860" i="6" s="1"/>
  <c r="AK861" i="6" s="1"/>
  <c r="AK862" i="6" s="1"/>
  <c r="AK863" i="6" s="1"/>
  <c r="AK864" i="6" s="1"/>
  <c r="AK865" i="6" s="1"/>
  <c r="AK866" i="6" s="1"/>
  <c r="AK867" i="6" s="1"/>
  <c r="AK868" i="6" s="1"/>
  <c r="AK869" i="6" s="1"/>
  <c r="AK870" i="6" s="1"/>
  <c r="AK871" i="6" s="1"/>
  <c r="AK872" i="6" s="1"/>
  <c r="AK873" i="6" s="1"/>
  <c r="AK874" i="6" s="1"/>
  <c r="AK875" i="6" s="1"/>
  <c r="AK876" i="6" s="1"/>
  <c r="AK877" i="6" s="1"/>
  <c r="AK878" i="6" s="1"/>
  <c r="AK879" i="6" s="1"/>
  <c r="AK880" i="6" s="1"/>
  <c r="AK881" i="6" s="1"/>
  <c r="AK882" i="6" s="1"/>
  <c r="AK883" i="6" s="1"/>
  <c r="AK884" i="6" s="1"/>
  <c r="AK885" i="6" s="1"/>
  <c r="AK886" i="6" s="1"/>
  <c r="AK887" i="6" s="1"/>
  <c r="AK888" i="6" s="1"/>
  <c r="AK889" i="6" s="1"/>
  <c r="AK890" i="6" s="1"/>
  <c r="AK891" i="6" s="1"/>
  <c r="AK892" i="6" s="1"/>
  <c r="AK893" i="6" s="1"/>
  <c r="AK894" i="6" s="1"/>
  <c r="AK895" i="6" s="1"/>
  <c r="AK896" i="6" s="1"/>
  <c r="AK897" i="6" s="1"/>
  <c r="AK898" i="6" s="1"/>
  <c r="AK899" i="6" s="1"/>
  <c r="AK900" i="6" s="1"/>
  <c r="AK901" i="6" s="1"/>
  <c r="AK902" i="6" s="1"/>
  <c r="AK903" i="6" s="1"/>
  <c r="AK904" i="6" s="1"/>
  <c r="AK905" i="6" s="1"/>
  <c r="AK906" i="6" s="1"/>
  <c r="AK907" i="6" s="1"/>
  <c r="AK908" i="6" s="1"/>
  <c r="AK909" i="6" s="1"/>
  <c r="AK910" i="6" s="1"/>
  <c r="AK911" i="6" s="1"/>
  <c r="AK912" i="6" s="1"/>
  <c r="AK913" i="6" s="1"/>
  <c r="AK914" i="6" s="1"/>
  <c r="AK915" i="6" s="1"/>
  <c r="AK916" i="6" s="1"/>
  <c r="AK917" i="6" s="1"/>
  <c r="AK918" i="6" s="1"/>
  <c r="AK919" i="6" s="1"/>
  <c r="AK920" i="6" s="1"/>
  <c r="AK921" i="6" s="1"/>
  <c r="AK922" i="6" s="1"/>
  <c r="AK923" i="6" s="1"/>
  <c r="AK924" i="6" s="1"/>
  <c r="AK925" i="6" s="1"/>
  <c r="AK926" i="6" s="1"/>
  <c r="AK927" i="6" s="1"/>
  <c r="AK928" i="6" s="1"/>
  <c r="AK929" i="6" s="1"/>
  <c r="AK930" i="6" s="1"/>
  <c r="AK931" i="6" s="1"/>
  <c r="AK932" i="6" s="1"/>
  <c r="AK933" i="6" s="1"/>
  <c r="AK934" i="6" s="1"/>
  <c r="AK935" i="6" s="1"/>
  <c r="AK936" i="6" s="1"/>
  <c r="AK937" i="6" s="1"/>
  <c r="AK938" i="6" s="1"/>
  <c r="AK939" i="6" s="1"/>
  <c r="AK940" i="6" s="1"/>
  <c r="AK941" i="6" s="1"/>
  <c r="AK942" i="6" s="1"/>
  <c r="AK943" i="6" s="1"/>
  <c r="AK944" i="6" s="1"/>
  <c r="AK945" i="6" s="1"/>
  <c r="AK946" i="6" s="1"/>
  <c r="AK947" i="6" s="1"/>
  <c r="AK948" i="6" s="1"/>
  <c r="AK949" i="6" s="1"/>
  <c r="AK950" i="6" s="1"/>
  <c r="AK951" i="6" s="1"/>
  <c r="AK952" i="6" s="1"/>
  <c r="AK953" i="6" s="1"/>
  <c r="AK954" i="6" s="1"/>
  <c r="AK955" i="6" s="1"/>
  <c r="AK956" i="6" s="1"/>
  <c r="AK957" i="6" s="1"/>
  <c r="AK958" i="6" s="1"/>
  <c r="AK959" i="6" s="1"/>
  <c r="AK960" i="6" s="1"/>
  <c r="AK961" i="6" s="1"/>
  <c r="AK962" i="6" s="1"/>
  <c r="AK963" i="6" s="1"/>
  <c r="AK964" i="6" s="1"/>
  <c r="AK965" i="6" s="1"/>
  <c r="AK966" i="6" s="1"/>
  <c r="AK967" i="6" s="1"/>
  <c r="AK968" i="6" s="1"/>
  <c r="AK969" i="6" s="1"/>
  <c r="AK970" i="6" s="1"/>
  <c r="AK971" i="6" s="1"/>
  <c r="AK972" i="6" s="1"/>
  <c r="AK973" i="6" s="1"/>
  <c r="AK974" i="6" s="1"/>
  <c r="AK975" i="6" s="1"/>
  <c r="AK976" i="6" s="1"/>
  <c r="AK977" i="6" s="1"/>
  <c r="AK978" i="6" s="1"/>
  <c r="AK979" i="6" s="1"/>
  <c r="AK980" i="6" s="1"/>
  <c r="AK981" i="6" s="1"/>
  <c r="AK982" i="6" s="1"/>
  <c r="AK983" i="6" s="1"/>
  <c r="AK984" i="6" s="1"/>
  <c r="AK985" i="6" s="1"/>
  <c r="AK986" i="6" s="1"/>
  <c r="AK987" i="6" s="1"/>
  <c r="AK988" i="6" s="1"/>
  <c r="AK989" i="6" s="1"/>
  <c r="AK990" i="6" s="1"/>
  <c r="AK991" i="6" s="1"/>
  <c r="AK992" i="6" s="1"/>
  <c r="AK993" i="6" s="1"/>
  <c r="AK994" i="6" s="1"/>
  <c r="AK995" i="6" s="1"/>
  <c r="AK996" i="6" s="1"/>
  <c r="AK997" i="6" s="1"/>
  <c r="AK998" i="6" s="1"/>
  <c r="AK999" i="6" s="1"/>
  <c r="AK1000" i="6" s="1"/>
  <c r="AK1001" i="6" s="1"/>
  <c r="AK1002" i="6" s="1"/>
  <c r="AK1003" i="6" s="1"/>
  <c r="AK1004" i="6" s="1"/>
  <c r="AK1005" i="6" s="1"/>
  <c r="AK1006" i="6" s="1"/>
  <c r="AK1007" i="6" s="1"/>
  <c r="AK1008" i="6" s="1"/>
  <c r="AK1009" i="6" s="1"/>
  <c r="AK1010" i="6" s="1"/>
  <c r="AK1011" i="6" s="1"/>
  <c r="AK1012" i="6" s="1"/>
  <c r="AK1013" i="6" s="1"/>
  <c r="AK1014" i="6" s="1"/>
  <c r="AK1015" i="6" s="1"/>
  <c r="AK1016" i="6" s="1"/>
  <c r="AK1017" i="6" s="1"/>
  <c r="AK1018" i="6" s="1"/>
  <c r="AK1019" i="6" s="1"/>
  <c r="AK1020" i="6" s="1"/>
  <c r="AK1021" i="6" s="1"/>
  <c r="AK1022" i="6" s="1"/>
  <c r="AK1023" i="6" s="1"/>
  <c r="AK1024" i="6" s="1"/>
  <c r="AK1025" i="6" s="1"/>
  <c r="AK1026" i="6" s="1"/>
  <c r="AK1027" i="6" s="1"/>
  <c r="AK1028" i="6" s="1"/>
  <c r="AK1029" i="6" s="1"/>
  <c r="T5" i="6"/>
  <c r="C2" i="4" l="1"/>
  <c r="C7" i="3" s="1"/>
  <c r="AC6" i="6"/>
  <c r="AD6" i="6" s="1"/>
  <c r="AE6" i="6" s="1"/>
  <c r="AF6" i="6" s="1"/>
  <c r="AG6" i="6" s="1"/>
  <c r="S5" i="6"/>
  <c r="R5" i="6"/>
  <c r="F26" i="9" s="1"/>
  <c r="F38" i="9"/>
  <c r="F27" i="9"/>
  <c r="F39" i="9"/>
  <c r="F28" i="9"/>
  <c r="F40" i="9"/>
  <c r="F29" i="9"/>
  <c r="F41" i="9"/>
  <c r="F30" i="9"/>
  <c r="F42" i="9"/>
  <c r="F31" i="9"/>
  <c r="F43" i="9"/>
  <c r="F32" i="9"/>
  <c r="F33" i="9"/>
  <c r="F34" i="9"/>
  <c r="F35" i="9"/>
  <c r="F36" i="9"/>
  <c r="F37" i="9"/>
  <c r="AI7" i="6"/>
  <c r="AI8" i="6" s="1"/>
  <c r="AI9" i="6" s="1"/>
  <c r="AI10" i="6" s="1"/>
  <c r="AI11" i="6" s="1"/>
  <c r="AI12" i="6" s="1"/>
  <c r="AI13" i="6" s="1"/>
  <c r="AI14" i="6" s="1"/>
  <c r="AI15" i="6" s="1"/>
  <c r="AI16" i="6" s="1"/>
  <c r="AI17" i="6" s="1"/>
  <c r="AI18" i="6" s="1"/>
  <c r="AI19" i="6" s="1"/>
  <c r="AI20" i="6" s="1"/>
  <c r="AI21" i="6" s="1"/>
  <c r="AI22" i="6" s="1"/>
  <c r="AI23" i="6" s="1"/>
  <c r="AI24" i="6" s="1"/>
  <c r="AI25" i="6" s="1"/>
  <c r="AI26" i="6" s="1"/>
  <c r="AI27" i="6" s="1"/>
  <c r="AI28" i="6" s="1"/>
  <c r="AI29" i="6" s="1"/>
  <c r="AI30" i="6" s="1"/>
  <c r="AI31" i="6" s="1"/>
  <c r="AI32" i="6" s="1"/>
  <c r="AI33" i="6" s="1"/>
  <c r="AI34" i="6" s="1"/>
  <c r="AI35" i="6" s="1"/>
  <c r="AI36" i="6" s="1"/>
  <c r="AI37" i="6" s="1"/>
  <c r="AI38" i="6" s="1"/>
  <c r="AI39" i="6" s="1"/>
  <c r="AI40" i="6" s="1"/>
  <c r="AI41" i="6" s="1"/>
  <c r="AI42" i="6" s="1"/>
  <c r="AI43" i="6" s="1"/>
  <c r="AI44" i="6" s="1"/>
  <c r="AI45" i="6" s="1"/>
  <c r="AI46" i="6" s="1"/>
  <c r="AI47" i="6" s="1"/>
  <c r="AI48" i="6" s="1"/>
  <c r="AI49" i="6" s="1"/>
  <c r="AI50" i="6" s="1"/>
  <c r="AI51" i="6" s="1"/>
  <c r="AI52" i="6" s="1"/>
  <c r="AI53" i="6" s="1"/>
  <c r="AI54" i="6" s="1"/>
  <c r="AI55" i="6" s="1"/>
  <c r="AI56" i="6" s="1"/>
  <c r="AI57" i="6" s="1"/>
  <c r="AI58" i="6" s="1"/>
  <c r="AI59" i="6" s="1"/>
  <c r="AI60" i="6" s="1"/>
  <c r="AI61" i="6" s="1"/>
  <c r="AI62" i="6" s="1"/>
  <c r="AI63" i="6" s="1"/>
  <c r="AI64" i="6" s="1"/>
  <c r="AI65" i="6" s="1"/>
  <c r="AI66" i="6" s="1"/>
  <c r="AI67" i="6" s="1"/>
  <c r="AI68" i="6" s="1"/>
  <c r="AI69" i="6" s="1"/>
  <c r="AI70" i="6" s="1"/>
  <c r="AI71" i="6" s="1"/>
  <c r="AI72" i="6" s="1"/>
  <c r="AI73" i="6" s="1"/>
  <c r="AI74" i="6" s="1"/>
  <c r="AI75" i="6" s="1"/>
  <c r="AI76" i="6" s="1"/>
  <c r="AI77" i="6" s="1"/>
  <c r="AI78" i="6" s="1"/>
  <c r="AI79" i="6" s="1"/>
  <c r="AI80" i="6" s="1"/>
  <c r="AI81" i="6" s="1"/>
  <c r="AI82" i="6" s="1"/>
  <c r="AI83" i="6" s="1"/>
  <c r="AI84" i="6" s="1"/>
  <c r="AI85" i="6" s="1"/>
  <c r="AI86" i="6" s="1"/>
  <c r="AI87" i="6" s="1"/>
  <c r="AI88" i="6" s="1"/>
  <c r="AI89" i="6" s="1"/>
  <c r="AI90" i="6" s="1"/>
  <c r="AI91" i="6" s="1"/>
  <c r="AI92" i="6" s="1"/>
  <c r="AI93" i="6" s="1"/>
  <c r="AI94" i="6" s="1"/>
  <c r="AI95" i="6" s="1"/>
  <c r="AI96" i="6" s="1"/>
  <c r="AI97" i="6" s="1"/>
  <c r="AI98" i="6" s="1"/>
  <c r="AI99" i="6" s="1"/>
  <c r="AI100" i="6" s="1"/>
  <c r="AI101" i="6" s="1"/>
  <c r="AI102" i="6" s="1"/>
  <c r="AI103" i="6" s="1"/>
  <c r="AI104" i="6" s="1"/>
  <c r="AI105" i="6" s="1"/>
  <c r="AI106" i="6" s="1"/>
  <c r="AI107" i="6" s="1"/>
  <c r="AI108" i="6" s="1"/>
  <c r="AI109" i="6" s="1"/>
  <c r="AI110" i="6" s="1"/>
  <c r="AI111" i="6" s="1"/>
  <c r="AI112" i="6" s="1"/>
  <c r="AI113" i="6" s="1"/>
  <c r="AI114" i="6" s="1"/>
  <c r="AI115" i="6" s="1"/>
  <c r="AI116" i="6" s="1"/>
  <c r="AI117" i="6" s="1"/>
  <c r="AI118" i="6" s="1"/>
  <c r="AI119" i="6" s="1"/>
  <c r="AI120" i="6" s="1"/>
  <c r="AI121" i="6" s="1"/>
  <c r="AI122" i="6" s="1"/>
  <c r="AI123" i="6" s="1"/>
  <c r="AI124" i="6" s="1"/>
  <c r="AI125" i="6" s="1"/>
  <c r="AI126" i="6" s="1"/>
  <c r="AI127" i="6" s="1"/>
  <c r="AI128" i="6" s="1"/>
  <c r="AI129" i="6" s="1"/>
  <c r="AI130" i="6" s="1"/>
  <c r="AI131" i="6" s="1"/>
  <c r="AI132" i="6" s="1"/>
  <c r="AI133" i="6" s="1"/>
  <c r="AI134" i="6" s="1"/>
  <c r="AI135" i="6" s="1"/>
  <c r="AI136" i="6" s="1"/>
  <c r="AI137" i="6" s="1"/>
  <c r="AI138" i="6" s="1"/>
  <c r="AI139" i="6" s="1"/>
  <c r="AI140" i="6" s="1"/>
  <c r="AI141" i="6" s="1"/>
  <c r="AI142" i="6" s="1"/>
  <c r="AI143" i="6" s="1"/>
  <c r="AI144" i="6" s="1"/>
  <c r="AI145" i="6" s="1"/>
  <c r="AI146" i="6" s="1"/>
  <c r="AI147" i="6" s="1"/>
  <c r="AI148" i="6" s="1"/>
  <c r="AI149" i="6" s="1"/>
  <c r="AI150" i="6" s="1"/>
  <c r="AI151" i="6" s="1"/>
  <c r="AI152" i="6" s="1"/>
  <c r="AI153" i="6" s="1"/>
  <c r="AI154" i="6" s="1"/>
  <c r="AI155" i="6" s="1"/>
  <c r="AI156" i="6" s="1"/>
  <c r="AI157" i="6" s="1"/>
  <c r="AI158" i="6" s="1"/>
  <c r="AI159" i="6" s="1"/>
  <c r="AI160" i="6" s="1"/>
  <c r="AI161" i="6" s="1"/>
  <c r="AI162" i="6" s="1"/>
  <c r="AI163" i="6" s="1"/>
  <c r="AI164" i="6" s="1"/>
  <c r="AI165" i="6" s="1"/>
  <c r="AI166" i="6" s="1"/>
  <c r="AI167" i="6" s="1"/>
  <c r="AI168" i="6" s="1"/>
  <c r="AI169" i="6" s="1"/>
  <c r="AI170" i="6" s="1"/>
  <c r="AI171" i="6" s="1"/>
  <c r="AI172" i="6" s="1"/>
  <c r="AI173" i="6" s="1"/>
  <c r="AI174" i="6" s="1"/>
  <c r="AI175" i="6" s="1"/>
  <c r="AI176" i="6" s="1"/>
  <c r="AI177" i="6" s="1"/>
  <c r="AI178" i="6" s="1"/>
  <c r="AI179" i="6" s="1"/>
  <c r="AI180" i="6" s="1"/>
  <c r="AI181" i="6" s="1"/>
  <c r="AI182" i="6" s="1"/>
  <c r="AI183" i="6" s="1"/>
  <c r="AI184" i="6" s="1"/>
  <c r="AI185" i="6" s="1"/>
  <c r="AI186" i="6" s="1"/>
  <c r="AI187" i="6" s="1"/>
  <c r="AI188" i="6" s="1"/>
  <c r="AI189" i="6" s="1"/>
  <c r="AI190" i="6" s="1"/>
  <c r="AI191" i="6" s="1"/>
  <c r="AI192" i="6" s="1"/>
  <c r="AI193" i="6" s="1"/>
  <c r="AI194" i="6" s="1"/>
  <c r="AI195" i="6" s="1"/>
  <c r="AI196" i="6" s="1"/>
  <c r="AI197" i="6" s="1"/>
  <c r="AI198" i="6" s="1"/>
  <c r="AI199" i="6" s="1"/>
  <c r="AI200" i="6" s="1"/>
  <c r="AI201" i="6" s="1"/>
  <c r="AI202" i="6" s="1"/>
  <c r="AI203" i="6" s="1"/>
  <c r="AI204" i="6" s="1"/>
  <c r="AI205" i="6" s="1"/>
  <c r="AI206" i="6" s="1"/>
  <c r="AI207" i="6" s="1"/>
  <c r="AI208" i="6" s="1"/>
  <c r="AI209" i="6" s="1"/>
  <c r="AI210" i="6" s="1"/>
  <c r="AI211" i="6" s="1"/>
  <c r="AI212" i="6" s="1"/>
  <c r="AI213" i="6" s="1"/>
  <c r="AI214" i="6" s="1"/>
  <c r="AI215" i="6" s="1"/>
  <c r="AI216" i="6" s="1"/>
  <c r="AI217" i="6" s="1"/>
  <c r="AI218" i="6" s="1"/>
  <c r="AI219" i="6" s="1"/>
  <c r="AI220" i="6" s="1"/>
  <c r="AI221" i="6" s="1"/>
  <c r="AI222" i="6" s="1"/>
  <c r="AI223" i="6" s="1"/>
  <c r="AI224" i="6" s="1"/>
  <c r="AI225" i="6" s="1"/>
  <c r="AI226" i="6" s="1"/>
  <c r="AI227" i="6" s="1"/>
  <c r="AI228" i="6" s="1"/>
  <c r="AI229" i="6" s="1"/>
  <c r="AI230" i="6" s="1"/>
  <c r="AI231" i="6" s="1"/>
  <c r="AI232" i="6" s="1"/>
  <c r="AI233" i="6" s="1"/>
  <c r="AI234" i="6" s="1"/>
  <c r="AI235" i="6" s="1"/>
  <c r="AI236" i="6" s="1"/>
  <c r="AI237" i="6" s="1"/>
  <c r="AI238" i="6" s="1"/>
  <c r="AI239" i="6" s="1"/>
  <c r="AI240" i="6" s="1"/>
  <c r="AI241" i="6" s="1"/>
  <c r="AI242" i="6" s="1"/>
  <c r="AI243" i="6" s="1"/>
  <c r="AI244" i="6" s="1"/>
  <c r="AI245" i="6" s="1"/>
  <c r="AI246" i="6" s="1"/>
  <c r="AI247" i="6" s="1"/>
  <c r="AI248" i="6" s="1"/>
  <c r="AI249" i="6" s="1"/>
  <c r="AI250" i="6" s="1"/>
  <c r="AI251" i="6" s="1"/>
  <c r="AI252" i="6" s="1"/>
  <c r="AI253" i="6" s="1"/>
  <c r="AI254" i="6" s="1"/>
  <c r="AI255" i="6" s="1"/>
  <c r="AI256" i="6" s="1"/>
  <c r="AI257" i="6" s="1"/>
  <c r="AI258" i="6" s="1"/>
  <c r="AI259" i="6" s="1"/>
  <c r="AI260" i="6" s="1"/>
  <c r="AI261" i="6" s="1"/>
  <c r="AI262" i="6" s="1"/>
  <c r="AI263" i="6" s="1"/>
  <c r="AI264" i="6" s="1"/>
  <c r="AI265" i="6" s="1"/>
  <c r="AI266" i="6" s="1"/>
  <c r="AI267" i="6" s="1"/>
  <c r="AI268" i="6" s="1"/>
  <c r="AI269" i="6" s="1"/>
  <c r="AI270" i="6" s="1"/>
  <c r="AI271" i="6" s="1"/>
  <c r="AI272" i="6" s="1"/>
  <c r="AI273" i="6" s="1"/>
  <c r="AI274" i="6" s="1"/>
  <c r="AI275" i="6" s="1"/>
  <c r="AI276" i="6" s="1"/>
  <c r="AI277" i="6" s="1"/>
  <c r="AI278" i="6" s="1"/>
  <c r="AI279" i="6" s="1"/>
  <c r="AI280" i="6" s="1"/>
  <c r="AI281" i="6" s="1"/>
  <c r="AI282" i="6" s="1"/>
  <c r="AI283" i="6" s="1"/>
  <c r="AI284" i="6" s="1"/>
  <c r="AI285" i="6" s="1"/>
  <c r="AI286" i="6" s="1"/>
  <c r="AI287" i="6" s="1"/>
  <c r="AI288" i="6" s="1"/>
  <c r="AI289" i="6" s="1"/>
  <c r="AI290" i="6" s="1"/>
  <c r="AI291" i="6" s="1"/>
  <c r="AI292" i="6" s="1"/>
  <c r="AI293" i="6" s="1"/>
  <c r="AI294" i="6" s="1"/>
  <c r="AI295" i="6" s="1"/>
  <c r="AI296" i="6" s="1"/>
  <c r="AI297" i="6" s="1"/>
  <c r="AI298" i="6" s="1"/>
  <c r="AI299" i="6" s="1"/>
  <c r="AI300" i="6" s="1"/>
  <c r="AI301" i="6" s="1"/>
  <c r="AI302" i="6" s="1"/>
  <c r="AI303" i="6" s="1"/>
  <c r="AI304" i="6" s="1"/>
  <c r="AI305" i="6" s="1"/>
  <c r="AI306" i="6" s="1"/>
  <c r="AI307" i="6" s="1"/>
  <c r="AI308" i="6" s="1"/>
  <c r="AI309" i="6" s="1"/>
  <c r="AI310" i="6" s="1"/>
  <c r="AI311" i="6" s="1"/>
  <c r="AI312" i="6" s="1"/>
  <c r="AI313" i="6" s="1"/>
  <c r="AI314" i="6" s="1"/>
  <c r="AI315" i="6" s="1"/>
  <c r="AI316" i="6" s="1"/>
  <c r="AI317" i="6" s="1"/>
  <c r="AI318" i="6" s="1"/>
  <c r="AI319" i="6" s="1"/>
  <c r="AI320" i="6" s="1"/>
  <c r="AI321" i="6" s="1"/>
  <c r="AI322" i="6" s="1"/>
  <c r="AI323" i="6" s="1"/>
  <c r="AI324" i="6" s="1"/>
  <c r="AI325" i="6" s="1"/>
  <c r="AI326" i="6" s="1"/>
  <c r="AI327" i="6" s="1"/>
  <c r="AI328" i="6" s="1"/>
  <c r="AI329" i="6" s="1"/>
  <c r="AI330" i="6" s="1"/>
  <c r="AI331" i="6" s="1"/>
  <c r="AI332" i="6" s="1"/>
  <c r="AI333" i="6" s="1"/>
  <c r="AI334" i="6" s="1"/>
  <c r="AI335" i="6" s="1"/>
  <c r="AI336" i="6" s="1"/>
  <c r="AI337" i="6" s="1"/>
  <c r="AI338" i="6" s="1"/>
  <c r="AI339" i="6" s="1"/>
  <c r="AI340" i="6" s="1"/>
  <c r="AI341" i="6" s="1"/>
  <c r="AI342" i="6" s="1"/>
  <c r="AI343" i="6" s="1"/>
  <c r="AI344" i="6" s="1"/>
  <c r="AI345" i="6" s="1"/>
  <c r="AI346" i="6" s="1"/>
  <c r="AI347" i="6" s="1"/>
  <c r="AI348" i="6" s="1"/>
  <c r="AI349" i="6" s="1"/>
  <c r="AI350" i="6" s="1"/>
  <c r="AI351" i="6" s="1"/>
  <c r="AI352" i="6" s="1"/>
  <c r="AI353" i="6" s="1"/>
  <c r="AI354" i="6" s="1"/>
  <c r="AI355" i="6" s="1"/>
  <c r="AI356" i="6" s="1"/>
  <c r="AI357" i="6" s="1"/>
  <c r="AI358" i="6" s="1"/>
  <c r="AI359" i="6" s="1"/>
  <c r="AI360" i="6" s="1"/>
  <c r="AI361" i="6" s="1"/>
  <c r="AI362" i="6" s="1"/>
  <c r="AI363" i="6" s="1"/>
  <c r="AI364" i="6" s="1"/>
  <c r="AI365" i="6" s="1"/>
  <c r="AI366" i="6" s="1"/>
  <c r="AI367" i="6" s="1"/>
  <c r="AI368" i="6" s="1"/>
  <c r="AI369" i="6" s="1"/>
  <c r="AI370" i="6" s="1"/>
  <c r="AI371" i="6" s="1"/>
  <c r="AI372" i="6" s="1"/>
  <c r="AI373" i="6" s="1"/>
  <c r="AI374" i="6" s="1"/>
  <c r="AI375" i="6" s="1"/>
  <c r="AI376" i="6" s="1"/>
  <c r="AI377" i="6" s="1"/>
  <c r="AI378" i="6" s="1"/>
  <c r="AI379" i="6" s="1"/>
  <c r="AI380" i="6" s="1"/>
  <c r="AI381" i="6" s="1"/>
  <c r="AI382" i="6" s="1"/>
  <c r="AI383" i="6" s="1"/>
  <c r="AI384" i="6" s="1"/>
  <c r="AI385" i="6" s="1"/>
  <c r="AI386" i="6" s="1"/>
  <c r="AI387" i="6" s="1"/>
  <c r="AI388" i="6" s="1"/>
  <c r="AI389" i="6" s="1"/>
  <c r="AI390" i="6" s="1"/>
  <c r="AI391" i="6" s="1"/>
  <c r="AI392" i="6" s="1"/>
  <c r="AI393" i="6" s="1"/>
  <c r="AI394" i="6" s="1"/>
  <c r="AI395" i="6" s="1"/>
  <c r="AI396" i="6" s="1"/>
  <c r="AI397" i="6" s="1"/>
  <c r="AI398" i="6" s="1"/>
  <c r="AI399" i="6" s="1"/>
  <c r="AI400" i="6" s="1"/>
  <c r="AI401" i="6" s="1"/>
  <c r="AI402" i="6" s="1"/>
  <c r="AI403" i="6" s="1"/>
  <c r="AI404" i="6" s="1"/>
  <c r="AI405" i="6" s="1"/>
  <c r="AI406" i="6" s="1"/>
  <c r="AI407" i="6" s="1"/>
  <c r="AI408" i="6" s="1"/>
  <c r="AI409" i="6" s="1"/>
  <c r="AI410" i="6" s="1"/>
  <c r="AI411" i="6" s="1"/>
  <c r="AI412" i="6" s="1"/>
  <c r="AI413" i="6" s="1"/>
  <c r="AI414" i="6" s="1"/>
  <c r="AI415" i="6" s="1"/>
  <c r="AI416" i="6" s="1"/>
  <c r="AI417" i="6" s="1"/>
  <c r="AI418" i="6" s="1"/>
  <c r="AI419" i="6" s="1"/>
  <c r="AI420" i="6" s="1"/>
  <c r="AI421" i="6" s="1"/>
  <c r="AI422" i="6" s="1"/>
  <c r="AI423" i="6" s="1"/>
  <c r="AI424" i="6" s="1"/>
  <c r="AI425" i="6" s="1"/>
  <c r="AI426" i="6" s="1"/>
  <c r="AI427" i="6" s="1"/>
  <c r="AI428" i="6" s="1"/>
  <c r="AI429" i="6" s="1"/>
  <c r="AI430" i="6" s="1"/>
  <c r="AI431" i="6" s="1"/>
  <c r="AI432" i="6" s="1"/>
  <c r="AI433" i="6" s="1"/>
  <c r="AI434" i="6" s="1"/>
  <c r="AI435" i="6" s="1"/>
  <c r="AI436" i="6" s="1"/>
  <c r="AI437" i="6" s="1"/>
  <c r="AI438" i="6" s="1"/>
  <c r="AI439" i="6" s="1"/>
  <c r="AI440" i="6" s="1"/>
  <c r="AI441" i="6" s="1"/>
  <c r="AI442" i="6" s="1"/>
  <c r="AI443" i="6" s="1"/>
  <c r="AI444" i="6" s="1"/>
  <c r="AI445" i="6" s="1"/>
  <c r="AI446" i="6" s="1"/>
  <c r="AI447" i="6" s="1"/>
  <c r="AI448" i="6" s="1"/>
  <c r="AI449" i="6" s="1"/>
  <c r="AI450" i="6" s="1"/>
  <c r="AI451" i="6" s="1"/>
  <c r="AI452" i="6" s="1"/>
  <c r="AI453" i="6" s="1"/>
  <c r="AI454" i="6" s="1"/>
  <c r="AI455" i="6" s="1"/>
  <c r="AI456" i="6" s="1"/>
  <c r="AI457" i="6" s="1"/>
  <c r="AI458" i="6" s="1"/>
  <c r="AI459" i="6" s="1"/>
  <c r="AI460" i="6" s="1"/>
  <c r="AI461" i="6" s="1"/>
  <c r="AI462" i="6" s="1"/>
  <c r="AI463" i="6" s="1"/>
  <c r="AI464" i="6" s="1"/>
  <c r="AI465" i="6" s="1"/>
  <c r="AI466" i="6" s="1"/>
  <c r="AI467" i="6" s="1"/>
  <c r="AI468" i="6" s="1"/>
  <c r="AI469" i="6" s="1"/>
  <c r="AI470" i="6" s="1"/>
  <c r="AI471" i="6" s="1"/>
  <c r="AI472" i="6" s="1"/>
  <c r="AI473" i="6" s="1"/>
  <c r="AI474" i="6" s="1"/>
  <c r="AI475" i="6" s="1"/>
  <c r="AI476" i="6" s="1"/>
  <c r="AI477" i="6" s="1"/>
  <c r="AI478" i="6" s="1"/>
  <c r="AI479" i="6" s="1"/>
  <c r="AI480" i="6" s="1"/>
  <c r="AI481" i="6" s="1"/>
  <c r="AI482" i="6" s="1"/>
  <c r="AI483" i="6" s="1"/>
  <c r="AI484" i="6" s="1"/>
  <c r="AI485" i="6" s="1"/>
  <c r="AI486" i="6" s="1"/>
  <c r="AI487" i="6" s="1"/>
  <c r="AI488" i="6" s="1"/>
  <c r="AI489" i="6" s="1"/>
  <c r="AI490" i="6" s="1"/>
  <c r="AI491" i="6" s="1"/>
  <c r="AI492" i="6" s="1"/>
  <c r="AI493" i="6" s="1"/>
  <c r="AI494" i="6" s="1"/>
  <c r="AI495" i="6" s="1"/>
  <c r="AI496" i="6" s="1"/>
  <c r="AI497" i="6" s="1"/>
  <c r="AI498" i="6" s="1"/>
  <c r="AI499" i="6" s="1"/>
  <c r="AI500" i="6" s="1"/>
  <c r="AI501" i="6" s="1"/>
  <c r="AI502" i="6" s="1"/>
  <c r="AI503" i="6" s="1"/>
  <c r="AI504" i="6" s="1"/>
  <c r="AI505" i="6" s="1"/>
  <c r="AI506" i="6" s="1"/>
  <c r="AI507" i="6" s="1"/>
  <c r="AI508" i="6" s="1"/>
  <c r="AI509" i="6" s="1"/>
  <c r="AI510" i="6" s="1"/>
  <c r="AI511" i="6" s="1"/>
  <c r="AI512" i="6" s="1"/>
  <c r="AI513" i="6" s="1"/>
  <c r="AI514" i="6" s="1"/>
  <c r="AI515" i="6" s="1"/>
  <c r="AI516" i="6" s="1"/>
  <c r="AI517" i="6" s="1"/>
  <c r="AI518" i="6" s="1"/>
  <c r="AI519" i="6" s="1"/>
  <c r="AI520" i="6" s="1"/>
  <c r="AI521" i="6" s="1"/>
  <c r="AI522" i="6" s="1"/>
  <c r="AI523" i="6" s="1"/>
  <c r="AI524" i="6" s="1"/>
  <c r="AI525" i="6" s="1"/>
  <c r="AI526" i="6" s="1"/>
  <c r="AI527" i="6" s="1"/>
  <c r="AI528" i="6" s="1"/>
  <c r="AI529" i="6" s="1"/>
  <c r="AI530" i="6" s="1"/>
  <c r="AI531" i="6" s="1"/>
  <c r="AI532" i="6" s="1"/>
  <c r="AI533" i="6" s="1"/>
  <c r="AI534" i="6" s="1"/>
  <c r="AI535" i="6" s="1"/>
  <c r="AI536" i="6" s="1"/>
  <c r="AI537" i="6" s="1"/>
  <c r="AI538" i="6" s="1"/>
  <c r="AI539" i="6" s="1"/>
  <c r="AI540" i="6" s="1"/>
  <c r="AI541" i="6" s="1"/>
  <c r="AI542" i="6" s="1"/>
  <c r="AI543" i="6" s="1"/>
  <c r="AI544" i="6" s="1"/>
  <c r="AI545" i="6" s="1"/>
  <c r="AI546" i="6" s="1"/>
  <c r="AI547" i="6" s="1"/>
  <c r="AI548" i="6" s="1"/>
  <c r="AI549" i="6" s="1"/>
  <c r="AI550" i="6" s="1"/>
  <c r="AI551" i="6" s="1"/>
  <c r="AI552" i="6" s="1"/>
  <c r="AI553" i="6" s="1"/>
  <c r="AI554" i="6" s="1"/>
  <c r="AI555" i="6" s="1"/>
  <c r="AI556" i="6" s="1"/>
  <c r="AI557" i="6" s="1"/>
  <c r="AI558" i="6" s="1"/>
  <c r="AI559" i="6" s="1"/>
  <c r="AI560" i="6" s="1"/>
  <c r="AI561" i="6" s="1"/>
  <c r="AI562" i="6" s="1"/>
  <c r="AI563" i="6" s="1"/>
  <c r="AI564" i="6" s="1"/>
  <c r="AI565" i="6" s="1"/>
  <c r="AI566" i="6" s="1"/>
  <c r="AI567" i="6" s="1"/>
  <c r="AI568" i="6" s="1"/>
  <c r="AI569" i="6" s="1"/>
  <c r="AI570" i="6" s="1"/>
  <c r="AI571" i="6" s="1"/>
  <c r="AI572" i="6" s="1"/>
  <c r="AI573" i="6" s="1"/>
  <c r="AI574" i="6" s="1"/>
  <c r="AI575" i="6" s="1"/>
  <c r="AI576" i="6" s="1"/>
  <c r="AI577" i="6" s="1"/>
  <c r="AI578" i="6" s="1"/>
  <c r="AI579" i="6" s="1"/>
  <c r="AI580" i="6" s="1"/>
  <c r="AI581" i="6" s="1"/>
  <c r="AI582" i="6" s="1"/>
  <c r="AI583" i="6" s="1"/>
  <c r="AI584" i="6" s="1"/>
  <c r="AI585" i="6" s="1"/>
  <c r="AI586" i="6" s="1"/>
  <c r="AI587" i="6" s="1"/>
  <c r="AI588" i="6" s="1"/>
  <c r="AI589" i="6" s="1"/>
  <c r="AI590" i="6" s="1"/>
  <c r="AI591" i="6" s="1"/>
  <c r="AI592" i="6" s="1"/>
  <c r="AI593" i="6" s="1"/>
  <c r="AI594" i="6" s="1"/>
  <c r="AI595" i="6" s="1"/>
  <c r="AI596" i="6" s="1"/>
  <c r="AI597" i="6" s="1"/>
  <c r="AI598" i="6" s="1"/>
  <c r="AI599" i="6" s="1"/>
  <c r="AI600" i="6" s="1"/>
  <c r="AI601" i="6" s="1"/>
  <c r="AI602" i="6" s="1"/>
  <c r="AI603" i="6" s="1"/>
  <c r="AI604" i="6" s="1"/>
  <c r="AI605" i="6" s="1"/>
  <c r="AI606" i="6" s="1"/>
  <c r="AI607" i="6" s="1"/>
  <c r="AI608" i="6" s="1"/>
  <c r="AI609" i="6" s="1"/>
  <c r="AI610" i="6" s="1"/>
  <c r="AI611" i="6" s="1"/>
  <c r="AI612" i="6" s="1"/>
  <c r="AI613" i="6" s="1"/>
  <c r="AI614" i="6" s="1"/>
  <c r="AI615" i="6" s="1"/>
  <c r="AI616" i="6" s="1"/>
  <c r="AI617" i="6" s="1"/>
  <c r="AI618" i="6" s="1"/>
  <c r="AI619" i="6" s="1"/>
  <c r="AI620" i="6" s="1"/>
  <c r="AI621" i="6" s="1"/>
  <c r="AI622" i="6" s="1"/>
  <c r="AI623" i="6" s="1"/>
  <c r="AI624" i="6" s="1"/>
  <c r="AI625" i="6" s="1"/>
  <c r="AI626" i="6" s="1"/>
  <c r="AI627" i="6" s="1"/>
  <c r="AI628" i="6" s="1"/>
  <c r="AI629" i="6" s="1"/>
  <c r="AI630" i="6" s="1"/>
  <c r="AI631" i="6" s="1"/>
  <c r="AI632" i="6" s="1"/>
  <c r="AI633" i="6" s="1"/>
  <c r="AI634" i="6" s="1"/>
  <c r="AI635" i="6" s="1"/>
  <c r="AI636" i="6" s="1"/>
  <c r="AI637" i="6" s="1"/>
  <c r="AI638" i="6" s="1"/>
  <c r="AI639" i="6" s="1"/>
  <c r="AI640" i="6" s="1"/>
  <c r="AI641" i="6" s="1"/>
  <c r="AI642" i="6" s="1"/>
  <c r="AI643" i="6" s="1"/>
  <c r="AI644" i="6" s="1"/>
  <c r="AI645" i="6" s="1"/>
  <c r="AI646" i="6" s="1"/>
  <c r="AI647" i="6" s="1"/>
  <c r="AI648" i="6" s="1"/>
  <c r="AI649" i="6" s="1"/>
  <c r="AI650" i="6" s="1"/>
  <c r="AI651" i="6" s="1"/>
  <c r="AI652" i="6" s="1"/>
  <c r="AI653" i="6" s="1"/>
  <c r="AI654" i="6" s="1"/>
  <c r="AI655" i="6" s="1"/>
  <c r="AI656" i="6" s="1"/>
  <c r="AI657" i="6" s="1"/>
  <c r="AI658" i="6" s="1"/>
  <c r="AI659" i="6" s="1"/>
  <c r="AI660" i="6" s="1"/>
  <c r="AI661" i="6" s="1"/>
  <c r="AI662" i="6" s="1"/>
  <c r="AI663" i="6" s="1"/>
  <c r="AI664" i="6" s="1"/>
  <c r="AI665" i="6" s="1"/>
  <c r="AI666" i="6" s="1"/>
  <c r="AI667" i="6" s="1"/>
  <c r="AI668" i="6" s="1"/>
  <c r="AI669" i="6" s="1"/>
  <c r="AI670" i="6" s="1"/>
  <c r="AI671" i="6" s="1"/>
  <c r="AI672" i="6" s="1"/>
  <c r="AI673" i="6" s="1"/>
  <c r="AI674" i="6" s="1"/>
  <c r="AI675" i="6" s="1"/>
  <c r="AI676" i="6" s="1"/>
  <c r="AI677" i="6" s="1"/>
  <c r="AI678" i="6" s="1"/>
  <c r="AI679" i="6" s="1"/>
  <c r="AI680" i="6" s="1"/>
  <c r="AI681" i="6" s="1"/>
  <c r="AI682" i="6" s="1"/>
  <c r="AI683" i="6" s="1"/>
  <c r="AI684" i="6" s="1"/>
  <c r="AI685" i="6" s="1"/>
  <c r="AI686" i="6" s="1"/>
  <c r="AI687" i="6" s="1"/>
  <c r="AI688" i="6" s="1"/>
  <c r="AI689" i="6" s="1"/>
  <c r="AI690" i="6" s="1"/>
  <c r="AI691" i="6" s="1"/>
  <c r="AI692" i="6" s="1"/>
  <c r="AI693" i="6" s="1"/>
  <c r="AI694" i="6" s="1"/>
  <c r="AI695" i="6" s="1"/>
  <c r="AI696" i="6" s="1"/>
  <c r="AI697" i="6" s="1"/>
  <c r="AI698" i="6" s="1"/>
  <c r="AI699" i="6" s="1"/>
  <c r="AI700" i="6" s="1"/>
  <c r="AI701" i="6" s="1"/>
  <c r="AI702" i="6" s="1"/>
  <c r="AI703" i="6" s="1"/>
  <c r="AI704" i="6" s="1"/>
  <c r="AI705" i="6" s="1"/>
  <c r="AI706" i="6" s="1"/>
  <c r="AI707" i="6" s="1"/>
  <c r="AI708" i="6" s="1"/>
  <c r="AI709" i="6" s="1"/>
  <c r="AI710" i="6" s="1"/>
  <c r="AI711" i="6" s="1"/>
  <c r="AI712" i="6" s="1"/>
  <c r="AI713" i="6" s="1"/>
  <c r="AI714" i="6" s="1"/>
  <c r="AI715" i="6" s="1"/>
  <c r="AI716" i="6" s="1"/>
  <c r="AI717" i="6" s="1"/>
  <c r="AI718" i="6" s="1"/>
  <c r="AI719" i="6" s="1"/>
  <c r="AI720" i="6" s="1"/>
  <c r="AI721" i="6" s="1"/>
  <c r="AI722" i="6" s="1"/>
  <c r="AI723" i="6" s="1"/>
  <c r="AI724" i="6" s="1"/>
  <c r="AI725" i="6" s="1"/>
  <c r="AI726" i="6" s="1"/>
  <c r="AI727" i="6" s="1"/>
  <c r="AI728" i="6" s="1"/>
  <c r="AI729" i="6" s="1"/>
  <c r="AI730" i="6" s="1"/>
  <c r="AI731" i="6" s="1"/>
  <c r="AI732" i="6" s="1"/>
  <c r="AI733" i="6" s="1"/>
  <c r="AI734" i="6" s="1"/>
  <c r="AI735" i="6" s="1"/>
  <c r="AI736" i="6" s="1"/>
  <c r="AI737" i="6" s="1"/>
  <c r="AI738" i="6" s="1"/>
  <c r="AI739" i="6" s="1"/>
  <c r="AI740" i="6" s="1"/>
  <c r="AI741" i="6" s="1"/>
  <c r="AI742" i="6" s="1"/>
  <c r="AI743" i="6" s="1"/>
  <c r="AI744" i="6" s="1"/>
  <c r="AI745" i="6" s="1"/>
  <c r="AI746" i="6" s="1"/>
  <c r="AI747" i="6" s="1"/>
  <c r="AI748" i="6" s="1"/>
  <c r="AI749" i="6" s="1"/>
  <c r="AI750" i="6" s="1"/>
  <c r="AI751" i="6" s="1"/>
  <c r="AI752" i="6" s="1"/>
  <c r="AI753" i="6" s="1"/>
  <c r="AI754" i="6" s="1"/>
  <c r="AI755" i="6" s="1"/>
  <c r="AI756" i="6" s="1"/>
  <c r="AI757" i="6" s="1"/>
  <c r="AI758" i="6" s="1"/>
  <c r="AI759" i="6" s="1"/>
  <c r="AI760" i="6" s="1"/>
  <c r="AI761" i="6" s="1"/>
  <c r="AI762" i="6" s="1"/>
  <c r="AI763" i="6" s="1"/>
  <c r="AI764" i="6" s="1"/>
  <c r="AI765" i="6" s="1"/>
  <c r="AI766" i="6" s="1"/>
  <c r="AI767" i="6" s="1"/>
  <c r="AI768" i="6" s="1"/>
  <c r="AI769" i="6" s="1"/>
  <c r="AI770" i="6" s="1"/>
  <c r="AI771" i="6" s="1"/>
  <c r="AI772" i="6" s="1"/>
  <c r="AI773" i="6" s="1"/>
  <c r="AI774" i="6" s="1"/>
  <c r="AI775" i="6" s="1"/>
  <c r="AI776" i="6" s="1"/>
  <c r="AI777" i="6" s="1"/>
  <c r="AI778" i="6" s="1"/>
  <c r="AI779" i="6" s="1"/>
  <c r="AI780" i="6" s="1"/>
  <c r="AI781" i="6" s="1"/>
  <c r="AI782" i="6" s="1"/>
  <c r="AI783" i="6" s="1"/>
  <c r="AI784" i="6" s="1"/>
  <c r="AI785" i="6" s="1"/>
  <c r="AI786" i="6" s="1"/>
  <c r="AI787" i="6" s="1"/>
  <c r="AI788" i="6" s="1"/>
  <c r="AI789" i="6" s="1"/>
  <c r="AI790" i="6" s="1"/>
  <c r="AI791" i="6" s="1"/>
  <c r="AI792" i="6" s="1"/>
  <c r="AI793" i="6" s="1"/>
  <c r="AI794" i="6" s="1"/>
  <c r="AI795" i="6" s="1"/>
  <c r="AI796" i="6" s="1"/>
  <c r="AI797" i="6" s="1"/>
  <c r="AI798" i="6" s="1"/>
  <c r="AI799" i="6" s="1"/>
  <c r="AI800" i="6" s="1"/>
  <c r="AI801" i="6" s="1"/>
  <c r="AI802" i="6" s="1"/>
  <c r="AI803" i="6" s="1"/>
  <c r="AI804" i="6" s="1"/>
  <c r="AI805" i="6" s="1"/>
  <c r="AI806" i="6" s="1"/>
  <c r="AI807" i="6" s="1"/>
  <c r="AI808" i="6" s="1"/>
  <c r="AI809" i="6" s="1"/>
  <c r="AI810" i="6" s="1"/>
  <c r="AI811" i="6" s="1"/>
  <c r="AI812" i="6" s="1"/>
  <c r="AI813" i="6" s="1"/>
  <c r="AI814" i="6" s="1"/>
  <c r="AI815" i="6" s="1"/>
  <c r="AI816" i="6" s="1"/>
  <c r="AI817" i="6" s="1"/>
  <c r="AI818" i="6" s="1"/>
  <c r="AI819" i="6" s="1"/>
  <c r="AI820" i="6" s="1"/>
  <c r="AI821" i="6" s="1"/>
  <c r="AI822" i="6" s="1"/>
  <c r="AI823" i="6" s="1"/>
  <c r="AI824" i="6" s="1"/>
  <c r="AI825" i="6" s="1"/>
  <c r="AI826" i="6" s="1"/>
  <c r="AI827" i="6" s="1"/>
  <c r="AI828" i="6" s="1"/>
  <c r="AI829" i="6" s="1"/>
  <c r="AI830" i="6" s="1"/>
  <c r="AI831" i="6" s="1"/>
  <c r="AI832" i="6" s="1"/>
  <c r="AI833" i="6" s="1"/>
  <c r="AI834" i="6" s="1"/>
  <c r="AI835" i="6" s="1"/>
  <c r="AI836" i="6" s="1"/>
  <c r="AI837" i="6" s="1"/>
  <c r="AI838" i="6" s="1"/>
  <c r="AI839" i="6" s="1"/>
  <c r="AI840" i="6" s="1"/>
  <c r="AI841" i="6" s="1"/>
  <c r="AI842" i="6" s="1"/>
  <c r="AI843" i="6" s="1"/>
  <c r="AI844" i="6" s="1"/>
  <c r="AI845" i="6" s="1"/>
  <c r="AI846" i="6" s="1"/>
  <c r="AI847" i="6" s="1"/>
  <c r="AI848" i="6" s="1"/>
  <c r="AI849" i="6" s="1"/>
  <c r="AI850" i="6" s="1"/>
  <c r="AI851" i="6" s="1"/>
  <c r="AI852" i="6" s="1"/>
  <c r="AI853" i="6" s="1"/>
  <c r="AI854" i="6" s="1"/>
  <c r="AI855" i="6" s="1"/>
  <c r="AI856" i="6" s="1"/>
  <c r="AI857" i="6" s="1"/>
  <c r="AI858" i="6" s="1"/>
  <c r="AI859" i="6" s="1"/>
  <c r="AI860" i="6" s="1"/>
  <c r="AI861" i="6" s="1"/>
  <c r="AI862" i="6" s="1"/>
  <c r="AI863" i="6" s="1"/>
  <c r="AI864" i="6" s="1"/>
  <c r="AI865" i="6" s="1"/>
  <c r="AI866" i="6" s="1"/>
  <c r="AI867" i="6" s="1"/>
  <c r="AI868" i="6" s="1"/>
  <c r="AI869" i="6" s="1"/>
  <c r="AI870" i="6" s="1"/>
  <c r="AI871" i="6" s="1"/>
  <c r="AI872" i="6" s="1"/>
  <c r="AI873" i="6" s="1"/>
  <c r="AI874" i="6" s="1"/>
  <c r="AI875" i="6" s="1"/>
  <c r="AI876" i="6" s="1"/>
  <c r="AI877" i="6" s="1"/>
  <c r="AI878" i="6" s="1"/>
  <c r="AI879" i="6" s="1"/>
  <c r="AI880" i="6" s="1"/>
  <c r="AI881" i="6" s="1"/>
  <c r="AI882" i="6" s="1"/>
  <c r="AI883" i="6" s="1"/>
  <c r="AI884" i="6" s="1"/>
  <c r="AI885" i="6" s="1"/>
  <c r="AI886" i="6" s="1"/>
  <c r="AI887" i="6" s="1"/>
  <c r="AI888" i="6" s="1"/>
  <c r="AI889" i="6" s="1"/>
  <c r="AI890" i="6" s="1"/>
  <c r="AI891" i="6" s="1"/>
  <c r="AI892" i="6" s="1"/>
  <c r="AI893" i="6" s="1"/>
  <c r="AI894" i="6" s="1"/>
  <c r="AI895" i="6" s="1"/>
  <c r="AI896" i="6" s="1"/>
  <c r="AI897" i="6" s="1"/>
  <c r="AI898" i="6" s="1"/>
  <c r="AI899" i="6" s="1"/>
  <c r="AI900" i="6" s="1"/>
  <c r="AI901" i="6" s="1"/>
  <c r="AI902" i="6" s="1"/>
  <c r="AI903" i="6" s="1"/>
  <c r="AI904" i="6" s="1"/>
  <c r="AI905" i="6" s="1"/>
  <c r="AI906" i="6" s="1"/>
  <c r="AI907" i="6" s="1"/>
  <c r="AI908" i="6" s="1"/>
  <c r="AI909" i="6" s="1"/>
  <c r="AI910" i="6" s="1"/>
  <c r="AI911" i="6" s="1"/>
  <c r="AI912" i="6" s="1"/>
  <c r="AI913" i="6" s="1"/>
  <c r="AI914" i="6" s="1"/>
  <c r="AI915" i="6" s="1"/>
  <c r="AI916" i="6" s="1"/>
  <c r="AI917" i="6" s="1"/>
  <c r="AI918" i="6" s="1"/>
  <c r="AI919" i="6" s="1"/>
  <c r="AI920" i="6" s="1"/>
  <c r="AI921" i="6" s="1"/>
  <c r="AI922" i="6" s="1"/>
  <c r="AI923" i="6" s="1"/>
  <c r="AI924" i="6" s="1"/>
  <c r="AI925" i="6" s="1"/>
  <c r="AI926" i="6" s="1"/>
  <c r="AI927" i="6" s="1"/>
  <c r="AI928" i="6" s="1"/>
  <c r="AI929" i="6" s="1"/>
  <c r="AI930" i="6" s="1"/>
  <c r="AI931" i="6" s="1"/>
  <c r="AI932" i="6" s="1"/>
  <c r="AI933" i="6" s="1"/>
  <c r="AI934" i="6" s="1"/>
  <c r="AI935" i="6" s="1"/>
  <c r="AI936" i="6" s="1"/>
  <c r="AI937" i="6" s="1"/>
  <c r="AI938" i="6" s="1"/>
  <c r="AI939" i="6" s="1"/>
  <c r="AI940" i="6" s="1"/>
  <c r="AI941" i="6" s="1"/>
  <c r="AI942" i="6" s="1"/>
  <c r="AI943" i="6" s="1"/>
  <c r="AI944" i="6" s="1"/>
  <c r="AI945" i="6" s="1"/>
  <c r="AI946" i="6" s="1"/>
  <c r="AI947" i="6" s="1"/>
  <c r="AI948" i="6" s="1"/>
  <c r="AI949" i="6" s="1"/>
  <c r="AI950" i="6" s="1"/>
  <c r="AI951" i="6" s="1"/>
  <c r="AI952" i="6" s="1"/>
  <c r="AI953" i="6" s="1"/>
  <c r="AI954" i="6" s="1"/>
  <c r="AI955" i="6" s="1"/>
  <c r="AI956" i="6" s="1"/>
  <c r="AI957" i="6" s="1"/>
  <c r="AI958" i="6" s="1"/>
  <c r="AI959" i="6" s="1"/>
  <c r="AI960" i="6" s="1"/>
  <c r="AI961" i="6" s="1"/>
  <c r="AI962" i="6" s="1"/>
  <c r="AI963" i="6" s="1"/>
  <c r="AI964" i="6" s="1"/>
  <c r="AI965" i="6" s="1"/>
  <c r="AI966" i="6" s="1"/>
  <c r="AI967" i="6" s="1"/>
  <c r="AI968" i="6" s="1"/>
  <c r="AI969" i="6" s="1"/>
  <c r="AI970" i="6" s="1"/>
  <c r="AI971" i="6" s="1"/>
  <c r="AI972" i="6" s="1"/>
  <c r="AI973" i="6" s="1"/>
  <c r="AI974" i="6" s="1"/>
  <c r="AI975" i="6" s="1"/>
  <c r="AI976" i="6" s="1"/>
  <c r="AI977" i="6" s="1"/>
  <c r="AI978" i="6" s="1"/>
  <c r="AI979" i="6" s="1"/>
  <c r="AI980" i="6" s="1"/>
  <c r="AI981" i="6" s="1"/>
  <c r="AI982" i="6" s="1"/>
  <c r="AI983" i="6" s="1"/>
  <c r="AI984" i="6" s="1"/>
  <c r="AI985" i="6" s="1"/>
  <c r="AI986" i="6" s="1"/>
  <c r="AI987" i="6" s="1"/>
  <c r="AI988" i="6" s="1"/>
  <c r="AI989" i="6" s="1"/>
  <c r="AI990" i="6" s="1"/>
  <c r="AI991" i="6" s="1"/>
  <c r="AI992" i="6" s="1"/>
  <c r="AI993" i="6" s="1"/>
  <c r="AI994" i="6" s="1"/>
  <c r="AI995" i="6" s="1"/>
  <c r="AI996" i="6" s="1"/>
  <c r="AI997" i="6" s="1"/>
  <c r="AI998" i="6" s="1"/>
  <c r="AI999" i="6" s="1"/>
  <c r="AI1000" i="6" s="1"/>
  <c r="AI1001" i="6" s="1"/>
  <c r="AI1002" i="6" s="1"/>
  <c r="AI1003" i="6" s="1"/>
  <c r="AI1004" i="6" s="1"/>
  <c r="AI1005" i="6" s="1"/>
  <c r="AI1006" i="6" s="1"/>
  <c r="AI1007" i="6" s="1"/>
  <c r="AI1008" i="6" s="1"/>
  <c r="AI1009" i="6" s="1"/>
  <c r="AI1010" i="6" s="1"/>
  <c r="AI1011" i="6" s="1"/>
  <c r="AI1012" i="6" s="1"/>
  <c r="AI1013" i="6" s="1"/>
  <c r="AI1014" i="6" s="1"/>
  <c r="AI1015" i="6" s="1"/>
  <c r="AI1016" i="6" s="1"/>
  <c r="AI1017" i="6" s="1"/>
  <c r="AI1018" i="6" s="1"/>
  <c r="AI1019" i="6" s="1"/>
  <c r="AI1020" i="6" s="1"/>
  <c r="AI1021" i="6" s="1"/>
  <c r="AI1022" i="6" s="1"/>
  <c r="AI1023" i="6" s="1"/>
  <c r="AI1024" i="6" s="1"/>
  <c r="AI1025" i="6" s="1"/>
  <c r="AI1026" i="6" s="1"/>
  <c r="AI1027" i="6" s="1"/>
  <c r="AI1028" i="6" s="1"/>
  <c r="AI1029" i="6" s="1"/>
  <c r="AA6" i="6"/>
  <c r="AH9" i="6"/>
  <c r="AC7" i="6" l="1"/>
  <c r="AD7" i="6" s="1"/>
  <c r="S6" i="6"/>
  <c r="AA7" i="6"/>
  <c r="AA8" i="6"/>
  <c r="AA9" i="6"/>
  <c r="AH10" i="6"/>
  <c r="AC8" i="6" l="1"/>
  <c r="AD8" i="6" s="1"/>
  <c r="AE7" i="6"/>
  <c r="AF7" i="6" s="1"/>
  <c r="AG7" i="6" s="1"/>
  <c r="S7" i="6"/>
  <c r="AA10" i="6"/>
  <c r="AH11" i="6"/>
  <c r="AC9" i="6" l="1"/>
  <c r="AC10" i="6" s="1"/>
  <c r="AE8" i="6"/>
  <c r="AF8" i="6" s="1"/>
  <c r="AG8" i="6" s="1"/>
  <c r="S8" i="6"/>
  <c r="AA11" i="6"/>
  <c r="AH12" i="6"/>
  <c r="AD9" i="6" l="1"/>
  <c r="AE9" i="6" s="1"/>
  <c r="AF9" i="6" s="1"/>
  <c r="AG9" i="6" s="1"/>
  <c r="AA12" i="6"/>
  <c r="AH13" i="6"/>
  <c r="AD10" i="6"/>
  <c r="AC11" i="6"/>
  <c r="S9" i="6" l="1"/>
  <c r="AE10" i="6"/>
  <c r="AF10" i="6" s="1"/>
  <c r="AG10" i="6" s="1"/>
  <c r="S10" i="6"/>
  <c r="AC12" i="6"/>
  <c r="AD11" i="6"/>
  <c r="AA13" i="6"/>
  <c r="AH14" i="6"/>
  <c r="AE11" i="6" l="1"/>
  <c r="AF11" i="6" s="1"/>
  <c r="AG11" i="6" s="1"/>
  <c r="S11" i="6"/>
  <c r="AA14" i="6"/>
  <c r="AH15" i="6"/>
  <c r="AD12" i="6"/>
  <c r="AC13" i="6"/>
  <c r="AE12" i="6" l="1"/>
  <c r="AF12" i="6" s="1"/>
  <c r="AG12" i="6" s="1"/>
  <c r="S12" i="6"/>
  <c r="AD13" i="6"/>
  <c r="AC14" i="6"/>
  <c r="AA15" i="6"/>
  <c r="AH16" i="6"/>
  <c r="AE13" i="6" l="1"/>
  <c r="AF13" i="6" s="1"/>
  <c r="AG13" i="6" s="1"/>
  <c r="S13" i="6"/>
  <c r="AA16" i="6"/>
  <c r="AH17" i="6"/>
  <c r="AD14" i="6"/>
  <c r="AC15" i="6"/>
  <c r="AE14" i="6" l="1"/>
  <c r="AF14" i="6" s="1"/>
  <c r="AG14" i="6" s="1"/>
  <c r="S14" i="6"/>
  <c r="AD15" i="6"/>
  <c r="AC16" i="6"/>
  <c r="S16" i="6" s="1"/>
  <c r="AA17" i="6"/>
  <c r="AH18" i="6"/>
  <c r="AE15" i="6" l="1"/>
  <c r="AF15" i="6" s="1"/>
  <c r="AG15" i="6" s="1"/>
  <c r="S15" i="6"/>
  <c r="AC17" i="6"/>
  <c r="AD16" i="6"/>
  <c r="AA18" i="6"/>
  <c r="AH19" i="6"/>
  <c r="AE16" i="6" l="1"/>
  <c r="AF16" i="6" s="1"/>
  <c r="AG16" i="6" s="1"/>
  <c r="AA19" i="6"/>
  <c r="AH20" i="6"/>
  <c r="AD17" i="6"/>
  <c r="AC18" i="6"/>
  <c r="AE17" i="6" l="1"/>
  <c r="AF17" i="6" s="1"/>
  <c r="AG17" i="6" s="1"/>
  <c r="S17" i="6"/>
  <c r="AA20" i="6"/>
  <c r="AH21" i="6"/>
  <c r="AD18" i="6"/>
  <c r="AC19" i="6"/>
  <c r="AE18" i="6" l="1"/>
  <c r="AF18" i="6" s="1"/>
  <c r="AG18" i="6" s="1"/>
  <c r="S18" i="6"/>
  <c r="AD19" i="6"/>
  <c r="AC20" i="6"/>
  <c r="AA21" i="6"/>
  <c r="AH22" i="6"/>
  <c r="AE19" i="6" l="1"/>
  <c r="AF19" i="6" s="1"/>
  <c r="AG19" i="6" s="1"/>
  <c r="S19" i="6"/>
  <c r="AD20" i="6"/>
  <c r="AC21" i="6"/>
  <c r="S21" i="6" s="1"/>
  <c r="AA22" i="6"/>
  <c r="AH23" i="6"/>
  <c r="AE20" i="6" l="1"/>
  <c r="AF20" i="6" s="1"/>
  <c r="AG20" i="6" s="1"/>
  <c r="S20" i="6"/>
  <c r="AA23" i="6"/>
  <c r="AH24" i="6"/>
  <c r="AC22" i="6"/>
  <c r="AD21" i="6"/>
  <c r="AE21" i="6" l="1"/>
  <c r="AF21" i="6" s="1"/>
  <c r="AG21" i="6" s="1"/>
  <c r="AD22" i="6"/>
  <c r="AC23" i="6"/>
  <c r="AA24" i="6"/>
  <c r="AH25" i="6"/>
  <c r="AE22" i="6" l="1"/>
  <c r="AF22" i="6" s="1"/>
  <c r="AG22" i="6" s="1"/>
  <c r="S22" i="6"/>
  <c r="AA25" i="6"/>
  <c r="AH26" i="6"/>
  <c r="AC24" i="6"/>
  <c r="AD23" i="6"/>
  <c r="AE23" i="6" l="1"/>
  <c r="AF23" i="6" s="1"/>
  <c r="AG23" i="6" s="1"/>
  <c r="S23" i="6"/>
  <c r="AA26" i="6"/>
  <c r="AH27" i="6"/>
  <c r="AD24" i="6"/>
  <c r="AC25" i="6"/>
  <c r="AE24" i="6" l="1"/>
  <c r="AF24" i="6" s="1"/>
  <c r="AG24" i="6" s="1"/>
  <c r="S24" i="6"/>
  <c r="AD25" i="6"/>
  <c r="AC26" i="6"/>
  <c r="AA27" i="6"/>
  <c r="AH28" i="6"/>
  <c r="AE25" i="6" l="1"/>
  <c r="AF25" i="6" s="1"/>
  <c r="AG25" i="6" s="1"/>
  <c r="S25" i="6"/>
  <c r="AA28" i="6"/>
  <c r="AH29" i="6"/>
  <c r="AD26" i="6"/>
  <c r="AC27" i="6"/>
  <c r="AE26" i="6" l="1"/>
  <c r="AF26" i="6" s="1"/>
  <c r="AG26" i="6" s="1"/>
  <c r="S26" i="6"/>
  <c r="AD27" i="6"/>
  <c r="AC28" i="6"/>
  <c r="AA29" i="6"/>
  <c r="AH30" i="6"/>
  <c r="AE27" i="6" l="1"/>
  <c r="AF27" i="6" s="1"/>
  <c r="AG27" i="6" s="1"/>
  <c r="S27" i="6"/>
  <c r="AA30" i="6"/>
  <c r="AH31" i="6"/>
  <c r="AC29" i="6"/>
  <c r="AD28" i="6"/>
  <c r="AE28" i="6" l="1"/>
  <c r="AF28" i="6" s="1"/>
  <c r="AG28" i="6" s="1"/>
  <c r="S28" i="6"/>
  <c r="AA31" i="6"/>
  <c r="AH32" i="6"/>
  <c r="AD29" i="6"/>
  <c r="AC30" i="6"/>
  <c r="S30" i="6" s="1"/>
  <c r="AE29" i="6" l="1"/>
  <c r="AF29" i="6" s="1"/>
  <c r="AG29" i="6" s="1"/>
  <c r="S29" i="6"/>
  <c r="AD30" i="6"/>
  <c r="AC31" i="6"/>
  <c r="S31" i="6" s="1"/>
  <c r="AA32" i="6"/>
  <c r="AH33" i="6"/>
  <c r="AE30" i="6" l="1"/>
  <c r="AF30" i="6" s="1"/>
  <c r="AG30" i="6" s="1"/>
  <c r="AA33" i="6"/>
  <c r="AH34" i="6"/>
  <c r="AD31" i="6"/>
  <c r="AC32" i="6"/>
  <c r="AE31" i="6" l="1"/>
  <c r="AF31" i="6" s="1"/>
  <c r="AG31" i="6" s="1"/>
  <c r="AA34" i="6"/>
  <c r="AH35" i="6"/>
  <c r="AD32" i="6"/>
  <c r="AC33" i="6"/>
  <c r="AE32" i="6" l="1"/>
  <c r="AF32" i="6" s="1"/>
  <c r="AG32" i="6" s="1"/>
  <c r="S32" i="6"/>
  <c r="AA35" i="6"/>
  <c r="AH36" i="6"/>
  <c r="AD33" i="6"/>
  <c r="AE33" i="6" s="1"/>
  <c r="AC34" i="6"/>
  <c r="AF33" i="6" l="1"/>
  <c r="AG33" i="6" s="1"/>
  <c r="S33" i="6"/>
  <c r="AD34" i="6"/>
  <c r="AE34" i="6" s="1"/>
  <c r="AC35" i="6"/>
  <c r="AA36" i="6"/>
  <c r="AH37" i="6"/>
  <c r="AF34" i="6" l="1"/>
  <c r="AG34" i="6" s="1"/>
  <c r="S34" i="6"/>
  <c r="AA37" i="6"/>
  <c r="AH38" i="6"/>
  <c r="AC36" i="6"/>
  <c r="AD35" i="6"/>
  <c r="AE35" i="6" s="1"/>
  <c r="AF35" i="6" l="1"/>
  <c r="AG35" i="6" s="1"/>
  <c r="S35" i="6"/>
  <c r="AD36" i="6"/>
  <c r="AE36" i="6" s="1"/>
  <c r="AC37" i="6"/>
  <c r="AA38" i="6"/>
  <c r="AH39" i="6"/>
  <c r="G21" i="3"/>
  <c r="G22" i="3"/>
  <c r="G20" i="3"/>
  <c r="G27" i="3"/>
  <c r="G18" i="3"/>
  <c r="G24" i="3"/>
  <c r="G9" i="3"/>
  <c r="G17" i="3"/>
  <c r="G25" i="3"/>
  <c r="G15" i="3"/>
  <c r="G14" i="3"/>
  <c r="G23" i="3"/>
  <c r="G28" i="3"/>
  <c r="G26" i="3"/>
  <c r="G12" i="3"/>
  <c r="G10" i="3"/>
  <c r="G11" i="3"/>
  <c r="G19" i="3"/>
  <c r="G13" i="3"/>
  <c r="G16" i="3"/>
  <c r="C27" i="3"/>
  <c r="C25" i="3"/>
  <c r="C17" i="3"/>
  <c r="C21" i="3"/>
  <c r="C12" i="3"/>
  <c r="C20" i="3"/>
  <c r="C11" i="3"/>
  <c r="C26" i="3"/>
  <c r="C18" i="3"/>
  <c r="C9" i="3"/>
  <c r="C14" i="3"/>
  <c r="C22" i="3"/>
  <c r="C23" i="3"/>
  <c r="C10" i="3"/>
  <c r="C15" i="3"/>
  <c r="C19" i="3"/>
  <c r="C13" i="3"/>
  <c r="C16" i="3"/>
  <c r="C24" i="3"/>
  <c r="AF36" i="6" l="1"/>
  <c r="AG36" i="6" s="1"/>
  <c r="S36" i="6"/>
  <c r="AA39" i="6"/>
  <c r="AH40" i="6"/>
  <c r="AD37" i="6"/>
  <c r="AE37" i="6" s="1"/>
  <c r="AC38" i="6"/>
  <c r="AF37" i="6" l="1"/>
  <c r="AG37" i="6" s="1"/>
  <c r="S37" i="6"/>
  <c r="AD38" i="6"/>
  <c r="AE38" i="6" s="1"/>
  <c r="AC39" i="6"/>
  <c r="AA40" i="6"/>
  <c r="AH41" i="6"/>
  <c r="AF38" i="6" l="1"/>
  <c r="AG38" i="6" s="1"/>
  <c r="S38" i="6"/>
  <c r="AA41" i="6"/>
  <c r="AH42" i="6"/>
  <c r="AD39" i="6"/>
  <c r="AE39" i="6" s="1"/>
  <c r="AC40" i="6"/>
  <c r="AF39" i="6" l="1"/>
  <c r="AG39" i="6" s="1"/>
  <c r="S39" i="6"/>
  <c r="AC41" i="6"/>
  <c r="AD40" i="6"/>
  <c r="AE40" i="6" s="1"/>
  <c r="AA42" i="6"/>
  <c r="AH43" i="6"/>
  <c r="AF40" i="6" l="1"/>
  <c r="AG40" i="6" s="1"/>
  <c r="S40" i="6"/>
  <c r="AA43" i="6"/>
  <c r="AH44" i="6"/>
  <c r="AD41" i="6"/>
  <c r="AE41" i="6" s="1"/>
  <c r="AF41" i="6" s="1"/>
  <c r="AC42" i="6"/>
  <c r="AG41" i="6" l="1"/>
  <c r="S41" i="6"/>
  <c r="AA44" i="6"/>
  <c r="AH45" i="6"/>
  <c r="AD42" i="6"/>
  <c r="AE42" i="6" s="1"/>
  <c r="AC43" i="6"/>
  <c r="AF42" i="6" l="1"/>
  <c r="AG42" i="6" s="1"/>
  <c r="S42" i="6"/>
  <c r="AD43" i="6"/>
  <c r="AE43" i="6" s="1"/>
  <c r="AC44" i="6"/>
  <c r="AA45" i="6"/>
  <c r="AH46" i="6"/>
  <c r="AF43" i="6" l="1"/>
  <c r="AG43" i="6" s="1"/>
  <c r="S43" i="6"/>
  <c r="AA46" i="6"/>
  <c r="AH47" i="6"/>
  <c r="AD44" i="6"/>
  <c r="AE44" i="6" s="1"/>
  <c r="AF44" i="6" s="1"/>
  <c r="AC45" i="6"/>
  <c r="AG44" i="6" l="1"/>
  <c r="S44" i="6"/>
  <c r="AD45" i="6"/>
  <c r="AE45" i="6" s="1"/>
  <c r="AF45" i="6" s="1"/>
  <c r="AC46" i="6"/>
  <c r="AA47" i="6"/>
  <c r="AH48" i="6"/>
  <c r="AG45" i="6" l="1"/>
  <c r="S45" i="6"/>
  <c r="AA48" i="6"/>
  <c r="AH49" i="6"/>
  <c r="AD46" i="6"/>
  <c r="AE46" i="6" s="1"/>
  <c r="AF46" i="6" s="1"/>
  <c r="AC47" i="6"/>
  <c r="AG46" i="6" l="1"/>
  <c r="S46" i="6"/>
  <c r="AC48" i="6"/>
  <c r="AD47" i="6"/>
  <c r="AE47" i="6" s="1"/>
  <c r="AF47" i="6" s="1"/>
  <c r="AA49" i="6"/>
  <c r="AH50" i="6"/>
  <c r="AG47" i="6" l="1"/>
  <c r="S47" i="6"/>
  <c r="AA50" i="6"/>
  <c r="AH51" i="6"/>
  <c r="AD48" i="6"/>
  <c r="AE48" i="6" s="1"/>
  <c r="AF48" i="6" s="1"/>
  <c r="AC49" i="6"/>
  <c r="AG48" i="6" l="1"/>
  <c r="S48" i="6"/>
  <c r="AD49" i="6"/>
  <c r="AE49" i="6" s="1"/>
  <c r="AF49" i="6" s="1"/>
  <c r="AG49" i="6" s="1"/>
  <c r="S49" i="6" s="1"/>
  <c r="AC50" i="6"/>
  <c r="AA51" i="6"/>
  <c r="AH52" i="6"/>
  <c r="AA52" i="6" l="1"/>
  <c r="AH53" i="6"/>
  <c r="AD50" i="6"/>
  <c r="AE50" i="6" s="1"/>
  <c r="AF50" i="6" s="1"/>
  <c r="AG50" i="6" s="1"/>
  <c r="S50" i="6" s="1"/>
  <c r="AC51" i="6"/>
  <c r="AD51" i="6" l="1"/>
  <c r="AC52" i="6"/>
  <c r="AA53" i="6"/>
  <c r="AH54" i="6"/>
  <c r="AE51" i="6" l="1"/>
  <c r="AF51" i="6" s="1"/>
  <c r="AG51" i="6" s="1"/>
  <c r="S51" i="6"/>
  <c r="AC53" i="6"/>
  <c r="AD52" i="6"/>
  <c r="AE52" i="6" s="1"/>
  <c r="AA54" i="6"/>
  <c r="AH55" i="6"/>
  <c r="AF52" i="6" l="1"/>
  <c r="AG52" i="6" s="1"/>
  <c r="S52" i="6"/>
  <c r="AA55" i="6"/>
  <c r="AH56" i="6"/>
  <c r="AD53" i="6"/>
  <c r="AE53" i="6" s="1"/>
  <c r="AC54" i="6"/>
  <c r="AF53" i="6" l="1"/>
  <c r="AG53" i="6" s="1"/>
  <c r="S53" i="6"/>
  <c r="AA56" i="6"/>
  <c r="AH57" i="6"/>
  <c r="AD54" i="6"/>
  <c r="AE54" i="6" s="1"/>
  <c r="AC55" i="6"/>
  <c r="AF54" i="6" l="1"/>
  <c r="AG54" i="6" s="1"/>
  <c r="S54" i="6"/>
  <c r="AA57" i="6"/>
  <c r="AH58" i="6"/>
  <c r="AD55" i="6"/>
  <c r="AE55" i="6" s="1"/>
  <c r="AC56" i="6"/>
  <c r="AF55" i="6" l="1"/>
  <c r="AG55" i="6" s="1"/>
  <c r="S55" i="6"/>
  <c r="AD56" i="6"/>
  <c r="AE56" i="6" s="1"/>
  <c r="AC57" i="6"/>
  <c r="AA58" i="6"/>
  <c r="AH59" i="6"/>
  <c r="AF56" i="6" l="1"/>
  <c r="AG56" i="6" s="1"/>
  <c r="S56" i="6"/>
  <c r="AA59" i="6"/>
  <c r="AH60" i="6"/>
  <c r="AD57" i="6"/>
  <c r="AE57" i="6" s="1"/>
  <c r="AC58" i="6"/>
  <c r="AF57" i="6" l="1"/>
  <c r="AG57" i="6" s="1"/>
  <c r="S57" i="6"/>
  <c r="AD58" i="6"/>
  <c r="AE58" i="6" s="1"/>
  <c r="AC59" i="6"/>
  <c r="AA60" i="6"/>
  <c r="AH61" i="6"/>
  <c r="AF58" i="6" l="1"/>
  <c r="AG58" i="6" s="1"/>
  <c r="S58" i="6"/>
  <c r="AA61" i="6"/>
  <c r="AH62" i="6"/>
  <c r="AC60" i="6"/>
  <c r="AD59" i="6"/>
  <c r="AE59" i="6" s="1"/>
  <c r="AF59" i="6" l="1"/>
  <c r="AG59" i="6" s="1"/>
  <c r="S59" i="6"/>
  <c r="AD60" i="6"/>
  <c r="AE60" i="6" s="1"/>
  <c r="AC61" i="6"/>
  <c r="AA62" i="6"/>
  <c r="AH63" i="6"/>
  <c r="AF60" i="6" l="1"/>
  <c r="AG60" i="6" s="1"/>
  <c r="S60" i="6"/>
  <c r="AA63" i="6"/>
  <c r="AH64" i="6"/>
  <c r="AD61" i="6"/>
  <c r="AE61" i="6" s="1"/>
  <c r="AC62" i="6"/>
  <c r="AF61" i="6" l="1"/>
  <c r="AG61" i="6" s="1"/>
  <c r="S61" i="6"/>
  <c r="AD62" i="6"/>
  <c r="AE62" i="6" s="1"/>
  <c r="AC63" i="6"/>
  <c r="AA64" i="6"/>
  <c r="AH65" i="6"/>
  <c r="AF62" i="6" l="1"/>
  <c r="AG62" i="6" s="1"/>
  <c r="S62" i="6"/>
  <c r="AA65" i="6"/>
  <c r="AH66" i="6"/>
  <c r="AD63" i="6"/>
  <c r="AE63" i="6" s="1"/>
  <c r="AC64" i="6"/>
  <c r="AF63" i="6" l="1"/>
  <c r="AG63" i="6" s="1"/>
  <c r="S63" i="6"/>
  <c r="AC65" i="6"/>
  <c r="AD64" i="6"/>
  <c r="AA66" i="6"/>
  <c r="AH67" i="6"/>
  <c r="AE64" i="6" l="1"/>
  <c r="AF64" i="6" s="1"/>
  <c r="AG64" i="6" s="1"/>
  <c r="S64" i="6"/>
  <c r="AA67" i="6"/>
  <c r="AH68" i="6"/>
  <c r="AD65" i="6"/>
  <c r="AE65" i="6" s="1"/>
  <c r="AF65" i="6" s="1"/>
  <c r="AC66" i="6"/>
  <c r="S66" i="6" s="1"/>
  <c r="AG65" i="6" l="1"/>
  <c r="S65" i="6"/>
  <c r="AD66" i="6"/>
  <c r="AE66" i="6" s="1"/>
  <c r="AF66" i="6" s="1"/>
  <c r="AG66" i="6" s="1"/>
  <c r="AC67" i="6"/>
  <c r="AA68" i="6"/>
  <c r="AH69" i="6"/>
  <c r="AA69" i="6" l="1"/>
  <c r="AH70" i="6"/>
  <c r="AC68" i="6"/>
  <c r="AD67" i="6"/>
  <c r="AE67" i="6" l="1"/>
  <c r="AF67" i="6" s="1"/>
  <c r="AG67" i="6" s="1"/>
  <c r="S67" i="6"/>
  <c r="AA70" i="6"/>
  <c r="AH71" i="6"/>
  <c r="AD68" i="6"/>
  <c r="AC69" i="6"/>
  <c r="AE68" i="6" l="1"/>
  <c r="AF68" i="6" s="1"/>
  <c r="AG68" i="6" s="1"/>
  <c r="S68" i="6"/>
  <c r="AD69" i="6"/>
  <c r="AC70" i="6"/>
  <c r="AA71" i="6"/>
  <c r="AH72" i="6"/>
  <c r="AE69" i="6" l="1"/>
  <c r="AF69" i="6" s="1"/>
  <c r="AG69" i="6" s="1"/>
  <c r="S69" i="6"/>
  <c r="AA72" i="6"/>
  <c r="AH73" i="6"/>
  <c r="AD70" i="6"/>
  <c r="AC71" i="6"/>
  <c r="AE70" i="6" l="1"/>
  <c r="AF70" i="6" s="1"/>
  <c r="AG70" i="6" s="1"/>
  <c r="S70" i="6"/>
  <c r="AA73" i="6"/>
  <c r="AH74" i="6"/>
  <c r="AC72" i="6"/>
  <c r="AD71" i="6"/>
  <c r="AE71" i="6" s="1"/>
  <c r="AF71" i="6" l="1"/>
  <c r="AG71" i="6" s="1"/>
  <c r="S71" i="6"/>
  <c r="AC73" i="6"/>
  <c r="S73" i="6" s="1"/>
  <c r="AD72" i="6"/>
  <c r="AA74" i="6"/>
  <c r="AH75" i="6"/>
  <c r="AE72" i="6" l="1"/>
  <c r="AF72" i="6" s="1"/>
  <c r="AG72" i="6" s="1"/>
  <c r="S72" i="6"/>
  <c r="AA75" i="6"/>
  <c r="AH76" i="6"/>
  <c r="AD73" i="6"/>
  <c r="AE73" i="6" s="1"/>
  <c r="AF73" i="6" s="1"/>
  <c r="AG73" i="6" s="1"/>
  <c r="AC74" i="6"/>
  <c r="AD74" i="6" l="1"/>
  <c r="AC75" i="6"/>
  <c r="S75" i="6" s="1"/>
  <c r="AA76" i="6"/>
  <c r="AH77" i="6"/>
  <c r="AE74" i="6" l="1"/>
  <c r="AF74" i="6" s="1"/>
  <c r="AG74" i="6" s="1"/>
  <c r="S74" i="6"/>
  <c r="AA77" i="6"/>
  <c r="AH78" i="6"/>
  <c r="AD75" i="6"/>
  <c r="AC76" i="6"/>
  <c r="AE75" i="6" l="1"/>
  <c r="AF75" i="6" s="1"/>
  <c r="AG75" i="6" s="1"/>
  <c r="AA78" i="6"/>
  <c r="AH79" i="6"/>
  <c r="AD76" i="6"/>
  <c r="AC77" i="6"/>
  <c r="AE76" i="6" l="1"/>
  <c r="AF76" i="6" s="1"/>
  <c r="AG76" i="6" s="1"/>
  <c r="S76" i="6"/>
  <c r="AA79" i="6"/>
  <c r="AH80" i="6"/>
  <c r="AD77" i="6"/>
  <c r="AC78" i="6"/>
  <c r="AE77" i="6" l="1"/>
  <c r="AF77" i="6" s="1"/>
  <c r="AG77" i="6" s="1"/>
  <c r="S77" i="6"/>
  <c r="AA80" i="6"/>
  <c r="AH81" i="6"/>
  <c r="AD78" i="6"/>
  <c r="AC79" i="6"/>
  <c r="S79" i="6" s="1"/>
  <c r="AE78" i="6" l="1"/>
  <c r="AF78" i="6" s="1"/>
  <c r="AG78" i="6" s="1"/>
  <c r="S78" i="6"/>
  <c r="AC80" i="6"/>
  <c r="AD79" i="6"/>
  <c r="AE79" i="6" s="1"/>
  <c r="AF79" i="6" s="1"/>
  <c r="AG79" i="6" s="1"/>
  <c r="AA81" i="6"/>
  <c r="AH82" i="6"/>
  <c r="AA82" i="6" l="1"/>
  <c r="AH83" i="6"/>
  <c r="AD80" i="6"/>
  <c r="AC81" i="6"/>
  <c r="S81" i="6" s="1"/>
  <c r="AE80" i="6" l="1"/>
  <c r="AF80" i="6" s="1"/>
  <c r="AG80" i="6" s="1"/>
  <c r="S80" i="6"/>
  <c r="AH84" i="6"/>
  <c r="AA83" i="6"/>
  <c r="AC82" i="6"/>
  <c r="AD81" i="6"/>
  <c r="AE81" i="6" l="1"/>
  <c r="AF81" i="6" s="1"/>
  <c r="AG81" i="6" s="1"/>
  <c r="AD82" i="6"/>
  <c r="AC83" i="6"/>
  <c r="AA84" i="6"/>
  <c r="AH85" i="6"/>
  <c r="AE82" i="6" l="1"/>
  <c r="AF82" i="6" s="1"/>
  <c r="AG82" i="6" s="1"/>
  <c r="S82" i="6"/>
  <c r="AA85" i="6"/>
  <c r="AH86" i="6"/>
  <c r="AD83" i="6"/>
  <c r="AC84" i="6"/>
  <c r="AE83" i="6" l="1"/>
  <c r="AF83" i="6" s="1"/>
  <c r="AG83" i="6" s="1"/>
  <c r="S83" i="6"/>
  <c r="AA86" i="6"/>
  <c r="AH87" i="6"/>
  <c r="AD84" i="6"/>
  <c r="AC85" i="6"/>
  <c r="AE84" i="6" l="1"/>
  <c r="AF84" i="6" s="1"/>
  <c r="AG84" i="6" s="1"/>
  <c r="S84" i="6"/>
  <c r="AD85" i="6"/>
  <c r="AC86" i="6"/>
  <c r="AA87" i="6"/>
  <c r="AH88" i="6"/>
  <c r="AE85" i="6" l="1"/>
  <c r="AF85" i="6" s="1"/>
  <c r="AG85" i="6" s="1"/>
  <c r="S85" i="6"/>
  <c r="AA88" i="6"/>
  <c r="AH89" i="6"/>
  <c r="AC87" i="6"/>
  <c r="S87" i="6" s="1"/>
  <c r="AD86" i="6"/>
  <c r="AE86" i="6" l="1"/>
  <c r="AF86" i="6" s="1"/>
  <c r="AG86" i="6" s="1"/>
  <c r="S86" i="6"/>
  <c r="AD87" i="6"/>
  <c r="AC88" i="6"/>
  <c r="AA89" i="6"/>
  <c r="AH90" i="6"/>
  <c r="AE87" i="6" l="1"/>
  <c r="AF87" i="6" s="1"/>
  <c r="AG87" i="6" s="1"/>
  <c r="AA90" i="6"/>
  <c r="AH91" i="6"/>
  <c r="AC89" i="6"/>
  <c r="AD88" i="6"/>
  <c r="AE88" i="6" l="1"/>
  <c r="AF88" i="6" s="1"/>
  <c r="AG88" i="6" s="1"/>
  <c r="S88" i="6"/>
  <c r="AD89" i="6"/>
  <c r="AC90" i="6"/>
  <c r="S90" i="6" s="1"/>
  <c r="AA91" i="6"/>
  <c r="AH92" i="6"/>
  <c r="AE89" i="6" l="1"/>
  <c r="AF89" i="6" s="1"/>
  <c r="AG89" i="6" s="1"/>
  <c r="S89" i="6"/>
  <c r="AA92" i="6"/>
  <c r="AH93" i="6"/>
  <c r="AD90" i="6"/>
  <c r="AC91" i="6"/>
  <c r="S91" i="6" s="1"/>
  <c r="AE90" i="6" l="1"/>
  <c r="AF90" i="6" s="1"/>
  <c r="AG90" i="6" s="1"/>
  <c r="AA93" i="6"/>
  <c r="AH94" i="6"/>
  <c r="AC92" i="6"/>
  <c r="AD91" i="6"/>
  <c r="AE91" i="6" s="1"/>
  <c r="AF91" i="6" s="1"/>
  <c r="AG91" i="6" s="1"/>
  <c r="AH95" i="6" l="1"/>
  <c r="AA94" i="6"/>
  <c r="AD92" i="6"/>
  <c r="AC93" i="6"/>
  <c r="AE92" i="6" l="1"/>
  <c r="AF92" i="6" s="1"/>
  <c r="AG92" i="6" s="1"/>
  <c r="S92" i="6"/>
  <c r="AC94" i="6"/>
  <c r="AD93" i="6"/>
  <c r="AE93" i="6" s="1"/>
  <c r="AA95" i="6"/>
  <c r="AH96" i="6"/>
  <c r="AF93" i="6" l="1"/>
  <c r="AG93" i="6" s="1"/>
  <c r="S93" i="6"/>
  <c r="AA96" i="6"/>
  <c r="AH97" i="6"/>
  <c r="AD94" i="6"/>
  <c r="AE94" i="6" s="1"/>
  <c r="AC95" i="6"/>
  <c r="AF94" i="6" l="1"/>
  <c r="AG94" i="6" s="1"/>
  <c r="S94" i="6"/>
  <c r="AD95" i="6"/>
  <c r="AE95" i="6" s="1"/>
  <c r="AC96" i="6"/>
  <c r="AA97" i="6"/>
  <c r="AH98" i="6"/>
  <c r="AF95" i="6" l="1"/>
  <c r="AG95" i="6" s="1"/>
  <c r="S95" i="6"/>
  <c r="AA98" i="6"/>
  <c r="AH99" i="6"/>
  <c r="AD96" i="6"/>
  <c r="AE96" i="6" s="1"/>
  <c r="AC97" i="6"/>
  <c r="AF96" i="6" l="1"/>
  <c r="AG96" i="6" s="1"/>
  <c r="S96" i="6"/>
  <c r="AA99" i="6"/>
  <c r="AH100" i="6"/>
  <c r="AD97" i="6"/>
  <c r="AE97" i="6" s="1"/>
  <c r="AC98" i="6"/>
  <c r="AF97" i="6" l="1"/>
  <c r="AG97" i="6" s="1"/>
  <c r="S97" i="6"/>
  <c r="AC99" i="6"/>
  <c r="AD98" i="6"/>
  <c r="AE98" i="6" s="1"/>
  <c r="AA100" i="6"/>
  <c r="AH101" i="6"/>
  <c r="AF98" i="6" l="1"/>
  <c r="AG98" i="6" s="1"/>
  <c r="S98" i="6"/>
  <c r="AA101" i="6"/>
  <c r="AH102" i="6"/>
  <c r="AD99" i="6"/>
  <c r="AC100" i="6"/>
  <c r="S100" i="6" s="1"/>
  <c r="AE99" i="6" l="1"/>
  <c r="AF99" i="6" s="1"/>
  <c r="AG99" i="6" s="1"/>
  <c r="S99" i="6"/>
  <c r="AC101" i="6"/>
  <c r="AD100" i="6"/>
  <c r="AA102" i="6"/>
  <c r="AH103" i="6"/>
  <c r="AE100" i="6" l="1"/>
  <c r="AF100" i="6" s="1"/>
  <c r="AG100" i="6" s="1"/>
  <c r="AA103" i="6"/>
  <c r="AH104" i="6"/>
  <c r="AD101" i="6"/>
  <c r="AC102" i="6"/>
  <c r="S102" i="6" s="1"/>
  <c r="AE101" i="6" l="1"/>
  <c r="AF101" i="6" s="1"/>
  <c r="AG101" i="6" s="1"/>
  <c r="S101" i="6"/>
  <c r="AA104" i="6"/>
  <c r="AH105" i="6"/>
  <c r="AD102" i="6"/>
  <c r="AC103" i="6"/>
  <c r="S103" i="6" s="1"/>
  <c r="AE102" i="6" l="1"/>
  <c r="AF102" i="6" s="1"/>
  <c r="AG102" i="6" s="1"/>
  <c r="AA105" i="6"/>
  <c r="AH106" i="6"/>
  <c r="AC104" i="6"/>
  <c r="AD103" i="6"/>
  <c r="AE103" i="6" l="1"/>
  <c r="AF103" i="6" s="1"/>
  <c r="AG103" i="6" s="1"/>
  <c r="AA106" i="6"/>
  <c r="AH107" i="6"/>
  <c r="AD104" i="6"/>
  <c r="AC105" i="6"/>
  <c r="AE104" i="6" l="1"/>
  <c r="AF104" i="6" s="1"/>
  <c r="AG104" i="6" s="1"/>
  <c r="S104" i="6"/>
  <c r="AA107" i="6"/>
  <c r="AH108" i="6"/>
  <c r="AC106" i="6"/>
  <c r="AD105" i="6"/>
  <c r="AE105" i="6" l="1"/>
  <c r="AF105" i="6" s="1"/>
  <c r="AG105" i="6" s="1"/>
  <c r="S105" i="6"/>
  <c r="AD106" i="6"/>
  <c r="AE106" i="6" s="1"/>
  <c r="AC107" i="6"/>
  <c r="AA108" i="6"/>
  <c r="AH109" i="6"/>
  <c r="AF106" i="6" l="1"/>
  <c r="AG106" i="6" s="1"/>
  <c r="S106" i="6"/>
  <c r="AA109" i="6"/>
  <c r="AH110" i="6"/>
  <c r="AD107" i="6"/>
  <c r="AE107" i="6" s="1"/>
  <c r="AC108" i="6"/>
  <c r="AF107" i="6" l="1"/>
  <c r="AG107" i="6" s="1"/>
  <c r="S107" i="6"/>
  <c r="AD108" i="6"/>
  <c r="AC109" i="6"/>
  <c r="AA110" i="6"/>
  <c r="AH111" i="6"/>
  <c r="AE108" i="6" l="1"/>
  <c r="AF108" i="6" s="1"/>
  <c r="AG108" i="6" s="1"/>
  <c r="S108" i="6"/>
  <c r="AA111" i="6"/>
  <c r="AH112" i="6"/>
  <c r="AD109" i="6"/>
  <c r="AE109" i="6" s="1"/>
  <c r="AC110" i="6"/>
  <c r="AF109" i="6" l="1"/>
  <c r="AG109" i="6" s="1"/>
  <c r="S109" i="6"/>
  <c r="AA112" i="6"/>
  <c r="AH113" i="6"/>
  <c r="AC111" i="6"/>
  <c r="AD110" i="6"/>
  <c r="AE110" i="6" s="1"/>
  <c r="AF110" i="6" l="1"/>
  <c r="AG110" i="6" s="1"/>
  <c r="S110" i="6"/>
  <c r="AA113" i="6"/>
  <c r="AH114" i="6"/>
  <c r="AD111" i="6"/>
  <c r="AE111" i="6" s="1"/>
  <c r="AC112" i="6"/>
  <c r="AF111" i="6" l="1"/>
  <c r="AG111" i="6" s="1"/>
  <c r="S111" i="6"/>
  <c r="AC113" i="6"/>
  <c r="AD112" i="6"/>
  <c r="AE112" i="6" s="1"/>
  <c r="AA114" i="6"/>
  <c r="AH115" i="6"/>
  <c r="AF112" i="6" l="1"/>
  <c r="AG112" i="6" s="1"/>
  <c r="S112" i="6"/>
  <c r="AA115" i="6"/>
  <c r="AH116" i="6"/>
  <c r="AD113" i="6"/>
  <c r="AE113" i="6" s="1"/>
  <c r="AC114" i="6"/>
  <c r="AF113" i="6" l="1"/>
  <c r="AG113" i="6" s="1"/>
  <c r="S113" i="6"/>
  <c r="AA116" i="6"/>
  <c r="AH117" i="6"/>
  <c r="AD114" i="6"/>
  <c r="AE114" i="6" s="1"/>
  <c r="AC115" i="6"/>
  <c r="AF114" i="6" l="1"/>
  <c r="AG114" i="6" s="1"/>
  <c r="S114" i="6"/>
  <c r="AC116" i="6"/>
  <c r="AD115" i="6"/>
  <c r="AA117" i="6"/>
  <c r="AH118" i="6"/>
  <c r="AE115" i="6" l="1"/>
  <c r="AF115" i="6" s="1"/>
  <c r="AG115" i="6" s="1"/>
  <c r="S115" i="6"/>
  <c r="AA118" i="6"/>
  <c r="AH119" i="6"/>
  <c r="AD116" i="6"/>
  <c r="AC117" i="6"/>
  <c r="AE116" i="6" l="1"/>
  <c r="AF116" i="6" s="1"/>
  <c r="AG116" i="6" s="1"/>
  <c r="S116" i="6"/>
  <c r="AC118" i="6"/>
  <c r="AD117" i="6"/>
  <c r="AE117" i="6" s="1"/>
  <c r="AA119" i="6"/>
  <c r="AH120" i="6"/>
  <c r="AF117" i="6" l="1"/>
  <c r="AG117" i="6" s="1"/>
  <c r="S117" i="6"/>
  <c r="AA120" i="6"/>
  <c r="AH121" i="6"/>
  <c r="AD118" i="6"/>
  <c r="AE118" i="6" s="1"/>
  <c r="AC119" i="6"/>
  <c r="S119" i="6" s="1"/>
  <c r="AF118" i="6" l="1"/>
  <c r="AG118" i="6" s="1"/>
  <c r="S118" i="6"/>
  <c r="AA121" i="6"/>
  <c r="AH122" i="6"/>
  <c r="AD119" i="6"/>
  <c r="AE119" i="6" s="1"/>
  <c r="AF119" i="6" s="1"/>
  <c r="AG119" i="6" s="1"/>
  <c r="AC120" i="6"/>
  <c r="AD120" i="6" l="1"/>
  <c r="AC121" i="6"/>
  <c r="AA122" i="6"/>
  <c r="AH123" i="6"/>
  <c r="AE120" i="6" l="1"/>
  <c r="AF120" i="6" s="1"/>
  <c r="AG120" i="6" s="1"/>
  <c r="S120" i="6"/>
  <c r="AA123" i="6"/>
  <c r="AH124" i="6"/>
  <c r="AD121" i="6"/>
  <c r="AC122" i="6"/>
  <c r="AE121" i="6" l="1"/>
  <c r="AF121" i="6" s="1"/>
  <c r="AG121" i="6" s="1"/>
  <c r="S121" i="6"/>
  <c r="AA124" i="6"/>
  <c r="AH125" i="6"/>
  <c r="AC123" i="6"/>
  <c r="S123" i="6" s="1"/>
  <c r="AD122" i="6"/>
  <c r="AE122" i="6" l="1"/>
  <c r="AF122" i="6" s="1"/>
  <c r="AG122" i="6" s="1"/>
  <c r="S122" i="6"/>
  <c r="AA125" i="6"/>
  <c r="AH126" i="6"/>
  <c r="AD123" i="6"/>
  <c r="AE123" i="6" s="1"/>
  <c r="AF123" i="6" s="1"/>
  <c r="AG123" i="6" s="1"/>
  <c r="AC124" i="6"/>
  <c r="AA126" i="6" l="1"/>
  <c r="AH127" i="6"/>
  <c r="AC125" i="6"/>
  <c r="AD124" i="6"/>
  <c r="AE124" i="6" l="1"/>
  <c r="AF124" i="6" s="1"/>
  <c r="AG124" i="6" s="1"/>
  <c r="S124" i="6"/>
  <c r="AA127" i="6"/>
  <c r="AH128" i="6"/>
  <c r="AC126" i="6"/>
  <c r="AD125" i="6"/>
  <c r="AE125" i="6" l="1"/>
  <c r="AF125" i="6" s="1"/>
  <c r="AG125" i="6" s="1"/>
  <c r="S125" i="6"/>
  <c r="AA128" i="6"/>
  <c r="AH129" i="6"/>
  <c r="AD126" i="6"/>
  <c r="AC127" i="6"/>
  <c r="AE126" i="6" l="1"/>
  <c r="AF126" i="6" s="1"/>
  <c r="AG126" i="6" s="1"/>
  <c r="S126" i="6"/>
  <c r="AA129" i="6"/>
  <c r="AH130" i="6"/>
  <c r="AC128" i="6"/>
  <c r="AD127" i="6"/>
  <c r="AE127" i="6" l="1"/>
  <c r="AF127" i="6" s="1"/>
  <c r="AG127" i="6" s="1"/>
  <c r="S127" i="6"/>
  <c r="AD128" i="6"/>
  <c r="AC129" i="6"/>
  <c r="AA130" i="6"/>
  <c r="AH131" i="6"/>
  <c r="AE128" i="6" l="1"/>
  <c r="AF128" i="6" s="1"/>
  <c r="AG128" i="6" s="1"/>
  <c r="S128" i="6"/>
  <c r="AA131" i="6"/>
  <c r="AH132" i="6"/>
  <c r="AC130" i="6"/>
  <c r="AD129" i="6"/>
  <c r="AE129" i="6" l="1"/>
  <c r="AF129" i="6" s="1"/>
  <c r="AG129" i="6" s="1"/>
  <c r="S129" i="6"/>
  <c r="AD130" i="6"/>
  <c r="AC131" i="6"/>
  <c r="AA132" i="6"/>
  <c r="AH133" i="6"/>
  <c r="AE130" i="6" l="1"/>
  <c r="AF130" i="6" s="1"/>
  <c r="AG130" i="6" s="1"/>
  <c r="S130" i="6"/>
  <c r="AA133" i="6"/>
  <c r="AH134" i="6"/>
  <c r="AD131" i="6"/>
  <c r="AE131" i="6" s="1"/>
  <c r="AC132" i="6"/>
  <c r="AF131" i="6" l="1"/>
  <c r="AG131" i="6" s="1"/>
  <c r="S131" i="6"/>
  <c r="AD132" i="6"/>
  <c r="AE132" i="6" s="1"/>
  <c r="AC133" i="6"/>
  <c r="AA134" i="6"/>
  <c r="AH135" i="6"/>
  <c r="AF132" i="6" l="1"/>
  <c r="AG132" i="6" s="1"/>
  <c r="S132" i="6"/>
  <c r="AA135" i="6"/>
  <c r="AH136" i="6"/>
  <c r="AD133" i="6"/>
  <c r="AE133" i="6" s="1"/>
  <c r="AC134" i="6"/>
  <c r="AF133" i="6" l="1"/>
  <c r="AG133" i="6" s="1"/>
  <c r="S133" i="6"/>
  <c r="AC135" i="6"/>
  <c r="AD134" i="6"/>
  <c r="AE134" i="6" s="1"/>
  <c r="AF134" i="6" s="1"/>
  <c r="AA136" i="6"/>
  <c r="AH137" i="6"/>
  <c r="AG134" i="6" l="1"/>
  <c r="S134" i="6"/>
  <c r="AA137" i="6"/>
  <c r="AH138" i="6"/>
  <c r="AD135" i="6"/>
  <c r="AE135" i="6" s="1"/>
  <c r="AC136" i="6"/>
  <c r="AF135" i="6" l="1"/>
  <c r="AG135" i="6" s="1"/>
  <c r="S135" i="6"/>
  <c r="AH139" i="6"/>
  <c r="AA138" i="6"/>
  <c r="AD136" i="6"/>
  <c r="AE136" i="6" s="1"/>
  <c r="AC137" i="6"/>
  <c r="AF136" i="6" l="1"/>
  <c r="AG136" i="6" s="1"/>
  <c r="S136" i="6"/>
  <c r="AC138" i="6"/>
  <c r="AD137" i="6"/>
  <c r="AE137" i="6" s="1"/>
  <c r="AA139" i="6"/>
  <c r="AH140" i="6"/>
  <c r="AF137" i="6" l="1"/>
  <c r="AG137" i="6" s="1"/>
  <c r="S137" i="6"/>
  <c r="AA140" i="6"/>
  <c r="AH141" i="6"/>
  <c r="AD138" i="6"/>
  <c r="AE138" i="6" s="1"/>
  <c r="AC139" i="6"/>
  <c r="AF138" i="6" l="1"/>
  <c r="AG138" i="6" s="1"/>
  <c r="S138" i="6"/>
  <c r="AD139" i="6"/>
  <c r="AE139" i="6" s="1"/>
  <c r="AF139" i="6" s="1"/>
  <c r="AC140" i="6"/>
  <c r="AA141" i="6"/>
  <c r="AH142" i="6"/>
  <c r="AG139" i="6" l="1"/>
  <c r="S139" i="6"/>
  <c r="AA142" i="6"/>
  <c r="AH143" i="6"/>
  <c r="AD140" i="6"/>
  <c r="AE140" i="6" s="1"/>
  <c r="AC141" i="6"/>
  <c r="AF140" i="6" l="1"/>
  <c r="AG140" i="6" s="1"/>
  <c r="S140" i="6"/>
  <c r="AD141" i="6"/>
  <c r="AC142" i="6"/>
  <c r="AA143" i="6"/>
  <c r="AH144" i="6"/>
  <c r="AE141" i="6" l="1"/>
  <c r="AF141" i="6" s="1"/>
  <c r="AG141" i="6" s="1"/>
  <c r="S141" i="6"/>
  <c r="AA144" i="6"/>
  <c r="AH145" i="6"/>
  <c r="AD142" i="6"/>
  <c r="AE142" i="6" s="1"/>
  <c r="AC143" i="6"/>
  <c r="AF142" i="6" l="1"/>
  <c r="AG142" i="6" s="1"/>
  <c r="S142" i="6"/>
  <c r="AA145" i="6"/>
  <c r="AH146" i="6"/>
  <c r="AD143" i="6"/>
  <c r="AE143" i="6" s="1"/>
  <c r="AC144" i="6"/>
  <c r="S144" i="6" s="1"/>
  <c r="AF143" i="6" l="1"/>
  <c r="AG143" i="6" s="1"/>
  <c r="S143" i="6"/>
  <c r="AD144" i="6"/>
  <c r="AE144" i="6" s="1"/>
  <c r="AF144" i="6" s="1"/>
  <c r="AG144" i="6" s="1"/>
  <c r="AC145" i="6"/>
  <c r="AA146" i="6"/>
  <c r="AH147" i="6"/>
  <c r="AA147" i="6" l="1"/>
  <c r="AH148" i="6"/>
  <c r="AC146" i="6"/>
  <c r="AD145" i="6"/>
  <c r="AE145" i="6" l="1"/>
  <c r="AF145" i="6" s="1"/>
  <c r="AG145" i="6" s="1"/>
  <c r="S145" i="6"/>
  <c r="AD146" i="6"/>
  <c r="AC147" i="6"/>
  <c r="AA148" i="6"/>
  <c r="AH149" i="6"/>
  <c r="AE146" i="6" l="1"/>
  <c r="AF146" i="6" s="1"/>
  <c r="AG146" i="6" s="1"/>
  <c r="S146" i="6"/>
  <c r="AA149" i="6"/>
  <c r="AH150" i="6"/>
  <c r="AC148" i="6"/>
  <c r="AD147" i="6"/>
  <c r="AE147" i="6" s="1"/>
  <c r="AF147" i="6" l="1"/>
  <c r="AG147" i="6" s="1"/>
  <c r="S147" i="6"/>
  <c r="AD148" i="6"/>
  <c r="AC149" i="6"/>
  <c r="AA150" i="6"/>
  <c r="AH151" i="6"/>
  <c r="AE148" i="6" l="1"/>
  <c r="AF148" i="6" s="1"/>
  <c r="AG148" i="6" s="1"/>
  <c r="S148" i="6"/>
  <c r="AA151" i="6"/>
  <c r="AH152" i="6"/>
  <c r="AD149" i="6"/>
  <c r="AE149" i="6" s="1"/>
  <c r="AC150" i="6"/>
  <c r="AF149" i="6" l="1"/>
  <c r="AG149" i="6" s="1"/>
  <c r="S149" i="6"/>
  <c r="AC151" i="6"/>
  <c r="AD150" i="6"/>
  <c r="AA152" i="6"/>
  <c r="AH153" i="6"/>
  <c r="AE150" i="6" l="1"/>
  <c r="AF150" i="6" s="1"/>
  <c r="AG150" i="6" s="1"/>
  <c r="S150" i="6"/>
  <c r="AA153" i="6"/>
  <c r="AH154" i="6"/>
  <c r="AD151" i="6"/>
  <c r="AE151" i="6" s="1"/>
  <c r="AC152" i="6"/>
  <c r="AF151" i="6" l="1"/>
  <c r="AG151" i="6" s="1"/>
  <c r="S151" i="6"/>
  <c r="AA154" i="6"/>
  <c r="AH155" i="6"/>
  <c r="AC153" i="6"/>
  <c r="AD152" i="6"/>
  <c r="AE152" i="6" s="1"/>
  <c r="AF152" i="6" l="1"/>
  <c r="AG152" i="6" s="1"/>
  <c r="S152" i="6"/>
  <c r="AA155" i="6"/>
  <c r="AH156" i="6"/>
  <c r="AD153" i="6"/>
  <c r="AE153" i="6" s="1"/>
  <c r="AC154" i="6"/>
  <c r="AF153" i="6" l="1"/>
  <c r="AG153" i="6" s="1"/>
  <c r="S153" i="6"/>
  <c r="AA156" i="6"/>
  <c r="AH157" i="6"/>
  <c r="AD154" i="6"/>
  <c r="AE154" i="6" s="1"/>
  <c r="AC155" i="6"/>
  <c r="AF154" i="6" l="1"/>
  <c r="AG154" i="6" s="1"/>
  <c r="S154" i="6"/>
  <c r="AA157" i="6"/>
  <c r="AH158" i="6"/>
  <c r="AD155" i="6"/>
  <c r="AE155" i="6" s="1"/>
  <c r="AC156" i="6"/>
  <c r="AF155" i="6" l="1"/>
  <c r="AG155" i="6" s="1"/>
  <c r="S155" i="6"/>
  <c r="AD156" i="6"/>
  <c r="AE156" i="6" s="1"/>
  <c r="AF156" i="6" s="1"/>
  <c r="AC157" i="6"/>
  <c r="AA158" i="6"/>
  <c r="AH159" i="6"/>
  <c r="AG156" i="6" l="1"/>
  <c r="S156" i="6"/>
  <c r="AA159" i="6"/>
  <c r="AH160" i="6"/>
  <c r="AC158" i="6"/>
  <c r="AD157" i="6"/>
  <c r="AE157" i="6" s="1"/>
  <c r="AF157" i="6" s="1"/>
  <c r="AG157" i="6" l="1"/>
  <c r="S157" i="6"/>
  <c r="AA160" i="6"/>
  <c r="AH161" i="6"/>
  <c r="AD158" i="6"/>
  <c r="AE158" i="6" s="1"/>
  <c r="AC159" i="6"/>
  <c r="AF158" i="6" l="1"/>
  <c r="AG158" i="6" s="1"/>
  <c r="S158" i="6"/>
  <c r="AA161" i="6"/>
  <c r="AH162" i="6"/>
  <c r="AC160" i="6"/>
  <c r="AD159" i="6"/>
  <c r="AE159" i="6" l="1"/>
  <c r="AF159" i="6" s="1"/>
  <c r="AG159" i="6" s="1"/>
  <c r="S159" i="6"/>
  <c r="AD160" i="6"/>
  <c r="AE160" i="6" s="1"/>
  <c r="AC161" i="6"/>
  <c r="AA162" i="6"/>
  <c r="AH163" i="6"/>
  <c r="AF160" i="6" l="1"/>
  <c r="AG160" i="6" s="1"/>
  <c r="S160" i="6"/>
  <c r="AA163" i="6"/>
  <c r="AH164" i="6"/>
  <c r="AD161" i="6"/>
  <c r="AC162" i="6"/>
  <c r="AE161" i="6" l="1"/>
  <c r="AF161" i="6" s="1"/>
  <c r="AG161" i="6" s="1"/>
  <c r="S161" i="6"/>
  <c r="AC163" i="6"/>
  <c r="S163" i="6" s="1"/>
  <c r="AD162" i="6"/>
  <c r="AE162" i="6" s="1"/>
  <c r="AA164" i="6"/>
  <c r="AH165" i="6"/>
  <c r="AF162" i="6" l="1"/>
  <c r="AG162" i="6" s="1"/>
  <c r="S162" i="6"/>
  <c r="AA165" i="6"/>
  <c r="AH166" i="6"/>
  <c r="AD163" i="6"/>
  <c r="AE163" i="6" s="1"/>
  <c r="AF163" i="6" s="1"/>
  <c r="AG163" i="6" s="1"/>
  <c r="AC164" i="6"/>
  <c r="S164" i="6" s="1"/>
  <c r="AC165" i="6" l="1"/>
  <c r="AD164" i="6"/>
  <c r="AE164" i="6" s="1"/>
  <c r="AF164" i="6" s="1"/>
  <c r="AG164" i="6" s="1"/>
  <c r="AA166" i="6"/>
  <c r="AH167" i="6"/>
  <c r="AA167" i="6" l="1"/>
  <c r="AH168" i="6"/>
  <c r="AD165" i="6"/>
  <c r="AC166" i="6"/>
  <c r="S166" i="6" s="1"/>
  <c r="AE165" i="6" l="1"/>
  <c r="AF165" i="6" s="1"/>
  <c r="AG165" i="6" s="1"/>
  <c r="S165" i="6"/>
  <c r="AD166" i="6"/>
  <c r="AC167" i="6"/>
  <c r="S167" i="6" s="1"/>
  <c r="AA168" i="6"/>
  <c r="AH169" i="6"/>
  <c r="AE166" i="6" l="1"/>
  <c r="AF166" i="6" s="1"/>
  <c r="AG166" i="6" s="1"/>
  <c r="AA169" i="6"/>
  <c r="AH170" i="6"/>
  <c r="AD167" i="6"/>
  <c r="AE167" i="6" s="1"/>
  <c r="AF167" i="6" s="1"/>
  <c r="AG167" i="6" s="1"/>
  <c r="AC168" i="6"/>
  <c r="AA170" i="6" l="1"/>
  <c r="AH171" i="6"/>
  <c r="AD168" i="6"/>
  <c r="AC169" i="6"/>
  <c r="AE168" i="6" l="1"/>
  <c r="AF168" i="6" s="1"/>
  <c r="AG168" i="6" s="1"/>
  <c r="S168" i="6"/>
  <c r="AC170" i="6"/>
  <c r="AD169" i="6"/>
  <c r="AE169" i="6" s="1"/>
  <c r="AA171" i="6"/>
  <c r="AH172" i="6"/>
  <c r="AF169" i="6" l="1"/>
  <c r="AG169" i="6" s="1"/>
  <c r="S169" i="6"/>
  <c r="AH173" i="6"/>
  <c r="AA172" i="6"/>
  <c r="AD170" i="6"/>
  <c r="AE170" i="6" s="1"/>
  <c r="AC171" i="6"/>
  <c r="AF170" i="6" l="1"/>
  <c r="AG170" i="6" s="1"/>
  <c r="S170" i="6"/>
  <c r="AC172" i="6"/>
  <c r="AD171" i="6"/>
  <c r="AE171" i="6" s="1"/>
  <c r="AA173" i="6"/>
  <c r="AH174" i="6"/>
  <c r="AF171" i="6" l="1"/>
  <c r="AG171" i="6" s="1"/>
  <c r="S171" i="6"/>
  <c r="AA174" i="6"/>
  <c r="AH175" i="6"/>
  <c r="AD172" i="6"/>
  <c r="AE172" i="6" s="1"/>
  <c r="AC173" i="6"/>
  <c r="AF172" i="6" l="1"/>
  <c r="AG172" i="6" s="1"/>
  <c r="S172" i="6"/>
  <c r="AA175" i="6"/>
  <c r="AH176" i="6"/>
  <c r="AD173" i="6"/>
  <c r="AC174" i="6"/>
  <c r="AE173" i="6" l="1"/>
  <c r="AF173" i="6" s="1"/>
  <c r="AG173" i="6" s="1"/>
  <c r="S173" i="6"/>
  <c r="AC175" i="6"/>
  <c r="AD174" i="6"/>
  <c r="AE174" i="6" s="1"/>
  <c r="AA176" i="6"/>
  <c r="AH177" i="6"/>
  <c r="AF174" i="6" l="1"/>
  <c r="AG174" i="6" s="1"/>
  <c r="S174" i="6"/>
  <c r="AA177" i="6"/>
  <c r="AH178" i="6"/>
  <c r="AD175" i="6"/>
  <c r="AE175" i="6" s="1"/>
  <c r="AC176" i="6"/>
  <c r="AF175" i="6" l="1"/>
  <c r="AG175" i="6" s="1"/>
  <c r="S175" i="6"/>
  <c r="AA178" i="6"/>
  <c r="AH179" i="6"/>
  <c r="AD176" i="6"/>
  <c r="AE176" i="6" s="1"/>
  <c r="AC177" i="6"/>
  <c r="AF176" i="6" l="1"/>
  <c r="AG176" i="6" s="1"/>
  <c r="S176" i="6"/>
  <c r="AA179" i="6"/>
  <c r="AH180" i="6"/>
  <c r="AD177" i="6"/>
  <c r="AC178" i="6"/>
  <c r="AE177" i="6" l="1"/>
  <c r="AF177" i="6" s="1"/>
  <c r="AG177" i="6" s="1"/>
  <c r="S177" i="6"/>
  <c r="AD178" i="6"/>
  <c r="AE178" i="6" s="1"/>
  <c r="AC179" i="6"/>
  <c r="AA180" i="6"/>
  <c r="AH181" i="6"/>
  <c r="AF178" i="6" l="1"/>
  <c r="AG178" i="6" s="1"/>
  <c r="S178" i="6"/>
  <c r="AA181" i="6"/>
  <c r="AH182" i="6"/>
  <c r="AD179" i="6"/>
  <c r="AE179" i="6" s="1"/>
  <c r="AC180" i="6"/>
  <c r="AF179" i="6" l="1"/>
  <c r="AG179" i="6" s="1"/>
  <c r="S179" i="6"/>
  <c r="AD180" i="6"/>
  <c r="AE180" i="6" s="1"/>
  <c r="AC181" i="6"/>
  <c r="AA182" i="6"/>
  <c r="AH183" i="6"/>
  <c r="AF180" i="6" l="1"/>
  <c r="AG180" i="6" s="1"/>
  <c r="S180" i="6"/>
  <c r="AA183" i="6"/>
  <c r="AH184" i="6"/>
  <c r="AC182" i="6"/>
  <c r="AD181" i="6"/>
  <c r="AE181" i="6" s="1"/>
  <c r="AF181" i="6" l="1"/>
  <c r="AG181" i="6" s="1"/>
  <c r="S181" i="6"/>
  <c r="AD182" i="6"/>
  <c r="AC183" i="6"/>
  <c r="AA184" i="6"/>
  <c r="AH185" i="6"/>
  <c r="AE182" i="6" l="1"/>
  <c r="AF182" i="6" s="1"/>
  <c r="AG182" i="6" s="1"/>
  <c r="S182" i="6"/>
  <c r="AA185" i="6"/>
  <c r="AH186" i="6"/>
  <c r="AD183" i="6"/>
  <c r="AC184" i="6"/>
  <c r="AE183" i="6" l="1"/>
  <c r="AF183" i="6" s="1"/>
  <c r="AG183" i="6" s="1"/>
  <c r="S183" i="6"/>
  <c r="AD184" i="6"/>
  <c r="AC185" i="6"/>
  <c r="S185" i="6" s="1"/>
  <c r="AA186" i="6"/>
  <c r="AH187" i="6"/>
  <c r="AE184" i="6" l="1"/>
  <c r="AF184" i="6" s="1"/>
  <c r="AG184" i="6" s="1"/>
  <c r="S184" i="6"/>
  <c r="AA187" i="6"/>
  <c r="AH188" i="6"/>
  <c r="AD185" i="6"/>
  <c r="AC186" i="6"/>
  <c r="S186" i="6" s="1"/>
  <c r="AE185" i="6" l="1"/>
  <c r="AF185" i="6" s="1"/>
  <c r="AG185" i="6" s="1"/>
  <c r="AD186" i="6"/>
  <c r="AC187" i="6"/>
  <c r="S187" i="6" s="1"/>
  <c r="AA188" i="6"/>
  <c r="AH189" i="6"/>
  <c r="AE186" i="6" l="1"/>
  <c r="AF186" i="6" s="1"/>
  <c r="AG186" i="6" s="1"/>
  <c r="AA189" i="6"/>
  <c r="AH190" i="6"/>
  <c r="AD187" i="6"/>
  <c r="AE187" i="6" s="1"/>
  <c r="AF187" i="6" s="1"/>
  <c r="AG187" i="6" s="1"/>
  <c r="AC188" i="6"/>
  <c r="AD188" i="6" l="1"/>
  <c r="AC189" i="6"/>
  <c r="AA190" i="6"/>
  <c r="AH191" i="6"/>
  <c r="AE188" i="6" l="1"/>
  <c r="AF188" i="6" s="1"/>
  <c r="AG188" i="6" s="1"/>
  <c r="S188" i="6"/>
  <c r="AA191" i="6"/>
  <c r="AH192" i="6"/>
  <c r="AD189" i="6"/>
  <c r="AC190" i="6"/>
  <c r="AE189" i="6" l="1"/>
  <c r="AF189" i="6" s="1"/>
  <c r="AG189" i="6" s="1"/>
  <c r="S189" i="6"/>
  <c r="AD190" i="6"/>
  <c r="AE190" i="6" s="1"/>
  <c r="AC191" i="6"/>
  <c r="AA192" i="6"/>
  <c r="AH193" i="6"/>
  <c r="AF190" i="6" l="1"/>
  <c r="AG190" i="6" s="1"/>
  <c r="S190" i="6"/>
  <c r="AA193" i="6"/>
  <c r="AH194" i="6"/>
  <c r="AC192" i="6"/>
  <c r="AD191" i="6"/>
  <c r="AE191" i="6" s="1"/>
  <c r="AF191" i="6" l="1"/>
  <c r="AG191" i="6" s="1"/>
  <c r="S191" i="6"/>
  <c r="AD192" i="6"/>
  <c r="AE192" i="6" s="1"/>
  <c r="AC193" i="6"/>
  <c r="AH195" i="6"/>
  <c r="AA194" i="6"/>
  <c r="AF192" i="6" l="1"/>
  <c r="AG192" i="6" s="1"/>
  <c r="S192" i="6"/>
  <c r="AA195" i="6"/>
  <c r="AH196" i="6"/>
  <c r="AC194" i="6"/>
  <c r="AD193" i="6"/>
  <c r="AE193" i="6" s="1"/>
  <c r="AF193" i="6" l="1"/>
  <c r="AG193" i="6" s="1"/>
  <c r="S193" i="6"/>
  <c r="AH197" i="6"/>
  <c r="AA196" i="6"/>
  <c r="AD194" i="6"/>
  <c r="AE194" i="6" s="1"/>
  <c r="AC195" i="6"/>
  <c r="AF194" i="6" l="1"/>
  <c r="AG194" i="6" s="1"/>
  <c r="S194" i="6"/>
  <c r="AD195" i="6"/>
  <c r="AE195" i="6" s="1"/>
  <c r="AC196" i="6"/>
  <c r="AA197" i="6"/>
  <c r="AH198" i="6"/>
  <c r="AF195" i="6" l="1"/>
  <c r="AG195" i="6" s="1"/>
  <c r="S195" i="6"/>
  <c r="AA198" i="6"/>
  <c r="AH199" i="6"/>
  <c r="AD196" i="6"/>
  <c r="AE196" i="6" s="1"/>
  <c r="AC197" i="6"/>
  <c r="AF196" i="6" l="1"/>
  <c r="AG196" i="6" s="1"/>
  <c r="S196" i="6"/>
  <c r="AA199" i="6"/>
  <c r="AH200" i="6"/>
  <c r="AD197" i="6"/>
  <c r="AE197" i="6" s="1"/>
  <c r="AC198" i="6"/>
  <c r="AF197" i="6" l="1"/>
  <c r="AG197" i="6" s="1"/>
  <c r="S197" i="6"/>
  <c r="AA200" i="6"/>
  <c r="AH201" i="6"/>
  <c r="AD198" i="6"/>
  <c r="AE198" i="6" s="1"/>
  <c r="AC199" i="6"/>
  <c r="AF198" i="6" l="1"/>
  <c r="AG198" i="6" s="1"/>
  <c r="S198" i="6"/>
  <c r="AD199" i="6"/>
  <c r="AE199" i="6" s="1"/>
  <c r="AC200" i="6"/>
  <c r="AH202" i="6"/>
  <c r="AA201" i="6"/>
  <c r="AF199" i="6" l="1"/>
  <c r="AG199" i="6" s="1"/>
  <c r="S199" i="6"/>
  <c r="AA202" i="6"/>
  <c r="AH203" i="6"/>
  <c r="AD200" i="6"/>
  <c r="AE200" i="6" s="1"/>
  <c r="AF200" i="6" s="1"/>
  <c r="AC201" i="6"/>
  <c r="AG200" i="6" l="1"/>
  <c r="S200" i="6"/>
  <c r="AH204" i="6"/>
  <c r="AA203" i="6"/>
  <c r="AD201" i="6"/>
  <c r="AE201" i="6" s="1"/>
  <c r="AF201" i="6" s="1"/>
  <c r="AC202" i="6"/>
  <c r="AG201" i="6" l="1"/>
  <c r="S201" i="6"/>
  <c r="AD202" i="6"/>
  <c r="AE202" i="6" s="1"/>
  <c r="AF202" i="6" s="1"/>
  <c r="AC203" i="6"/>
  <c r="AH205" i="6"/>
  <c r="AA204" i="6"/>
  <c r="AG202" i="6" l="1"/>
  <c r="S202" i="6"/>
  <c r="AA205" i="6"/>
  <c r="AH206" i="6"/>
  <c r="AD203" i="6"/>
  <c r="AE203" i="6" s="1"/>
  <c r="AF203" i="6" s="1"/>
  <c r="AC204" i="6"/>
  <c r="AG203" i="6" l="1"/>
  <c r="S203" i="6"/>
  <c r="AA206" i="6"/>
  <c r="AH207" i="6"/>
  <c r="AD204" i="6"/>
  <c r="AE204" i="6" s="1"/>
  <c r="AF204" i="6" s="1"/>
  <c r="AC205" i="6"/>
  <c r="AG204" i="6" l="1"/>
  <c r="S204" i="6"/>
  <c r="AC206" i="6"/>
  <c r="AD205" i="6"/>
  <c r="AA207" i="6"/>
  <c r="AH208" i="6"/>
  <c r="AE205" i="6" l="1"/>
  <c r="AF205" i="6" s="1"/>
  <c r="AG205" i="6" s="1"/>
  <c r="S205" i="6"/>
  <c r="AA208" i="6"/>
  <c r="AH209" i="6"/>
  <c r="AD206" i="6"/>
  <c r="AE206" i="6" s="1"/>
  <c r="AC207" i="6"/>
  <c r="AF206" i="6" l="1"/>
  <c r="AG206" i="6" s="1"/>
  <c r="S206" i="6"/>
  <c r="AA209" i="6"/>
  <c r="AH210" i="6"/>
  <c r="AD207" i="6"/>
  <c r="AE207" i="6" s="1"/>
  <c r="AC208" i="6"/>
  <c r="AF207" i="6" l="1"/>
  <c r="AG207" i="6" s="1"/>
  <c r="S207" i="6"/>
  <c r="AA210" i="6"/>
  <c r="AH211" i="6"/>
  <c r="AD208" i="6"/>
  <c r="AE208" i="6" s="1"/>
  <c r="AC209" i="6"/>
  <c r="AF208" i="6" l="1"/>
  <c r="AG208" i="6" s="1"/>
  <c r="S208" i="6"/>
  <c r="AA211" i="6"/>
  <c r="AH212" i="6"/>
  <c r="AD209" i="6"/>
  <c r="AE209" i="6" s="1"/>
  <c r="AC210" i="6"/>
  <c r="AF209" i="6" l="1"/>
  <c r="AG209" i="6" s="1"/>
  <c r="S209" i="6"/>
  <c r="AD210" i="6"/>
  <c r="AE210" i="6" s="1"/>
  <c r="AC211" i="6"/>
  <c r="AA212" i="6"/>
  <c r="AH213" i="6"/>
  <c r="AF210" i="6" l="1"/>
  <c r="AG210" i="6" s="1"/>
  <c r="S210" i="6"/>
  <c r="AA213" i="6"/>
  <c r="AH214" i="6"/>
  <c r="AD211" i="6"/>
  <c r="AE211" i="6" s="1"/>
  <c r="AC212" i="6"/>
  <c r="AF211" i="6" l="1"/>
  <c r="AG211" i="6" s="1"/>
  <c r="S211" i="6"/>
  <c r="AC213" i="6"/>
  <c r="AD212" i="6"/>
  <c r="AE212" i="6" s="1"/>
  <c r="AA214" i="6"/>
  <c r="AH215" i="6"/>
  <c r="AF212" i="6" l="1"/>
  <c r="AG212" i="6" s="1"/>
  <c r="S212" i="6"/>
  <c r="AA215" i="6"/>
  <c r="AH216" i="6"/>
  <c r="AD213" i="6"/>
  <c r="AE213" i="6" s="1"/>
  <c r="AC214" i="6"/>
  <c r="S214" i="6" s="1"/>
  <c r="AF213" i="6" l="1"/>
  <c r="AG213" i="6" s="1"/>
  <c r="S213" i="6"/>
  <c r="AD214" i="6"/>
  <c r="AE214" i="6" s="1"/>
  <c r="AC215" i="6"/>
  <c r="AA216" i="6"/>
  <c r="AH217" i="6"/>
  <c r="AF214" i="6" l="1"/>
  <c r="AG214" i="6" s="1"/>
  <c r="AA217" i="6"/>
  <c r="AH218" i="6"/>
  <c r="AD215" i="6"/>
  <c r="AC216" i="6"/>
  <c r="AE215" i="6" l="1"/>
  <c r="AF215" i="6" s="1"/>
  <c r="AG215" i="6" s="1"/>
  <c r="S215" i="6"/>
  <c r="AA218" i="6"/>
  <c r="AH219" i="6"/>
  <c r="AD216" i="6"/>
  <c r="AC217" i="6"/>
  <c r="AE216" i="6" l="1"/>
  <c r="AF216" i="6" s="1"/>
  <c r="AG216" i="6" s="1"/>
  <c r="S216" i="6"/>
  <c r="AA219" i="6"/>
  <c r="AH220" i="6"/>
  <c r="AC218" i="6"/>
  <c r="AD217" i="6"/>
  <c r="AE217" i="6" l="1"/>
  <c r="AF217" i="6" s="1"/>
  <c r="AG217" i="6" s="1"/>
  <c r="S217" i="6"/>
  <c r="AD218" i="6"/>
  <c r="AC219" i="6"/>
  <c r="AA220" i="6"/>
  <c r="AH221" i="6"/>
  <c r="AE218" i="6" l="1"/>
  <c r="AF218" i="6" s="1"/>
  <c r="AG218" i="6" s="1"/>
  <c r="S218" i="6"/>
  <c r="AA221" i="6"/>
  <c r="AH222" i="6"/>
  <c r="AD219" i="6"/>
  <c r="AC220" i="6"/>
  <c r="S220" i="6" s="1"/>
  <c r="AE219" i="6" l="1"/>
  <c r="AF219" i="6" s="1"/>
  <c r="AG219" i="6" s="1"/>
  <c r="S219" i="6"/>
  <c r="AA222" i="6"/>
  <c r="AH223" i="6"/>
  <c r="AD220" i="6"/>
  <c r="AE220" i="6" s="1"/>
  <c r="AF220" i="6" s="1"/>
  <c r="AG220" i="6" s="1"/>
  <c r="AC221" i="6"/>
  <c r="S221" i="6" s="1"/>
  <c r="AA223" i="6" l="1"/>
  <c r="AH224" i="6"/>
  <c r="AD221" i="6"/>
  <c r="AE221" i="6" s="1"/>
  <c r="AF221" i="6" s="1"/>
  <c r="AG221" i="6" s="1"/>
  <c r="AC222" i="6"/>
  <c r="S222" i="6" s="1"/>
  <c r="AD222" i="6" l="1"/>
  <c r="AE222" i="6" s="1"/>
  <c r="AF222" i="6" s="1"/>
  <c r="AG222" i="6" s="1"/>
  <c r="AC223" i="6"/>
  <c r="S223" i="6" s="1"/>
  <c r="AA224" i="6"/>
  <c r="AH225" i="6"/>
  <c r="AA225" i="6" l="1"/>
  <c r="AH226" i="6"/>
  <c r="AC224" i="6"/>
  <c r="S224" i="6" s="1"/>
  <c r="AD223" i="6"/>
  <c r="AE223" i="6" s="1"/>
  <c r="AF223" i="6" s="1"/>
  <c r="AG223" i="6" s="1"/>
  <c r="AC225" i="6" l="1"/>
  <c r="S225" i="6" s="1"/>
  <c r="AD224" i="6"/>
  <c r="AE224" i="6" s="1"/>
  <c r="AF224" i="6" s="1"/>
  <c r="AG224" i="6" s="1"/>
  <c r="AH227" i="6"/>
  <c r="AA226" i="6"/>
  <c r="AA227" i="6" l="1"/>
  <c r="AH228" i="6"/>
  <c r="AD225" i="6"/>
  <c r="AE225" i="6" s="1"/>
  <c r="AF225" i="6" s="1"/>
  <c r="AG225" i="6" s="1"/>
  <c r="AC226" i="6"/>
  <c r="AD226" i="6" l="1"/>
  <c r="AC227" i="6"/>
  <c r="AA228" i="6"/>
  <c r="AH229" i="6"/>
  <c r="AE226" i="6" l="1"/>
  <c r="AF226" i="6" s="1"/>
  <c r="AG226" i="6" s="1"/>
  <c r="S226" i="6"/>
  <c r="AA229" i="6"/>
  <c r="AH230" i="6"/>
  <c r="AD227" i="6"/>
  <c r="AC228" i="6"/>
  <c r="S228" i="6" s="1"/>
  <c r="AE227" i="6" l="1"/>
  <c r="AF227" i="6" s="1"/>
  <c r="AG227" i="6" s="1"/>
  <c r="S227" i="6"/>
  <c r="AA230" i="6"/>
  <c r="AH231" i="6"/>
  <c r="AD228" i="6"/>
  <c r="AE228" i="6" s="1"/>
  <c r="AF228" i="6" s="1"/>
  <c r="AG228" i="6" s="1"/>
  <c r="AC229" i="6"/>
  <c r="AC230" i="6" l="1"/>
  <c r="AD229" i="6"/>
  <c r="AA231" i="6"/>
  <c r="AH232" i="6"/>
  <c r="AE229" i="6" l="1"/>
  <c r="AF229" i="6" s="1"/>
  <c r="AG229" i="6" s="1"/>
  <c r="S229" i="6"/>
  <c r="AA232" i="6"/>
  <c r="AH233" i="6"/>
  <c r="AD230" i="6"/>
  <c r="AC231" i="6"/>
  <c r="AE230" i="6" l="1"/>
  <c r="AF230" i="6" s="1"/>
  <c r="AG230" i="6" s="1"/>
  <c r="S230" i="6"/>
  <c r="AD231" i="6"/>
  <c r="AC232" i="6"/>
  <c r="AA233" i="6"/>
  <c r="AH234" i="6"/>
  <c r="AE231" i="6" l="1"/>
  <c r="AF231" i="6" s="1"/>
  <c r="AG231" i="6" s="1"/>
  <c r="S231" i="6"/>
  <c r="AA234" i="6"/>
  <c r="AH235" i="6"/>
  <c r="AD232" i="6"/>
  <c r="AC233" i="6"/>
  <c r="AE232" i="6" l="1"/>
  <c r="AF232" i="6" s="1"/>
  <c r="AG232" i="6" s="1"/>
  <c r="S232" i="6"/>
  <c r="AD233" i="6"/>
  <c r="AC234" i="6"/>
  <c r="AA235" i="6"/>
  <c r="AH236" i="6"/>
  <c r="AE233" i="6" l="1"/>
  <c r="AF233" i="6" s="1"/>
  <c r="AG233" i="6" s="1"/>
  <c r="S233" i="6"/>
  <c r="AA236" i="6"/>
  <c r="AH237" i="6"/>
  <c r="AD234" i="6"/>
  <c r="AE234" i="6" s="1"/>
  <c r="AC235" i="6"/>
  <c r="AF234" i="6" l="1"/>
  <c r="AG234" i="6" s="1"/>
  <c r="S234" i="6"/>
  <c r="AC236" i="6"/>
  <c r="AD235" i="6"/>
  <c r="AE235" i="6" s="1"/>
  <c r="AA237" i="6"/>
  <c r="AH238" i="6"/>
  <c r="AF235" i="6" l="1"/>
  <c r="AG235" i="6" s="1"/>
  <c r="S235" i="6"/>
  <c r="AA238" i="6"/>
  <c r="AH239" i="6"/>
  <c r="AC237" i="6"/>
  <c r="AD236" i="6"/>
  <c r="AE236" i="6" s="1"/>
  <c r="AF236" i="6" l="1"/>
  <c r="AG236" i="6" s="1"/>
  <c r="S236" i="6"/>
  <c r="AA239" i="6"/>
  <c r="AH240" i="6"/>
  <c r="AD237" i="6"/>
  <c r="AE237" i="6" s="1"/>
  <c r="AC238" i="6"/>
  <c r="AF237" i="6" l="1"/>
  <c r="AG237" i="6" s="1"/>
  <c r="S237" i="6"/>
  <c r="AA240" i="6"/>
  <c r="AH241" i="6"/>
  <c r="AD238" i="6"/>
  <c r="AE238" i="6" s="1"/>
  <c r="AC239" i="6"/>
  <c r="AF238" i="6" l="1"/>
  <c r="AG238" i="6" s="1"/>
  <c r="S238" i="6"/>
  <c r="AA241" i="6"/>
  <c r="AH242" i="6"/>
  <c r="AD239" i="6"/>
  <c r="AE239" i="6" s="1"/>
  <c r="AC240" i="6"/>
  <c r="S240" i="6" s="1"/>
  <c r="AF239" i="6" l="1"/>
  <c r="AG239" i="6" s="1"/>
  <c r="S239" i="6"/>
  <c r="AA242" i="6"/>
  <c r="AH243" i="6"/>
  <c r="AD240" i="6"/>
  <c r="AE240" i="6" s="1"/>
  <c r="AF240" i="6" s="1"/>
  <c r="AG240" i="6" s="1"/>
  <c r="AC241" i="6"/>
  <c r="AA243" i="6" l="1"/>
  <c r="AH244" i="6"/>
  <c r="AD241" i="6"/>
  <c r="AC242" i="6"/>
  <c r="S242" i="6" s="1"/>
  <c r="AE241" i="6" l="1"/>
  <c r="AF241" i="6" s="1"/>
  <c r="AG241" i="6" s="1"/>
  <c r="S241" i="6"/>
  <c r="AD242" i="6"/>
  <c r="AE242" i="6" s="1"/>
  <c r="AF242" i="6" s="1"/>
  <c r="AG242" i="6" s="1"/>
  <c r="AC243" i="6"/>
  <c r="S243" i="6" s="1"/>
  <c r="AA244" i="6"/>
  <c r="AH245" i="6"/>
  <c r="AA245" i="6" l="1"/>
  <c r="AH246" i="6"/>
  <c r="AD243" i="6"/>
  <c r="AE243" i="6" s="1"/>
  <c r="AF243" i="6" s="1"/>
  <c r="AG243" i="6" s="1"/>
  <c r="AC244" i="6"/>
  <c r="AD244" i="6" l="1"/>
  <c r="AC245" i="6"/>
  <c r="AA246" i="6"/>
  <c r="AH247" i="6"/>
  <c r="AE244" i="6" l="1"/>
  <c r="AF244" i="6" s="1"/>
  <c r="AG244" i="6" s="1"/>
  <c r="S244" i="6"/>
  <c r="AA247" i="6"/>
  <c r="AH248" i="6"/>
  <c r="AD245" i="6"/>
  <c r="AC246" i="6"/>
  <c r="AE245" i="6" l="1"/>
  <c r="AF245" i="6" s="1"/>
  <c r="AG245" i="6" s="1"/>
  <c r="S245" i="6"/>
  <c r="AA248" i="6"/>
  <c r="AH249" i="6"/>
  <c r="AD246" i="6"/>
  <c r="AE246" i="6" s="1"/>
  <c r="AC247" i="6"/>
  <c r="AF246" i="6" l="1"/>
  <c r="AG246" i="6" s="1"/>
  <c r="S246" i="6"/>
  <c r="AC248" i="6"/>
  <c r="AD247" i="6"/>
  <c r="AE247" i="6" s="1"/>
  <c r="AA249" i="6"/>
  <c r="AH250" i="6"/>
  <c r="AF247" i="6" l="1"/>
  <c r="AG247" i="6" s="1"/>
  <c r="S247" i="6"/>
  <c r="AA250" i="6"/>
  <c r="AH251" i="6"/>
  <c r="AC249" i="6"/>
  <c r="AD248" i="6"/>
  <c r="AE248" i="6" s="1"/>
  <c r="AF248" i="6" l="1"/>
  <c r="AG248" i="6" s="1"/>
  <c r="S248" i="6"/>
  <c r="AD249" i="6"/>
  <c r="AE249" i="6" s="1"/>
  <c r="AF249" i="6" s="1"/>
  <c r="AC250" i="6"/>
  <c r="AA251" i="6"/>
  <c r="AH252" i="6"/>
  <c r="AG249" i="6" l="1"/>
  <c r="S249" i="6"/>
  <c r="AA252" i="6"/>
  <c r="AH253" i="6"/>
  <c r="AD250" i="6"/>
  <c r="AE250" i="6" s="1"/>
  <c r="AC251" i="6"/>
  <c r="AF250" i="6" l="1"/>
  <c r="AG250" i="6" s="1"/>
  <c r="S250" i="6"/>
  <c r="AA253" i="6"/>
  <c r="AH254" i="6"/>
  <c r="AD251" i="6"/>
  <c r="AE251" i="6" s="1"/>
  <c r="AC252" i="6"/>
  <c r="S252" i="6" s="1"/>
  <c r="AF251" i="6" l="1"/>
  <c r="AG251" i="6" s="1"/>
  <c r="S251" i="6"/>
  <c r="AD252" i="6"/>
  <c r="AE252" i="6" s="1"/>
  <c r="AF252" i="6" s="1"/>
  <c r="AG252" i="6" s="1"/>
  <c r="AC253" i="6"/>
  <c r="AA254" i="6"/>
  <c r="AH255" i="6"/>
  <c r="AD253" i="6" l="1"/>
  <c r="AC254" i="6"/>
  <c r="AA255" i="6"/>
  <c r="AH256" i="6"/>
  <c r="AE253" i="6" l="1"/>
  <c r="AF253" i="6" s="1"/>
  <c r="AG253" i="6" s="1"/>
  <c r="S253" i="6"/>
  <c r="AA256" i="6"/>
  <c r="AH257" i="6"/>
  <c r="AD254" i="6"/>
  <c r="AC255" i="6"/>
  <c r="AE254" i="6" l="1"/>
  <c r="AF254" i="6" s="1"/>
  <c r="AG254" i="6" s="1"/>
  <c r="S254" i="6"/>
  <c r="AA257" i="6"/>
  <c r="AH258" i="6"/>
  <c r="AD255" i="6"/>
  <c r="AC256" i="6"/>
  <c r="AE255" i="6" l="1"/>
  <c r="AF255" i="6" s="1"/>
  <c r="AG255" i="6" s="1"/>
  <c r="S255" i="6"/>
  <c r="AD256" i="6"/>
  <c r="AC257" i="6"/>
  <c r="AA258" i="6"/>
  <c r="AH259" i="6"/>
  <c r="AE256" i="6" l="1"/>
  <c r="AF256" i="6" s="1"/>
  <c r="AG256" i="6" s="1"/>
  <c r="S256" i="6"/>
  <c r="AA259" i="6"/>
  <c r="AH260" i="6"/>
  <c r="AD257" i="6"/>
  <c r="AC258" i="6"/>
  <c r="AE257" i="6" l="1"/>
  <c r="AF257" i="6" s="1"/>
  <c r="AG257" i="6" s="1"/>
  <c r="S257" i="6"/>
  <c r="AD258" i="6"/>
  <c r="AC259" i="6"/>
  <c r="S259" i="6" s="1"/>
  <c r="AA260" i="6"/>
  <c r="AH261" i="6"/>
  <c r="AE258" i="6" l="1"/>
  <c r="AF258" i="6" s="1"/>
  <c r="AG258" i="6" s="1"/>
  <c r="S258" i="6"/>
  <c r="AH262" i="6"/>
  <c r="AA261" i="6"/>
  <c r="AD259" i="6"/>
  <c r="AE259" i="6" s="1"/>
  <c r="AF259" i="6" s="1"/>
  <c r="AG259" i="6" s="1"/>
  <c r="AC260" i="6"/>
  <c r="S260" i="6" s="1"/>
  <c r="AD260" i="6" l="1"/>
  <c r="AE260" i="6" s="1"/>
  <c r="AF260" i="6" s="1"/>
  <c r="AG260" i="6" s="1"/>
  <c r="AC261" i="6"/>
  <c r="S261" i="6" s="1"/>
  <c r="AA262" i="6"/>
  <c r="AH263" i="6"/>
  <c r="AA263" i="6" l="1"/>
  <c r="AH264" i="6"/>
  <c r="AD261" i="6"/>
  <c r="AE261" i="6" s="1"/>
  <c r="AF261" i="6" s="1"/>
  <c r="AG261" i="6" s="1"/>
  <c r="AC262" i="6"/>
  <c r="AA264" i="6" l="1"/>
  <c r="AH265" i="6"/>
  <c r="AD262" i="6"/>
  <c r="AC263" i="6"/>
  <c r="S263" i="6" s="1"/>
  <c r="AE262" i="6" l="1"/>
  <c r="AF262" i="6" s="1"/>
  <c r="AG262" i="6" s="1"/>
  <c r="S262" i="6"/>
  <c r="AD263" i="6"/>
  <c r="AC264" i="6"/>
  <c r="AH266" i="6"/>
  <c r="AA265" i="6"/>
  <c r="AE263" i="6" l="1"/>
  <c r="AF263" i="6" s="1"/>
  <c r="AG263" i="6" s="1"/>
  <c r="AA266" i="6"/>
  <c r="AH267" i="6"/>
  <c r="AC265" i="6"/>
  <c r="S265" i="6" s="1"/>
  <c r="AD264" i="6"/>
  <c r="AE264" i="6" l="1"/>
  <c r="AF264" i="6" s="1"/>
  <c r="AG264" i="6" s="1"/>
  <c r="S264" i="6"/>
  <c r="AA267" i="6"/>
  <c r="AH268" i="6"/>
  <c r="AD265" i="6"/>
  <c r="AE265" i="6" s="1"/>
  <c r="AF265" i="6" s="1"/>
  <c r="AG265" i="6" s="1"/>
  <c r="AC266" i="6"/>
  <c r="AD266" i="6" l="1"/>
  <c r="AC267" i="6"/>
  <c r="AA268" i="6"/>
  <c r="AH269" i="6"/>
  <c r="AE266" i="6" l="1"/>
  <c r="AF266" i="6" s="1"/>
  <c r="AG266" i="6" s="1"/>
  <c r="S266" i="6"/>
  <c r="AA269" i="6"/>
  <c r="AH270" i="6"/>
  <c r="AD267" i="6"/>
  <c r="AC268" i="6"/>
  <c r="S268" i="6" s="1"/>
  <c r="AE267" i="6" l="1"/>
  <c r="AF267" i="6" s="1"/>
  <c r="AG267" i="6" s="1"/>
  <c r="S267" i="6"/>
  <c r="AD268" i="6"/>
  <c r="AC269" i="6"/>
  <c r="S269" i="6" s="1"/>
  <c r="AA270" i="6"/>
  <c r="AH271" i="6"/>
  <c r="AE268" i="6" l="1"/>
  <c r="AF268" i="6" s="1"/>
  <c r="AG268" i="6" s="1"/>
  <c r="AA271" i="6"/>
  <c r="AH272" i="6"/>
  <c r="AC270" i="6"/>
  <c r="AD269" i="6"/>
  <c r="AE269" i="6" s="1"/>
  <c r="AF269" i="6" s="1"/>
  <c r="AG269" i="6" s="1"/>
  <c r="AA272" i="6" l="1"/>
  <c r="AH273" i="6"/>
  <c r="AD270" i="6"/>
  <c r="AC271" i="6"/>
  <c r="AE270" i="6" l="1"/>
  <c r="AF270" i="6" s="1"/>
  <c r="AG270" i="6" s="1"/>
  <c r="S270" i="6"/>
  <c r="AD271" i="6"/>
  <c r="AE271" i="6" s="1"/>
  <c r="AC272" i="6"/>
  <c r="AA273" i="6"/>
  <c r="AH274" i="6"/>
  <c r="AF271" i="6" l="1"/>
  <c r="AG271" i="6" s="1"/>
  <c r="S271" i="6"/>
  <c r="AA274" i="6"/>
  <c r="AH275" i="6"/>
  <c r="AD272" i="6"/>
  <c r="AC273" i="6"/>
  <c r="AE272" i="6" l="1"/>
  <c r="AF272" i="6" s="1"/>
  <c r="AG272" i="6" s="1"/>
  <c r="S272" i="6"/>
  <c r="AD273" i="6"/>
  <c r="AE273" i="6" s="1"/>
  <c r="AC274" i="6"/>
  <c r="AA275" i="6"/>
  <c r="AH276" i="6"/>
  <c r="AF273" i="6" l="1"/>
  <c r="AG273" i="6" s="1"/>
  <c r="S273" i="6"/>
  <c r="AA276" i="6"/>
  <c r="AH277" i="6"/>
  <c r="AD274" i="6"/>
  <c r="AE274" i="6" s="1"/>
  <c r="AC275" i="6"/>
  <c r="AF274" i="6" l="1"/>
  <c r="AG274" i="6" s="1"/>
  <c r="S274" i="6"/>
  <c r="AA277" i="6"/>
  <c r="AH278" i="6"/>
  <c r="AD275" i="6"/>
  <c r="AE275" i="6" s="1"/>
  <c r="AC276" i="6"/>
  <c r="AF275" i="6" l="1"/>
  <c r="AG275" i="6" s="1"/>
  <c r="S275" i="6"/>
  <c r="AA278" i="6"/>
  <c r="AH279" i="6"/>
  <c r="AC277" i="6"/>
  <c r="AD276" i="6"/>
  <c r="AE276" i="6" s="1"/>
  <c r="AF276" i="6" l="1"/>
  <c r="AG276" i="6" s="1"/>
  <c r="S276" i="6"/>
  <c r="AD277" i="6"/>
  <c r="AE277" i="6" s="1"/>
  <c r="AC278" i="6"/>
  <c r="S278" i="6" s="1"/>
  <c r="AH280" i="6"/>
  <c r="AA279" i="6"/>
  <c r="AF277" i="6" l="1"/>
  <c r="AG277" i="6" s="1"/>
  <c r="S277" i="6"/>
  <c r="AA280" i="6"/>
  <c r="AH281" i="6"/>
  <c r="AD278" i="6"/>
  <c r="AE278" i="6" s="1"/>
  <c r="AF278" i="6" s="1"/>
  <c r="AG278" i="6" s="1"/>
  <c r="AC279" i="6"/>
  <c r="S279" i="6" s="1"/>
  <c r="AD279" i="6" l="1"/>
  <c r="AE279" i="6" s="1"/>
  <c r="AF279" i="6" s="1"/>
  <c r="AG279" i="6" s="1"/>
  <c r="AC280" i="6"/>
  <c r="AA281" i="6"/>
  <c r="AH282" i="6"/>
  <c r="AA282" i="6" l="1"/>
  <c r="AH283" i="6"/>
  <c r="AD280" i="6"/>
  <c r="AC281" i="6"/>
  <c r="AE280" i="6" l="1"/>
  <c r="AF280" i="6" s="1"/>
  <c r="AG280" i="6" s="1"/>
  <c r="S280" i="6"/>
  <c r="AC282" i="6"/>
  <c r="AD281" i="6"/>
  <c r="AE281" i="6" s="1"/>
  <c r="AA283" i="6"/>
  <c r="AH284" i="6"/>
  <c r="AF281" i="6" l="1"/>
  <c r="AG281" i="6" s="1"/>
  <c r="S281" i="6"/>
  <c r="AA284" i="6"/>
  <c r="AH285" i="6"/>
  <c r="AD282" i="6"/>
  <c r="AC283" i="6"/>
  <c r="AE282" i="6" l="1"/>
  <c r="AF282" i="6" s="1"/>
  <c r="AG282" i="6" s="1"/>
  <c r="S282" i="6"/>
  <c r="AD283" i="6"/>
  <c r="AE283" i="6" s="1"/>
  <c r="AC284" i="6"/>
  <c r="AA285" i="6"/>
  <c r="AH286" i="6"/>
  <c r="AF283" i="6" l="1"/>
  <c r="AG283" i="6" s="1"/>
  <c r="S283" i="6"/>
  <c r="AA286" i="6"/>
  <c r="AH287" i="6"/>
  <c r="AD284" i="6"/>
  <c r="AE284" i="6" s="1"/>
  <c r="AC285" i="6"/>
  <c r="AF284" i="6" l="1"/>
  <c r="AG284" i="6" s="1"/>
  <c r="S284" i="6"/>
  <c r="AA287" i="6"/>
  <c r="AH288" i="6"/>
  <c r="AD285" i="6"/>
  <c r="AE285" i="6" s="1"/>
  <c r="AC286" i="6"/>
  <c r="AF285" i="6" l="1"/>
  <c r="AG285" i="6" s="1"/>
  <c r="S285" i="6"/>
  <c r="AD286" i="6"/>
  <c r="AC287" i="6"/>
  <c r="AA288" i="6"/>
  <c r="AH289" i="6"/>
  <c r="AE286" i="6" l="1"/>
  <c r="AF286" i="6" s="1"/>
  <c r="AG286" i="6" s="1"/>
  <c r="S286" i="6"/>
  <c r="AA289" i="6"/>
  <c r="AH290" i="6"/>
  <c r="AC288" i="6"/>
  <c r="AD287" i="6"/>
  <c r="AE287" i="6" s="1"/>
  <c r="AF287" i="6" l="1"/>
  <c r="AG287" i="6" s="1"/>
  <c r="S287" i="6"/>
  <c r="AA290" i="6"/>
  <c r="AH291" i="6"/>
  <c r="AC289" i="6"/>
  <c r="AD288" i="6"/>
  <c r="AE288" i="6" s="1"/>
  <c r="AF288" i="6" l="1"/>
  <c r="AG288" i="6" s="1"/>
  <c r="S288" i="6"/>
  <c r="AA291" i="6"/>
  <c r="AH292" i="6"/>
  <c r="AD289" i="6"/>
  <c r="AE289" i="6" s="1"/>
  <c r="AC290" i="6"/>
  <c r="AF289" i="6" l="1"/>
  <c r="AG289" i="6" s="1"/>
  <c r="S289" i="6"/>
  <c r="AA292" i="6"/>
  <c r="AH293" i="6"/>
  <c r="AD290" i="6"/>
  <c r="AC291" i="6"/>
  <c r="AE290" i="6" l="1"/>
  <c r="AF290" i="6" s="1"/>
  <c r="AG290" i="6" s="1"/>
  <c r="S290" i="6"/>
  <c r="AA293" i="6"/>
  <c r="AH294" i="6"/>
  <c r="AD291" i="6"/>
  <c r="AC292" i="6"/>
  <c r="AE291" i="6" l="1"/>
  <c r="AF291" i="6" s="1"/>
  <c r="AG291" i="6" s="1"/>
  <c r="S291" i="6"/>
  <c r="AA294" i="6"/>
  <c r="AH295" i="6"/>
  <c r="AD292" i="6"/>
  <c r="AE292" i="6" s="1"/>
  <c r="AC293" i="6"/>
  <c r="AF292" i="6" l="1"/>
  <c r="AG292" i="6" s="1"/>
  <c r="S292" i="6"/>
  <c r="AC294" i="6"/>
  <c r="AD293" i="6"/>
  <c r="AE293" i="6" s="1"/>
  <c r="AA295" i="6"/>
  <c r="AH296" i="6"/>
  <c r="AF293" i="6" l="1"/>
  <c r="AG293" i="6" s="1"/>
  <c r="S293" i="6"/>
  <c r="AA296" i="6"/>
  <c r="AH297" i="6"/>
  <c r="AD294" i="6"/>
  <c r="AE294" i="6" s="1"/>
  <c r="AC295" i="6"/>
  <c r="AF294" i="6" l="1"/>
  <c r="AG294" i="6" s="1"/>
  <c r="S294" i="6"/>
  <c r="AD295" i="6"/>
  <c r="AE295" i="6" s="1"/>
  <c r="AC296" i="6"/>
  <c r="AA297" i="6"/>
  <c r="AH298" i="6"/>
  <c r="AF295" i="6" l="1"/>
  <c r="AG295" i="6" s="1"/>
  <c r="S295" i="6"/>
  <c r="AA298" i="6"/>
  <c r="AH299" i="6"/>
  <c r="AD296" i="6"/>
  <c r="AE296" i="6" s="1"/>
  <c r="AC297" i="6"/>
  <c r="AF296" i="6" l="1"/>
  <c r="AG296" i="6" s="1"/>
  <c r="S296" i="6"/>
  <c r="AA299" i="6"/>
  <c r="AH300" i="6"/>
  <c r="AD297" i="6"/>
  <c r="AE297" i="6" s="1"/>
  <c r="AF297" i="6" s="1"/>
  <c r="AC298" i="6"/>
  <c r="AG297" i="6" l="1"/>
  <c r="S297" i="6"/>
  <c r="AA300" i="6"/>
  <c r="AH301" i="6"/>
  <c r="AD298" i="6"/>
  <c r="AE298" i="6" s="1"/>
  <c r="AC299" i="6"/>
  <c r="AF298" i="6" l="1"/>
  <c r="AG298" i="6" s="1"/>
  <c r="S298" i="6"/>
  <c r="AC300" i="6"/>
  <c r="AD299" i="6"/>
  <c r="AE299" i="6" s="1"/>
  <c r="AH302" i="6"/>
  <c r="AA301" i="6"/>
  <c r="AF299" i="6" l="1"/>
  <c r="AG299" i="6" s="1"/>
  <c r="S299" i="6"/>
  <c r="AA302" i="6"/>
  <c r="AH303" i="6"/>
  <c r="AC301" i="6"/>
  <c r="AD300" i="6"/>
  <c r="AE300" i="6" s="1"/>
  <c r="AF300" i="6" l="1"/>
  <c r="AG300" i="6" s="1"/>
  <c r="S300" i="6"/>
  <c r="AD301" i="6"/>
  <c r="AE301" i="6" s="1"/>
  <c r="AC302" i="6"/>
  <c r="AA303" i="6"/>
  <c r="AH304" i="6"/>
  <c r="AF301" i="6" l="1"/>
  <c r="AG301" i="6" s="1"/>
  <c r="S301" i="6"/>
  <c r="AA304" i="6"/>
  <c r="AH305" i="6"/>
  <c r="AD302" i="6"/>
  <c r="AE302" i="6" s="1"/>
  <c r="AC303" i="6"/>
  <c r="AF302" i="6" l="1"/>
  <c r="AG302" i="6" s="1"/>
  <c r="S302" i="6"/>
  <c r="AA305" i="6"/>
  <c r="AH306" i="6"/>
  <c r="AD303" i="6"/>
  <c r="AC304" i="6"/>
  <c r="S304" i="6" s="1"/>
  <c r="AE303" i="6" l="1"/>
  <c r="AF303" i="6" s="1"/>
  <c r="AG303" i="6" s="1"/>
  <c r="S303" i="6"/>
  <c r="AD304" i="6"/>
  <c r="AC305" i="6"/>
  <c r="AA306" i="6"/>
  <c r="AH307" i="6"/>
  <c r="AE304" i="6" l="1"/>
  <c r="AF304" i="6" s="1"/>
  <c r="AG304" i="6" s="1"/>
  <c r="AA307" i="6"/>
  <c r="AH308" i="6"/>
  <c r="AD305" i="6"/>
  <c r="AC306" i="6"/>
  <c r="AE305" i="6" l="1"/>
  <c r="AF305" i="6" s="1"/>
  <c r="AG305" i="6" s="1"/>
  <c r="S305" i="6"/>
  <c r="AA308" i="6"/>
  <c r="AH309" i="6"/>
  <c r="AD306" i="6"/>
  <c r="AC307" i="6"/>
  <c r="S307" i="6" s="1"/>
  <c r="AE306" i="6" l="1"/>
  <c r="AF306" i="6" s="1"/>
  <c r="AG306" i="6" s="1"/>
  <c r="S306" i="6"/>
  <c r="AD307" i="6"/>
  <c r="AC308" i="6"/>
  <c r="AA309" i="6"/>
  <c r="AH310" i="6"/>
  <c r="AE307" i="6" l="1"/>
  <c r="AF307" i="6" s="1"/>
  <c r="AG307" i="6" s="1"/>
  <c r="AA310" i="6"/>
  <c r="AH311" i="6"/>
  <c r="AD308" i="6"/>
  <c r="AC309" i="6"/>
  <c r="S309" i="6" s="1"/>
  <c r="AE308" i="6" l="1"/>
  <c r="AF308" i="6" s="1"/>
  <c r="AG308" i="6" s="1"/>
  <c r="S308" i="6"/>
  <c r="AA311" i="6"/>
  <c r="AH312" i="6"/>
  <c r="AD309" i="6"/>
  <c r="AE309" i="6" s="1"/>
  <c r="AF309" i="6" s="1"/>
  <c r="AG309" i="6" s="1"/>
  <c r="AC310" i="6"/>
  <c r="S310" i="6" s="1"/>
  <c r="AD310" i="6" l="1"/>
  <c r="AE310" i="6" s="1"/>
  <c r="AF310" i="6" s="1"/>
  <c r="AG310" i="6" s="1"/>
  <c r="AC311" i="6"/>
  <c r="AA312" i="6"/>
  <c r="AH313" i="6"/>
  <c r="AH314" i="6" l="1"/>
  <c r="AA313" i="6"/>
  <c r="AC312" i="6"/>
  <c r="AD311" i="6"/>
  <c r="AE311" i="6" l="1"/>
  <c r="AF311" i="6" s="1"/>
  <c r="AG311" i="6" s="1"/>
  <c r="S311" i="6"/>
  <c r="AD312" i="6"/>
  <c r="AE312" i="6" s="1"/>
  <c r="AC313" i="6"/>
  <c r="AH315" i="6"/>
  <c r="AA314" i="6"/>
  <c r="AF312" i="6" l="1"/>
  <c r="AG312" i="6" s="1"/>
  <c r="S312" i="6"/>
  <c r="AH316" i="6"/>
  <c r="AA315" i="6"/>
  <c r="AD313" i="6"/>
  <c r="AC314" i="6"/>
  <c r="AE313" i="6" l="1"/>
  <c r="AF313" i="6" s="1"/>
  <c r="AG313" i="6" s="1"/>
  <c r="S313" i="6"/>
  <c r="AD314" i="6"/>
  <c r="AC315" i="6"/>
  <c r="S315" i="6" s="1"/>
  <c r="AA316" i="6"/>
  <c r="AH317" i="6"/>
  <c r="AE314" i="6" l="1"/>
  <c r="AF314" i="6" s="1"/>
  <c r="AG314" i="6" s="1"/>
  <c r="S314" i="6"/>
  <c r="AA317" i="6"/>
  <c r="AH318" i="6"/>
  <c r="AD315" i="6"/>
  <c r="AC316" i="6"/>
  <c r="AE315" i="6" l="1"/>
  <c r="AF315" i="6" s="1"/>
  <c r="AG315" i="6" s="1"/>
  <c r="AH319" i="6"/>
  <c r="AA318" i="6"/>
  <c r="AD316" i="6"/>
  <c r="AC317" i="6"/>
  <c r="S317" i="6" s="1"/>
  <c r="AE316" i="6" l="1"/>
  <c r="AF316" i="6" s="1"/>
  <c r="AG316" i="6" s="1"/>
  <c r="S316" i="6"/>
  <c r="AD317" i="6"/>
  <c r="AC318" i="6"/>
  <c r="S318" i="6" s="1"/>
  <c r="AA319" i="6"/>
  <c r="AH320" i="6"/>
  <c r="AE317" i="6" l="1"/>
  <c r="AF317" i="6" s="1"/>
  <c r="AG317" i="6" s="1"/>
  <c r="AA320" i="6"/>
  <c r="AH321" i="6"/>
  <c r="AD318" i="6"/>
  <c r="AE318" i="6" s="1"/>
  <c r="AF318" i="6" s="1"/>
  <c r="AG318" i="6" s="1"/>
  <c r="AC319" i="6"/>
  <c r="S319" i="6" s="1"/>
  <c r="AA321" i="6" l="1"/>
  <c r="AH322" i="6"/>
  <c r="AD319" i="6"/>
  <c r="AE319" i="6" s="1"/>
  <c r="AF319" i="6" s="1"/>
  <c r="AG319" i="6" s="1"/>
  <c r="AC320" i="6"/>
  <c r="AD320" i="6" l="1"/>
  <c r="AC321" i="6"/>
  <c r="AA322" i="6"/>
  <c r="AH323" i="6"/>
  <c r="AE320" i="6" l="1"/>
  <c r="AF320" i="6" s="1"/>
  <c r="AG320" i="6" s="1"/>
  <c r="S320" i="6"/>
  <c r="AA323" i="6"/>
  <c r="AH324" i="6"/>
  <c r="AC322" i="6"/>
  <c r="AD321" i="6"/>
  <c r="AE321" i="6" l="1"/>
  <c r="AF321" i="6" s="1"/>
  <c r="AG321" i="6" s="1"/>
  <c r="S321" i="6"/>
  <c r="AD322" i="6"/>
  <c r="AE322" i="6" s="1"/>
  <c r="AC323" i="6"/>
  <c r="AA324" i="6"/>
  <c r="AH325" i="6"/>
  <c r="AF322" i="6" l="1"/>
  <c r="AG322" i="6" s="1"/>
  <c r="S322" i="6"/>
  <c r="AA325" i="6"/>
  <c r="AH326" i="6"/>
  <c r="AD323" i="6"/>
  <c r="AE323" i="6" s="1"/>
  <c r="AC324" i="6"/>
  <c r="AF323" i="6" l="1"/>
  <c r="AG323" i="6" s="1"/>
  <c r="S323" i="6"/>
  <c r="AD324" i="6"/>
  <c r="AE324" i="6" s="1"/>
  <c r="AF324" i="6" s="1"/>
  <c r="AC325" i="6"/>
  <c r="AA326" i="6"/>
  <c r="AH327" i="6"/>
  <c r="AG324" i="6" l="1"/>
  <c r="S324" i="6"/>
  <c r="AA327" i="6"/>
  <c r="AH328" i="6"/>
  <c r="AD325" i="6"/>
  <c r="AC326" i="6"/>
  <c r="AE325" i="6" l="1"/>
  <c r="AF325" i="6" s="1"/>
  <c r="AG325" i="6" s="1"/>
  <c r="S325" i="6"/>
  <c r="AA328" i="6"/>
  <c r="AH329" i="6"/>
  <c r="AD326" i="6"/>
  <c r="AE326" i="6" s="1"/>
  <c r="AC327" i="6"/>
  <c r="AF326" i="6" l="1"/>
  <c r="AG326" i="6" s="1"/>
  <c r="S326" i="6"/>
  <c r="AA329" i="6"/>
  <c r="AH330" i="6"/>
  <c r="AD327" i="6"/>
  <c r="AE327" i="6" s="1"/>
  <c r="AC328" i="6"/>
  <c r="AF327" i="6" l="1"/>
  <c r="AG327" i="6" s="1"/>
  <c r="S327" i="6"/>
  <c r="AA330" i="6"/>
  <c r="AH331" i="6"/>
  <c r="AC329" i="6"/>
  <c r="AD328" i="6"/>
  <c r="AE328" i="6" l="1"/>
  <c r="AF328" i="6" s="1"/>
  <c r="AG328" i="6" s="1"/>
  <c r="S328" i="6"/>
  <c r="AD329" i="6"/>
  <c r="AC330" i="6"/>
  <c r="AA331" i="6"/>
  <c r="AH332" i="6"/>
  <c r="AE329" i="6" l="1"/>
  <c r="AF329" i="6" s="1"/>
  <c r="AG329" i="6" s="1"/>
  <c r="S329" i="6"/>
  <c r="AA332" i="6"/>
  <c r="AH333" i="6"/>
  <c r="AD330" i="6"/>
  <c r="AC331" i="6"/>
  <c r="AE330" i="6" l="1"/>
  <c r="AF330" i="6" s="1"/>
  <c r="AG330" i="6" s="1"/>
  <c r="S330" i="6"/>
  <c r="AD331" i="6"/>
  <c r="AC332" i="6"/>
  <c r="AA333" i="6"/>
  <c r="AH334" i="6"/>
  <c r="AE331" i="6" l="1"/>
  <c r="AF331" i="6" s="1"/>
  <c r="AG331" i="6" s="1"/>
  <c r="S331" i="6"/>
  <c r="AA334" i="6"/>
  <c r="AH335" i="6"/>
  <c r="AD332" i="6"/>
  <c r="AC333" i="6"/>
  <c r="AE332" i="6" l="1"/>
  <c r="AF332" i="6" s="1"/>
  <c r="AG332" i="6" s="1"/>
  <c r="S332" i="6"/>
  <c r="AA335" i="6"/>
  <c r="AH336" i="6"/>
  <c r="AC334" i="6"/>
  <c r="AD333" i="6"/>
  <c r="AE333" i="6" l="1"/>
  <c r="AF333" i="6" s="1"/>
  <c r="AG333" i="6" s="1"/>
  <c r="S333" i="6"/>
  <c r="AA336" i="6"/>
  <c r="AH337" i="6"/>
  <c r="AD334" i="6"/>
  <c r="AC335" i="6"/>
  <c r="AE334" i="6" l="1"/>
  <c r="AF334" i="6" s="1"/>
  <c r="AG334" i="6" s="1"/>
  <c r="S334" i="6"/>
  <c r="AA337" i="6"/>
  <c r="AH338" i="6"/>
  <c r="AD335" i="6"/>
  <c r="AC336" i="6"/>
  <c r="AE335" i="6" l="1"/>
  <c r="AF335" i="6" s="1"/>
  <c r="AG335" i="6" s="1"/>
  <c r="S335" i="6"/>
  <c r="AA338" i="6"/>
  <c r="AH339" i="6"/>
  <c r="AD336" i="6"/>
  <c r="AC337" i="6"/>
  <c r="AE336" i="6" l="1"/>
  <c r="AF336" i="6" s="1"/>
  <c r="AG336" i="6" s="1"/>
  <c r="S336" i="6"/>
  <c r="AD337" i="6"/>
  <c r="AC338" i="6"/>
  <c r="AA339" i="6"/>
  <c r="AH340" i="6"/>
  <c r="AE337" i="6" l="1"/>
  <c r="AF337" i="6" s="1"/>
  <c r="AG337" i="6" s="1"/>
  <c r="S337" i="6"/>
  <c r="AA340" i="6"/>
  <c r="AH341" i="6"/>
  <c r="AD338" i="6"/>
  <c r="AC339" i="6"/>
  <c r="AE338" i="6" l="1"/>
  <c r="AF338" i="6" s="1"/>
  <c r="AG338" i="6" s="1"/>
  <c r="S338" i="6"/>
  <c r="AD339" i="6"/>
  <c r="AC340" i="6"/>
  <c r="AA341" i="6"/>
  <c r="AH342" i="6"/>
  <c r="AE339" i="6" l="1"/>
  <c r="AF339" i="6" s="1"/>
  <c r="AG339" i="6" s="1"/>
  <c r="S339" i="6"/>
  <c r="AA342" i="6"/>
  <c r="AH343" i="6"/>
  <c r="AC341" i="6"/>
  <c r="AD340" i="6"/>
  <c r="AE340" i="6" l="1"/>
  <c r="AF340" i="6" s="1"/>
  <c r="AG340" i="6" s="1"/>
  <c r="S340" i="6"/>
  <c r="AD341" i="6"/>
  <c r="AC342" i="6"/>
  <c r="AA343" i="6"/>
  <c r="AH344" i="6"/>
  <c r="AE341" i="6" l="1"/>
  <c r="AF341" i="6" s="1"/>
  <c r="AG341" i="6" s="1"/>
  <c r="S341" i="6"/>
  <c r="AA344" i="6"/>
  <c r="AH345" i="6"/>
  <c r="AD342" i="6"/>
  <c r="AE342" i="6" s="1"/>
  <c r="AC343" i="6"/>
  <c r="AF342" i="6" l="1"/>
  <c r="AG342" i="6" s="1"/>
  <c r="S342" i="6"/>
  <c r="AA345" i="6"/>
  <c r="AH346" i="6"/>
  <c r="AD343" i="6"/>
  <c r="AC344" i="6"/>
  <c r="AE343" i="6" l="1"/>
  <c r="AF343" i="6" s="1"/>
  <c r="AG343" i="6" s="1"/>
  <c r="S343" i="6"/>
  <c r="AD344" i="6"/>
  <c r="AE344" i="6" s="1"/>
  <c r="AC345" i="6"/>
  <c r="AA346" i="6"/>
  <c r="AH347" i="6"/>
  <c r="AF344" i="6" l="1"/>
  <c r="AG344" i="6" s="1"/>
  <c r="S344" i="6"/>
  <c r="AA347" i="6"/>
  <c r="AH348" i="6"/>
  <c r="AD345" i="6"/>
  <c r="AC346" i="6"/>
  <c r="AE345" i="6" l="1"/>
  <c r="AF345" i="6" s="1"/>
  <c r="AG345" i="6" s="1"/>
  <c r="S345" i="6"/>
  <c r="AD346" i="6"/>
  <c r="AE346" i="6" s="1"/>
  <c r="AC347" i="6"/>
  <c r="AA348" i="6"/>
  <c r="AH349" i="6"/>
  <c r="AF346" i="6" l="1"/>
  <c r="AG346" i="6" s="1"/>
  <c r="S346" i="6"/>
  <c r="AA349" i="6"/>
  <c r="AH350" i="6"/>
  <c r="AD347" i="6"/>
  <c r="AE347" i="6" s="1"/>
  <c r="AC348" i="6"/>
  <c r="AF347" i="6" l="1"/>
  <c r="AG347" i="6" s="1"/>
  <c r="S347" i="6"/>
  <c r="AD348" i="6"/>
  <c r="AE348" i="6" s="1"/>
  <c r="AC349" i="6"/>
  <c r="S349" i="6" s="1"/>
  <c r="AA350" i="6"/>
  <c r="AH351" i="6"/>
  <c r="AF348" i="6" l="1"/>
  <c r="AG348" i="6" s="1"/>
  <c r="S348" i="6"/>
  <c r="AA351" i="6"/>
  <c r="AH352" i="6"/>
  <c r="AD349" i="6"/>
  <c r="AE349" i="6" s="1"/>
  <c r="AF349" i="6" s="1"/>
  <c r="AG349" i="6" s="1"/>
  <c r="AC350" i="6"/>
  <c r="AD350" i="6" l="1"/>
  <c r="AC351" i="6"/>
  <c r="AA352" i="6"/>
  <c r="AH353" i="6"/>
  <c r="AE350" i="6" l="1"/>
  <c r="AF350" i="6" s="1"/>
  <c r="AG350" i="6" s="1"/>
  <c r="S350" i="6"/>
  <c r="AH354" i="6"/>
  <c r="AA353" i="6"/>
  <c r="AD351" i="6"/>
  <c r="AE351" i="6" s="1"/>
  <c r="AC352" i="6"/>
  <c r="AF351" i="6" l="1"/>
  <c r="AG351" i="6" s="1"/>
  <c r="S351" i="6"/>
  <c r="AC353" i="6"/>
  <c r="AD352" i="6"/>
  <c r="AA354" i="6"/>
  <c r="AH355" i="6"/>
  <c r="AE352" i="6" l="1"/>
  <c r="AF352" i="6" s="1"/>
  <c r="AG352" i="6" s="1"/>
  <c r="S352" i="6"/>
  <c r="AA355" i="6"/>
  <c r="AH356" i="6"/>
  <c r="AD353" i="6"/>
  <c r="AC354" i="6"/>
  <c r="AE353" i="6" l="1"/>
  <c r="AF353" i="6" s="1"/>
  <c r="AG353" i="6" s="1"/>
  <c r="S353" i="6"/>
  <c r="AA356" i="6"/>
  <c r="AH357" i="6"/>
  <c r="AD354" i="6"/>
  <c r="AE354" i="6" s="1"/>
  <c r="AC355" i="6"/>
  <c r="AF354" i="6" l="1"/>
  <c r="AG354" i="6" s="1"/>
  <c r="S354" i="6"/>
  <c r="AD355" i="6"/>
  <c r="AE355" i="6" s="1"/>
  <c r="AC356" i="6"/>
  <c r="AA357" i="6"/>
  <c r="AH358" i="6"/>
  <c r="AF355" i="6" l="1"/>
  <c r="AG355" i="6" s="1"/>
  <c r="S355" i="6"/>
  <c r="AA358" i="6"/>
  <c r="AH359" i="6"/>
  <c r="AD356" i="6"/>
  <c r="AE356" i="6" s="1"/>
  <c r="AC357" i="6"/>
  <c r="AF356" i="6" l="1"/>
  <c r="AG356" i="6" s="1"/>
  <c r="S356" i="6"/>
  <c r="AA359" i="6"/>
  <c r="AH360" i="6"/>
  <c r="AD357" i="6"/>
  <c r="AE357" i="6" s="1"/>
  <c r="AC358" i="6"/>
  <c r="AF357" i="6" l="1"/>
  <c r="AG357" i="6" s="1"/>
  <c r="S357" i="6"/>
  <c r="AD358" i="6"/>
  <c r="AE358" i="6" s="1"/>
  <c r="AC359" i="6"/>
  <c r="AA360" i="6"/>
  <c r="AH361" i="6"/>
  <c r="AF358" i="6" l="1"/>
  <c r="AG358" i="6" s="1"/>
  <c r="S358" i="6"/>
  <c r="AA361" i="6"/>
  <c r="AH362" i="6"/>
  <c r="AC360" i="6"/>
  <c r="AD359" i="6"/>
  <c r="AE359" i="6" s="1"/>
  <c r="AF359" i="6" l="1"/>
  <c r="AG359" i="6" s="1"/>
  <c r="S359" i="6"/>
  <c r="AD360" i="6"/>
  <c r="AE360" i="6" s="1"/>
  <c r="AC361" i="6"/>
  <c r="AH363" i="6"/>
  <c r="AA362" i="6"/>
  <c r="AF360" i="6" l="1"/>
  <c r="AG360" i="6" s="1"/>
  <c r="S360" i="6"/>
  <c r="AA363" i="6"/>
  <c r="AH364" i="6"/>
  <c r="AD361" i="6"/>
  <c r="AE361" i="6" s="1"/>
  <c r="AC362" i="6"/>
  <c r="AF361" i="6" l="1"/>
  <c r="AG361" i="6" s="1"/>
  <c r="S361" i="6"/>
  <c r="AD362" i="6"/>
  <c r="AE362" i="6" s="1"/>
  <c r="AC363" i="6"/>
  <c r="AA364" i="6"/>
  <c r="AH365" i="6"/>
  <c r="AF362" i="6" l="1"/>
  <c r="AG362" i="6" s="1"/>
  <c r="S362" i="6"/>
  <c r="AA365" i="6"/>
  <c r="AH366" i="6"/>
  <c r="AC364" i="6"/>
  <c r="AD363" i="6"/>
  <c r="AE363" i="6" s="1"/>
  <c r="AF363" i="6" l="1"/>
  <c r="AG363" i="6" s="1"/>
  <c r="S363" i="6"/>
  <c r="AD364" i="6"/>
  <c r="AE364" i="6" s="1"/>
  <c r="AC365" i="6"/>
  <c r="AA366" i="6"/>
  <c r="AH367" i="6"/>
  <c r="AF364" i="6" l="1"/>
  <c r="AG364" i="6" s="1"/>
  <c r="S364" i="6"/>
  <c r="AH368" i="6"/>
  <c r="AA367" i="6"/>
  <c r="AD365" i="6"/>
  <c r="AE365" i="6" s="1"/>
  <c r="AC366" i="6"/>
  <c r="AF365" i="6" l="1"/>
  <c r="AG365" i="6" s="1"/>
  <c r="S365" i="6"/>
  <c r="AD366" i="6"/>
  <c r="AC367" i="6"/>
  <c r="AA368" i="6"/>
  <c r="AH369" i="6"/>
  <c r="AE366" i="6" l="1"/>
  <c r="AF366" i="6" s="1"/>
  <c r="AG366" i="6" s="1"/>
  <c r="S366" i="6"/>
  <c r="AH370" i="6"/>
  <c r="AA369" i="6"/>
  <c r="AD367" i="6"/>
  <c r="AE367" i="6" s="1"/>
  <c r="AC368" i="6"/>
  <c r="AF367" i="6" l="1"/>
  <c r="AG367" i="6" s="1"/>
  <c r="S367" i="6"/>
  <c r="AD368" i="6"/>
  <c r="AC369" i="6"/>
  <c r="AA370" i="6"/>
  <c r="AH371" i="6"/>
  <c r="AE368" i="6" l="1"/>
  <c r="AF368" i="6" s="1"/>
  <c r="AG368" i="6" s="1"/>
  <c r="S368" i="6"/>
  <c r="AA371" i="6"/>
  <c r="AH372" i="6"/>
  <c r="AD369" i="6"/>
  <c r="AE369" i="6" s="1"/>
  <c r="AC370" i="6"/>
  <c r="AF369" i="6" l="1"/>
  <c r="AG369" i="6" s="1"/>
  <c r="S369" i="6"/>
  <c r="AA372" i="6"/>
  <c r="AH373" i="6"/>
  <c r="AD370" i="6"/>
  <c r="AE370" i="6" s="1"/>
  <c r="AC371" i="6"/>
  <c r="AF370" i="6" l="1"/>
  <c r="AG370" i="6" s="1"/>
  <c r="S370" i="6"/>
  <c r="AD371" i="6"/>
  <c r="AE371" i="6" s="1"/>
  <c r="AC372" i="6"/>
  <c r="AA373" i="6"/>
  <c r="AH374" i="6"/>
  <c r="AF371" i="6" l="1"/>
  <c r="AG371" i="6" s="1"/>
  <c r="S371" i="6"/>
  <c r="AA374" i="6"/>
  <c r="AH375" i="6"/>
  <c r="AD372" i="6"/>
  <c r="AE372" i="6" s="1"/>
  <c r="AF372" i="6" s="1"/>
  <c r="AC373" i="6"/>
  <c r="AG372" i="6" l="1"/>
  <c r="S372" i="6"/>
  <c r="AA375" i="6"/>
  <c r="AH376" i="6"/>
  <c r="AD373" i="6"/>
  <c r="AE373" i="6" s="1"/>
  <c r="AF373" i="6" s="1"/>
  <c r="AG373" i="6" s="1"/>
  <c r="S373" i="6" s="1"/>
  <c r="AC374" i="6"/>
  <c r="AA376" i="6" l="1"/>
  <c r="AH377" i="6"/>
  <c r="AD374" i="6"/>
  <c r="AC375" i="6"/>
  <c r="AE374" i="6" l="1"/>
  <c r="AF374" i="6" s="1"/>
  <c r="AG374" i="6" s="1"/>
  <c r="S374" i="6"/>
  <c r="AA377" i="6"/>
  <c r="AH378" i="6"/>
  <c r="AD375" i="6"/>
  <c r="AE375" i="6" s="1"/>
  <c r="AC376" i="6"/>
  <c r="AF375" i="6" l="1"/>
  <c r="AG375" i="6" s="1"/>
  <c r="S375" i="6"/>
  <c r="AD376" i="6"/>
  <c r="AE376" i="6" s="1"/>
  <c r="AC377" i="6"/>
  <c r="AA378" i="6"/>
  <c r="AH379" i="6"/>
  <c r="AF376" i="6" l="1"/>
  <c r="AG376" i="6" s="1"/>
  <c r="S376" i="6"/>
  <c r="AA379" i="6"/>
  <c r="AH380" i="6"/>
  <c r="AC378" i="6"/>
  <c r="AD377" i="6"/>
  <c r="AE377" i="6" s="1"/>
  <c r="AF377" i="6" l="1"/>
  <c r="AG377" i="6" s="1"/>
  <c r="S377" i="6"/>
  <c r="AD378" i="6"/>
  <c r="AE378" i="6" s="1"/>
  <c r="AC379" i="6"/>
  <c r="AA380" i="6"/>
  <c r="AH381" i="6"/>
  <c r="AF378" i="6" l="1"/>
  <c r="AG378" i="6" s="1"/>
  <c r="S378" i="6"/>
  <c r="AA381" i="6"/>
  <c r="AH382" i="6"/>
  <c r="AD379" i="6"/>
  <c r="AE379" i="6" s="1"/>
  <c r="AC380" i="6"/>
  <c r="AF379" i="6" l="1"/>
  <c r="AG379" i="6" s="1"/>
  <c r="S379" i="6"/>
  <c r="AA382" i="6"/>
  <c r="AH383" i="6"/>
  <c r="AD380" i="6"/>
  <c r="AE380" i="6" s="1"/>
  <c r="AC381" i="6"/>
  <c r="AF380" i="6" l="1"/>
  <c r="AG380" i="6" s="1"/>
  <c r="S380" i="6"/>
  <c r="AD381" i="6"/>
  <c r="AE381" i="6" s="1"/>
  <c r="AC382" i="6"/>
  <c r="AA383" i="6"/>
  <c r="AH384" i="6"/>
  <c r="AF381" i="6" l="1"/>
  <c r="AG381" i="6" s="1"/>
  <c r="S381" i="6"/>
  <c r="AA384" i="6"/>
  <c r="AH385" i="6"/>
  <c r="AD382" i="6"/>
  <c r="AE382" i="6" s="1"/>
  <c r="AC383" i="6"/>
  <c r="AF382" i="6" l="1"/>
  <c r="AG382" i="6" s="1"/>
  <c r="S382" i="6"/>
  <c r="AD383" i="6"/>
  <c r="AE383" i="6" s="1"/>
  <c r="AC384" i="6"/>
  <c r="AA385" i="6"/>
  <c r="AH386" i="6"/>
  <c r="AF383" i="6" l="1"/>
  <c r="AG383" i="6" s="1"/>
  <c r="S383" i="6"/>
  <c r="AA386" i="6"/>
  <c r="AH387" i="6"/>
  <c r="AD384" i="6"/>
  <c r="AC385" i="6"/>
  <c r="AE384" i="6" l="1"/>
  <c r="AF384" i="6" s="1"/>
  <c r="AG384" i="6" s="1"/>
  <c r="S384" i="6"/>
  <c r="AA387" i="6"/>
  <c r="AH388" i="6"/>
  <c r="AD385" i="6"/>
  <c r="AE385" i="6" s="1"/>
  <c r="AC386" i="6"/>
  <c r="AF385" i="6" l="1"/>
  <c r="AG385" i="6" s="1"/>
  <c r="S385" i="6"/>
  <c r="AA388" i="6"/>
  <c r="AH389" i="6"/>
  <c r="AD386" i="6"/>
  <c r="AE386" i="6" s="1"/>
  <c r="AC387" i="6"/>
  <c r="AF386" i="6" l="1"/>
  <c r="AG386" i="6" s="1"/>
  <c r="S386" i="6"/>
  <c r="AA389" i="6"/>
  <c r="AH390" i="6"/>
  <c r="AD387" i="6"/>
  <c r="AE387" i="6" s="1"/>
  <c r="AC388" i="6"/>
  <c r="S388" i="6" s="1"/>
  <c r="AF387" i="6" l="1"/>
  <c r="AG387" i="6" s="1"/>
  <c r="S387" i="6"/>
  <c r="AA390" i="6"/>
  <c r="AH391" i="6"/>
  <c r="AD388" i="6"/>
  <c r="AE388" i="6" s="1"/>
  <c r="AF388" i="6" s="1"/>
  <c r="AG388" i="6" s="1"/>
  <c r="AC389" i="6"/>
  <c r="AC390" i="6" l="1"/>
  <c r="AD389" i="6"/>
  <c r="AA391" i="6"/>
  <c r="AH392" i="6"/>
  <c r="AE389" i="6" l="1"/>
  <c r="AF389" i="6" s="1"/>
  <c r="AG389" i="6" s="1"/>
  <c r="S389" i="6"/>
  <c r="AA392" i="6"/>
  <c r="AH393" i="6"/>
  <c r="AD390" i="6"/>
  <c r="AC391" i="6"/>
  <c r="AE390" i="6" l="1"/>
  <c r="AF390" i="6" s="1"/>
  <c r="AG390" i="6" s="1"/>
  <c r="S390" i="6"/>
  <c r="AA393" i="6"/>
  <c r="AH394" i="6"/>
  <c r="AD391" i="6"/>
  <c r="AE391" i="6" s="1"/>
  <c r="AC392" i="6"/>
  <c r="AF391" i="6" l="1"/>
  <c r="AG391" i="6" s="1"/>
  <c r="S391" i="6"/>
  <c r="AD392" i="6"/>
  <c r="AE392" i="6" s="1"/>
  <c r="AC393" i="6"/>
  <c r="AA394" i="6"/>
  <c r="AH395" i="6"/>
  <c r="AF392" i="6" l="1"/>
  <c r="AG392" i="6" s="1"/>
  <c r="S392" i="6"/>
  <c r="AA395" i="6"/>
  <c r="AH396" i="6"/>
  <c r="AD393" i="6"/>
  <c r="AE393" i="6" s="1"/>
  <c r="AC394" i="6"/>
  <c r="AF393" i="6" l="1"/>
  <c r="AG393" i="6" s="1"/>
  <c r="S393" i="6"/>
  <c r="AA396" i="6"/>
  <c r="AH397" i="6"/>
  <c r="AD394" i="6"/>
  <c r="AE394" i="6" s="1"/>
  <c r="AC395" i="6"/>
  <c r="AF394" i="6" l="1"/>
  <c r="AG394" i="6" s="1"/>
  <c r="S394" i="6"/>
  <c r="AD395" i="6"/>
  <c r="AE395" i="6" s="1"/>
  <c r="AF395" i="6" s="1"/>
  <c r="AC396" i="6"/>
  <c r="AA397" i="6"/>
  <c r="AH398" i="6"/>
  <c r="AG395" i="6" l="1"/>
  <c r="S395" i="6"/>
  <c r="AA398" i="6"/>
  <c r="AH399" i="6"/>
  <c r="AD396" i="6"/>
  <c r="AE396" i="6" s="1"/>
  <c r="AF396" i="6" s="1"/>
  <c r="AC397" i="6"/>
  <c r="AG396" i="6" l="1"/>
  <c r="S396" i="6"/>
  <c r="AA399" i="6"/>
  <c r="AH400" i="6"/>
  <c r="AD397" i="6"/>
  <c r="AE397" i="6" s="1"/>
  <c r="AC398" i="6"/>
  <c r="AF397" i="6" l="1"/>
  <c r="AG397" i="6" s="1"/>
  <c r="S397" i="6"/>
  <c r="AA400" i="6"/>
  <c r="AH401" i="6"/>
  <c r="AD398" i="6"/>
  <c r="AE398" i="6" s="1"/>
  <c r="AC399" i="6"/>
  <c r="AF398" i="6" l="1"/>
  <c r="AG398" i="6" s="1"/>
  <c r="S398" i="6"/>
  <c r="AA401" i="6"/>
  <c r="AH402" i="6"/>
  <c r="AD399" i="6"/>
  <c r="AE399" i="6" s="1"/>
  <c r="AC400" i="6"/>
  <c r="AF399" i="6" l="1"/>
  <c r="AG399" i="6" s="1"/>
  <c r="S399" i="6"/>
  <c r="AA402" i="6"/>
  <c r="AH403" i="6"/>
  <c r="AD400" i="6"/>
  <c r="AE400" i="6" s="1"/>
  <c r="AC401" i="6"/>
  <c r="AF400" i="6" l="1"/>
  <c r="AG400" i="6" s="1"/>
  <c r="S400" i="6"/>
  <c r="AD401" i="6"/>
  <c r="AE401" i="6" s="1"/>
  <c r="AC402" i="6"/>
  <c r="AA403" i="6"/>
  <c r="AH404" i="6"/>
  <c r="AF401" i="6" l="1"/>
  <c r="AG401" i="6" s="1"/>
  <c r="S401" i="6"/>
  <c r="AA404" i="6"/>
  <c r="AH405" i="6"/>
  <c r="AD402" i="6"/>
  <c r="AE402" i="6" s="1"/>
  <c r="AC403" i="6"/>
  <c r="AF402" i="6" l="1"/>
  <c r="AG402" i="6" s="1"/>
  <c r="S402" i="6"/>
  <c r="AA405" i="6"/>
  <c r="AH406" i="6"/>
  <c r="AD403" i="6"/>
  <c r="AE403" i="6" s="1"/>
  <c r="AF403" i="6" s="1"/>
  <c r="AC404" i="6"/>
  <c r="AG403" i="6" l="1"/>
  <c r="S403" i="6"/>
  <c r="AA406" i="6"/>
  <c r="AH407" i="6"/>
  <c r="AD404" i="6"/>
  <c r="AE404" i="6" s="1"/>
  <c r="AF404" i="6" s="1"/>
  <c r="AC405" i="6"/>
  <c r="AG404" i="6" l="1"/>
  <c r="S404" i="6"/>
  <c r="AA407" i="6"/>
  <c r="AH408" i="6"/>
  <c r="AD405" i="6"/>
  <c r="AE405" i="6" s="1"/>
  <c r="AF405" i="6" s="1"/>
  <c r="AC406" i="6"/>
  <c r="AG405" i="6" l="1"/>
  <c r="S405" i="6"/>
  <c r="AD406" i="6"/>
  <c r="AE406" i="6" s="1"/>
  <c r="AC407" i="6"/>
  <c r="AA408" i="6"/>
  <c r="AH409" i="6"/>
  <c r="AF406" i="6" l="1"/>
  <c r="AG406" i="6" s="1"/>
  <c r="S406" i="6"/>
  <c r="AA409" i="6"/>
  <c r="AH410" i="6"/>
  <c r="AD407" i="6"/>
  <c r="AE407" i="6" s="1"/>
  <c r="AC408" i="6"/>
  <c r="AF407" i="6" l="1"/>
  <c r="AG407" i="6" s="1"/>
  <c r="S407" i="6"/>
  <c r="AD408" i="6"/>
  <c r="AE408" i="6" s="1"/>
  <c r="AF408" i="6" s="1"/>
  <c r="AC409" i="6"/>
  <c r="AA410" i="6"/>
  <c r="AH411" i="6"/>
  <c r="AG408" i="6" l="1"/>
  <c r="S408" i="6"/>
  <c r="AA411" i="6"/>
  <c r="AH412" i="6"/>
  <c r="AD409" i="6"/>
  <c r="AE409" i="6" s="1"/>
  <c r="AF409" i="6" s="1"/>
  <c r="AC410" i="6"/>
  <c r="AG409" i="6" l="1"/>
  <c r="S409" i="6"/>
  <c r="AA412" i="6"/>
  <c r="AH413" i="6"/>
  <c r="AC411" i="6"/>
  <c r="AD410" i="6"/>
  <c r="AE410" i="6" l="1"/>
  <c r="AF410" i="6" s="1"/>
  <c r="AG410" i="6" s="1"/>
  <c r="S410" i="6"/>
  <c r="AD411" i="6"/>
  <c r="AC412" i="6"/>
  <c r="AA413" i="6"/>
  <c r="AH414" i="6"/>
  <c r="AE411" i="6" l="1"/>
  <c r="AF411" i="6" s="1"/>
  <c r="AG411" i="6" s="1"/>
  <c r="S411" i="6"/>
  <c r="AA414" i="6"/>
  <c r="AH415" i="6"/>
  <c r="AD412" i="6"/>
  <c r="AE412" i="6" s="1"/>
  <c r="AC413" i="6"/>
  <c r="AF412" i="6" l="1"/>
  <c r="AG412" i="6" s="1"/>
  <c r="S412" i="6"/>
  <c r="AA415" i="6"/>
  <c r="AH416" i="6"/>
  <c r="AD413" i="6"/>
  <c r="AE413" i="6" s="1"/>
  <c r="AF413" i="6" s="1"/>
  <c r="AC414" i="6"/>
  <c r="AG413" i="6" l="1"/>
  <c r="S413" i="6"/>
  <c r="AA416" i="6"/>
  <c r="AH417" i="6"/>
  <c r="AD414" i="6"/>
  <c r="AE414" i="6" s="1"/>
  <c r="AF414" i="6" s="1"/>
  <c r="AC415" i="6"/>
  <c r="AG414" i="6" l="1"/>
  <c r="S414" i="6"/>
  <c r="AD415" i="6"/>
  <c r="AE415" i="6" s="1"/>
  <c r="AC416" i="6"/>
  <c r="AA417" i="6"/>
  <c r="AH418" i="6"/>
  <c r="AF415" i="6" l="1"/>
  <c r="AG415" i="6" s="1"/>
  <c r="S415" i="6"/>
  <c r="AA418" i="6"/>
  <c r="AH419" i="6"/>
  <c r="AD416" i="6"/>
  <c r="AE416" i="6" s="1"/>
  <c r="AC417" i="6"/>
  <c r="AF416" i="6" l="1"/>
  <c r="AG416" i="6" s="1"/>
  <c r="S416" i="6"/>
  <c r="AD417" i="6"/>
  <c r="AE417" i="6" s="1"/>
  <c r="AC418" i="6"/>
  <c r="S418" i="6" s="1"/>
  <c r="AA419" i="6"/>
  <c r="AH420" i="6"/>
  <c r="AF417" i="6" l="1"/>
  <c r="AG417" i="6" s="1"/>
  <c r="S417" i="6"/>
  <c r="AA420" i="6"/>
  <c r="AH421" i="6"/>
  <c r="AD418" i="6"/>
  <c r="AE418" i="6" s="1"/>
  <c r="AF418" i="6" s="1"/>
  <c r="AG418" i="6" s="1"/>
  <c r="AC419" i="6"/>
  <c r="AA421" i="6" l="1"/>
  <c r="AH422" i="6"/>
  <c r="AD419" i="6"/>
  <c r="AC420" i="6"/>
  <c r="AE419" i="6" l="1"/>
  <c r="AF419" i="6" s="1"/>
  <c r="AG419" i="6" s="1"/>
  <c r="S419" i="6"/>
  <c r="AD420" i="6"/>
  <c r="AC421" i="6"/>
  <c r="S421" i="6" s="1"/>
  <c r="AA422" i="6"/>
  <c r="AH423" i="6"/>
  <c r="AE420" i="6" l="1"/>
  <c r="AF420" i="6" s="1"/>
  <c r="AG420" i="6" s="1"/>
  <c r="S420" i="6"/>
  <c r="AA423" i="6"/>
  <c r="AH424" i="6"/>
  <c r="AD421" i="6"/>
  <c r="AE421" i="6" s="1"/>
  <c r="AF421" i="6" s="1"/>
  <c r="AG421" i="6" s="1"/>
  <c r="AC422" i="6"/>
  <c r="AH425" i="6" l="1"/>
  <c r="AA424" i="6"/>
  <c r="AD422" i="6"/>
  <c r="AC423" i="6"/>
  <c r="AE422" i="6" l="1"/>
  <c r="AF422" i="6" s="1"/>
  <c r="AG422" i="6" s="1"/>
  <c r="S422" i="6"/>
  <c r="AD423" i="6"/>
  <c r="AC424" i="6"/>
  <c r="AH426" i="6"/>
  <c r="AA425" i="6"/>
  <c r="AE423" i="6" l="1"/>
  <c r="AF423" i="6" s="1"/>
  <c r="AG423" i="6" s="1"/>
  <c r="S423" i="6"/>
  <c r="AH427" i="6"/>
  <c r="AA426" i="6"/>
  <c r="AD424" i="6"/>
  <c r="AC425" i="6"/>
  <c r="S425" i="6" s="1"/>
  <c r="AE424" i="6" l="1"/>
  <c r="AF424" i="6" s="1"/>
  <c r="AG424" i="6" s="1"/>
  <c r="S424" i="6"/>
  <c r="AD425" i="6"/>
  <c r="AC426" i="6"/>
  <c r="AA427" i="6"/>
  <c r="AH428" i="6"/>
  <c r="AE425" i="6" l="1"/>
  <c r="AF425" i="6" s="1"/>
  <c r="AG425" i="6" s="1"/>
  <c r="AA428" i="6"/>
  <c r="AH429" i="6"/>
  <c r="AD426" i="6"/>
  <c r="AC427" i="6"/>
  <c r="AE426" i="6" l="1"/>
  <c r="AF426" i="6" s="1"/>
  <c r="AG426" i="6" s="1"/>
  <c r="S426" i="6"/>
  <c r="AA429" i="6"/>
  <c r="AH430" i="6"/>
  <c r="AC428" i="6"/>
  <c r="AD427" i="6"/>
  <c r="AE427" i="6" l="1"/>
  <c r="AF427" i="6" s="1"/>
  <c r="AG427" i="6" s="1"/>
  <c r="S427" i="6"/>
  <c r="AA430" i="6"/>
  <c r="AH431" i="6"/>
  <c r="AD428" i="6"/>
  <c r="AC429" i="6"/>
  <c r="AE428" i="6" l="1"/>
  <c r="AF428" i="6" s="1"/>
  <c r="AG428" i="6" s="1"/>
  <c r="S428" i="6"/>
  <c r="AD429" i="6"/>
  <c r="AC430" i="6"/>
  <c r="AA431" i="6"/>
  <c r="AH432" i="6"/>
  <c r="AE429" i="6" l="1"/>
  <c r="AF429" i="6" s="1"/>
  <c r="AG429" i="6" s="1"/>
  <c r="S429" i="6"/>
  <c r="AA432" i="6"/>
  <c r="AH433" i="6"/>
  <c r="AD430" i="6"/>
  <c r="AC431" i="6"/>
  <c r="AE430" i="6" l="1"/>
  <c r="AF430" i="6" s="1"/>
  <c r="AG430" i="6" s="1"/>
  <c r="S430" i="6"/>
  <c r="AD431" i="6"/>
  <c r="AC432" i="6"/>
  <c r="AA433" i="6"/>
  <c r="AH434" i="6"/>
  <c r="AE431" i="6" l="1"/>
  <c r="AF431" i="6" s="1"/>
  <c r="AG431" i="6" s="1"/>
  <c r="S431" i="6"/>
  <c r="AA434" i="6"/>
  <c r="AH435" i="6"/>
  <c r="AC433" i="6"/>
  <c r="AD432" i="6"/>
  <c r="AE432" i="6" l="1"/>
  <c r="AF432" i="6" s="1"/>
  <c r="AG432" i="6" s="1"/>
  <c r="S432" i="6"/>
  <c r="AA435" i="6"/>
  <c r="AH436" i="6"/>
  <c r="AD433" i="6"/>
  <c r="AE433" i="6" s="1"/>
  <c r="AC434" i="6"/>
  <c r="AF433" i="6" l="1"/>
  <c r="AG433" i="6" s="1"/>
  <c r="S433" i="6"/>
  <c r="AA436" i="6"/>
  <c r="AH437" i="6"/>
  <c r="AD434" i="6"/>
  <c r="AC435" i="6"/>
  <c r="AE434" i="6" l="1"/>
  <c r="AF434" i="6" s="1"/>
  <c r="AG434" i="6" s="1"/>
  <c r="S434" i="6"/>
  <c r="AD435" i="6"/>
  <c r="AC436" i="6"/>
  <c r="AA437" i="6"/>
  <c r="AH438" i="6"/>
  <c r="AE435" i="6" l="1"/>
  <c r="AF435" i="6" s="1"/>
  <c r="AG435" i="6" s="1"/>
  <c r="S435" i="6"/>
  <c r="AA438" i="6"/>
  <c r="AH439" i="6"/>
  <c r="AD436" i="6"/>
  <c r="AE436" i="6" s="1"/>
  <c r="AC437" i="6"/>
  <c r="AF436" i="6" l="1"/>
  <c r="AG436" i="6" s="1"/>
  <c r="S436" i="6"/>
  <c r="AD437" i="6"/>
  <c r="AC438" i="6"/>
  <c r="AA439" i="6"/>
  <c r="AH440" i="6"/>
  <c r="AE437" i="6" l="1"/>
  <c r="AF437" i="6" s="1"/>
  <c r="AG437" i="6" s="1"/>
  <c r="S437" i="6"/>
  <c r="AA440" i="6"/>
  <c r="AH441" i="6"/>
  <c r="AD438" i="6"/>
  <c r="AE438" i="6" s="1"/>
  <c r="AC439" i="6"/>
  <c r="S439" i="6" s="1"/>
  <c r="AF438" i="6" l="1"/>
  <c r="AG438" i="6" s="1"/>
  <c r="S438" i="6"/>
  <c r="AA441" i="6"/>
  <c r="AH442" i="6"/>
  <c r="AC440" i="6"/>
  <c r="S440" i="6" s="1"/>
  <c r="AD439" i="6"/>
  <c r="AE439" i="6" s="1"/>
  <c r="AF439" i="6" s="1"/>
  <c r="AG439" i="6" s="1"/>
  <c r="AD440" i="6" l="1"/>
  <c r="AE440" i="6" s="1"/>
  <c r="AF440" i="6" s="1"/>
  <c r="AG440" i="6" s="1"/>
  <c r="AC441" i="6"/>
  <c r="S441" i="6" s="1"/>
  <c r="AA442" i="6"/>
  <c r="AH443" i="6"/>
  <c r="AA443" i="6" l="1"/>
  <c r="AH444" i="6"/>
  <c r="AD441" i="6"/>
  <c r="AE441" i="6" s="1"/>
  <c r="AF441" i="6" s="1"/>
  <c r="AG441" i="6" s="1"/>
  <c r="AC442" i="6"/>
  <c r="AA444" i="6" l="1"/>
  <c r="AH445" i="6"/>
  <c r="AD442" i="6"/>
  <c r="AC443" i="6"/>
  <c r="AE442" i="6" l="1"/>
  <c r="AF442" i="6" s="1"/>
  <c r="AG442" i="6" s="1"/>
  <c r="S442" i="6"/>
  <c r="AD443" i="6"/>
  <c r="AC444" i="6"/>
  <c r="AA445" i="6"/>
  <c r="AH446" i="6"/>
  <c r="AE443" i="6" l="1"/>
  <c r="AF443" i="6" s="1"/>
  <c r="AG443" i="6" s="1"/>
  <c r="S443" i="6"/>
  <c r="AA446" i="6"/>
  <c r="AH447" i="6"/>
  <c r="AC445" i="6"/>
  <c r="AD444" i="6"/>
  <c r="AE444" i="6" l="1"/>
  <c r="AF444" i="6" s="1"/>
  <c r="AG444" i="6" s="1"/>
  <c r="S444" i="6"/>
  <c r="AD445" i="6"/>
  <c r="AC446" i="6"/>
  <c r="AA447" i="6"/>
  <c r="AH448" i="6"/>
  <c r="AE445" i="6" l="1"/>
  <c r="AF445" i="6" s="1"/>
  <c r="AG445" i="6" s="1"/>
  <c r="S445" i="6"/>
  <c r="AA448" i="6"/>
  <c r="AH449" i="6"/>
  <c r="AD446" i="6"/>
  <c r="AC447" i="6"/>
  <c r="AE446" i="6" l="1"/>
  <c r="AF446" i="6" s="1"/>
  <c r="AG446" i="6" s="1"/>
  <c r="S446" i="6"/>
  <c r="AA449" i="6"/>
  <c r="AH450" i="6"/>
  <c r="AD447" i="6"/>
  <c r="AC448" i="6"/>
  <c r="AE447" i="6" l="1"/>
  <c r="AF447" i="6" s="1"/>
  <c r="AG447" i="6" s="1"/>
  <c r="S447" i="6"/>
  <c r="AD448" i="6"/>
  <c r="AC449" i="6"/>
  <c r="AA450" i="6"/>
  <c r="AH451" i="6"/>
  <c r="AE448" i="6" l="1"/>
  <c r="AF448" i="6" s="1"/>
  <c r="AG448" i="6" s="1"/>
  <c r="S448" i="6"/>
  <c r="AA451" i="6"/>
  <c r="AH452" i="6"/>
  <c r="AD449" i="6"/>
  <c r="AC450" i="6"/>
  <c r="AE449" i="6" l="1"/>
  <c r="AF449" i="6" s="1"/>
  <c r="AG449" i="6" s="1"/>
  <c r="S449" i="6"/>
  <c r="AA452" i="6"/>
  <c r="AH453" i="6"/>
  <c r="AD450" i="6"/>
  <c r="AC451" i="6"/>
  <c r="AE450" i="6" l="1"/>
  <c r="AF450" i="6" s="1"/>
  <c r="AG450" i="6" s="1"/>
  <c r="S450" i="6"/>
  <c r="AA453" i="6"/>
  <c r="AH454" i="6"/>
  <c r="AC452" i="6"/>
  <c r="AD451" i="6"/>
  <c r="AE451" i="6" l="1"/>
  <c r="AF451" i="6" s="1"/>
  <c r="AG451" i="6" s="1"/>
  <c r="S451" i="6"/>
  <c r="AD452" i="6"/>
  <c r="AC453" i="6"/>
  <c r="S453" i="6" s="1"/>
  <c r="AA454" i="6"/>
  <c r="AH455" i="6"/>
  <c r="AE452" i="6" l="1"/>
  <c r="AF452" i="6" s="1"/>
  <c r="AG452" i="6" s="1"/>
  <c r="S452" i="6"/>
  <c r="AA455" i="6"/>
  <c r="AH456" i="6"/>
  <c r="AD453" i="6"/>
  <c r="AE453" i="6" s="1"/>
  <c r="AF453" i="6" s="1"/>
  <c r="AG453" i="6" s="1"/>
  <c r="AC454" i="6"/>
  <c r="S454" i="6" s="1"/>
  <c r="AA456" i="6" l="1"/>
  <c r="AH457" i="6"/>
  <c r="AD454" i="6"/>
  <c r="AE454" i="6" s="1"/>
  <c r="AF454" i="6" s="1"/>
  <c r="AG454" i="6" s="1"/>
  <c r="AC455" i="6"/>
  <c r="AD455" i="6" l="1"/>
  <c r="AC456" i="6"/>
  <c r="AA457" i="6"/>
  <c r="AH458" i="6"/>
  <c r="AE455" i="6" l="1"/>
  <c r="AF455" i="6" s="1"/>
  <c r="AG455" i="6" s="1"/>
  <c r="S455" i="6"/>
  <c r="AA458" i="6"/>
  <c r="AH459" i="6"/>
  <c r="AC457" i="6"/>
  <c r="AD456" i="6"/>
  <c r="AE456" i="6" l="1"/>
  <c r="AF456" i="6" s="1"/>
  <c r="AG456" i="6" s="1"/>
  <c r="S456" i="6"/>
  <c r="AD457" i="6"/>
  <c r="AC458" i="6"/>
  <c r="AA459" i="6"/>
  <c r="AH460" i="6"/>
  <c r="AE457" i="6" l="1"/>
  <c r="AF457" i="6" s="1"/>
  <c r="AG457" i="6" s="1"/>
  <c r="S457" i="6"/>
  <c r="AA460" i="6"/>
  <c r="AH461" i="6"/>
  <c r="AC459" i="6"/>
  <c r="AD458" i="6"/>
  <c r="AE458" i="6" s="1"/>
  <c r="AF458" i="6" l="1"/>
  <c r="AG458" i="6" s="1"/>
  <c r="S458" i="6"/>
  <c r="AD459" i="6"/>
  <c r="AE459" i="6" s="1"/>
  <c r="AC460" i="6"/>
  <c r="AA461" i="6"/>
  <c r="AH462" i="6"/>
  <c r="AF459" i="6" l="1"/>
  <c r="AG459" i="6" s="1"/>
  <c r="S459" i="6"/>
  <c r="AA462" i="6"/>
  <c r="AH463" i="6"/>
  <c r="AD460" i="6"/>
  <c r="AE460" i="6" s="1"/>
  <c r="AC461" i="6"/>
  <c r="AF460" i="6" l="1"/>
  <c r="AG460" i="6" s="1"/>
  <c r="S460" i="6"/>
  <c r="AA463" i="6"/>
  <c r="AH464" i="6"/>
  <c r="AD461" i="6"/>
  <c r="AE461" i="6" s="1"/>
  <c r="AF461" i="6" s="1"/>
  <c r="AC462" i="6"/>
  <c r="AG461" i="6" l="1"/>
  <c r="S461" i="6"/>
  <c r="AD462" i="6"/>
  <c r="AE462" i="6" s="1"/>
  <c r="AC463" i="6"/>
  <c r="AA464" i="6"/>
  <c r="AH465" i="6"/>
  <c r="AF462" i="6" l="1"/>
  <c r="AG462" i="6" s="1"/>
  <c r="S462" i="6"/>
  <c r="AA465" i="6"/>
  <c r="AH466" i="6"/>
  <c r="AC464" i="6"/>
  <c r="AD463" i="6"/>
  <c r="AE463" i="6" s="1"/>
  <c r="AF463" i="6" l="1"/>
  <c r="AG463" i="6" s="1"/>
  <c r="S463" i="6"/>
  <c r="AD464" i="6"/>
  <c r="AE464" i="6" s="1"/>
  <c r="AC465" i="6"/>
  <c r="AA466" i="6"/>
  <c r="AH467" i="6"/>
  <c r="AF464" i="6" l="1"/>
  <c r="AG464" i="6" s="1"/>
  <c r="S464" i="6"/>
  <c r="AA467" i="6"/>
  <c r="AH468" i="6"/>
  <c r="AD465" i="6"/>
  <c r="AC466" i="6"/>
  <c r="AE465" i="6" l="1"/>
  <c r="AF465" i="6" s="1"/>
  <c r="AG465" i="6" s="1"/>
  <c r="S465" i="6"/>
  <c r="AA468" i="6"/>
  <c r="AH469" i="6"/>
  <c r="AD466" i="6"/>
  <c r="AE466" i="6" s="1"/>
  <c r="AC467" i="6"/>
  <c r="AF466" i="6" l="1"/>
  <c r="AG466" i="6" s="1"/>
  <c r="S466" i="6"/>
  <c r="AD467" i="6"/>
  <c r="AE467" i="6" s="1"/>
  <c r="AC468" i="6"/>
  <c r="AA469" i="6"/>
  <c r="AH470" i="6"/>
  <c r="AF467" i="6" l="1"/>
  <c r="AG467" i="6" s="1"/>
  <c r="S467" i="6"/>
  <c r="AA470" i="6"/>
  <c r="AH471" i="6"/>
  <c r="AD468" i="6"/>
  <c r="AC469" i="6"/>
  <c r="S469" i="6" s="1"/>
  <c r="AE468" i="6" l="1"/>
  <c r="AF468" i="6" s="1"/>
  <c r="AG468" i="6" s="1"/>
  <c r="S468" i="6"/>
  <c r="AA471" i="6"/>
  <c r="AH472" i="6"/>
  <c r="AD469" i="6"/>
  <c r="AE469" i="6" s="1"/>
  <c r="AF469" i="6" s="1"/>
  <c r="AG469" i="6" s="1"/>
  <c r="AC470" i="6"/>
  <c r="AC471" i="6" l="1"/>
  <c r="AD470" i="6"/>
  <c r="AA472" i="6"/>
  <c r="AH473" i="6"/>
  <c r="AE470" i="6" l="1"/>
  <c r="AF470" i="6" s="1"/>
  <c r="AG470" i="6" s="1"/>
  <c r="S470" i="6"/>
  <c r="AA473" i="6"/>
  <c r="AH474" i="6"/>
  <c r="AC472" i="6"/>
  <c r="AD471" i="6"/>
  <c r="AE471" i="6" l="1"/>
  <c r="AF471" i="6" s="1"/>
  <c r="AG471" i="6" s="1"/>
  <c r="S471" i="6"/>
  <c r="AD472" i="6"/>
  <c r="AC473" i="6"/>
  <c r="AA474" i="6"/>
  <c r="AH475" i="6"/>
  <c r="AE472" i="6" l="1"/>
  <c r="AF472" i="6" s="1"/>
  <c r="AG472" i="6" s="1"/>
  <c r="S472" i="6"/>
  <c r="AA475" i="6"/>
  <c r="AH476" i="6"/>
  <c r="AD473" i="6"/>
  <c r="AC474" i="6"/>
  <c r="AE473" i="6" l="1"/>
  <c r="AF473" i="6" s="1"/>
  <c r="AG473" i="6" s="1"/>
  <c r="S473" i="6"/>
  <c r="AD474" i="6"/>
  <c r="AC475" i="6"/>
  <c r="AA476" i="6"/>
  <c r="AH477" i="6"/>
  <c r="AE474" i="6" l="1"/>
  <c r="AF474" i="6" s="1"/>
  <c r="AG474" i="6" s="1"/>
  <c r="S474" i="6"/>
  <c r="AA477" i="6"/>
  <c r="AH478" i="6"/>
  <c r="AD475" i="6"/>
  <c r="AC476" i="6"/>
  <c r="AE475" i="6" l="1"/>
  <c r="AF475" i="6" s="1"/>
  <c r="AG475" i="6" s="1"/>
  <c r="S475" i="6"/>
  <c r="AA478" i="6"/>
  <c r="AH479" i="6"/>
  <c r="AD476" i="6"/>
  <c r="AC477" i="6"/>
  <c r="AE476" i="6" l="1"/>
  <c r="AF476" i="6" s="1"/>
  <c r="AG476" i="6" s="1"/>
  <c r="S476" i="6"/>
  <c r="AD477" i="6"/>
  <c r="AC478" i="6"/>
  <c r="AH480" i="6"/>
  <c r="AA479" i="6"/>
  <c r="AE477" i="6" l="1"/>
  <c r="AF477" i="6" s="1"/>
  <c r="AG477" i="6" s="1"/>
  <c r="S477" i="6"/>
  <c r="AH481" i="6"/>
  <c r="AA480" i="6"/>
  <c r="AD478" i="6"/>
  <c r="AC479" i="6"/>
  <c r="AE478" i="6" l="1"/>
  <c r="AF478" i="6" s="1"/>
  <c r="AG478" i="6" s="1"/>
  <c r="S478" i="6"/>
  <c r="AD479" i="6"/>
  <c r="AC480" i="6"/>
  <c r="AH482" i="6"/>
  <c r="AA481" i="6"/>
  <c r="AE479" i="6" l="1"/>
  <c r="AF479" i="6" s="1"/>
  <c r="AG479" i="6" s="1"/>
  <c r="S479" i="6"/>
  <c r="AH483" i="6"/>
  <c r="AA482" i="6"/>
  <c r="AD480" i="6"/>
  <c r="AC481" i="6"/>
  <c r="AE480" i="6" l="1"/>
  <c r="AF480" i="6" s="1"/>
  <c r="AG480" i="6" s="1"/>
  <c r="S480" i="6"/>
  <c r="AD481" i="6"/>
  <c r="AE481" i="6" s="1"/>
  <c r="AC482" i="6"/>
  <c r="AA483" i="6"/>
  <c r="AH484" i="6"/>
  <c r="AF481" i="6" l="1"/>
  <c r="AG481" i="6" s="1"/>
  <c r="S481" i="6"/>
  <c r="AA484" i="6"/>
  <c r="AH485" i="6"/>
  <c r="AD482" i="6"/>
  <c r="AE482" i="6" s="1"/>
  <c r="AC483" i="6"/>
  <c r="AF482" i="6" l="1"/>
  <c r="AG482" i="6" s="1"/>
  <c r="S482" i="6"/>
  <c r="AD483" i="6"/>
  <c r="AE483" i="6" s="1"/>
  <c r="AC484" i="6"/>
  <c r="S484" i="6" s="1"/>
  <c r="AA485" i="6"/>
  <c r="AH486" i="6"/>
  <c r="AF483" i="6" l="1"/>
  <c r="AG483" i="6" s="1"/>
  <c r="S483" i="6"/>
  <c r="AH487" i="6"/>
  <c r="AA486" i="6"/>
  <c r="AD484" i="6"/>
  <c r="AE484" i="6" s="1"/>
  <c r="AF484" i="6" s="1"/>
  <c r="AG484" i="6" s="1"/>
  <c r="AC485" i="6"/>
  <c r="AD485" i="6" l="1"/>
  <c r="AC486" i="6"/>
  <c r="AA487" i="6"/>
  <c r="AH488" i="6"/>
  <c r="AE485" i="6" l="1"/>
  <c r="AF485" i="6" s="1"/>
  <c r="AG485" i="6" s="1"/>
  <c r="S485" i="6"/>
  <c r="AH489" i="6"/>
  <c r="AA488" i="6"/>
  <c r="AD486" i="6"/>
  <c r="AC487" i="6"/>
  <c r="AE486" i="6" l="1"/>
  <c r="AF486" i="6" s="1"/>
  <c r="AG486" i="6" s="1"/>
  <c r="S486" i="6"/>
  <c r="AD487" i="6"/>
  <c r="AC488" i="6"/>
  <c r="AA489" i="6"/>
  <c r="AH490" i="6"/>
  <c r="AE487" i="6" l="1"/>
  <c r="AF487" i="6" s="1"/>
  <c r="AG487" i="6" s="1"/>
  <c r="S487" i="6"/>
  <c r="AA490" i="6"/>
  <c r="AH491" i="6"/>
  <c r="AD488" i="6"/>
  <c r="AC489" i="6"/>
  <c r="S489" i="6" s="1"/>
  <c r="AE488" i="6" l="1"/>
  <c r="AF488" i="6" s="1"/>
  <c r="AG488" i="6" s="1"/>
  <c r="S488" i="6"/>
  <c r="AA491" i="6"/>
  <c r="AH492" i="6"/>
  <c r="AD489" i="6"/>
  <c r="AE489" i="6" s="1"/>
  <c r="AF489" i="6" s="1"/>
  <c r="AG489" i="6" s="1"/>
  <c r="AC490" i="6"/>
  <c r="AA492" i="6" l="1"/>
  <c r="AH493" i="6"/>
  <c r="AD490" i="6"/>
  <c r="AC491" i="6"/>
  <c r="AE490" i="6" l="1"/>
  <c r="AF490" i="6" s="1"/>
  <c r="AG490" i="6" s="1"/>
  <c r="S490" i="6"/>
  <c r="AA493" i="6"/>
  <c r="AH494" i="6"/>
  <c r="AC492" i="6"/>
  <c r="AD491" i="6"/>
  <c r="AE491" i="6" l="1"/>
  <c r="AF491" i="6" s="1"/>
  <c r="AG491" i="6" s="1"/>
  <c r="S491" i="6"/>
  <c r="AA494" i="6"/>
  <c r="AH495" i="6"/>
  <c r="AD492" i="6"/>
  <c r="AC493" i="6"/>
  <c r="AE492" i="6" l="1"/>
  <c r="AF492" i="6" s="1"/>
  <c r="AG492" i="6" s="1"/>
  <c r="S492" i="6"/>
  <c r="AD493" i="6"/>
  <c r="AC494" i="6"/>
  <c r="AA495" i="6"/>
  <c r="AH496" i="6"/>
  <c r="AE493" i="6" l="1"/>
  <c r="AF493" i="6" s="1"/>
  <c r="AG493" i="6" s="1"/>
  <c r="S493" i="6"/>
  <c r="AA496" i="6"/>
  <c r="AH497" i="6"/>
  <c r="AD494" i="6"/>
  <c r="AC495" i="6"/>
  <c r="AE494" i="6" l="1"/>
  <c r="AF494" i="6" s="1"/>
  <c r="AG494" i="6" s="1"/>
  <c r="S494" i="6"/>
  <c r="AD495" i="6"/>
  <c r="AC496" i="6"/>
  <c r="S496" i="6" s="1"/>
  <c r="AA497" i="6"/>
  <c r="AH498" i="6"/>
  <c r="AE495" i="6" l="1"/>
  <c r="AF495" i="6" s="1"/>
  <c r="AG495" i="6" s="1"/>
  <c r="S495" i="6"/>
  <c r="AA498" i="6"/>
  <c r="AH499" i="6"/>
  <c r="AD496" i="6"/>
  <c r="AE496" i="6" s="1"/>
  <c r="AF496" i="6" s="1"/>
  <c r="AG496" i="6" s="1"/>
  <c r="AC497" i="6"/>
  <c r="AA499" i="6" l="1"/>
  <c r="AH500" i="6"/>
  <c r="AD497" i="6"/>
  <c r="AC498" i="6"/>
  <c r="AE497" i="6" l="1"/>
  <c r="AF497" i="6" s="1"/>
  <c r="AG497" i="6" s="1"/>
  <c r="S497" i="6"/>
  <c r="AD498" i="6"/>
  <c r="AC499" i="6"/>
  <c r="AA500" i="6"/>
  <c r="AH501" i="6"/>
  <c r="AE498" i="6" l="1"/>
  <c r="AF498" i="6" s="1"/>
  <c r="AG498" i="6" s="1"/>
  <c r="S498" i="6"/>
  <c r="AA501" i="6"/>
  <c r="AH502" i="6"/>
  <c r="AD499" i="6"/>
  <c r="AC500" i="6"/>
  <c r="AE499" i="6" l="1"/>
  <c r="AF499" i="6" s="1"/>
  <c r="AG499" i="6" s="1"/>
  <c r="S499" i="6"/>
  <c r="AD500" i="6"/>
  <c r="AC501" i="6"/>
  <c r="S501" i="6" s="1"/>
  <c r="AA502" i="6"/>
  <c r="AH503" i="6"/>
  <c r="AE500" i="6" l="1"/>
  <c r="AF500" i="6" s="1"/>
  <c r="AG500" i="6" s="1"/>
  <c r="S500" i="6"/>
  <c r="AA503" i="6"/>
  <c r="AH504" i="6"/>
  <c r="AD501" i="6"/>
  <c r="AE501" i="6" s="1"/>
  <c r="AF501" i="6" s="1"/>
  <c r="AG501" i="6" s="1"/>
  <c r="AC502" i="6"/>
  <c r="AD502" i="6" l="1"/>
  <c r="AC503" i="6"/>
  <c r="AA504" i="6"/>
  <c r="AH505" i="6"/>
  <c r="AE502" i="6" l="1"/>
  <c r="AF502" i="6" s="1"/>
  <c r="AG502" i="6" s="1"/>
  <c r="S502" i="6"/>
  <c r="AA505" i="6"/>
  <c r="AH506" i="6"/>
  <c r="AC504" i="6"/>
  <c r="AD503" i="6"/>
  <c r="AE503" i="6" l="1"/>
  <c r="AF503" i="6" s="1"/>
  <c r="AG503" i="6" s="1"/>
  <c r="S503" i="6"/>
  <c r="AD504" i="6"/>
  <c r="AC505" i="6"/>
  <c r="AA506" i="6"/>
  <c r="AH507" i="6"/>
  <c r="AE504" i="6" l="1"/>
  <c r="AF504" i="6" s="1"/>
  <c r="AG504" i="6" s="1"/>
  <c r="S504" i="6"/>
  <c r="AA507" i="6"/>
  <c r="AH508" i="6"/>
  <c r="AD505" i="6"/>
  <c r="AC506" i="6"/>
  <c r="AE505" i="6" l="1"/>
  <c r="AF505" i="6" s="1"/>
  <c r="AG505" i="6" s="1"/>
  <c r="S505" i="6"/>
  <c r="AA508" i="6"/>
  <c r="AH509" i="6"/>
  <c r="AD506" i="6"/>
  <c r="AC507" i="6"/>
  <c r="AE506" i="6" l="1"/>
  <c r="AF506" i="6" s="1"/>
  <c r="AG506" i="6" s="1"/>
  <c r="S506" i="6"/>
  <c r="AD507" i="6"/>
  <c r="AE507" i="6" s="1"/>
  <c r="AC508" i="6"/>
  <c r="S508" i="6" s="1"/>
  <c r="AA509" i="6"/>
  <c r="AH510" i="6"/>
  <c r="AF507" i="6" l="1"/>
  <c r="AG507" i="6" s="1"/>
  <c r="S507" i="6"/>
  <c r="AA510" i="6"/>
  <c r="AH511" i="6"/>
  <c r="AD508" i="6"/>
  <c r="AE508" i="6" s="1"/>
  <c r="AF508" i="6" s="1"/>
  <c r="AG508" i="6" s="1"/>
  <c r="AC509" i="6"/>
  <c r="AA511" i="6" l="1"/>
  <c r="AH512" i="6"/>
  <c r="AD509" i="6"/>
  <c r="AC510" i="6"/>
  <c r="AE509" i="6" l="1"/>
  <c r="AF509" i="6" s="1"/>
  <c r="AG509" i="6" s="1"/>
  <c r="S509" i="6"/>
  <c r="AD510" i="6"/>
  <c r="AC511" i="6"/>
  <c r="AA512" i="6"/>
  <c r="AH513" i="6"/>
  <c r="AE510" i="6" l="1"/>
  <c r="AF510" i="6" s="1"/>
  <c r="AG510" i="6" s="1"/>
  <c r="S510" i="6"/>
  <c r="AA513" i="6"/>
  <c r="AH514" i="6"/>
  <c r="AD511" i="6"/>
  <c r="AC512" i="6"/>
  <c r="AE511" i="6" l="1"/>
  <c r="AF511" i="6" s="1"/>
  <c r="AG511" i="6" s="1"/>
  <c r="S511" i="6"/>
  <c r="AA514" i="6"/>
  <c r="AH515" i="6"/>
  <c r="AC513" i="6"/>
  <c r="AD512" i="6"/>
  <c r="AE512" i="6" l="1"/>
  <c r="AF512" i="6" s="1"/>
  <c r="AG512" i="6" s="1"/>
  <c r="S512" i="6"/>
  <c r="AD513" i="6"/>
  <c r="AC514" i="6"/>
  <c r="AA515" i="6"/>
  <c r="AH516" i="6"/>
  <c r="AE513" i="6" l="1"/>
  <c r="AF513" i="6" s="1"/>
  <c r="AG513" i="6" s="1"/>
  <c r="S513" i="6"/>
  <c r="AA516" i="6"/>
  <c r="AH517" i="6"/>
  <c r="AD514" i="6"/>
  <c r="AC515" i="6"/>
  <c r="S515" i="6" s="1"/>
  <c r="AE514" i="6" l="1"/>
  <c r="AF514" i="6" s="1"/>
  <c r="AG514" i="6" s="1"/>
  <c r="S514" i="6"/>
  <c r="AA517" i="6"/>
  <c r="AH518" i="6"/>
  <c r="AD515" i="6"/>
  <c r="AC516" i="6"/>
  <c r="AE515" i="6" l="1"/>
  <c r="AF515" i="6" s="1"/>
  <c r="AG515" i="6" s="1"/>
  <c r="AD516" i="6"/>
  <c r="AC517" i="6"/>
  <c r="AA518" i="6"/>
  <c r="AH519" i="6"/>
  <c r="AE516" i="6" l="1"/>
  <c r="AF516" i="6" s="1"/>
  <c r="AG516" i="6" s="1"/>
  <c r="S516" i="6"/>
  <c r="AA519" i="6"/>
  <c r="AH520" i="6"/>
  <c r="AD517" i="6"/>
  <c r="AE517" i="6" s="1"/>
  <c r="AC518" i="6"/>
  <c r="AF517" i="6" l="1"/>
  <c r="AG517" i="6" s="1"/>
  <c r="S517" i="6"/>
  <c r="AC519" i="6"/>
  <c r="AD518" i="6"/>
  <c r="AA520" i="6"/>
  <c r="AH521" i="6"/>
  <c r="AE518" i="6" l="1"/>
  <c r="AF518" i="6" s="1"/>
  <c r="AG518" i="6" s="1"/>
  <c r="S518" i="6"/>
  <c r="AA521" i="6"/>
  <c r="AH522" i="6"/>
  <c r="AD519" i="6"/>
  <c r="AC520" i="6"/>
  <c r="AE519" i="6" l="1"/>
  <c r="AF519" i="6" s="1"/>
  <c r="AG519" i="6" s="1"/>
  <c r="S519" i="6"/>
  <c r="AA522" i="6"/>
  <c r="AH523" i="6"/>
  <c r="AD520" i="6"/>
  <c r="AC521" i="6"/>
  <c r="AE520" i="6" l="1"/>
  <c r="AF520" i="6" s="1"/>
  <c r="AG520" i="6" s="1"/>
  <c r="S520" i="6"/>
  <c r="AA523" i="6"/>
  <c r="AH524" i="6"/>
  <c r="AD521" i="6"/>
  <c r="AC522" i="6"/>
  <c r="AE521" i="6" l="1"/>
  <c r="AF521" i="6" s="1"/>
  <c r="AG521" i="6" s="1"/>
  <c r="S521" i="6"/>
  <c r="AD522" i="6"/>
  <c r="AC523" i="6"/>
  <c r="AA524" i="6"/>
  <c r="AH525" i="6"/>
  <c r="AE522" i="6" l="1"/>
  <c r="AF522" i="6" s="1"/>
  <c r="AG522" i="6" s="1"/>
  <c r="S522" i="6"/>
  <c r="AA525" i="6"/>
  <c r="AH526" i="6"/>
  <c r="AD523" i="6"/>
  <c r="AC524" i="6"/>
  <c r="AE523" i="6" l="1"/>
  <c r="AF523" i="6" s="1"/>
  <c r="AG523" i="6" s="1"/>
  <c r="S523" i="6"/>
  <c r="AC525" i="6"/>
  <c r="AD524" i="6"/>
  <c r="AA526" i="6"/>
  <c r="AH527" i="6"/>
  <c r="AE524" i="6" l="1"/>
  <c r="AF524" i="6" s="1"/>
  <c r="AG524" i="6" s="1"/>
  <c r="S524" i="6"/>
  <c r="AA527" i="6"/>
  <c r="AH528" i="6"/>
  <c r="AD525" i="6"/>
  <c r="AE525" i="6" s="1"/>
  <c r="AC526" i="6"/>
  <c r="S526" i="6" s="1"/>
  <c r="AF525" i="6" l="1"/>
  <c r="AG525" i="6" s="1"/>
  <c r="S525" i="6"/>
  <c r="AA528" i="6"/>
  <c r="AH529" i="6"/>
  <c r="AD526" i="6"/>
  <c r="AE526" i="6" s="1"/>
  <c r="AF526" i="6" s="1"/>
  <c r="AG526" i="6" s="1"/>
  <c r="AC527" i="6"/>
  <c r="AA529" i="6" l="1"/>
  <c r="AH530" i="6"/>
  <c r="AD527" i="6"/>
  <c r="AC528" i="6"/>
  <c r="AE527" i="6" l="1"/>
  <c r="AF527" i="6" s="1"/>
  <c r="AG527" i="6" s="1"/>
  <c r="S527" i="6"/>
  <c r="AA530" i="6"/>
  <c r="AH531" i="6"/>
  <c r="AC529" i="6"/>
  <c r="AD528" i="6"/>
  <c r="AE528" i="6" l="1"/>
  <c r="AF528" i="6" s="1"/>
  <c r="AG528" i="6" s="1"/>
  <c r="S528" i="6"/>
  <c r="AA531" i="6"/>
  <c r="AH532" i="6"/>
  <c r="AC530" i="6"/>
  <c r="AD529" i="6"/>
  <c r="AE529" i="6" l="1"/>
  <c r="AF529" i="6" s="1"/>
  <c r="AG529" i="6" s="1"/>
  <c r="S529" i="6"/>
  <c r="AC531" i="6"/>
  <c r="AD530" i="6"/>
  <c r="AE530" i="6" s="1"/>
  <c r="AA532" i="6"/>
  <c r="AH533" i="6"/>
  <c r="AF530" i="6" l="1"/>
  <c r="AG530" i="6" s="1"/>
  <c r="S530" i="6"/>
  <c r="AA533" i="6"/>
  <c r="AH534" i="6"/>
  <c r="AD531" i="6"/>
  <c r="AE531" i="6" s="1"/>
  <c r="AC532" i="6"/>
  <c r="AF531" i="6" l="1"/>
  <c r="AG531" i="6" s="1"/>
  <c r="S531" i="6"/>
  <c r="AA534" i="6"/>
  <c r="AH535" i="6"/>
  <c r="AD532" i="6"/>
  <c r="AE532" i="6" s="1"/>
  <c r="AC533" i="6"/>
  <c r="AF532" i="6" l="1"/>
  <c r="AG532" i="6" s="1"/>
  <c r="S532" i="6"/>
  <c r="AA535" i="6"/>
  <c r="AH536" i="6"/>
  <c r="AD533" i="6"/>
  <c r="AC534" i="6"/>
  <c r="S534" i="6" s="1"/>
  <c r="AE533" i="6" l="1"/>
  <c r="AF533" i="6" s="1"/>
  <c r="AG533" i="6" s="1"/>
  <c r="S533" i="6"/>
  <c r="AA536" i="6"/>
  <c r="AH537" i="6"/>
  <c r="AD534" i="6"/>
  <c r="AE534" i="6" s="1"/>
  <c r="AF534" i="6" s="1"/>
  <c r="AG534" i="6" s="1"/>
  <c r="AC535" i="6"/>
  <c r="AD535" i="6" l="1"/>
  <c r="AC536" i="6"/>
  <c r="AA537" i="6"/>
  <c r="AH538" i="6"/>
  <c r="AE535" i="6" l="1"/>
  <c r="AF535" i="6" s="1"/>
  <c r="AG535" i="6" s="1"/>
  <c r="S535" i="6"/>
  <c r="AA538" i="6"/>
  <c r="AH539" i="6"/>
  <c r="AC537" i="6"/>
  <c r="AD536" i="6"/>
  <c r="AE536" i="6" l="1"/>
  <c r="AF536" i="6" s="1"/>
  <c r="AG536" i="6" s="1"/>
  <c r="S536" i="6"/>
  <c r="AD537" i="6"/>
  <c r="AC538" i="6"/>
  <c r="AA539" i="6"/>
  <c r="AH540" i="6"/>
  <c r="AE537" i="6" l="1"/>
  <c r="AF537" i="6" s="1"/>
  <c r="AG537" i="6" s="1"/>
  <c r="S537" i="6"/>
  <c r="AA540" i="6"/>
  <c r="AH541" i="6"/>
  <c r="AD538" i="6"/>
  <c r="AC539" i="6"/>
  <c r="AE538" i="6" l="1"/>
  <c r="AF538" i="6" s="1"/>
  <c r="AG538" i="6" s="1"/>
  <c r="S538" i="6"/>
  <c r="AD539" i="6"/>
  <c r="AC540" i="6"/>
  <c r="AA541" i="6"/>
  <c r="AH542" i="6"/>
  <c r="AE539" i="6" l="1"/>
  <c r="AF539" i="6" s="1"/>
  <c r="AG539" i="6" s="1"/>
  <c r="S539" i="6"/>
  <c r="AA542" i="6"/>
  <c r="AH543" i="6"/>
  <c r="AC541" i="6"/>
  <c r="AD540" i="6"/>
  <c r="AE540" i="6" l="1"/>
  <c r="AF540" i="6" s="1"/>
  <c r="AG540" i="6" s="1"/>
  <c r="S540" i="6"/>
  <c r="AC542" i="6"/>
  <c r="AD541" i="6"/>
  <c r="AA543" i="6"/>
  <c r="AH544" i="6"/>
  <c r="AE541" i="6" l="1"/>
  <c r="AF541" i="6" s="1"/>
  <c r="AG541" i="6" s="1"/>
  <c r="S541" i="6"/>
  <c r="AA544" i="6"/>
  <c r="AH545" i="6"/>
  <c r="AC543" i="6"/>
  <c r="AD542" i="6"/>
  <c r="AE542" i="6" l="1"/>
  <c r="AF542" i="6" s="1"/>
  <c r="AG542" i="6" s="1"/>
  <c r="S542" i="6"/>
  <c r="AA545" i="6"/>
  <c r="AH546" i="6"/>
  <c r="AD543" i="6"/>
  <c r="AC544" i="6"/>
  <c r="AE543" i="6" l="1"/>
  <c r="AF543" i="6" s="1"/>
  <c r="AG543" i="6" s="1"/>
  <c r="S543" i="6"/>
  <c r="AD544" i="6"/>
  <c r="AC545" i="6"/>
  <c r="AA546" i="6"/>
  <c r="AH547" i="6"/>
  <c r="AE544" i="6" l="1"/>
  <c r="AF544" i="6" s="1"/>
  <c r="AG544" i="6" s="1"/>
  <c r="S544" i="6"/>
  <c r="AA547" i="6"/>
  <c r="AH548" i="6"/>
  <c r="AD545" i="6"/>
  <c r="AC546" i="6"/>
  <c r="AE545" i="6" l="1"/>
  <c r="AF545" i="6" s="1"/>
  <c r="AG545" i="6" s="1"/>
  <c r="S545" i="6"/>
  <c r="AA548" i="6"/>
  <c r="AH549" i="6"/>
  <c r="AD546" i="6"/>
  <c r="AC547" i="6"/>
  <c r="AE546" i="6" l="1"/>
  <c r="AF546" i="6" s="1"/>
  <c r="AG546" i="6" s="1"/>
  <c r="S546" i="6"/>
  <c r="AD547" i="6"/>
  <c r="AC548" i="6"/>
  <c r="AH550" i="6"/>
  <c r="AA549" i="6"/>
  <c r="AE547" i="6" l="1"/>
  <c r="AF547" i="6" s="1"/>
  <c r="AG547" i="6" s="1"/>
  <c r="S547" i="6"/>
  <c r="AA550" i="6"/>
  <c r="AH551" i="6"/>
  <c r="AC549" i="6"/>
  <c r="AD548" i="6"/>
  <c r="AE548" i="6" l="1"/>
  <c r="AF548" i="6" s="1"/>
  <c r="AG548" i="6" s="1"/>
  <c r="S548" i="6"/>
  <c r="AD549" i="6"/>
  <c r="AC550" i="6"/>
  <c r="AH552" i="6"/>
  <c r="AA551" i="6"/>
  <c r="AE549" i="6" l="1"/>
  <c r="AF549" i="6" s="1"/>
  <c r="AG549" i="6" s="1"/>
  <c r="S549" i="6"/>
  <c r="AH553" i="6"/>
  <c r="AA552" i="6"/>
  <c r="AD550" i="6"/>
  <c r="AC551" i="6"/>
  <c r="AE550" i="6" l="1"/>
  <c r="AF550" i="6" s="1"/>
  <c r="AG550" i="6" s="1"/>
  <c r="S550" i="6"/>
  <c r="AD551" i="6"/>
  <c r="AC552" i="6"/>
  <c r="AA553" i="6"/>
  <c r="AH554" i="6"/>
  <c r="AE551" i="6" l="1"/>
  <c r="AF551" i="6" s="1"/>
  <c r="AG551" i="6" s="1"/>
  <c r="S551" i="6"/>
  <c r="AA554" i="6"/>
  <c r="AH555" i="6"/>
  <c r="AD552" i="6"/>
  <c r="AC553" i="6"/>
  <c r="AE552" i="6" l="1"/>
  <c r="AF552" i="6" s="1"/>
  <c r="AG552" i="6" s="1"/>
  <c r="S552" i="6"/>
  <c r="AA555" i="6"/>
  <c r="AH556" i="6"/>
  <c r="AD553" i="6"/>
  <c r="AC554" i="6"/>
  <c r="S554" i="6" s="1"/>
  <c r="AE553" i="6" l="1"/>
  <c r="AF553" i="6" s="1"/>
  <c r="AG553" i="6" s="1"/>
  <c r="S553" i="6"/>
  <c r="AA556" i="6"/>
  <c r="AH557" i="6"/>
  <c r="AD554" i="6"/>
  <c r="AE554" i="6" s="1"/>
  <c r="AF554" i="6" s="1"/>
  <c r="AG554" i="6" s="1"/>
  <c r="AC555" i="6"/>
  <c r="AA557" i="6" l="1"/>
  <c r="AH558" i="6"/>
  <c r="AC556" i="6"/>
  <c r="AD555" i="6"/>
  <c r="AE555" i="6" l="1"/>
  <c r="AF555" i="6" s="1"/>
  <c r="AG555" i="6" s="1"/>
  <c r="S555" i="6"/>
  <c r="AD556" i="6"/>
  <c r="AC557" i="6"/>
  <c r="AA558" i="6"/>
  <c r="AH559" i="6"/>
  <c r="AE556" i="6" l="1"/>
  <c r="AF556" i="6" s="1"/>
  <c r="AG556" i="6" s="1"/>
  <c r="S556" i="6"/>
  <c r="AA559" i="6"/>
  <c r="AH560" i="6"/>
  <c r="AD557" i="6"/>
  <c r="AC558" i="6"/>
  <c r="S558" i="6" s="1"/>
  <c r="AE557" i="6" l="1"/>
  <c r="AF557" i="6" s="1"/>
  <c r="AG557" i="6" s="1"/>
  <c r="S557" i="6"/>
  <c r="AA560" i="6"/>
  <c r="AH561" i="6"/>
  <c r="AD558" i="6"/>
  <c r="AE558" i="6" s="1"/>
  <c r="AF558" i="6" s="1"/>
  <c r="AG558" i="6" s="1"/>
  <c r="AC559" i="6"/>
  <c r="AD559" i="6" l="1"/>
  <c r="AC560" i="6"/>
  <c r="AA561" i="6"/>
  <c r="AH562" i="6"/>
  <c r="AE559" i="6" l="1"/>
  <c r="AF559" i="6" s="1"/>
  <c r="AG559" i="6" s="1"/>
  <c r="S559" i="6"/>
  <c r="AA562" i="6"/>
  <c r="AH563" i="6"/>
  <c r="AD560" i="6"/>
  <c r="AC561" i="6"/>
  <c r="AE560" i="6" l="1"/>
  <c r="AF560" i="6" s="1"/>
  <c r="AG560" i="6" s="1"/>
  <c r="S560" i="6"/>
  <c r="AA563" i="6"/>
  <c r="AH564" i="6"/>
  <c r="AD561" i="6"/>
  <c r="AC562" i="6"/>
  <c r="AE561" i="6" l="1"/>
  <c r="AF561" i="6" s="1"/>
  <c r="AG561" i="6" s="1"/>
  <c r="S561" i="6"/>
  <c r="AD562" i="6"/>
  <c r="AC563" i="6"/>
  <c r="AA564" i="6"/>
  <c r="AH565" i="6"/>
  <c r="AE562" i="6" l="1"/>
  <c r="AF562" i="6" s="1"/>
  <c r="AG562" i="6" s="1"/>
  <c r="S562" i="6"/>
  <c r="AA565" i="6"/>
  <c r="AH566" i="6"/>
  <c r="AD563" i="6"/>
  <c r="AC564" i="6"/>
  <c r="S564" i="6" s="1"/>
  <c r="AE563" i="6" l="1"/>
  <c r="AF563" i="6" s="1"/>
  <c r="AG563" i="6" s="1"/>
  <c r="S563" i="6"/>
  <c r="AA566" i="6"/>
  <c r="AH567" i="6"/>
  <c r="AD564" i="6"/>
  <c r="AE564" i="6" s="1"/>
  <c r="AF564" i="6" s="1"/>
  <c r="AG564" i="6" s="1"/>
  <c r="AC565" i="6"/>
  <c r="S565" i="6" s="1"/>
  <c r="AD565" i="6" l="1"/>
  <c r="AE565" i="6" s="1"/>
  <c r="AF565" i="6" s="1"/>
  <c r="AG565" i="6" s="1"/>
  <c r="AC566" i="6"/>
  <c r="AA567" i="6"/>
  <c r="AH568" i="6"/>
  <c r="AA568" i="6" l="1"/>
  <c r="AH569" i="6"/>
  <c r="AD566" i="6"/>
  <c r="AC567" i="6"/>
  <c r="AE566" i="6" l="1"/>
  <c r="AF566" i="6" s="1"/>
  <c r="AG566" i="6" s="1"/>
  <c r="S566" i="6"/>
  <c r="AA569" i="6"/>
  <c r="AH570" i="6"/>
  <c r="AC568" i="6"/>
  <c r="AD567" i="6"/>
  <c r="AE567" i="6" l="1"/>
  <c r="AF567" i="6" s="1"/>
  <c r="AG567" i="6" s="1"/>
  <c r="S567" i="6"/>
  <c r="AA570" i="6"/>
  <c r="AH571" i="6"/>
  <c r="AD568" i="6"/>
  <c r="AC569" i="6"/>
  <c r="AE568" i="6" l="1"/>
  <c r="AF568" i="6" s="1"/>
  <c r="AG568" i="6" s="1"/>
  <c r="S568" i="6"/>
  <c r="AD569" i="6"/>
  <c r="AC570" i="6"/>
  <c r="AA571" i="6"/>
  <c r="AH572" i="6"/>
  <c r="AE569" i="6" l="1"/>
  <c r="AF569" i="6" s="1"/>
  <c r="AG569" i="6" s="1"/>
  <c r="S569" i="6"/>
  <c r="AA572" i="6"/>
  <c r="AH573" i="6"/>
  <c r="AD570" i="6"/>
  <c r="AC571" i="6"/>
  <c r="S571" i="6" s="1"/>
  <c r="AE570" i="6" l="1"/>
  <c r="AF570" i="6" s="1"/>
  <c r="AG570" i="6" s="1"/>
  <c r="S570" i="6"/>
  <c r="AA573" i="6"/>
  <c r="AH574" i="6"/>
  <c r="AD571" i="6"/>
  <c r="AC572" i="6"/>
  <c r="S572" i="6" s="1"/>
  <c r="AE571" i="6" l="1"/>
  <c r="AF571" i="6" s="1"/>
  <c r="AG571" i="6" s="1"/>
  <c r="AA574" i="6"/>
  <c r="AH575" i="6"/>
  <c r="AD572" i="6"/>
  <c r="AC573" i="6"/>
  <c r="S573" i="6" s="1"/>
  <c r="AE572" i="6" l="1"/>
  <c r="AF572" i="6" s="1"/>
  <c r="AG572" i="6" s="1"/>
  <c r="AD573" i="6"/>
  <c r="AC574" i="6"/>
  <c r="S574" i="6" s="1"/>
  <c r="AA575" i="6"/>
  <c r="AH576" i="6"/>
  <c r="AE573" i="6" l="1"/>
  <c r="AF573" i="6" s="1"/>
  <c r="AG573" i="6" s="1"/>
  <c r="AA576" i="6"/>
  <c r="AH577" i="6"/>
  <c r="AD574" i="6"/>
  <c r="AE574" i="6" s="1"/>
  <c r="AF574" i="6" s="1"/>
  <c r="AG574" i="6" s="1"/>
  <c r="AC575" i="6"/>
  <c r="AA577" i="6" l="1"/>
  <c r="AH578" i="6"/>
  <c r="AD575" i="6"/>
  <c r="AC576" i="6"/>
  <c r="AE575" i="6" l="1"/>
  <c r="AF575" i="6" s="1"/>
  <c r="AG575" i="6" s="1"/>
  <c r="S575" i="6"/>
  <c r="AA578" i="6"/>
  <c r="AH579" i="6"/>
  <c r="AD576" i="6"/>
  <c r="AE576" i="6" s="1"/>
  <c r="AC577" i="6"/>
  <c r="AF576" i="6" l="1"/>
  <c r="AG576" i="6" s="1"/>
  <c r="S576" i="6"/>
  <c r="AA579" i="6"/>
  <c r="AH580" i="6"/>
  <c r="AD577" i="6"/>
  <c r="AE577" i="6" s="1"/>
  <c r="AC578" i="6"/>
  <c r="AF577" i="6" l="1"/>
  <c r="AG577" i="6" s="1"/>
  <c r="S577" i="6"/>
  <c r="AA580" i="6"/>
  <c r="AH581" i="6"/>
  <c r="AD578" i="6"/>
  <c r="AC579" i="6"/>
  <c r="AE578" i="6" l="1"/>
  <c r="AF578" i="6" s="1"/>
  <c r="AG578" i="6" s="1"/>
  <c r="S578" i="6"/>
  <c r="AD579" i="6"/>
  <c r="AE579" i="6" s="1"/>
  <c r="AC580" i="6"/>
  <c r="AA581" i="6"/>
  <c r="AH582" i="6"/>
  <c r="AF579" i="6" l="1"/>
  <c r="AG579" i="6" s="1"/>
  <c r="S579" i="6"/>
  <c r="AH583" i="6"/>
  <c r="AA582" i="6"/>
  <c r="AD580" i="6"/>
  <c r="AC581" i="6"/>
  <c r="AE580" i="6" l="1"/>
  <c r="AF580" i="6" s="1"/>
  <c r="AG580" i="6" s="1"/>
  <c r="S580" i="6"/>
  <c r="AD581" i="6"/>
  <c r="AC582" i="6"/>
  <c r="AA583" i="6"/>
  <c r="AH584" i="6"/>
  <c r="AE581" i="6" l="1"/>
  <c r="AF581" i="6" s="1"/>
  <c r="AG581" i="6" s="1"/>
  <c r="S581" i="6"/>
  <c r="AA584" i="6"/>
  <c r="AH585" i="6"/>
  <c r="AD582" i="6"/>
  <c r="AC583" i="6"/>
  <c r="AE582" i="6" l="1"/>
  <c r="AF582" i="6" s="1"/>
  <c r="AG582" i="6" s="1"/>
  <c r="S582" i="6"/>
  <c r="AA585" i="6"/>
  <c r="AH586" i="6"/>
  <c r="AD583" i="6"/>
  <c r="AE583" i="6" s="1"/>
  <c r="AC584" i="6"/>
  <c r="AF583" i="6" l="1"/>
  <c r="AG583" i="6" s="1"/>
  <c r="S583" i="6"/>
  <c r="AD584" i="6"/>
  <c r="AE584" i="6" s="1"/>
  <c r="AC585" i="6"/>
  <c r="AA586" i="6"/>
  <c r="AH587" i="6"/>
  <c r="AF584" i="6" l="1"/>
  <c r="AG584" i="6" s="1"/>
  <c r="S584" i="6"/>
  <c r="AA587" i="6"/>
  <c r="AH588" i="6"/>
  <c r="AD585" i="6"/>
  <c r="AE585" i="6" s="1"/>
  <c r="AC586" i="6"/>
  <c r="AF585" i="6" l="1"/>
  <c r="AG585" i="6" s="1"/>
  <c r="S585" i="6"/>
  <c r="AA588" i="6"/>
  <c r="AH589" i="6"/>
  <c r="AD586" i="6"/>
  <c r="AE586" i="6" s="1"/>
  <c r="AC587" i="6"/>
  <c r="S587" i="6" s="1"/>
  <c r="AF586" i="6" l="1"/>
  <c r="AG586" i="6" s="1"/>
  <c r="S586" i="6"/>
  <c r="AD587" i="6"/>
  <c r="AE587" i="6" s="1"/>
  <c r="AF587" i="6" s="1"/>
  <c r="AG587" i="6" s="1"/>
  <c r="AC588" i="6"/>
  <c r="AA589" i="6"/>
  <c r="AH590" i="6"/>
  <c r="AD588" i="6" l="1"/>
  <c r="AC589" i="6"/>
  <c r="AA590" i="6"/>
  <c r="AH591" i="6"/>
  <c r="AE588" i="6" l="1"/>
  <c r="AF588" i="6" s="1"/>
  <c r="AG588" i="6" s="1"/>
  <c r="S588" i="6"/>
  <c r="AA591" i="6"/>
  <c r="AH592" i="6"/>
  <c r="AD589" i="6"/>
  <c r="AC590" i="6"/>
  <c r="S590" i="6" s="1"/>
  <c r="AE589" i="6" l="1"/>
  <c r="AF589" i="6" s="1"/>
  <c r="AG589" i="6" s="1"/>
  <c r="S589" i="6"/>
  <c r="AA592" i="6"/>
  <c r="AH593" i="6"/>
  <c r="AD590" i="6"/>
  <c r="AE590" i="6" s="1"/>
  <c r="AF590" i="6" s="1"/>
  <c r="AG590" i="6" s="1"/>
  <c r="AC591" i="6"/>
  <c r="AC592" i="6" l="1"/>
  <c r="AD591" i="6"/>
  <c r="AA593" i="6"/>
  <c r="AH594" i="6"/>
  <c r="AE591" i="6" l="1"/>
  <c r="AF591" i="6" s="1"/>
  <c r="AG591" i="6" s="1"/>
  <c r="S591" i="6"/>
  <c r="AA594" i="6"/>
  <c r="AH595" i="6"/>
  <c r="AD592" i="6"/>
  <c r="AE592" i="6" s="1"/>
  <c r="AC593" i="6"/>
  <c r="AF592" i="6" l="1"/>
  <c r="AG592" i="6" s="1"/>
  <c r="S592" i="6"/>
  <c r="AD593" i="6"/>
  <c r="AC594" i="6"/>
  <c r="S594" i="6" s="1"/>
  <c r="AA595" i="6"/>
  <c r="AH596" i="6"/>
  <c r="AE593" i="6" l="1"/>
  <c r="AF593" i="6" s="1"/>
  <c r="AG593" i="6" s="1"/>
  <c r="S593" i="6"/>
  <c r="AA596" i="6"/>
  <c r="AH597" i="6"/>
  <c r="AD594" i="6"/>
  <c r="AE594" i="6" s="1"/>
  <c r="AF594" i="6" s="1"/>
  <c r="AG594" i="6" s="1"/>
  <c r="AC595" i="6"/>
  <c r="S595" i="6" s="1"/>
  <c r="AA597" i="6" l="1"/>
  <c r="AH598" i="6"/>
  <c r="AD595" i="6"/>
  <c r="AE595" i="6" s="1"/>
  <c r="AF595" i="6" s="1"/>
  <c r="AG595" i="6" s="1"/>
  <c r="AC596" i="6"/>
  <c r="AD596" i="6" l="1"/>
  <c r="AC597" i="6"/>
  <c r="AA598" i="6"/>
  <c r="AH599" i="6"/>
  <c r="AE596" i="6" l="1"/>
  <c r="AF596" i="6" s="1"/>
  <c r="AG596" i="6" s="1"/>
  <c r="S596" i="6"/>
  <c r="AA599" i="6"/>
  <c r="AH600" i="6"/>
  <c r="AC598" i="6"/>
  <c r="AD597" i="6"/>
  <c r="AE597" i="6" l="1"/>
  <c r="AF597" i="6" s="1"/>
  <c r="AG597" i="6" s="1"/>
  <c r="S597" i="6"/>
  <c r="AD598" i="6"/>
  <c r="AC599" i="6"/>
  <c r="S599" i="6" s="1"/>
  <c r="AA600" i="6"/>
  <c r="AH601" i="6"/>
  <c r="AE598" i="6" l="1"/>
  <c r="AF598" i="6" s="1"/>
  <c r="AG598" i="6" s="1"/>
  <c r="S598" i="6"/>
  <c r="AA601" i="6"/>
  <c r="AH602" i="6"/>
  <c r="AD599" i="6"/>
  <c r="AE599" i="6" s="1"/>
  <c r="AF599" i="6" s="1"/>
  <c r="AG599" i="6" s="1"/>
  <c r="AC600" i="6"/>
  <c r="AD600" i="6" l="1"/>
  <c r="AC601" i="6"/>
  <c r="AA602" i="6"/>
  <c r="AH603" i="6"/>
  <c r="AE600" i="6" l="1"/>
  <c r="AF600" i="6" s="1"/>
  <c r="AG600" i="6" s="1"/>
  <c r="S600" i="6"/>
  <c r="AA603" i="6"/>
  <c r="AH604" i="6"/>
  <c r="AD601" i="6"/>
  <c r="AC602" i="6"/>
  <c r="AE601" i="6" l="1"/>
  <c r="AF601" i="6" s="1"/>
  <c r="AG601" i="6" s="1"/>
  <c r="S601" i="6"/>
  <c r="AA604" i="6"/>
  <c r="AH605" i="6"/>
  <c r="AD602" i="6"/>
  <c r="AC603" i="6"/>
  <c r="S603" i="6" s="1"/>
  <c r="AE602" i="6" l="1"/>
  <c r="AF602" i="6" s="1"/>
  <c r="AG602" i="6" s="1"/>
  <c r="S602" i="6"/>
  <c r="AC604" i="6"/>
  <c r="AD603" i="6"/>
  <c r="AE603" i="6" s="1"/>
  <c r="AF603" i="6" s="1"/>
  <c r="AG603" i="6" s="1"/>
  <c r="AA605" i="6"/>
  <c r="AH606" i="6"/>
  <c r="AA606" i="6" l="1"/>
  <c r="AH607" i="6"/>
  <c r="AD604" i="6"/>
  <c r="AC605" i="6"/>
  <c r="AE604" i="6" l="1"/>
  <c r="AF604" i="6" s="1"/>
  <c r="AG604" i="6" s="1"/>
  <c r="S604" i="6"/>
  <c r="AD605" i="6"/>
  <c r="AC606" i="6"/>
  <c r="S606" i="6" s="1"/>
  <c r="AA607" i="6"/>
  <c r="AH608" i="6"/>
  <c r="AE605" i="6" l="1"/>
  <c r="AF605" i="6" s="1"/>
  <c r="AG605" i="6" s="1"/>
  <c r="S605" i="6"/>
  <c r="AA608" i="6"/>
  <c r="AH609" i="6"/>
  <c r="AD606" i="6"/>
  <c r="AC607" i="6"/>
  <c r="AE606" i="6" l="1"/>
  <c r="AF606" i="6" s="1"/>
  <c r="AG606" i="6" s="1"/>
  <c r="AA609" i="6"/>
  <c r="AH610" i="6"/>
  <c r="AD607" i="6"/>
  <c r="AC608" i="6"/>
  <c r="AE607" i="6" l="1"/>
  <c r="AF607" i="6" s="1"/>
  <c r="AG607" i="6" s="1"/>
  <c r="S607" i="6"/>
  <c r="AD608" i="6"/>
  <c r="AE608" i="6" s="1"/>
  <c r="AC609" i="6"/>
  <c r="S609" i="6" s="1"/>
  <c r="AA610" i="6"/>
  <c r="AH611" i="6"/>
  <c r="AF608" i="6" l="1"/>
  <c r="AG608" i="6" s="1"/>
  <c r="S608" i="6"/>
  <c r="AA611" i="6"/>
  <c r="AH612" i="6"/>
  <c r="AD609" i="6"/>
  <c r="AE609" i="6" s="1"/>
  <c r="AF609" i="6" s="1"/>
  <c r="AG609" i="6" s="1"/>
  <c r="AC610" i="6"/>
  <c r="AA612" i="6" l="1"/>
  <c r="AH613" i="6"/>
  <c r="AD610" i="6"/>
  <c r="AC611" i="6"/>
  <c r="AE610" i="6" l="1"/>
  <c r="AF610" i="6" s="1"/>
  <c r="AG610" i="6" s="1"/>
  <c r="S610" i="6"/>
  <c r="AA613" i="6"/>
  <c r="AH614" i="6"/>
  <c r="AD611" i="6"/>
  <c r="AC612" i="6"/>
  <c r="S612" i="6" s="1"/>
  <c r="AE611" i="6" l="1"/>
  <c r="AF611" i="6" s="1"/>
  <c r="AG611" i="6" s="1"/>
  <c r="S611" i="6"/>
  <c r="AD612" i="6"/>
  <c r="AC613" i="6"/>
  <c r="AA614" i="6"/>
  <c r="AH615" i="6"/>
  <c r="AE612" i="6" l="1"/>
  <c r="AF612" i="6" s="1"/>
  <c r="AG612" i="6" s="1"/>
  <c r="AA615" i="6"/>
  <c r="AH616" i="6"/>
  <c r="AD613" i="6"/>
  <c r="AC614" i="6"/>
  <c r="AE613" i="6" l="1"/>
  <c r="AF613" i="6" s="1"/>
  <c r="AG613" i="6" s="1"/>
  <c r="S613" i="6"/>
  <c r="AC615" i="6"/>
  <c r="AD614" i="6"/>
  <c r="AA616" i="6"/>
  <c r="AH617" i="6"/>
  <c r="AE614" i="6" l="1"/>
  <c r="AF614" i="6" s="1"/>
  <c r="AG614" i="6" s="1"/>
  <c r="S614" i="6"/>
  <c r="AA617" i="6"/>
  <c r="AH618" i="6"/>
  <c r="AC616" i="6"/>
  <c r="S616" i="6" s="1"/>
  <c r="AD615" i="6"/>
  <c r="AE615" i="6" l="1"/>
  <c r="AF615" i="6" s="1"/>
  <c r="AG615" i="6" s="1"/>
  <c r="S615" i="6"/>
  <c r="AD616" i="6"/>
  <c r="AC617" i="6"/>
  <c r="S617" i="6" s="1"/>
  <c r="AA618" i="6"/>
  <c r="AH619" i="6"/>
  <c r="AE616" i="6" l="1"/>
  <c r="AF616" i="6" s="1"/>
  <c r="AG616" i="6" s="1"/>
  <c r="AH620" i="6"/>
  <c r="AA619" i="6"/>
  <c r="AD617" i="6"/>
  <c r="AE617" i="6" s="1"/>
  <c r="AF617" i="6" s="1"/>
  <c r="AG617" i="6" s="1"/>
  <c r="AC618" i="6"/>
  <c r="AD618" i="6" l="1"/>
  <c r="AC619" i="6"/>
  <c r="AH621" i="6"/>
  <c r="AA620" i="6"/>
  <c r="AE618" i="6" l="1"/>
  <c r="AF618" i="6" s="1"/>
  <c r="AG618" i="6" s="1"/>
  <c r="S618" i="6"/>
  <c r="AA621" i="6"/>
  <c r="AH622" i="6"/>
  <c r="AD619" i="6"/>
  <c r="AC620" i="6"/>
  <c r="AE619" i="6" l="1"/>
  <c r="AF619" i="6" s="1"/>
  <c r="AG619" i="6" s="1"/>
  <c r="S619" i="6"/>
  <c r="AD620" i="6"/>
  <c r="AC621" i="6"/>
  <c r="AA622" i="6"/>
  <c r="AH623" i="6"/>
  <c r="AE620" i="6" l="1"/>
  <c r="AF620" i="6" s="1"/>
  <c r="AG620" i="6" s="1"/>
  <c r="S620" i="6"/>
  <c r="AA623" i="6"/>
  <c r="AH624" i="6"/>
  <c r="AC622" i="6"/>
  <c r="S622" i="6" s="1"/>
  <c r="AD621" i="6"/>
  <c r="AE621" i="6" l="1"/>
  <c r="AF621" i="6" s="1"/>
  <c r="AG621" i="6" s="1"/>
  <c r="S621" i="6"/>
  <c r="AA624" i="6"/>
  <c r="AH625" i="6"/>
  <c r="AD622" i="6"/>
  <c r="AE622" i="6" s="1"/>
  <c r="AF622" i="6" s="1"/>
  <c r="AG622" i="6" s="1"/>
  <c r="AC623" i="6"/>
  <c r="AD623" i="6" l="1"/>
  <c r="AC624" i="6"/>
  <c r="AH626" i="6"/>
  <c r="AA625" i="6"/>
  <c r="AE623" i="6" l="1"/>
  <c r="AF623" i="6" s="1"/>
  <c r="AG623" i="6" s="1"/>
  <c r="S623" i="6"/>
  <c r="AA626" i="6"/>
  <c r="AH627" i="6"/>
  <c r="AD624" i="6"/>
  <c r="AC625" i="6"/>
  <c r="AE624" i="6" l="1"/>
  <c r="AF624" i="6" s="1"/>
  <c r="AG624" i="6" s="1"/>
  <c r="S624" i="6"/>
  <c r="AD625" i="6"/>
  <c r="AC626" i="6"/>
  <c r="AA627" i="6"/>
  <c r="AH628" i="6"/>
  <c r="AE625" i="6" l="1"/>
  <c r="AF625" i="6" s="1"/>
  <c r="AG625" i="6" s="1"/>
  <c r="S625" i="6"/>
  <c r="AA628" i="6"/>
  <c r="AH629" i="6"/>
  <c r="AD626" i="6"/>
  <c r="AC627" i="6"/>
  <c r="AE626" i="6" l="1"/>
  <c r="AF626" i="6" s="1"/>
  <c r="AG626" i="6" s="1"/>
  <c r="S626" i="6"/>
  <c r="AH630" i="6"/>
  <c r="AA629" i="6"/>
  <c r="AC628" i="6"/>
  <c r="AD627" i="6"/>
  <c r="AE627" i="6" l="1"/>
  <c r="AF627" i="6" s="1"/>
  <c r="AG627" i="6" s="1"/>
  <c r="S627" i="6"/>
  <c r="AD628" i="6"/>
  <c r="AC629" i="6"/>
  <c r="S629" i="6" s="1"/>
  <c r="AH631" i="6"/>
  <c r="AA630" i="6"/>
  <c r="AE628" i="6" l="1"/>
  <c r="AF628" i="6" s="1"/>
  <c r="AG628" i="6" s="1"/>
  <c r="S628" i="6"/>
  <c r="AA631" i="6"/>
  <c r="AH632" i="6"/>
  <c r="AD629" i="6"/>
  <c r="AE629" i="6" s="1"/>
  <c r="AF629" i="6" s="1"/>
  <c r="AG629" i="6" s="1"/>
  <c r="AC630" i="6"/>
  <c r="AA632" i="6" l="1"/>
  <c r="AH633" i="6"/>
  <c r="AC631" i="6"/>
  <c r="S631" i="6" s="1"/>
  <c r="AD630" i="6"/>
  <c r="AE630" i="6" l="1"/>
  <c r="AF630" i="6" s="1"/>
  <c r="AG630" i="6" s="1"/>
  <c r="S630" i="6"/>
  <c r="AD631" i="6"/>
  <c r="AE631" i="6" s="1"/>
  <c r="AF631" i="6" s="1"/>
  <c r="AG631" i="6" s="1"/>
  <c r="AC632" i="6"/>
  <c r="AA633" i="6"/>
  <c r="AH634" i="6"/>
  <c r="AA634" i="6" l="1"/>
  <c r="AH635" i="6"/>
  <c r="AD632" i="6"/>
  <c r="AC633" i="6"/>
  <c r="AE632" i="6" l="1"/>
  <c r="AF632" i="6" s="1"/>
  <c r="AG632" i="6" s="1"/>
  <c r="S632" i="6"/>
  <c r="AA635" i="6"/>
  <c r="AH636" i="6"/>
  <c r="AD633" i="6"/>
  <c r="AC634" i="6"/>
  <c r="S634" i="6" s="1"/>
  <c r="AE633" i="6" l="1"/>
  <c r="AF633" i="6" s="1"/>
  <c r="AG633" i="6" s="1"/>
  <c r="S633" i="6"/>
  <c r="AA636" i="6"/>
  <c r="AH637" i="6"/>
  <c r="AD634" i="6"/>
  <c r="AE634" i="6" s="1"/>
  <c r="AF634" i="6" s="1"/>
  <c r="AG634" i="6" s="1"/>
  <c r="AC635" i="6"/>
  <c r="AA637" i="6" l="1"/>
  <c r="AH638" i="6"/>
  <c r="AD635" i="6"/>
  <c r="AC636" i="6"/>
  <c r="AE635" i="6" l="1"/>
  <c r="AF635" i="6" s="1"/>
  <c r="AG635" i="6" s="1"/>
  <c r="S635" i="6"/>
  <c r="AD636" i="6"/>
  <c r="AC637" i="6"/>
  <c r="AA638" i="6"/>
  <c r="AH639" i="6"/>
  <c r="AE636" i="6" l="1"/>
  <c r="AF636" i="6" s="1"/>
  <c r="AG636" i="6" s="1"/>
  <c r="S636" i="6"/>
  <c r="AA639" i="6"/>
  <c r="AH640" i="6"/>
  <c r="AC638" i="6"/>
  <c r="AD637" i="6"/>
  <c r="AE637" i="6" l="1"/>
  <c r="AF637" i="6" s="1"/>
  <c r="AG637" i="6" s="1"/>
  <c r="S637" i="6"/>
  <c r="AD638" i="6"/>
  <c r="AC639" i="6"/>
  <c r="AA640" i="6"/>
  <c r="AH641" i="6"/>
  <c r="AE638" i="6" l="1"/>
  <c r="AF638" i="6" s="1"/>
  <c r="AG638" i="6" s="1"/>
  <c r="S638" i="6"/>
  <c r="AA641" i="6"/>
  <c r="AH642" i="6"/>
  <c r="AD639" i="6"/>
  <c r="AC640" i="6"/>
  <c r="S640" i="6" s="1"/>
  <c r="AE639" i="6" l="1"/>
  <c r="AF639" i="6" s="1"/>
  <c r="AG639" i="6" s="1"/>
  <c r="S639" i="6"/>
  <c r="AA642" i="6"/>
  <c r="AH643" i="6"/>
  <c r="AC641" i="6"/>
  <c r="AD640" i="6"/>
  <c r="AE640" i="6" s="1"/>
  <c r="AF640" i="6" s="1"/>
  <c r="AG640" i="6" s="1"/>
  <c r="AA643" i="6" l="1"/>
  <c r="AH644" i="6"/>
  <c r="AD641" i="6"/>
  <c r="AC642" i="6"/>
  <c r="AE641" i="6" l="1"/>
  <c r="AF641" i="6" s="1"/>
  <c r="AG641" i="6" s="1"/>
  <c r="S641" i="6"/>
  <c r="AA644" i="6"/>
  <c r="AH645" i="6"/>
  <c r="AC643" i="6"/>
  <c r="S643" i="6" s="1"/>
  <c r="AD642" i="6"/>
  <c r="AE642" i="6" l="1"/>
  <c r="AF642" i="6" s="1"/>
  <c r="AG642" i="6" s="1"/>
  <c r="S642" i="6"/>
  <c r="AD643" i="6"/>
  <c r="AE643" i="6" s="1"/>
  <c r="AF643" i="6" s="1"/>
  <c r="AG643" i="6" s="1"/>
  <c r="AC644" i="6"/>
  <c r="AA645" i="6"/>
  <c r="AH646" i="6"/>
  <c r="AA646" i="6" l="1"/>
  <c r="AH647" i="6"/>
  <c r="AD644" i="6"/>
  <c r="AC645" i="6"/>
  <c r="AE644" i="6" l="1"/>
  <c r="AF644" i="6" s="1"/>
  <c r="AG644" i="6" s="1"/>
  <c r="S644" i="6"/>
  <c r="AA647" i="6"/>
  <c r="AH648" i="6"/>
  <c r="AD645" i="6"/>
  <c r="AC646" i="6"/>
  <c r="AE645" i="6" l="1"/>
  <c r="AF645" i="6" s="1"/>
  <c r="AG645" i="6" s="1"/>
  <c r="S645" i="6"/>
  <c r="AA648" i="6"/>
  <c r="AH649" i="6"/>
  <c r="AD646" i="6"/>
  <c r="AE646" i="6" s="1"/>
  <c r="AC647" i="6"/>
  <c r="AF646" i="6" l="1"/>
  <c r="AG646" i="6" s="1"/>
  <c r="S646" i="6"/>
  <c r="AA649" i="6"/>
  <c r="AH650" i="6"/>
  <c r="AD647" i="6"/>
  <c r="AE647" i="6" s="1"/>
  <c r="AC648" i="6"/>
  <c r="AF647" i="6" l="1"/>
  <c r="AG647" i="6" s="1"/>
  <c r="S647" i="6"/>
  <c r="AD648" i="6"/>
  <c r="AE648" i="6" s="1"/>
  <c r="AC649" i="6"/>
  <c r="AA650" i="6"/>
  <c r="AH651" i="6"/>
  <c r="AF648" i="6" l="1"/>
  <c r="AG648" i="6" s="1"/>
  <c r="S648" i="6"/>
  <c r="AA651" i="6"/>
  <c r="AH652" i="6"/>
  <c r="AC650" i="6"/>
  <c r="AD649" i="6"/>
  <c r="AE649" i="6" s="1"/>
  <c r="AF649" i="6" l="1"/>
  <c r="AG649" i="6" s="1"/>
  <c r="S649" i="6"/>
  <c r="AA652" i="6"/>
  <c r="AH653" i="6"/>
  <c r="AD650" i="6"/>
  <c r="AE650" i="6" s="1"/>
  <c r="AC651" i="6"/>
  <c r="AF650" i="6" l="1"/>
  <c r="AG650" i="6" s="1"/>
  <c r="S650" i="6"/>
  <c r="AA653" i="6"/>
  <c r="AH654" i="6"/>
  <c r="AD651" i="6"/>
  <c r="AC652" i="6"/>
  <c r="AE651" i="6" l="1"/>
  <c r="AF651" i="6" s="1"/>
  <c r="AG651" i="6" s="1"/>
  <c r="S651" i="6"/>
  <c r="AC653" i="6"/>
  <c r="AD652" i="6"/>
  <c r="AE652" i="6" s="1"/>
  <c r="AA654" i="6"/>
  <c r="AH655" i="6"/>
  <c r="AF652" i="6" l="1"/>
  <c r="AG652" i="6" s="1"/>
  <c r="S652" i="6"/>
  <c r="AA655" i="6"/>
  <c r="AH656" i="6"/>
  <c r="AD653" i="6"/>
  <c r="AE653" i="6" s="1"/>
  <c r="AC654" i="6"/>
  <c r="AF653" i="6" l="1"/>
  <c r="AG653" i="6" s="1"/>
  <c r="S653" i="6"/>
  <c r="AA656" i="6"/>
  <c r="AH657" i="6"/>
  <c r="AC655" i="6"/>
  <c r="AD654" i="6"/>
  <c r="AE654" i="6" s="1"/>
  <c r="AF654" i="6" l="1"/>
  <c r="AG654" i="6" s="1"/>
  <c r="S654" i="6"/>
  <c r="AA657" i="6"/>
  <c r="AH658" i="6"/>
  <c r="AD655" i="6"/>
  <c r="AE655" i="6" s="1"/>
  <c r="AC656" i="6"/>
  <c r="AF655" i="6" l="1"/>
  <c r="AG655" i="6" s="1"/>
  <c r="S655" i="6"/>
  <c r="AD656" i="6"/>
  <c r="AE656" i="6" s="1"/>
  <c r="AC657" i="6"/>
  <c r="AA658" i="6"/>
  <c r="AH659" i="6"/>
  <c r="AF656" i="6" l="1"/>
  <c r="AG656" i="6" s="1"/>
  <c r="S656" i="6"/>
  <c r="AA659" i="6"/>
  <c r="AH660" i="6"/>
  <c r="AC658" i="6"/>
  <c r="AD657" i="6"/>
  <c r="AE657" i="6" s="1"/>
  <c r="AF657" i="6" l="1"/>
  <c r="AG657" i="6" s="1"/>
  <c r="S657" i="6"/>
  <c r="AD658" i="6"/>
  <c r="AE658" i="6" s="1"/>
  <c r="AC659" i="6"/>
  <c r="AA660" i="6"/>
  <c r="AH661" i="6"/>
  <c r="AF658" i="6" l="1"/>
  <c r="AG658" i="6" s="1"/>
  <c r="S658" i="6"/>
  <c r="AA661" i="6"/>
  <c r="AH662" i="6"/>
  <c r="AD659" i="6"/>
  <c r="AE659" i="6" s="1"/>
  <c r="AC660" i="6"/>
  <c r="AF659" i="6" l="1"/>
  <c r="AG659" i="6" s="1"/>
  <c r="S659" i="6"/>
  <c r="AD660" i="6"/>
  <c r="AE660" i="6" s="1"/>
  <c r="AC661" i="6"/>
  <c r="AA662" i="6"/>
  <c r="AH663" i="6"/>
  <c r="AF660" i="6" l="1"/>
  <c r="AG660" i="6" s="1"/>
  <c r="S660" i="6"/>
  <c r="AA663" i="6"/>
  <c r="AH664" i="6"/>
  <c r="AD661" i="6"/>
  <c r="AE661" i="6" s="1"/>
  <c r="AC662" i="6"/>
  <c r="AF661" i="6" l="1"/>
  <c r="AG661" i="6" s="1"/>
  <c r="S661" i="6"/>
  <c r="AA664" i="6"/>
  <c r="AH665" i="6"/>
  <c r="AC663" i="6"/>
  <c r="S663" i="6" s="1"/>
  <c r="AD662" i="6"/>
  <c r="AE662" i="6" s="1"/>
  <c r="AF662" i="6" l="1"/>
  <c r="AG662" i="6" s="1"/>
  <c r="S662" i="6"/>
  <c r="AD663" i="6"/>
  <c r="AE663" i="6" s="1"/>
  <c r="AC664" i="6"/>
  <c r="AA665" i="6"/>
  <c r="AH666" i="6"/>
  <c r="AF663" i="6" l="1"/>
  <c r="AG663" i="6" s="1"/>
  <c r="AA666" i="6"/>
  <c r="AH667" i="6"/>
  <c r="AC665" i="6"/>
  <c r="AD664" i="6"/>
  <c r="AE664" i="6" l="1"/>
  <c r="AF664" i="6" s="1"/>
  <c r="AG664" i="6" s="1"/>
  <c r="S664" i="6"/>
  <c r="AD665" i="6"/>
  <c r="AC666" i="6"/>
  <c r="S666" i="6" s="1"/>
  <c r="AA667" i="6"/>
  <c r="AH668" i="6"/>
  <c r="AE665" i="6" l="1"/>
  <c r="AF665" i="6" s="1"/>
  <c r="AG665" i="6" s="1"/>
  <c r="S665" i="6"/>
  <c r="AA668" i="6"/>
  <c r="AH669" i="6"/>
  <c r="AD666" i="6"/>
  <c r="AE666" i="6" s="1"/>
  <c r="AF666" i="6" s="1"/>
  <c r="AG666" i="6" s="1"/>
  <c r="AC667" i="6"/>
  <c r="AA669" i="6" l="1"/>
  <c r="AH670" i="6"/>
  <c r="AD667" i="6"/>
  <c r="AC668" i="6"/>
  <c r="S668" i="6" s="1"/>
  <c r="AE667" i="6" l="1"/>
  <c r="AF667" i="6" s="1"/>
  <c r="AG667" i="6" s="1"/>
  <c r="S667" i="6"/>
  <c r="AC669" i="6"/>
  <c r="AD668" i="6"/>
  <c r="AE668" i="6" s="1"/>
  <c r="AF668" i="6" s="1"/>
  <c r="AG668" i="6" s="1"/>
  <c r="AA670" i="6"/>
  <c r="AH671" i="6"/>
  <c r="AA671" i="6" l="1"/>
  <c r="AH672" i="6"/>
  <c r="AC670" i="6"/>
  <c r="AD669" i="6"/>
  <c r="AE669" i="6" l="1"/>
  <c r="AF669" i="6" s="1"/>
  <c r="AG669" i="6" s="1"/>
  <c r="S669" i="6"/>
  <c r="AA672" i="6"/>
  <c r="AH673" i="6"/>
  <c r="AD670" i="6"/>
  <c r="AC671" i="6"/>
  <c r="AE670" i="6" l="1"/>
  <c r="AF670" i="6" s="1"/>
  <c r="AG670" i="6" s="1"/>
  <c r="S670" i="6"/>
  <c r="AA673" i="6"/>
  <c r="AH674" i="6"/>
  <c r="AD671" i="6"/>
  <c r="AC672" i="6"/>
  <c r="S672" i="6" s="1"/>
  <c r="AE671" i="6" l="1"/>
  <c r="AF671" i="6" s="1"/>
  <c r="AG671" i="6" s="1"/>
  <c r="S671" i="6"/>
  <c r="AD672" i="6"/>
  <c r="AC673" i="6"/>
  <c r="AA674" i="6"/>
  <c r="AH675" i="6"/>
  <c r="AE672" i="6" l="1"/>
  <c r="AF672" i="6" s="1"/>
  <c r="AG672" i="6" s="1"/>
  <c r="AA675" i="6"/>
  <c r="AH676" i="6"/>
  <c r="AD673" i="6"/>
  <c r="AC674" i="6"/>
  <c r="AE673" i="6" l="1"/>
  <c r="AF673" i="6" s="1"/>
  <c r="AG673" i="6" s="1"/>
  <c r="S673" i="6"/>
  <c r="AC675" i="6"/>
  <c r="AD674" i="6"/>
  <c r="AA676" i="6"/>
  <c r="AH677" i="6"/>
  <c r="AE674" i="6" l="1"/>
  <c r="AF674" i="6" s="1"/>
  <c r="AG674" i="6" s="1"/>
  <c r="S674" i="6"/>
  <c r="AA677" i="6"/>
  <c r="AH678" i="6"/>
  <c r="AC676" i="6"/>
  <c r="AD675" i="6"/>
  <c r="AE675" i="6" s="1"/>
  <c r="AF675" i="6" l="1"/>
  <c r="AG675" i="6" s="1"/>
  <c r="S675" i="6"/>
  <c r="AC677" i="6"/>
  <c r="AD676" i="6"/>
  <c r="AA678" i="6"/>
  <c r="AH679" i="6"/>
  <c r="AE676" i="6" l="1"/>
  <c r="AF676" i="6" s="1"/>
  <c r="AG676" i="6" s="1"/>
  <c r="S676" i="6"/>
  <c r="AA679" i="6"/>
  <c r="AH680" i="6"/>
  <c r="AD677" i="6"/>
  <c r="AE677" i="6" s="1"/>
  <c r="AC678" i="6"/>
  <c r="S678" i="6" s="1"/>
  <c r="AF677" i="6" l="1"/>
  <c r="AG677" i="6" s="1"/>
  <c r="S677" i="6"/>
  <c r="AD678" i="6"/>
  <c r="AE678" i="6" s="1"/>
  <c r="AF678" i="6" s="1"/>
  <c r="AG678" i="6" s="1"/>
  <c r="AC679" i="6"/>
  <c r="AA680" i="6"/>
  <c r="AH681" i="6"/>
  <c r="AA681" i="6" l="1"/>
  <c r="AH682" i="6"/>
  <c r="AD679" i="6"/>
  <c r="AC680" i="6"/>
  <c r="S680" i="6" s="1"/>
  <c r="AE679" i="6" l="1"/>
  <c r="AF679" i="6" s="1"/>
  <c r="AG679" i="6" s="1"/>
  <c r="S679" i="6"/>
  <c r="AC681" i="6"/>
  <c r="AD680" i="6"/>
  <c r="AE680" i="6" s="1"/>
  <c r="AF680" i="6" s="1"/>
  <c r="AG680" i="6" s="1"/>
  <c r="AA682" i="6"/>
  <c r="AH683" i="6"/>
  <c r="AA683" i="6" l="1"/>
  <c r="AH684" i="6"/>
  <c r="AC682" i="6"/>
  <c r="AD681" i="6"/>
  <c r="AE681" i="6" l="1"/>
  <c r="AF681" i="6" s="1"/>
  <c r="AG681" i="6" s="1"/>
  <c r="S681" i="6"/>
  <c r="AD682" i="6"/>
  <c r="AC683" i="6"/>
  <c r="AA684" i="6"/>
  <c r="AH685" i="6"/>
  <c r="AE682" i="6" l="1"/>
  <c r="AF682" i="6" s="1"/>
  <c r="AG682" i="6" s="1"/>
  <c r="S682" i="6"/>
  <c r="AA685" i="6"/>
  <c r="AH686" i="6"/>
  <c r="AD683" i="6"/>
  <c r="AE683" i="6" s="1"/>
  <c r="AC684" i="6"/>
  <c r="AF683" i="6" l="1"/>
  <c r="AG683" i="6" s="1"/>
  <c r="S683" i="6"/>
  <c r="AA686" i="6"/>
  <c r="AH687" i="6"/>
  <c r="AD684" i="6"/>
  <c r="AC685" i="6"/>
  <c r="S685" i="6" s="1"/>
  <c r="AE684" i="6" l="1"/>
  <c r="AF684" i="6" s="1"/>
  <c r="AG684" i="6" s="1"/>
  <c r="S684" i="6"/>
  <c r="AA687" i="6"/>
  <c r="AH688" i="6"/>
  <c r="AD685" i="6"/>
  <c r="AE685" i="6" s="1"/>
  <c r="AF685" i="6" s="1"/>
  <c r="AG685" i="6" s="1"/>
  <c r="AC686" i="6"/>
  <c r="AA688" i="6" l="1"/>
  <c r="AH689" i="6"/>
  <c r="AC687" i="6"/>
  <c r="AD686" i="6"/>
  <c r="AE686" i="6" l="1"/>
  <c r="AF686" i="6" s="1"/>
  <c r="AG686" i="6" s="1"/>
  <c r="S686" i="6"/>
  <c r="AH690" i="6"/>
  <c r="AA689" i="6"/>
  <c r="AD687" i="6"/>
  <c r="AE687" i="6" s="1"/>
  <c r="AC688" i="6"/>
  <c r="AF687" i="6" l="1"/>
  <c r="AG687" i="6" s="1"/>
  <c r="S687" i="6"/>
  <c r="AD688" i="6"/>
  <c r="AE688" i="6" s="1"/>
  <c r="AC689" i="6"/>
  <c r="AA690" i="6"/>
  <c r="AH691" i="6"/>
  <c r="AF688" i="6" l="1"/>
  <c r="AG688" i="6" s="1"/>
  <c r="S688" i="6"/>
  <c r="AA691" i="6"/>
  <c r="AH692" i="6"/>
  <c r="AD689" i="6"/>
  <c r="AC690" i="6"/>
  <c r="AE689" i="6" l="1"/>
  <c r="AF689" i="6" s="1"/>
  <c r="AG689" i="6" s="1"/>
  <c r="S689" i="6"/>
  <c r="AA692" i="6"/>
  <c r="AH693" i="6"/>
  <c r="AD690" i="6"/>
  <c r="AC691" i="6"/>
  <c r="AE690" i="6" l="1"/>
  <c r="AF690" i="6" s="1"/>
  <c r="AG690" i="6" s="1"/>
  <c r="S690" i="6"/>
  <c r="AA693" i="6"/>
  <c r="AH694" i="6"/>
  <c r="AC692" i="6"/>
  <c r="AD691" i="6"/>
  <c r="AE691" i="6" l="1"/>
  <c r="AF691" i="6" s="1"/>
  <c r="AG691" i="6" s="1"/>
  <c r="S691" i="6"/>
  <c r="AA694" i="6"/>
  <c r="AH695" i="6"/>
  <c r="AD692" i="6"/>
  <c r="AC693" i="6"/>
  <c r="AE692" i="6" l="1"/>
  <c r="AF692" i="6" s="1"/>
  <c r="AG692" i="6" s="1"/>
  <c r="S692" i="6"/>
  <c r="AC694" i="6"/>
  <c r="AD693" i="6"/>
  <c r="AA695" i="6"/>
  <c r="AH696" i="6"/>
  <c r="AE693" i="6" l="1"/>
  <c r="AF693" i="6" s="1"/>
  <c r="AG693" i="6" s="1"/>
  <c r="S693" i="6"/>
  <c r="AA696" i="6"/>
  <c r="AH697" i="6"/>
  <c r="AD694" i="6"/>
  <c r="AC695" i="6"/>
  <c r="AE694" i="6" l="1"/>
  <c r="AF694" i="6" s="1"/>
  <c r="AG694" i="6" s="1"/>
  <c r="S694" i="6"/>
  <c r="AA697" i="6"/>
  <c r="AH698" i="6"/>
  <c r="AD695" i="6"/>
  <c r="AC696" i="6"/>
  <c r="AE695" i="6" l="1"/>
  <c r="AF695" i="6" s="1"/>
  <c r="AG695" i="6" s="1"/>
  <c r="S695" i="6"/>
  <c r="AD696" i="6"/>
  <c r="AC697" i="6"/>
  <c r="AA698" i="6"/>
  <c r="AH699" i="6"/>
  <c r="AE696" i="6" l="1"/>
  <c r="AF696" i="6" s="1"/>
  <c r="AG696" i="6" s="1"/>
  <c r="S696" i="6"/>
  <c r="AA699" i="6"/>
  <c r="AH700" i="6"/>
  <c r="AD697" i="6"/>
  <c r="AC698" i="6"/>
  <c r="AE697" i="6" l="1"/>
  <c r="AF697" i="6" s="1"/>
  <c r="AG697" i="6" s="1"/>
  <c r="S697" i="6"/>
  <c r="AA700" i="6"/>
  <c r="AH701" i="6"/>
  <c r="AD698" i="6"/>
  <c r="AC699" i="6"/>
  <c r="AE698" i="6" l="1"/>
  <c r="AF698" i="6" s="1"/>
  <c r="AG698" i="6" s="1"/>
  <c r="S698" i="6"/>
  <c r="AD699" i="6"/>
  <c r="AC700" i="6"/>
  <c r="AA701" i="6"/>
  <c r="AH702" i="6"/>
  <c r="AE699" i="6" l="1"/>
  <c r="AF699" i="6" s="1"/>
  <c r="AG699" i="6" s="1"/>
  <c r="S699" i="6"/>
  <c r="AA702" i="6"/>
  <c r="AH703" i="6"/>
  <c r="AD700" i="6"/>
  <c r="AC701" i="6"/>
  <c r="AE700" i="6" l="1"/>
  <c r="AF700" i="6" s="1"/>
  <c r="AG700" i="6" s="1"/>
  <c r="S700" i="6"/>
  <c r="AA703" i="6"/>
  <c r="AH704" i="6"/>
  <c r="AD701" i="6"/>
  <c r="AC702" i="6"/>
  <c r="AE701" i="6" l="1"/>
  <c r="AF701" i="6" s="1"/>
  <c r="AG701" i="6" s="1"/>
  <c r="S701" i="6"/>
  <c r="AD702" i="6"/>
  <c r="AC703" i="6"/>
  <c r="AA704" i="6"/>
  <c r="AH705" i="6"/>
  <c r="AE702" i="6" l="1"/>
  <c r="AF702" i="6" s="1"/>
  <c r="AG702" i="6" s="1"/>
  <c r="S702" i="6"/>
  <c r="AA705" i="6"/>
  <c r="AH706" i="6"/>
  <c r="AC704" i="6"/>
  <c r="AD703" i="6"/>
  <c r="AE703" i="6" l="1"/>
  <c r="AF703" i="6" s="1"/>
  <c r="AG703" i="6" s="1"/>
  <c r="S703" i="6"/>
  <c r="AD704" i="6"/>
  <c r="AE704" i="6" s="1"/>
  <c r="AC705" i="6"/>
  <c r="AA706" i="6"/>
  <c r="AH707" i="6"/>
  <c r="AF704" i="6" l="1"/>
  <c r="AG704" i="6" s="1"/>
  <c r="S704" i="6"/>
  <c r="AA707" i="6"/>
  <c r="AH708" i="6"/>
  <c r="AC706" i="6"/>
  <c r="AD705" i="6"/>
  <c r="AE705" i="6" s="1"/>
  <c r="AF705" i="6" l="1"/>
  <c r="AG705" i="6" s="1"/>
  <c r="S705" i="6"/>
  <c r="AD706" i="6"/>
  <c r="AE706" i="6" s="1"/>
  <c r="AC707" i="6"/>
  <c r="AA708" i="6"/>
  <c r="AH709" i="6"/>
  <c r="AF706" i="6" l="1"/>
  <c r="AG706" i="6" s="1"/>
  <c r="S706" i="6"/>
  <c r="AA709" i="6"/>
  <c r="AH710" i="6"/>
  <c r="AD707" i="6"/>
  <c r="AE707" i="6" s="1"/>
  <c r="AC708" i="6"/>
  <c r="AF707" i="6" l="1"/>
  <c r="AG707" i="6" s="1"/>
  <c r="S707" i="6"/>
  <c r="AA710" i="6"/>
  <c r="AH711" i="6"/>
  <c r="AD708" i="6"/>
  <c r="AE708" i="6" s="1"/>
  <c r="AC709" i="6"/>
  <c r="AF708" i="6" l="1"/>
  <c r="AG708" i="6" s="1"/>
  <c r="S708" i="6"/>
  <c r="AD709" i="6"/>
  <c r="AE709" i="6" s="1"/>
  <c r="AC710" i="6"/>
  <c r="AH712" i="6"/>
  <c r="AA711" i="6"/>
  <c r="AF709" i="6" l="1"/>
  <c r="AG709" i="6" s="1"/>
  <c r="S709" i="6"/>
  <c r="AA712" i="6"/>
  <c r="AH713" i="6"/>
  <c r="AD710" i="6"/>
  <c r="AC711" i="6"/>
  <c r="AE710" i="6" l="1"/>
  <c r="AF710" i="6" s="1"/>
  <c r="AG710" i="6" s="1"/>
  <c r="S710" i="6"/>
  <c r="AA713" i="6"/>
  <c r="AH714" i="6"/>
  <c r="AD711" i="6"/>
  <c r="AE711" i="6" s="1"/>
  <c r="AC712" i="6"/>
  <c r="AF711" i="6" l="1"/>
  <c r="AG711" i="6" s="1"/>
  <c r="S711" i="6"/>
  <c r="AD712" i="6"/>
  <c r="AC713" i="6"/>
  <c r="AA714" i="6"/>
  <c r="AH715" i="6"/>
  <c r="AE712" i="6" l="1"/>
  <c r="AF712" i="6" s="1"/>
  <c r="AG712" i="6" s="1"/>
  <c r="S712" i="6"/>
  <c r="AA715" i="6"/>
  <c r="AH716" i="6"/>
  <c r="AD713" i="6"/>
  <c r="AE713" i="6" s="1"/>
  <c r="AC714" i="6"/>
  <c r="AF713" i="6" l="1"/>
  <c r="AG713" i="6" s="1"/>
  <c r="S713" i="6"/>
  <c r="AD714" i="6"/>
  <c r="AC715" i="6"/>
  <c r="AA716" i="6"/>
  <c r="AH717" i="6"/>
  <c r="AE714" i="6" l="1"/>
  <c r="AF714" i="6" s="1"/>
  <c r="AG714" i="6" s="1"/>
  <c r="S714" i="6"/>
  <c r="AA717" i="6"/>
  <c r="AH718" i="6"/>
  <c r="AC716" i="6"/>
  <c r="AD715" i="6"/>
  <c r="AE715" i="6" l="1"/>
  <c r="AF715" i="6" s="1"/>
  <c r="AG715" i="6" s="1"/>
  <c r="S715" i="6"/>
  <c r="AA718" i="6"/>
  <c r="AH719" i="6"/>
  <c r="AD716" i="6"/>
  <c r="AE716" i="6" s="1"/>
  <c r="AC717" i="6"/>
  <c r="AF716" i="6" l="1"/>
  <c r="AG716" i="6" s="1"/>
  <c r="S716" i="6"/>
  <c r="AC718" i="6"/>
  <c r="AD717" i="6"/>
  <c r="AE717" i="6" s="1"/>
  <c r="AA719" i="6"/>
  <c r="AH720" i="6"/>
  <c r="AF717" i="6" l="1"/>
  <c r="AG717" i="6" s="1"/>
  <c r="S717" i="6"/>
  <c r="AA720" i="6"/>
  <c r="AH721" i="6"/>
  <c r="AD718" i="6"/>
  <c r="AE718" i="6" s="1"/>
  <c r="AC719" i="6"/>
  <c r="AF718" i="6" l="1"/>
  <c r="AG718" i="6" s="1"/>
  <c r="S718" i="6"/>
  <c r="AD719" i="6"/>
  <c r="AE719" i="6" s="1"/>
  <c r="AC720" i="6"/>
  <c r="AA721" i="6"/>
  <c r="AH722" i="6"/>
  <c r="AF719" i="6" l="1"/>
  <c r="AG719" i="6" s="1"/>
  <c r="S719" i="6"/>
  <c r="AA722" i="6"/>
  <c r="AH723" i="6"/>
  <c r="AD720" i="6"/>
  <c r="AC721" i="6"/>
  <c r="AE720" i="6" l="1"/>
  <c r="AF720" i="6" s="1"/>
  <c r="AG720" i="6" s="1"/>
  <c r="S720" i="6"/>
  <c r="AH724" i="6"/>
  <c r="AA723" i="6"/>
  <c r="AD721" i="6"/>
  <c r="AE721" i="6" s="1"/>
  <c r="AC722" i="6"/>
  <c r="AF721" i="6" l="1"/>
  <c r="AG721" i="6" s="1"/>
  <c r="S721" i="6"/>
  <c r="AD722" i="6"/>
  <c r="AC723" i="6"/>
  <c r="AA724" i="6"/>
  <c r="AH725" i="6"/>
  <c r="AE722" i="6" l="1"/>
  <c r="AF722" i="6" s="1"/>
  <c r="AG722" i="6" s="1"/>
  <c r="S722" i="6"/>
  <c r="AA725" i="6"/>
  <c r="AH726" i="6"/>
  <c r="AD723" i="6"/>
  <c r="AC724" i="6"/>
  <c r="AE723" i="6" l="1"/>
  <c r="AF723" i="6" s="1"/>
  <c r="AG723" i="6" s="1"/>
  <c r="S723" i="6"/>
  <c r="AA726" i="6"/>
  <c r="AH727" i="6"/>
  <c r="AD724" i="6"/>
  <c r="AE724" i="6" s="1"/>
  <c r="AC725" i="6"/>
  <c r="AF724" i="6" l="1"/>
  <c r="AG724" i="6" s="1"/>
  <c r="S724" i="6"/>
  <c r="AD725" i="6"/>
  <c r="AC726" i="6"/>
  <c r="AA727" i="6"/>
  <c r="AH728" i="6"/>
  <c r="AE725" i="6" l="1"/>
  <c r="AF725" i="6" s="1"/>
  <c r="AG725" i="6" s="1"/>
  <c r="S725" i="6"/>
  <c r="AA728" i="6"/>
  <c r="AH729" i="6"/>
  <c r="AD726" i="6"/>
  <c r="AC727" i="6"/>
  <c r="AE726" i="6" l="1"/>
  <c r="AF726" i="6" s="1"/>
  <c r="AG726" i="6" s="1"/>
  <c r="S726" i="6"/>
  <c r="AA729" i="6"/>
  <c r="AH730" i="6"/>
  <c r="AC728" i="6"/>
  <c r="S728" i="6" s="1"/>
  <c r="AD727" i="6"/>
  <c r="AE727" i="6" l="1"/>
  <c r="AF727" i="6" s="1"/>
  <c r="AG727" i="6" s="1"/>
  <c r="S727" i="6"/>
  <c r="AA730" i="6"/>
  <c r="AH731" i="6"/>
  <c r="AD728" i="6"/>
  <c r="AE728" i="6" s="1"/>
  <c r="AF728" i="6" s="1"/>
  <c r="AG728" i="6" s="1"/>
  <c r="AC729" i="6"/>
  <c r="AA731" i="6" l="1"/>
  <c r="AH732" i="6"/>
  <c r="AC730" i="6"/>
  <c r="AD729" i="6"/>
  <c r="AE729" i="6" l="1"/>
  <c r="AF729" i="6" s="1"/>
  <c r="AG729" i="6" s="1"/>
  <c r="S729" i="6"/>
  <c r="AD730" i="6"/>
  <c r="AC731" i="6"/>
  <c r="AA732" i="6"/>
  <c r="AH733" i="6"/>
  <c r="AE730" i="6" l="1"/>
  <c r="AF730" i="6" s="1"/>
  <c r="AG730" i="6" s="1"/>
  <c r="S730" i="6"/>
  <c r="AA733" i="6"/>
  <c r="AH734" i="6"/>
  <c r="AD731" i="6"/>
  <c r="AC732" i="6"/>
  <c r="AE731" i="6" l="1"/>
  <c r="AF731" i="6" s="1"/>
  <c r="AG731" i="6" s="1"/>
  <c r="S731" i="6"/>
  <c r="AD732" i="6"/>
  <c r="AC733" i="6"/>
  <c r="S733" i="6" s="1"/>
  <c r="AA734" i="6"/>
  <c r="AH735" i="6"/>
  <c r="AE732" i="6" l="1"/>
  <c r="AF732" i="6" s="1"/>
  <c r="AG732" i="6" s="1"/>
  <c r="S732" i="6"/>
  <c r="AH736" i="6"/>
  <c r="AA735" i="6"/>
  <c r="AD733" i="6"/>
  <c r="AE733" i="6" s="1"/>
  <c r="AF733" i="6" s="1"/>
  <c r="AG733" i="6" s="1"/>
  <c r="AC734" i="6"/>
  <c r="AD734" i="6" l="1"/>
  <c r="AC735" i="6"/>
  <c r="AA736" i="6"/>
  <c r="AH737" i="6"/>
  <c r="AE734" i="6" l="1"/>
  <c r="AF734" i="6" s="1"/>
  <c r="AG734" i="6" s="1"/>
  <c r="S734" i="6"/>
  <c r="AA737" i="6"/>
  <c r="AH738" i="6"/>
  <c r="AD735" i="6"/>
  <c r="AC736" i="6"/>
  <c r="AE735" i="6" l="1"/>
  <c r="AF735" i="6" s="1"/>
  <c r="AG735" i="6" s="1"/>
  <c r="S735" i="6"/>
  <c r="AA738" i="6"/>
  <c r="AH739" i="6"/>
  <c r="AD736" i="6"/>
  <c r="AC737" i="6"/>
  <c r="S737" i="6" s="1"/>
  <c r="AE736" i="6" l="1"/>
  <c r="AF736" i="6" s="1"/>
  <c r="AG736" i="6" s="1"/>
  <c r="S736" i="6"/>
  <c r="AD737" i="6"/>
  <c r="AC738" i="6"/>
  <c r="AA739" i="6"/>
  <c r="AH740" i="6"/>
  <c r="AE737" i="6" l="1"/>
  <c r="AF737" i="6" s="1"/>
  <c r="AG737" i="6" s="1"/>
  <c r="AA740" i="6"/>
  <c r="AH741" i="6"/>
  <c r="AD738" i="6"/>
  <c r="AC739" i="6"/>
  <c r="AE738" i="6" l="1"/>
  <c r="AF738" i="6" s="1"/>
  <c r="AG738" i="6" s="1"/>
  <c r="S738" i="6"/>
  <c r="AC740" i="6"/>
  <c r="AD739" i="6"/>
  <c r="AA741" i="6"/>
  <c r="AH742" i="6"/>
  <c r="AE739" i="6" l="1"/>
  <c r="AF739" i="6" s="1"/>
  <c r="AG739" i="6" s="1"/>
  <c r="S739" i="6"/>
  <c r="AA742" i="6"/>
  <c r="AH743" i="6"/>
  <c r="AD740" i="6"/>
  <c r="AC741" i="6"/>
  <c r="AE740" i="6" l="1"/>
  <c r="AF740" i="6" s="1"/>
  <c r="AG740" i="6" s="1"/>
  <c r="S740" i="6"/>
  <c r="AA743" i="6"/>
  <c r="AH744" i="6"/>
  <c r="AC742" i="6"/>
  <c r="S742" i="6" s="1"/>
  <c r="AD741" i="6"/>
  <c r="AE741" i="6" l="1"/>
  <c r="AF741" i="6" s="1"/>
  <c r="AG741" i="6" s="1"/>
  <c r="S741" i="6"/>
  <c r="AA744" i="6"/>
  <c r="AH745" i="6"/>
  <c r="AD742" i="6"/>
  <c r="AE742" i="6" s="1"/>
  <c r="AF742" i="6" s="1"/>
  <c r="AG742" i="6" s="1"/>
  <c r="AC743" i="6"/>
  <c r="AD743" i="6" l="1"/>
  <c r="AC744" i="6"/>
  <c r="AA745" i="6"/>
  <c r="AH746" i="6"/>
  <c r="AE743" i="6" l="1"/>
  <c r="AF743" i="6" s="1"/>
  <c r="AG743" i="6" s="1"/>
  <c r="S743" i="6"/>
  <c r="AA746" i="6"/>
  <c r="AH747" i="6"/>
  <c r="AD744" i="6"/>
  <c r="AC745" i="6"/>
  <c r="S745" i="6" s="1"/>
  <c r="AE744" i="6" l="1"/>
  <c r="AF744" i="6" s="1"/>
  <c r="AG744" i="6" s="1"/>
  <c r="S744" i="6"/>
  <c r="AH748" i="6"/>
  <c r="AA747" i="6"/>
  <c r="AD745" i="6"/>
  <c r="AE745" i="6" s="1"/>
  <c r="AF745" i="6" s="1"/>
  <c r="AG745" i="6" s="1"/>
  <c r="AC746" i="6"/>
  <c r="S746" i="6" s="1"/>
  <c r="AD746" i="6" l="1"/>
  <c r="AE746" i="6" s="1"/>
  <c r="AF746" i="6" s="1"/>
  <c r="AG746" i="6" s="1"/>
  <c r="AC747" i="6"/>
  <c r="AA748" i="6"/>
  <c r="AH749" i="6"/>
  <c r="AA749" i="6" l="1"/>
  <c r="AH750" i="6"/>
  <c r="AD747" i="6"/>
  <c r="AC748" i="6"/>
  <c r="AE747" i="6" l="1"/>
  <c r="AF747" i="6" s="1"/>
  <c r="AG747" i="6" s="1"/>
  <c r="S747" i="6"/>
  <c r="AA750" i="6"/>
  <c r="AH751" i="6"/>
  <c r="AD748" i="6"/>
  <c r="AC749" i="6"/>
  <c r="AE748" i="6" l="1"/>
  <c r="AF748" i="6" s="1"/>
  <c r="AG748" i="6" s="1"/>
  <c r="S748" i="6"/>
  <c r="AD749" i="6"/>
  <c r="AC750" i="6"/>
  <c r="AA751" i="6"/>
  <c r="AH752" i="6"/>
  <c r="AE749" i="6" l="1"/>
  <c r="AF749" i="6" s="1"/>
  <c r="AG749" i="6" s="1"/>
  <c r="S749" i="6"/>
  <c r="AA752" i="6"/>
  <c r="AH753" i="6"/>
  <c r="AD750" i="6"/>
  <c r="AC751" i="6"/>
  <c r="AE750" i="6" l="1"/>
  <c r="AF750" i="6" s="1"/>
  <c r="AG750" i="6" s="1"/>
  <c r="S750" i="6"/>
  <c r="AA753" i="6"/>
  <c r="AH754" i="6"/>
  <c r="AC752" i="6"/>
  <c r="AD751" i="6"/>
  <c r="AE751" i="6" l="1"/>
  <c r="AF751" i="6" s="1"/>
  <c r="AG751" i="6" s="1"/>
  <c r="S751" i="6"/>
  <c r="AA754" i="6"/>
  <c r="AH755" i="6"/>
  <c r="AD752" i="6"/>
  <c r="AC753" i="6"/>
  <c r="S753" i="6" s="1"/>
  <c r="AE752" i="6" l="1"/>
  <c r="AF752" i="6" s="1"/>
  <c r="AG752" i="6" s="1"/>
  <c r="S752" i="6"/>
  <c r="AC754" i="6"/>
  <c r="AD753" i="6"/>
  <c r="AA755" i="6"/>
  <c r="AH756" i="6"/>
  <c r="AE753" i="6" l="1"/>
  <c r="AF753" i="6" s="1"/>
  <c r="AG753" i="6" s="1"/>
  <c r="AA756" i="6"/>
  <c r="AH757" i="6"/>
  <c r="AD754" i="6"/>
  <c r="AC755" i="6"/>
  <c r="AE754" i="6" l="1"/>
  <c r="AF754" i="6" s="1"/>
  <c r="AG754" i="6" s="1"/>
  <c r="S754" i="6"/>
  <c r="AD755" i="6"/>
  <c r="AC756" i="6"/>
  <c r="AA757" i="6"/>
  <c r="AH758" i="6"/>
  <c r="AE755" i="6" l="1"/>
  <c r="AF755" i="6" s="1"/>
  <c r="AG755" i="6" s="1"/>
  <c r="S755" i="6"/>
  <c r="AA758" i="6"/>
  <c r="AH759" i="6"/>
  <c r="AD756" i="6"/>
  <c r="AC757" i="6"/>
  <c r="AE756" i="6" l="1"/>
  <c r="AF756" i="6" s="1"/>
  <c r="AG756" i="6" s="1"/>
  <c r="S756" i="6"/>
  <c r="AH760" i="6"/>
  <c r="AA759" i="6"/>
  <c r="AD757" i="6"/>
  <c r="AC758" i="6"/>
  <c r="S758" i="6" s="1"/>
  <c r="AE757" i="6" l="1"/>
  <c r="AF757" i="6" s="1"/>
  <c r="AG757" i="6" s="1"/>
  <c r="S757" i="6"/>
  <c r="AD758" i="6"/>
  <c r="AC759" i="6"/>
  <c r="AA760" i="6"/>
  <c r="AH761" i="6"/>
  <c r="AE758" i="6" l="1"/>
  <c r="AF758" i="6" s="1"/>
  <c r="AG758" i="6" s="1"/>
  <c r="AA761" i="6"/>
  <c r="AH762" i="6"/>
  <c r="AD759" i="6"/>
  <c r="AC760" i="6"/>
  <c r="S760" i="6" s="1"/>
  <c r="AE759" i="6" l="1"/>
  <c r="AF759" i="6" s="1"/>
  <c r="AG759" i="6" s="1"/>
  <c r="S759" i="6"/>
  <c r="AA762" i="6"/>
  <c r="AH763" i="6"/>
  <c r="AD760" i="6"/>
  <c r="AE760" i="6" s="1"/>
  <c r="AF760" i="6" s="1"/>
  <c r="AG760" i="6" s="1"/>
  <c r="AC761" i="6"/>
  <c r="AD761" i="6" l="1"/>
  <c r="AC762" i="6"/>
  <c r="AA763" i="6"/>
  <c r="AH764" i="6"/>
  <c r="AE761" i="6" l="1"/>
  <c r="AF761" i="6" s="1"/>
  <c r="AG761" i="6" s="1"/>
  <c r="S761" i="6"/>
  <c r="AA764" i="6"/>
  <c r="AH765" i="6"/>
  <c r="AD762" i="6"/>
  <c r="AC763" i="6"/>
  <c r="S763" i="6" s="1"/>
  <c r="AE762" i="6" l="1"/>
  <c r="AF762" i="6" s="1"/>
  <c r="AG762" i="6" s="1"/>
  <c r="S762" i="6"/>
  <c r="AA765" i="6"/>
  <c r="AH766" i="6"/>
  <c r="AC764" i="6"/>
  <c r="AD763" i="6"/>
  <c r="AE763" i="6" s="1"/>
  <c r="AF763" i="6" s="1"/>
  <c r="AG763" i="6" s="1"/>
  <c r="AA766" i="6" l="1"/>
  <c r="AH767" i="6"/>
  <c r="AD764" i="6"/>
  <c r="AC765" i="6"/>
  <c r="AE764" i="6" l="1"/>
  <c r="AF764" i="6" s="1"/>
  <c r="AG764" i="6" s="1"/>
  <c r="S764" i="6"/>
  <c r="AA767" i="6"/>
  <c r="AH768" i="6"/>
  <c r="AC766" i="6"/>
  <c r="AD765" i="6"/>
  <c r="AE765" i="6" l="1"/>
  <c r="AF765" i="6" s="1"/>
  <c r="AG765" i="6" s="1"/>
  <c r="S765" i="6"/>
  <c r="AD766" i="6"/>
  <c r="AC767" i="6"/>
  <c r="AA768" i="6"/>
  <c r="AH769" i="6"/>
  <c r="AE766" i="6" l="1"/>
  <c r="AF766" i="6" s="1"/>
  <c r="AG766" i="6" s="1"/>
  <c r="S766" i="6"/>
  <c r="AA769" i="6"/>
  <c r="AH770" i="6"/>
  <c r="AD767" i="6"/>
  <c r="AC768" i="6"/>
  <c r="AE767" i="6" l="1"/>
  <c r="AF767" i="6" s="1"/>
  <c r="AG767" i="6" s="1"/>
  <c r="S767" i="6"/>
  <c r="AA770" i="6"/>
  <c r="AH771" i="6"/>
  <c r="AD768" i="6"/>
  <c r="AC769" i="6"/>
  <c r="S769" i="6" s="1"/>
  <c r="AE768" i="6" l="1"/>
  <c r="AF768" i="6" s="1"/>
  <c r="AG768" i="6" s="1"/>
  <c r="S768" i="6"/>
  <c r="AD769" i="6"/>
  <c r="AC770" i="6"/>
  <c r="AH772" i="6"/>
  <c r="AA771" i="6"/>
  <c r="AE769" i="6" l="1"/>
  <c r="AF769" i="6" s="1"/>
  <c r="AG769" i="6" s="1"/>
  <c r="AA772" i="6"/>
  <c r="AH773" i="6"/>
  <c r="AD770" i="6"/>
  <c r="AC771" i="6"/>
  <c r="AE770" i="6" l="1"/>
  <c r="AF770" i="6" s="1"/>
  <c r="AG770" i="6" s="1"/>
  <c r="S770" i="6"/>
  <c r="AD771" i="6"/>
  <c r="AC772" i="6"/>
  <c r="S772" i="6" s="1"/>
  <c r="AA773" i="6"/>
  <c r="AH774" i="6"/>
  <c r="AE771" i="6" l="1"/>
  <c r="AF771" i="6" s="1"/>
  <c r="AG771" i="6" s="1"/>
  <c r="S771" i="6"/>
  <c r="AA774" i="6"/>
  <c r="AH775" i="6"/>
  <c r="AD772" i="6"/>
  <c r="AE772" i="6" s="1"/>
  <c r="AF772" i="6" s="1"/>
  <c r="AG772" i="6" s="1"/>
  <c r="AC773" i="6"/>
  <c r="AA775" i="6" l="1"/>
  <c r="AH776" i="6"/>
  <c r="AD773" i="6"/>
  <c r="AC774" i="6"/>
  <c r="AE773" i="6" l="1"/>
  <c r="AF773" i="6" s="1"/>
  <c r="AG773" i="6" s="1"/>
  <c r="S773" i="6"/>
  <c r="AA776" i="6"/>
  <c r="AH777" i="6"/>
  <c r="AD774" i="6"/>
  <c r="AC775" i="6"/>
  <c r="AE774" i="6" l="1"/>
  <c r="AF774" i="6" s="1"/>
  <c r="AG774" i="6" s="1"/>
  <c r="S774" i="6"/>
  <c r="AA777" i="6"/>
  <c r="AH778" i="6"/>
  <c r="AC776" i="6"/>
  <c r="S776" i="6" s="1"/>
  <c r="AD775" i="6"/>
  <c r="AE775" i="6" l="1"/>
  <c r="AF775" i="6" s="1"/>
  <c r="AG775" i="6" s="1"/>
  <c r="S775" i="6"/>
  <c r="AA778" i="6"/>
  <c r="AH779" i="6"/>
  <c r="AD776" i="6"/>
  <c r="AE776" i="6" s="1"/>
  <c r="AF776" i="6" s="1"/>
  <c r="AG776" i="6" s="1"/>
  <c r="AC777" i="6"/>
  <c r="AA779" i="6" l="1"/>
  <c r="AH780" i="6"/>
  <c r="AC778" i="6"/>
  <c r="AD777" i="6"/>
  <c r="AE777" i="6" l="1"/>
  <c r="AF777" i="6" s="1"/>
  <c r="AG777" i="6" s="1"/>
  <c r="S777" i="6"/>
  <c r="AA780" i="6"/>
  <c r="AH781" i="6"/>
  <c r="AD778" i="6"/>
  <c r="AC779" i="6"/>
  <c r="AE778" i="6" l="1"/>
  <c r="AF778" i="6" s="1"/>
  <c r="AG778" i="6" s="1"/>
  <c r="S778" i="6"/>
  <c r="AA781" i="6"/>
  <c r="AH782" i="6"/>
  <c r="AD779" i="6"/>
  <c r="AC780" i="6"/>
  <c r="AE779" i="6" l="1"/>
  <c r="AF779" i="6" s="1"/>
  <c r="AG779" i="6" s="1"/>
  <c r="S779" i="6"/>
  <c r="AA782" i="6"/>
  <c r="AH783" i="6"/>
  <c r="AD780" i="6"/>
  <c r="AC781" i="6"/>
  <c r="AE780" i="6" l="1"/>
  <c r="AF780" i="6" s="1"/>
  <c r="AG780" i="6" s="1"/>
  <c r="S780" i="6"/>
  <c r="AA783" i="6"/>
  <c r="AH784" i="6"/>
  <c r="AD781" i="6"/>
  <c r="AC782" i="6"/>
  <c r="AE781" i="6" l="1"/>
  <c r="AF781" i="6" s="1"/>
  <c r="AG781" i="6" s="1"/>
  <c r="S781" i="6"/>
  <c r="AA784" i="6"/>
  <c r="AH785" i="6"/>
  <c r="AD782" i="6"/>
  <c r="AC783" i="6"/>
  <c r="S783" i="6" s="1"/>
  <c r="AE782" i="6" l="1"/>
  <c r="AF782" i="6" s="1"/>
  <c r="AG782" i="6" s="1"/>
  <c r="S782" i="6"/>
  <c r="AA785" i="6"/>
  <c r="AH786" i="6"/>
  <c r="AD783" i="6"/>
  <c r="AC784" i="6"/>
  <c r="S784" i="6" s="1"/>
  <c r="AE783" i="6" l="1"/>
  <c r="AF783" i="6" s="1"/>
  <c r="AG783" i="6" s="1"/>
  <c r="AD784" i="6"/>
  <c r="AC785" i="6"/>
  <c r="S785" i="6" s="1"/>
  <c r="AA786" i="6"/>
  <c r="AH787" i="6"/>
  <c r="AE784" i="6" l="1"/>
  <c r="AF784" i="6" s="1"/>
  <c r="AG784" i="6" s="1"/>
  <c r="AA787" i="6"/>
  <c r="AH788" i="6"/>
  <c r="AD785" i="6"/>
  <c r="AE785" i="6" s="1"/>
  <c r="AF785" i="6" s="1"/>
  <c r="AG785" i="6" s="1"/>
  <c r="AC786" i="6"/>
  <c r="AD786" i="6" l="1"/>
  <c r="AC787" i="6"/>
  <c r="AA788" i="6"/>
  <c r="AH789" i="6"/>
  <c r="AE786" i="6" l="1"/>
  <c r="AF786" i="6" s="1"/>
  <c r="AG786" i="6" s="1"/>
  <c r="S786" i="6"/>
  <c r="AA789" i="6"/>
  <c r="AH790" i="6"/>
  <c r="AD787" i="6"/>
  <c r="AE787" i="6" s="1"/>
  <c r="AC788" i="6"/>
  <c r="AF787" i="6" l="1"/>
  <c r="AG787" i="6" s="1"/>
  <c r="S787" i="6"/>
  <c r="AA790" i="6"/>
  <c r="AH791" i="6"/>
  <c r="AD788" i="6"/>
  <c r="AE788" i="6" s="1"/>
  <c r="AC789" i="6"/>
  <c r="AF788" i="6" l="1"/>
  <c r="AG788" i="6" s="1"/>
  <c r="S788" i="6"/>
  <c r="AC790" i="6"/>
  <c r="AD789" i="6"/>
  <c r="AE789" i="6" s="1"/>
  <c r="AA791" i="6"/>
  <c r="AH792" i="6"/>
  <c r="AF789" i="6" l="1"/>
  <c r="AG789" i="6" s="1"/>
  <c r="S789" i="6"/>
  <c r="AH793" i="6"/>
  <c r="AA792" i="6"/>
  <c r="AD790" i="6"/>
  <c r="AE790" i="6" s="1"/>
  <c r="AC791" i="6"/>
  <c r="AF790" i="6" l="1"/>
  <c r="AG790" i="6" s="1"/>
  <c r="S790" i="6"/>
  <c r="AC792" i="6"/>
  <c r="AD791" i="6"/>
  <c r="AA793" i="6"/>
  <c r="AH794" i="6"/>
  <c r="AE791" i="6" l="1"/>
  <c r="AF791" i="6" s="1"/>
  <c r="AG791" i="6" s="1"/>
  <c r="S791" i="6"/>
  <c r="AA794" i="6"/>
  <c r="AH795" i="6"/>
  <c r="AD792" i="6"/>
  <c r="AE792" i="6" s="1"/>
  <c r="AC793" i="6"/>
  <c r="AF792" i="6" l="1"/>
  <c r="AG792" i="6" s="1"/>
  <c r="S792" i="6"/>
  <c r="AD793" i="6"/>
  <c r="AC794" i="6"/>
  <c r="AA795" i="6"/>
  <c r="AH796" i="6"/>
  <c r="AE793" i="6" l="1"/>
  <c r="AF793" i="6" s="1"/>
  <c r="AG793" i="6" s="1"/>
  <c r="S793" i="6"/>
  <c r="AA796" i="6"/>
  <c r="AH797" i="6"/>
  <c r="AD794" i="6"/>
  <c r="AE794" i="6" s="1"/>
  <c r="AC795" i="6"/>
  <c r="AF794" i="6" l="1"/>
  <c r="AG794" i="6" s="1"/>
  <c r="S794" i="6"/>
  <c r="AC796" i="6"/>
  <c r="AD795" i="6"/>
  <c r="AE795" i="6" s="1"/>
  <c r="AA797" i="6"/>
  <c r="AH798" i="6"/>
  <c r="AF795" i="6" l="1"/>
  <c r="AG795" i="6" s="1"/>
  <c r="S795" i="6"/>
  <c r="AA798" i="6"/>
  <c r="AH799" i="6"/>
  <c r="AD796" i="6"/>
  <c r="AE796" i="6" s="1"/>
  <c r="AC797" i="6"/>
  <c r="AF796" i="6" l="1"/>
  <c r="AG796" i="6" s="1"/>
  <c r="S796" i="6"/>
  <c r="AA799" i="6"/>
  <c r="AH800" i="6"/>
  <c r="AC798" i="6"/>
  <c r="AD797" i="6"/>
  <c r="AE797" i="6" s="1"/>
  <c r="AF797" i="6" l="1"/>
  <c r="AG797" i="6" s="1"/>
  <c r="S797" i="6"/>
  <c r="AA800" i="6"/>
  <c r="AH801" i="6"/>
  <c r="AD798" i="6"/>
  <c r="AC799" i="6"/>
  <c r="AE798" i="6" l="1"/>
  <c r="AF798" i="6" s="1"/>
  <c r="AG798" i="6" s="1"/>
  <c r="S798" i="6"/>
  <c r="AD799" i="6"/>
  <c r="AE799" i="6" s="1"/>
  <c r="AC800" i="6"/>
  <c r="AA801" i="6"/>
  <c r="AH802" i="6"/>
  <c r="AF799" i="6" l="1"/>
  <c r="AG799" i="6" s="1"/>
  <c r="S799" i="6"/>
  <c r="AA802" i="6"/>
  <c r="AH803" i="6"/>
  <c r="AD800" i="6"/>
  <c r="AC801" i="6"/>
  <c r="AE800" i="6" l="1"/>
  <c r="AF800" i="6" s="1"/>
  <c r="AG800" i="6" s="1"/>
  <c r="S800" i="6"/>
  <c r="AC802" i="6"/>
  <c r="AD801" i="6"/>
  <c r="AE801" i="6" s="1"/>
  <c r="AA803" i="6"/>
  <c r="AH804" i="6"/>
  <c r="AF801" i="6" l="1"/>
  <c r="AG801" i="6" s="1"/>
  <c r="S801" i="6"/>
  <c r="AA804" i="6"/>
  <c r="AH805" i="6"/>
  <c r="AC803" i="6"/>
  <c r="AD802" i="6"/>
  <c r="AE802" i="6" s="1"/>
  <c r="AF802" i="6" l="1"/>
  <c r="AG802" i="6" s="1"/>
  <c r="S802" i="6"/>
  <c r="AC804" i="6"/>
  <c r="AD803" i="6"/>
  <c r="AE803" i="6" s="1"/>
  <c r="AA805" i="6"/>
  <c r="AH806" i="6"/>
  <c r="AF803" i="6" l="1"/>
  <c r="AG803" i="6" s="1"/>
  <c r="S803" i="6"/>
  <c r="AA806" i="6"/>
  <c r="AH807" i="6"/>
  <c r="AD804" i="6"/>
  <c r="AE804" i="6" s="1"/>
  <c r="AC805" i="6"/>
  <c r="AF804" i="6" l="1"/>
  <c r="AG804" i="6" s="1"/>
  <c r="S804" i="6"/>
  <c r="AD805" i="6"/>
  <c r="AE805" i="6" s="1"/>
  <c r="AC806" i="6"/>
  <c r="AA807" i="6"/>
  <c r="AH808" i="6"/>
  <c r="AF805" i="6" l="1"/>
  <c r="AG805" i="6" s="1"/>
  <c r="S805" i="6"/>
  <c r="AA808" i="6"/>
  <c r="AH809" i="6"/>
  <c r="AD806" i="6"/>
  <c r="AC807" i="6"/>
  <c r="AE806" i="6" l="1"/>
  <c r="AF806" i="6" s="1"/>
  <c r="AG806" i="6" s="1"/>
  <c r="S806" i="6"/>
  <c r="AA809" i="6"/>
  <c r="AH810" i="6"/>
  <c r="AD807" i="6"/>
  <c r="AE807" i="6" s="1"/>
  <c r="AC808" i="6"/>
  <c r="AF807" i="6" l="1"/>
  <c r="AG807" i="6" s="1"/>
  <c r="S807" i="6"/>
  <c r="AH811" i="6"/>
  <c r="AA810" i="6"/>
  <c r="AD808" i="6"/>
  <c r="AC809" i="6"/>
  <c r="AE808" i="6" l="1"/>
  <c r="AF808" i="6" s="1"/>
  <c r="AG808" i="6" s="1"/>
  <c r="S808" i="6"/>
  <c r="AC810" i="6"/>
  <c r="AD809" i="6"/>
  <c r="AH812" i="6"/>
  <c r="AA811" i="6"/>
  <c r="AE809" i="6" l="1"/>
  <c r="AF809" i="6" s="1"/>
  <c r="AG809" i="6" s="1"/>
  <c r="S809" i="6"/>
  <c r="AA812" i="6"/>
  <c r="AH813" i="6"/>
  <c r="AD810" i="6"/>
  <c r="AE810" i="6" s="1"/>
  <c r="AC811" i="6"/>
  <c r="AF810" i="6" l="1"/>
  <c r="AG810" i="6" s="1"/>
  <c r="S810" i="6"/>
  <c r="AA813" i="6"/>
  <c r="AH814" i="6"/>
  <c r="AD811" i="6"/>
  <c r="AC812" i="6"/>
  <c r="AE811" i="6" l="1"/>
  <c r="AF811" i="6" s="1"/>
  <c r="AG811" i="6" s="1"/>
  <c r="S811" i="6"/>
  <c r="AH815" i="6"/>
  <c r="AA814" i="6"/>
  <c r="AD812" i="6"/>
  <c r="AE812" i="6" s="1"/>
  <c r="AC813" i="6"/>
  <c r="AF812" i="6" l="1"/>
  <c r="AG812" i="6" s="1"/>
  <c r="S812" i="6"/>
  <c r="AD813" i="6"/>
  <c r="AC814" i="6"/>
  <c r="AA815" i="6"/>
  <c r="AH816" i="6"/>
  <c r="AE813" i="6" l="1"/>
  <c r="AF813" i="6" s="1"/>
  <c r="AG813" i="6" s="1"/>
  <c r="S813" i="6"/>
  <c r="AA816" i="6"/>
  <c r="AH817" i="6"/>
  <c r="AD814" i="6"/>
  <c r="AE814" i="6" s="1"/>
  <c r="AC815" i="6"/>
  <c r="AF814" i="6" l="1"/>
  <c r="AG814" i="6" s="1"/>
  <c r="S814" i="6"/>
  <c r="AC816" i="6"/>
  <c r="AD815" i="6"/>
  <c r="AE815" i="6" s="1"/>
  <c r="AA817" i="6"/>
  <c r="AH818" i="6"/>
  <c r="AF815" i="6" l="1"/>
  <c r="AG815" i="6" s="1"/>
  <c r="S815" i="6"/>
  <c r="AH819" i="6"/>
  <c r="AA818" i="6"/>
  <c r="AD816" i="6"/>
  <c r="AC817" i="6"/>
  <c r="AE816" i="6" l="1"/>
  <c r="AF816" i="6" s="1"/>
  <c r="AG816" i="6" s="1"/>
  <c r="S816" i="6"/>
  <c r="AD817" i="6"/>
  <c r="AC818" i="6"/>
  <c r="AH820" i="6"/>
  <c r="AA819" i="6"/>
  <c r="AE817" i="6" l="1"/>
  <c r="AF817" i="6" s="1"/>
  <c r="AG817" i="6" s="1"/>
  <c r="S817" i="6"/>
  <c r="AH821" i="6"/>
  <c r="AA820" i="6"/>
  <c r="AD818" i="6"/>
  <c r="AE818" i="6" s="1"/>
  <c r="AC819" i="6"/>
  <c r="AF818" i="6" l="1"/>
  <c r="AG818" i="6" s="1"/>
  <c r="S818" i="6"/>
  <c r="AC820" i="6"/>
  <c r="AD819" i="6"/>
  <c r="AE819" i="6" s="1"/>
  <c r="AA821" i="6"/>
  <c r="AH822" i="6"/>
  <c r="AF819" i="6" l="1"/>
  <c r="AG819" i="6" s="1"/>
  <c r="S819" i="6"/>
  <c r="AH823" i="6"/>
  <c r="AA822" i="6"/>
  <c r="AD820" i="6"/>
  <c r="AE820" i="6" s="1"/>
  <c r="AC821" i="6"/>
  <c r="AF820" i="6" l="1"/>
  <c r="AG820" i="6" s="1"/>
  <c r="S820" i="6"/>
  <c r="AD821" i="6"/>
  <c r="AE821" i="6" s="1"/>
  <c r="AC822" i="6"/>
  <c r="AH824" i="6"/>
  <c r="AA823" i="6"/>
  <c r="AF821" i="6" l="1"/>
  <c r="AG821" i="6" s="1"/>
  <c r="S821" i="6"/>
  <c r="AA824" i="6"/>
  <c r="AH825" i="6"/>
  <c r="AD822" i="6"/>
  <c r="AE822" i="6" s="1"/>
  <c r="AC823" i="6"/>
  <c r="AF822" i="6" l="1"/>
  <c r="AG822" i="6" s="1"/>
  <c r="S822" i="6"/>
  <c r="AA825" i="6"/>
  <c r="AH826" i="6"/>
  <c r="AC824" i="6"/>
  <c r="AD823" i="6"/>
  <c r="AE823" i="6" s="1"/>
  <c r="AF823" i="6" l="1"/>
  <c r="AG823" i="6" s="1"/>
  <c r="S823" i="6"/>
  <c r="AD824" i="6"/>
  <c r="AC825" i="6"/>
  <c r="AA826" i="6"/>
  <c r="AH827" i="6"/>
  <c r="AE824" i="6" l="1"/>
  <c r="AF824" i="6" s="1"/>
  <c r="AG824" i="6" s="1"/>
  <c r="S824" i="6"/>
  <c r="AA827" i="6"/>
  <c r="AH828" i="6"/>
  <c r="AC826" i="6"/>
  <c r="AD825" i="6"/>
  <c r="AE825" i="6" s="1"/>
  <c r="AF825" i="6" l="1"/>
  <c r="AG825" i="6" s="1"/>
  <c r="S825" i="6"/>
  <c r="AD826" i="6"/>
  <c r="AE826" i="6" s="1"/>
  <c r="AC827" i="6"/>
  <c r="AA828" i="6"/>
  <c r="AH829" i="6"/>
  <c r="AF826" i="6" l="1"/>
  <c r="AG826" i="6" s="1"/>
  <c r="S826" i="6"/>
  <c r="AA829" i="6"/>
  <c r="AH830" i="6"/>
  <c r="AD827" i="6"/>
  <c r="AE827" i="6" s="1"/>
  <c r="AC828" i="6"/>
  <c r="AF827" i="6" l="1"/>
  <c r="AG827" i="6" s="1"/>
  <c r="S827" i="6"/>
  <c r="AD828" i="6"/>
  <c r="AE828" i="6" s="1"/>
  <c r="AC829" i="6"/>
  <c r="AA830" i="6"/>
  <c r="AH831" i="6"/>
  <c r="AF828" i="6" l="1"/>
  <c r="AG828" i="6" s="1"/>
  <c r="S828" i="6"/>
  <c r="AA831" i="6"/>
  <c r="AH832" i="6"/>
  <c r="AD829" i="6"/>
  <c r="AE829" i="6" s="1"/>
  <c r="AC830" i="6"/>
  <c r="AF829" i="6" l="1"/>
  <c r="AG829" i="6" s="1"/>
  <c r="S829" i="6"/>
  <c r="AC831" i="6"/>
  <c r="AD830" i="6"/>
  <c r="AA832" i="6"/>
  <c r="AH833" i="6"/>
  <c r="AE830" i="6" l="1"/>
  <c r="AF830" i="6" s="1"/>
  <c r="AG830" i="6" s="1"/>
  <c r="S830" i="6"/>
  <c r="AA833" i="6"/>
  <c r="AH834" i="6"/>
  <c r="AD831" i="6"/>
  <c r="AE831" i="6" s="1"/>
  <c r="AC832" i="6"/>
  <c r="AF831" i="6" l="1"/>
  <c r="AG831" i="6" s="1"/>
  <c r="S831" i="6"/>
  <c r="AA834" i="6"/>
  <c r="AH835" i="6"/>
  <c r="AD832" i="6"/>
  <c r="AE832" i="6" s="1"/>
  <c r="AC833" i="6"/>
  <c r="AF832" i="6" l="1"/>
  <c r="AG832" i="6" s="1"/>
  <c r="S832" i="6"/>
  <c r="AA835" i="6"/>
  <c r="AH836" i="6"/>
  <c r="AD833" i="6"/>
  <c r="AC834" i="6"/>
  <c r="AE833" i="6" l="1"/>
  <c r="AF833" i="6" s="1"/>
  <c r="AG833" i="6" s="1"/>
  <c r="S833" i="6"/>
  <c r="AA836" i="6"/>
  <c r="AH837" i="6"/>
  <c r="AD834" i="6"/>
  <c r="AE834" i="6" s="1"/>
  <c r="AC835" i="6"/>
  <c r="AF834" i="6" l="1"/>
  <c r="AG834" i="6" s="1"/>
  <c r="S834" i="6"/>
  <c r="AC836" i="6"/>
  <c r="AD835" i="6"/>
  <c r="AE835" i="6" s="1"/>
  <c r="AA837" i="6"/>
  <c r="AH838" i="6"/>
  <c r="AF835" i="6" l="1"/>
  <c r="AG835" i="6" s="1"/>
  <c r="S835" i="6"/>
  <c r="AA838" i="6"/>
  <c r="AH839" i="6"/>
  <c r="AD836" i="6"/>
  <c r="AE836" i="6" s="1"/>
  <c r="AC837" i="6"/>
  <c r="AF836" i="6" l="1"/>
  <c r="AG836" i="6" s="1"/>
  <c r="S836" i="6"/>
  <c r="AA839" i="6"/>
  <c r="AH840" i="6"/>
  <c r="AC838" i="6"/>
  <c r="AD837" i="6"/>
  <c r="AE837" i="6" l="1"/>
  <c r="AF837" i="6" s="1"/>
  <c r="AG837" i="6" s="1"/>
  <c r="S837" i="6"/>
  <c r="AD838" i="6"/>
  <c r="AE838" i="6" s="1"/>
  <c r="AC839" i="6"/>
  <c r="AA840" i="6"/>
  <c r="AH841" i="6"/>
  <c r="AF838" i="6" l="1"/>
  <c r="AG838" i="6" s="1"/>
  <c r="S838" i="6"/>
  <c r="AA841" i="6"/>
  <c r="AH842" i="6"/>
  <c r="AD839" i="6"/>
  <c r="AE839" i="6" s="1"/>
  <c r="AC840" i="6"/>
  <c r="S840" i="6" s="1"/>
  <c r="AF839" i="6" l="1"/>
  <c r="AG839" i="6" s="1"/>
  <c r="S839" i="6"/>
  <c r="AA842" i="6"/>
  <c r="AH843" i="6"/>
  <c r="AD840" i="6"/>
  <c r="AE840" i="6" s="1"/>
  <c r="AC841" i="6"/>
  <c r="AF840" i="6" l="1"/>
  <c r="AG840" i="6" s="1"/>
  <c r="AD841" i="6"/>
  <c r="AC842" i="6"/>
  <c r="AH844" i="6"/>
  <c r="AA843" i="6"/>
  <c r="AE841" i="6" l="1"/>
  <c r="AF841" i="6" s="1"/>
  <c r="AG841" i="6" s="1"/>
  <c r="S841" i="6"/>
  <c r="AA844" i="6"/>
  <c r="AH845" i="6"/>
  <c r="AC843" i="6"/>
  <c r="AD842" i="6"/>
  <c r="AE842" i="6" l="1"/>
  <c r="AF842" i="6" s="1"/>
  <c r="AG842" i="6" s="1"/>
  <c r="S842" i="6"/>
  <c r="AA845" i="6"/>
  <c r="AH846" i="6"/>
  <c r="AD843" i="6"/>
  <c r="AC844" i="6"/>
  <c r="AE843" i="6" l="1"/>
  <c r="AF843" i="6" s="1"/>
  <c r="AG843" i="6" s="1"/>
  <c r="S843" i="6"/>
  <c r="AA846" i="6"/>
  <c r="AH847" i="6"/>
  <c r="AD844" i="6"/>
  <c r="AC845" i="6"/>
  <c r="AE844" i="6" l="1"/>
  <c r="AF844" i="6" s="1"/>
  <c r="AG844" i="6" s="1"/>
  <c r="S844" i="6"/>
  <c r="AD845" i="6"/>
  <c r="AC846" i="6"/>
  <c r="AA847" i="6"/>
  <c r="AH848" i="6"/>
  <c r="AE845" i="6" l="1"/>
  <c r="AF845" i="6" s="1"/>
  <c r="AG845" i="6" s="1"/>
  <c r="S845" i="6"/>
  <c r="AA848" i="6"/>
  <c r="AH849" i="6"/>
  <c r="AD846" i="6"/>
  <c r="AC847" i="6"/>
  <c r="S847" i="6" s="1"/>
  <c r="AE846" i="6" l="1"/>
  <c r="AF846" i="6" s="1"/>
  <c r="AG846" i="6" s="1"/>
  <c r="S846" i="6"/>
  <c r="AA849" i="6"/>
  <c r="AH850" i="6"/>
  <c r="AC848" i="6"/>
  <c r="AD847" i="6"/>
  <c r="AE847" i="6" s="1"/>
  <c r="AF847" i="6" s="1"/>
  <c r="AG847" i="6" s="1"/>
  <c r="AA850" i="6" l="1"/>
  <c r="AH851" i="6"/>
  <c r="AD848" i="6"/>
  <c r="AE848" i="6" s="1"/>
  <c r="AC849" i="6"/>
  <c r="AF848" i="6" l="1"/>
  <c r="AG848" i="6" s="1"/>
  <c r="S848" i="6"/>
  <c r="AC850" i="6"/>
  <c r="AD849" i="6"/>
  <c r="AE849" i="6" s="1"/>
  <c r="AA851" i="6"/>
  <c r="AH852" i="6"/>
  <c r="AF849" i="6" l="1"/>
  <c r="AG849" i="6" s="1"/>
  <c r="S849" i="6"/>
  <c r="AA852" i="6"/>
  <c r="AH853" i="6"/>
  <c r="AD850" i="6"/>
  <c r="AE850" i="6" s="1"/>
  <c r="AC851" i="6"/>
  <c r="AF850" i="6" l="1"/>
  <c r="AG850" i="6" s="1"/>
  <c r="S850" i="6"/>
  <c r="AD851" i="6"/>
  <c r="AE851" i="6" s="1"/>
  <c r="AC852" i="6"/>
  <c r="S852" i="6" s="1"/>
  <c r="AA853" i="6"/>
  <c r="AH854" i="6"/>
  <c r="AF851" i="6" l="1"/>
  <c r="AG851" i="6" s="1"/>
  <c r="S851" i="6"/>
  <c r="AA854" i="6"/>
  <c r="AH855" i="6"/>
  <c r="AD852" i="6"/>
  <c r="AE852" i="6" s="1"/>
  <c r="AF852" i="6" s="1"/>
  <c r="AG852" i="6" s="1"/>
  <c r="AC853" i="6"/>
  <c r="AD853" i="6" l="1"/>
  <c r="AC854" i="6"/>
  <c r="AA855" i="6"/>
  <c r="AH856" i="6"/>
  <c r="AE853" i="6" l="1"/>
  <c r="AF853" i="6" s="1"/>
  <c r="AG853" i="6" s="1"/>
  <c r="S853" i="6"/>
  <c r="AA856" i="6"/>
  <c r="AH857" i="6"/>
  <c r="AC855" i="6"/>
  <c r="S855" i="6" s="1"/>
  <c r="AD854" i="6"/>
  <c r="AE854" i="6" l="1"/>
  <c r="AF854" i="6" s="1"/>
  <c r="AG854" i="6" s="1"/>
  <c r="S854" i="6"/>
  <c r="AA857" i="6"/>
  <c r="AH858" i="6"/>
  <c r="AD855" i="6"/>
  <c r="AE855" i="6" s="1"/>
  <c r="AF855" i="6" s="1"/>
  <c r="AG855" i="6" s="1"/>
  <c r="AC856" i="6"/>
  <c r="AA858" i="6" l="1"/>
  <c r="AH859" i="6"/>
  <c r="AD856" i="6"/>
  <c r="AC857" i="6"/>
  <c r="AE856" i="6" l="1"/>
  <c r="AF856" i="6" s="1"/>
  <c r="AG856" i="6" s="1"/>
  <c r="S856" i="6"/>
  <c r="AD857" i="6"/>
  <c r="AC858" i="6"/>
  <c r="AA859" i="6"/>
  <c r="AH860" i="6"/>
  <c r="AE857" i="6" l="1"/>
  <c r="AF857" i="6" s="1"/>
  <c r="AG857" i="6" s="1"/>
  <c r="S857" i="6"/>
  <c r="AA860" i="6"/>
  <c r="AH861" i="6"/>
  <c r="AD858" i="6"/>
  <c r="AC859" i="6"/>
  <c r="AE858" i="6" l="1"/>
  <c r="AF858" i="6" s="1"/>
  <c r="AG858" i="6" s="1"/>
  <c r="S858" i="6"/>
  <c r="AA861" i="6"/>
  <c r="AH862" i="6"/>
  <c r="AC860" i="6"/>
  <c r="AD859" i="6"/>
  <c r="AE859" i="6" s="1"/>
  <c r="AF859" i="6" l="1"/>
  <c r="AG859" i="6" s="1"/>
  <c r="S859" i="6"/>
  <c r="AA862" i="6"/>
  <c r="AH863" i="6"/>
  <c r="AD860" i="6"/>
  <c r="AC861" i="6"/>
  <c r="AE860" i="6" l="1"/>
  <c r="AF860" i="6" s="1"/>
  <c r="AG860" i="6" s="1"/>
  <c r="S860" i="6"/>
  <c r="AA863" i="6"/>
  <c r="AH864" i="6"/>
  <c r="AC862" i="6"/>
  <c r="AD861" i="6"/>
  <c r="AE861" i="6" l="1"/>
  <c r="AF861" i="6" s="1"/>
  <c r="AG861" i="6" s="1"/>
  <c r="S861" i="6"/>
  <c r="AA864" i="6"/>
  <c r="AH865" i="6"/>
  <c r="AD862" i="6"/>
  <c r="AC863" i="6"/>
  <c r="AE862" i="6" l="1"/>
  <c r="AF862" i="6" s="1"/>
  <c r="AG862" i="6" s="1"/>
  <c r="S862" i="6"/>
  <c r="AD863" i="6"/>
  <c r="AC864" i="6"/>
  <c r="S864" i="6" s="1"/>
  <c r="AA865" i="6"/>
  <c r="AH866" i="6"/>
  <c r="AE863" i="6" l="1"/>
  <c r="AF863" i="6" s="1"/>
  <c r="AG863" i="6" s="1"/>
  <c r="S863" i="6"/>
  <c r="AA866" i="6"/>
  <c r="AH867" i="6"/>
  <c r="AD864" i="6"/>
  <c r="AE864" i="6" s="1"/>
  <c r="AF864" i="6" s="1"/>
  <c r="AG864" i="6" s="1"/>
  <c r="AC865" i="6"/>
  <c r="AA867" i="6" l="1"/>
  <c r="AH868" i="6"/>
  <c r="AD865" i="6"/>
  <c r="AC866" i="6"/>
  <c r="AE865" i="6" l="1"/>
  <c r="AF865" i="6" s="1"/>
  <c r="AG865" i="6" s="1"/>
  <c r="S865" i="6"/>
  <c r="AC867" i="6"/>
  <c r="AD866" i="6"/>
  <c r="AE866" i="6" s="1"/>
  <c r="AA868" i="6"/>
  <c r="AH869" i="6"/>
  <c r="AF866" i="6" l="1"/>
  <c r="AG866" i="6" s="1"/>
  <c r="S866" i="6"/>
  <c r="AA869" i="6"/>
  <c r="AH870" i="6"/>
  <c r="AD867" i="6"/>
  <c r="AE867" i="6" s="1"/>
  <c r="AC868" i="6"/>
  <c r="AF867" i="6" l="1"/>
  <c r="AG867" i="6" s="1"/>
  <c r="S867" i="6"/>
  <c r="AD868" i="6"/>
  <c r="AC869" i="6"/>
  <c r="AA870" i="6"/>
  <c r="AH871" i="6"/>
  <c r="AE868" i="6" l="1"/>
  <c r="AF868" i="6" s="1"/>
  <c r="AG868" i="6" s="1"/>
  <c r="S868" i="6"/>
  <c r="AD869" i="6"/>
  <c r="AE869" i="6" s="1"/>
  <c r="AC870" i="6"/>
  <c r="AA871" i="6"/>
  <c r="AH872" i="6"/>
  <c r="AF869" i="6" l="1"/>
  <c r="AG869" i="6" s="1"/>
  <c r="S869" i="6"/>
  <c r="AA872" i="6"/>
  <c r="AH873" i="6"/>
  <c r="AD870" i="6"/>
  <c r="AE870" i="6" s="1"/>
  <c r="AC871" i="6"/>
  <c r="AF870" i="6" l="1"/>
  <c r="AG870" i="6" s="1"/>
  <c r="S870" i="6"/>
  <c r="AA873" i="6"/>
  <c r="AH874" i="6"/>
  <c r="AC872" i="6"/>
  <c r="AD871" i="6"/>
  <c r="AE871" i="6" s="1"/>
  <c r="AF871" i="6" l="1"/>
  <c r="AG871" i="6" s="1"/>
  <c r="S871" i="6"/>
  <c r="AD872" i="6"/>
  <c r="AE872" i="6" s="1"/>
  <c r="AC873" i="6"/>
  <c r="AA874" i="6"/>
  <c r="AH875" i="6"/>
  <c r="AF872" i="6" l="1"/>
  <c r="AG872" i="6" s="1"/>
  <c r="S872" i="6"/>
  <c r="AA875" i="6"/>
  <c r="AH876" i="6"/>
  <c r="AC874" i="6"/>
  <c r="AD873" i="6"/>
  <c r="AE873" i="6" s="1"/>
  <c r="AF873" i="6" l="1"/>
  <c r="AG873" i="6" s="1"/>
  <c r="S873" i="6"/>
  <c r="AD874" i="6"/>
  <c r="AE874" i="6" s="1"/>
  <c r="AC875" i="6"/>
  <c r="S875" i="6" s="1"/>
  <c r="AA876" i="6"/>
  <c r="AH877" i="6"/>
  <c r="AF874" i="6" l="1"/>
  <c r="AG874" i="6" s="1"/>
  <c r="S874" i="6"/>
  <c r="AA877" i="6"/>
  <c r="AH878" i="6"/>
  <c r="AD875" i="6"/>
  <c r="AE875" i="6" s="1"/>
  <c r="AF875" i="6" s="1"/>
  <c r="AG875" i="6" s="1"/>
  <c r="AC876" i="6"/>
  <c r="AA878" i="6" l="1"/>
  <c r="AH879" i="6"/>
  <c r="AD876" i="6"/>
  <c r="AC877" i="6"/>
  <c r="AE876" i="6" l="1"/>
  <c r="AF876" i="6" s="1"/>
  <c r="AG876" i="6" s="1"/>
  <c r="S876" i="6"/>
  <c r="AA879" i="6"/>
  <c r="AH880" i="6"/>
  <c r="AD877" i="6"/>
  <c r="AC878" i="6"/>
  <c r="AE877" i="6" l="1"/>
  <c r="AF877" i="6" s="1"/>
  <c r="AG877" i="6" s="1"/>
  <c r="S877" i="6"/>
  <c r="AA880" i="6"/>
  <c r="AH881" i="6"/>
  <c r="AC879" i="6"/>
  <c r="AD878" i="6"/>
  <c r="AE878" i="6" l="1"/>
  <c r="AF878" i="6" s="1"/>
  <c r="AG878" i="6" s="1"/>
  <c r="S878" i="6"/>
  <c r="AD879" i="6"/>
  <c r="AC880" i="6"/>
  <c r="AA881" i="6"/>
  <c r="AH882" i="6"/>
  <c r="AE879" i="6" l="1"/>
  <c r="AF879" i="6" s="1"/>
  <c r="AG879" i="6" s="1"/>
  <c r="S879" i="6"/>
  <c r="AA882" i="6"/>
  <c r="AH883" i="6"/>
  <c r="AD880" i="6"/>
  <c r="AC881" i="6"/>
  <c r="AE880" i="6" l="1"/>
  <c r="AF880" i="6" s="1"/>
  <c r="AG880" i="6" s="1"/>
  <c r="S880" i="6"/>
  <c r="AD881" i="6"/>
  <c r="AC882" i="6"/>
  <c r="AA883" i="6"/>
  <c r="AH884" i="6"/>
  <c r="AE881" i="6" l="1"/>
  <c r="AF881" i="6" s="1"/>
  <c r="AG881" i="6" s="1"/>
  <c r="S881" i="6"/>
  <c r="AA884" i="6"/>
  <c r="AH885" i="6"/>
  <c r="AD882" i="6"/>
  <c r="AE882" i="6" s="1"/>
  <c r="AC883" i="6"/>
  <c r="AF882" i="6" l="1"/>
  <c r="AG882" i="6" s="1"/>
  <c r="S882" i="6"/>
  <c r="AA885" i="6"/>
  <c r="AH886" i="6"/>
  <c r="AC884" i="6"/>
  <c r="AD883" i="6"/>
  <c r="AE883" i="6" s="1"/>
  <c r="AF883" i="6" l="1"/>
  <c r="AG883" i="6" s="1"/>
  <c r="S883" i="6"/>
  <c r="AA886" i="6"/>
  <c r="AH887" i="6"/>
  <c r="AD884" i="6"/>
  <c r="AC885" i="6"/>
  <c r="AE884" i="6" l="1"/>
  <c r="AF884" i="6" s="1"/>
  <c r="AG884" i="6" s="1"/>
  <c r="S884" i="6"/>
  <c r="AC886" i="6"/>
  <c r="S886" i="6" s="1"/>
  <c r="AD885" i="6"/>
  <c r="AA887" i="6"/>
  <c r="AH888" i="6"/>
  <c r="AE885" i="6" l="1"/>
  <c r="AF885" i="6" s="1"/>
  <c r="AG885" i="6" s="1"/>
  <c r="S885" i="6"/>
  <c r="AA888" i="6"/>
  <c r="AH889" i="6"/>
  <c r="AD886" i="6"/>
  <c r="AC887" i="6"/>
  <c r="AE886" i="6" l="1"/>
  <c r="AF886" i="6" s="1"/>
  <c r="AG886" i="6" s="1"/>
  <c r="AD887" i="6"/>
  <c r="AC888" i="6"/>
  <c r="AA889" i="6"/>
  <c r="AH890" i="6"/>
  <c r="AE887" i="6" l="1"/>
  <c r="AF887" i="6" s="1"/>
  <c r="AG887" i="6" s="1"/>
  <c r="S887" i="6"/>
  <c r="AA890" i="6"/>
  <c r="AH891" i="6"/>
  <c r="AD888" i="6"/>
  <c r="AC889" i="6"/>
  <c r="AE888" i="6" l="1"/>
  <c r="AF888" i="6" s="1"/>
  <c r="AG888" i="6" s="1"/>
  <c r="S888" i="6"/>
  <c r="AA891" i="6"/>
  <c r="AH892" i="6"/>
  <c r="AD889" i="6"/>
  <c r="AC890" i="6"/>
  <c r="AE889" i="6" l="1"/>
  <c r="AF889" i="6" s="1"/>
  <c r="AG889" i="6" s="1"/>
  <c r="S889" i="6"/>
  <c r="AC891" i="6"/>
  <c r="AD890" i="6"/>
  <c r="AA892" i="6"/>
  <c r="AH893" i="6"/>
  <c r="AE890" i="6" l="1"/>
  <c r="AF890" i="6" s="1"/>
  <c r="AG890" i="6" s="1"/>
  <c r="S890" i="6"/>
  <c r="AA893" i="6"/>
  <c r="AH894" i="6"/>
  <c r="AD891" i="6"/>
  <c r="AC892" i="6"/>
  <c r="AE891" i="6" l="1"/>
  <c r="AF891" i="6" s="1"/>
  <c r="AG891" i="6" s="1"/>
  <c r="S891" i="6"/>
  <c r="AA894" i="6"/>
  <c r="AH895" i="6"/>
  <c r="AD892" i="6"/>
  <c r="AC893" i="6"/>
  <c r="S893" i="6" s="1"/>
  <c r="AE892" i="6" l="1"/>
  <c r="AF892" i="6" s="1"/>
  <c r="AG892" i="6" s="1"/>
  <c r="S892" i="6"/>
  <c r="AA895" i="6"/>
  <c r="AH896" i="6"/>
  <c r="AD893" i="6"/>
  <c r="AE893" i="6" s="1"/>
  <c r="AF893" i="6" s="1"/>
  <c r="AG893" i="6" s="1"/>
  <c r="AC894" i="6"/>
  <c r="AA896" i="6" l="1"/>
  <c r="AH897" i="6"/>
  <c r="AD894" i="6"/>
  <c r="AC895" i="6"/>
  <c r="S895" i="6" s="1"/>
  <c r="AE894" i="6" l="1"/>
  <c r="AF894" i="6" s="1"/>
  <c r="AG894" i="6" s="1"/>
  <c r="S894" i="6"/>
  <c r="AA897" i="6"/>
  <c r="AH898" i="6"/>
  <c r="AC896" i="6"/>
  <c r="AD895" i="6"/>
  <c r="AE895" i="6" l="1"/>
  <c r="AF895" i="6" s="1"/>
  <c r="AG895" i="6" s="1"/>
  <c r="AD896" i="6"/>
  <c r="AC897" i="6"/>
  <c r="AA898" i="6"/>
  <c r="AH899" i="6"/>
  <c r="AE896" i="6" l="1"/>
  <c r="AF896" i="6" s="1"/>
  <c r="AG896" i="6" s="1"/>
  <c r="S896" i="6"/>
  <c r="AA899" i="6"/>
  <c r="AH900" i="6"/>
  <c r="AC898" i="6"/>
  <c r="AD897" i="6"/>
  <c r="AE897" i="6" l="1"/>
  <c r="AF897" i="6" s="1"/>
  <c r="AG897" i="6" s="1"/>
  <c r="S897" i="6"/>
  <c r="AD898" i="6"/>
  <c r="AC899" i="6"/>
  <c r="AA900" i="6"/>
  <c r="AH901" i="6"/>
  <c r="AE898" i="6" l="1"/>
  <c r="AF898" i="6" s="1"/>
  <c r="AG898" i="6" s="1"/>
  <c r="S898" i="6"/>
  <c r="AA901" i="6"/>
  <c r="AH902" i="6"/>
  <c r="AD899" i="6"/>
  <c r="AC900" i="6"/>
  <c r="AE899" i="6" l="1"/>
  <c r="AF899" i="6" s="1"/>
  <c r="AG899" i="6" s="1"/>
  <c r="S899" i="6"/>
  <c r="AA902" i="6"/>
  <c r="AH903" i="6"/>
  <c r="AD900" i="6"/>
  <c r="AE900" i="6" s="1"/>
  <c r="AC901" i="6"/>
  <c r="AF900" i="6" l="1"/>
  <c r="AG900" i="6" s="1"/>
  <c r="S900" i="6"/>
  <c r="AH904" i="6"/>
  <c r="AA903" i="6"/>
  <c r="AD901" i="6"/>
  <c r="AC902" i="6"/>
  <c r="AE901" i="6" l="1"/>
  <c r="AF901" i="6" s="1"/>
  <c r="AG901" i="6" s="1"/>
  <c r="S901" i="6"/>
  <c r="AD902" i="6"/>
  <c r="AC903" i="6"/>
  <c r="AA904" i="6"/>
  <c r="AH905" i="6"/>
  <c r="AE902" i="6" l="1"/>
  <c r="AF902" i="6" s="1"/>
  <c r="AG902" i="6" s="1"/>
  <c r="S902" i="6"/>
  <c r="AA905" i="6"/>
  <c r="AH906" i="6"/>
  <c r="AD903" i="6"/>
  <c r="AC904" i="6"/>
  <c r="AE903" i="6" l="1"/>
  <c r="AF903" i="6" s="1"/>
  <c r="AG903" i="6" s="1"/>
  <c r="S903" i="6"/>
  <c r="AD904" i="6"/>
  <c r="AC905" i="6"/>
  <c r="AA906" i="6"/>
  <c r="AH907" i="6"/>
  <c r="AE904" i="6" l="1"/>
  <c r="AF904" i="6" s="1"/>
  <c r="AG904" i="6" s="1"/>
  <c r="S904" i="6"/>
  <c r="AA907" i="6"/>
  <c r="AH908" i="6"/>
  <c r="AD905" i="6"/>
  <c r="AC906" i="6"/>
  <c r="AE905" i="6" l="1"/>
  <c r="AF905" i="6" s="1"/>
  <c r="AG905" i="6" s="1"/>
  <c r="S905" i="6"/>
  <c r="AA908" i="6"/>
  <c r="AH909" i="6"/>
  <c r="AD906" i="6"/>
  <c r="AC907" i="6"/>
  <c r="AE906" i="6" l="1"/>
  <c r="AF906" i="6" s="1"/>
  <c r="AG906" i="6" s="1"/>
  <c r="S906" i="6"/>
  <c r="AA909" i="6"/>
  <c r="AH910" i="6"/>
  <c r="AC908" i="6"/>
  <c r="AD907" i="6"/>
  <c r="AE907" i="6" l="1"/>
  <c r="AF907" i="6" s="1"/>
  <c r="AG907" i="6" s="1"/>
  <c r="S907" i="6"/>
  <c r="AD908" i="6"/>
  <c r="AC909" i="6"/>
  <c r="AA910" i="6"/>
  <c r="AH911" i="6"/>
  <c r="AE908" i="6" l="1"/>
  <c r="AF908" i="6" s="1"/>
  <c r="AG908" i="6" s="1"/>
  <c r="S908" i="6"/>
  <c r="AA911" i="6"/>
  <c r="AH912" i="6"/>
  <c r="AC910" i="6"/>
  <c r="S910" i="6" s="1"/>
  <c r="AD909" i="6"/>
  <c r="AE909" i="6" l="1"/>
  <c r="AF909" i="6" s="1"/>
  <c r="AG909" i="6" s="1"/>
  <c r="S909" i="6"/>
  <c r="AA912" i="6"/>
  <c r="AH913" i="6"/>
  <c r="AC911" i="6"/>
  <c r="AD910" i="6"/>
  <c r="AE910" i="6" s="1"/>
  <c r="AF910" i="6" s="1"/>
  <c r="AG910" i="6" s="1"/>
  <c r="AD911" i="6" l="1"/>
  <c r="AC912" i="6"/>
  <c r="AA913" i="6"/>
  <c r="AH914" i="6"/>
  <c r="AE911" i="6" l="1"/>
  <c r="AF911" i="6" s="1"/>
  <c r="AG911" i="6" s="1"/>
  <c r="S911" i="6"/>
  <c r="AA914" i="6"/>
  <c r="AH915" i="6"/>
  <c r="AD912" i="6"/>
  <c r="AE912" i="6" s="1"/>
  <c r="AC913" i="6"/>
  <c r="AF912" i="6" l="1"/>
  <c r="AG912" i="6" s="1"/>
  <c r="S912" i="6"/>
  <c r="AA915" i="6"/>
  <c r="AH916" i="6"/>
  <c r="AD913" i="6"/>
  <c r="AE913" i="6" s="1"/>
  <c r="AC914" i="6"/>
  <c r="AF913" i="6" l="1"/>
  <c r="AG913" i="6" s="1"/>
  <c r="S913" i="6"/>
  <c r="AA916" i="6"/>
  <c r="AH917" i="6"/>
  <c r="AD914" i="6"/>
  <c r="AE914" i="6" s="1"/>
  <c r="AC915" i="6"/>
  <c r="AF914" i="6" l="1"/>
  <c r="AG914" i="6" s="1"/>
  <c r="S914" i="6"/>
  <c r="AD915" i="6"/>
  <c r="AE915" i="6" s="1"/>
  <c r="AC916" i="6"/>
  <c r="AA917" i="6"/>
  <c r="AH918" i="6"/>
  <c r="AF915" i="6" l="1"/>
  <c r="AG915" i="6" s="1"/>
  <c r="S915" i="6"/>
  <c r="AH919" i="6"/>
  <c r="AA918" i="6"/>
  <c r="AC917" i="6"/>
  <c r="AD916" i="6"/>
  <c r="AE916" i="6" s="1"/>
  <c r="AF916" i="6" l="1"/>
  <c r="AG916" i="6" s="1"/>
  <c r="S916" i="6"/>
  <c r="AD917" i="6"/>
  <c r="AE917" i="6" s="1"/>
  <c r="AC918" i="6"/>
  <c r="AH920" i="6"/>
  <c r="AA919" i="6"/>
  <c r="AF917" i="6" l="1"/>
  <c r="AG917" i="6" s="1"/>
  <c r="S917" i="6"/>
  <c r="AA920" i="6"/>
  <c r="AH921" i="6"/>
  <c r="AD918" i="6"/>
  <c r="AE918" i="6" s="1"/>
  <c r="AC919" i="6"/>
  <c r="AF918" i="6" l="1"/>
  <c r="AG918" i="6" s="1"/>
  <c r="S918" i="6"/>
  <c r="AA921" i="6"/>
  <c r="AH922" i="6"/>
  <c r="AD919" i="6"/>
  <c r="AE919" i="6" s="1"/>
  <c r="AC920" i="6"/>
  <c r="AF919" i="6" l="1"/>
  <c r="AG919" i="6" s="1"/>
  <c r="S919" i="6"/>
  <c r="AD920" i="6"/>
  <c r="AE920" i="6" s="1"/>
  <c r="AC921" i="6"/>
  <c r="AA922" i="6"/>
  <c r="AH923" i="6"/>
  <c r="AF920" i="6" l="1"/>
  <c r="AG920" i="6" s="1"/>
  <c r="S920" i="6"/>
  <c r="AA923" i="6"/>
  <c r="AH924" i="6"/>
  <c r="AC922" i="6"/>
  <c r="S922" i="6" s="1"/>
  <c r="AD921" i="6"/>
  <c r="AE921" i="6" s="1"/>
  <c r="AF921" i="6" l="1"/>
  <c r="AG921" i="6" s="1"/>
  <c r="S921" i="6"/>
  <c r="AC923" i="6"/>
  <c r="AD922" i="6"/>
  <c r="AE922" i="6" s="1"/>
  <c r="AF922" i="6" s="1"/>
  <c r="AG922" i="6" s="1"/>
  <c r="AH925" i="6"/>
  <c r="AA924" i="6"/>
  <c r="AH926" i="6" l="1"/>
  <c r="AA925" i="6"/>
  <c r="AD923" i="6"/>
  <c r="AC924" i="6"/>
  <c r="AE923" i="6" l="1"/>
  <c r="AF923" i="6" s="1"/>
  <c r="AG923" i="6" s="1"/>
  <c r="S923" i="6"/>
  <c r="AD924" i="6"/>
  <c r="AC925" i="6"/>
  <c r="AA926" i="6"/>
  <c r="AH927" i="6"/>
  <c r="AE924" i="6" l="1"/>
  <c r="AF924" i="6" s="1"/>
  <c r="AG924" i="6" s="1"/>
  <c r="S924" i="6"/>
  <c r="AA927" i="6"/>
  <c r="AH928" i="6"/>
  <c r="AD925" i="6"/>
  <c r="AC926" i="6"/>
  <c r="AE925" i="6" l="1"/>
  <c r="AF925" i="6" s="1"/>
  <c r="AG925" i="6" s="1"/>
  <c r="S925" i="6"/>
  <c r="AD926" i="6"/>
  <c r="AE926" i="6" s="1"/>
  <c r="AC927" i="6"/>
  <c r="AA928" i="6"/>
  <c r="AH929" i="6"/>
  <c r="AF926" i="6" l="1"/>
  <c r="AG926" i="6" s="1"/>
  <c r="S926" i="6"/>
  <c r="AD927" i="6"/>
  <c r="AE927" i="6" s="1"/>
  <c r="AC928" i="6"/>
  <c r="AA929" i="6"/>
  <c r="AH930" i="6"/>
  <c r="AF927" i="6" l="1"/>
  <c r="AG927" i="6" s="1"/>
  <c r="S927" i="6"/>
  <c r="AA930" i="6"/>
  <c r="AH931" i="6"/>
  <c r="AC929" i="6"/>
  <c r="AD928" i="6"/>
  <c r="AE928" i="6" l="1"/>
  <c r="AF928" i="6" s="1"/>
  <c r="AG928" i="6" s="1"/>
  <c r="S928" i="6"/>
  <c r="AC930" i="6"/>
  <c r="AD929" i="6"/>
  <c r="AE929" i="6" s="1"/>
  <c r="AA931" i="6"/>
  <c r="AH932" i="6"/>
  <c r="AF929" i="6" l="1"/>
  <c r="AG929" i="6" s="1"/>
  <c r="S929" i="6"/>
  <c r="AA932" i="6"/>
  <c r="AH933" i="6"/>
  <c r="AD930" i="6"/>
  <c r="AE930" i="6" s="1"/>
  <c r="AC931" i="6"/>
  <c r="AF930" i="6" l="1"/>
  <c r="AG930" i="6" s="1"/>
  <c r="S930" i="6"/>
  <c r="AA933" i="6"/>
  <c r="AH934" i="6"/>
  <c r="AD931" i="6"/>
  <c r="AC932" i="6"/>
  <c r="AE931" i="6" l="1"/>
  <c r="AF931" i="6" s="1"/>
  <c r="AG931" i="6" s="1"/>
  <c r="S931" i="6"/>
  <c r="AD932" i="6"/>
  <c r="AE932" i="6" s="1"/>
  <c r="AC933" i="6"/>
  <c r="AA934" i="6"/>
  <c r="AH935" i="6"/>
  <c r="AF932" i="6" l="1"/>
  <c r="AG932" i="6" s="1"/>
  <c r="S932" i="6"/>
  <c r="AA935" i="6"/>
  <c r="AH936" i="6"/>
  <c r="AC934" i="6"/>
  <c r="AD933" i="6"/>
  <c r="AE933" i="6" s="1"/>
  <c r="AF933" i="6" l="1"/>
  <c r="AG933" i="6" s="1"/>
  <c r="S933" i="6"/>
  <c r="AA936" i="6"/>
  <c r="AH937" i="6"/>
  <c r="AC935" i="6"/>
  <c r="AD934" i="6"/>
  <c r="AE934" i="6" s="1"/>
  <c r="AF934" i="6" l="1"/>
  <c r="AG934" i="6" s="1"/>
  <c r="S934" i="6"/>
  <c r="AD935" i="6"/>
  <c r="AE935" i="6" s="1"/>
  <c r="AC936" i="6"/>
  <c r="AA937" i="6"/>
  <c r="AH938" i="6"/>
  <c r="AF935" i="6" l="1"/>
  <c r="AG935" i="6" s="1"/>
  <c r="S935" i="6"/>
  <c r="AA938" i="6"/>
  <c r="AH939" i="6"/>
  <c r="AD936" i="6"/>
  <c r="AE936" i="6" s="1"/>
  <c r="AC937" i="6"/>
  <c r="AF936" i="6" l="1"/>
  <c r="AG936" i="6" s="1"/>
  <c r="S936" i="6"/>
  <c r="AD937" i="6"/>
  <c r="AE937" i="6" s="1"/>
  <c r="AC938" i="6"/>
  <c r="AA939" i="6"/>
  <c r="AH940" i="6"/>
  <c r="AF937" i="6" l="1"/>
  <c r="AG937" i="6" s="1"/>
  <c r="S937" i="6"/>
  <c r="AA940" i="6"/>
  <c r="AH941" i="6"/>
  <c r="AD938" i="6"/>
  <c r="AE938" i="6" s="1"/>
  <c r="AC939" i="6"/>
  <c r="AF938" i="6" l="1"/>
  <c r="AG938" i="6" s="1"/>
  <c r="S938" i="6"/>
  <c r="AA941" i="6"/>
  <c r="AH942" i="6"/>
  <c r="AD939" i="6"/>
  <c r="AE939" i="6" s="1"/>
  <c r="AC940" i="6"/>
  <c r="AF939" i="6" l="1"/>
  <c r="AG939" i="6" s="1"/>
  <c r="S939" i="6"/>
  <c r="AC941" i="6"/>
  <c r="S941" i="6" s="1"/>
  <c r="AD940" i="6"/>
  <c r="AE940" i="6" s="1"/>
  <c r="AA942" i="6"/>
  <c r="AH943" i="6"/>
  <c r="AF940" i="6" l="1"/>
  <c r="AG940" i="6" s="1"/>
  <c r="S940" i="6"/>
  <c r="AA943" i="6"/>
  <c r="AH944" i="6"/>
  <c r="AC942" i="6"/>
  <c r="S942" i="6" s="1"/>
  <c r="AD941" i="6"/>
  <c r="AE941" i="6" s="1"/>
  <c r="AF941" i="6" s="1"/>
  <c r="AG941" i="6" s="1"/>
  <c r="AA944" i="6" l="1"/>
  <c r="AH945" i="6"/>
  <c r="AD942" i="6"/>
  <c r="AE942" i="6" s="1"/>
  <c r="AF942" i="6" s="1"/>
  <c r="AG942" i="6" s="1"/>
  <c r="AC943" i="6"/>
  <c r="S943" i="6" s="1"/>
  <c r="AD943" i="6" l="1"/>
  <c r="AE943" i="6" s="1"/>
  <c r="AF943" i="6" s="1"/>
  <c r="AG943" i="6" s="1"/>
  <c r="AC944" i="6"/>
  <c r="AA945" i="6"/>
  <c r="AH946" i="6"/>
  <c r="AH947" i="6" l="1"/>
  <c r="AA946" i="6"/>
  <c r="AD944" i="6"/>
  <c r="AC945" i="6"/>
  <c r="S945" i="6" s="1"/>
  <c r="AE944" i="6" l="1"/>
  <c r="AF944" i="6" s="1"/>
  <c r="AG944" i="6" s="1"/>
  <c r="S944" i="6"/>
  <c r="AD945" i="6"/>
  <c r="AE945" i="6" s="1"/>
  <c r="AF945" i="6" s="1"/>
  <c r="AG945" i="6" s="1"/>
  <c r="AC946" i="6"/>
  <c r="AA947" i="6"/>
  <c r="AH948" i="6"/>
  <c r="AA948" i="6" l="1"/>
  <c r="AH949" i="6"/>
  <c r="AD946" i="6"/>
  <c r="AC947" i="6"/>
  <c r="AE946" i="6" l="1"/>
  <c r="AF946" i="6" s="1"/>
  <c r="AG946" i="6" s="1"/>
  <c r="S946" i="6"/>
  <c r="AA949" i="6"/>
  <c r="AH950" i="6"/>
  <c r="AD947" i="6"/>
  <c r="AE947" i="6" s="1"/>
  <c r="AC948" i="6"/>
  <c r="AF947" i="6" l="1"/>
  <c r="AG947" i="6" s="1"/>
  <c r="S947" i="6"/>
  <c r="AA950" i="6"/>
  <c r="AH951" i="6"/>
  <c r="AD948" i="6"/>
  <c r="AE948" i="6" s="1"/>
  <c r="AC949" i="6"/>
  <c r="AF948" i="6" l="1"/>
  <c r="AG948" i="6" s="1"/>
  <c r="S948" i="6"/>
  <c r="AD949" i="6"/>
  <c r="AE949" i="6" s="1"/>
  <c r="AF949" i="6" s="1"/>
  <c r="AC950" i="6"/>
  <c r="AA951" i="6"/>
  <c r="AH952" i="6"/>
  <c r="AG949" i="6" l="1"/>
  <c r="S949" i="6"/>
  <c r="AA952" i="6"/>
  <c r="AH953" i="6"/>
  <c r="AD950" i="6"/>
  <c r="AC951" i="6"/>
  <c r="AE950" i="6" l="1"/>
  <c r="AF950" i="6" s="1"/>
  <c r="AG950" i="6" s="1"/>
  <c r="S950" i="6"/>
  <c r="AA953" i="6"/>
  <c r="AH954" i="6"/>
  <c r="AD951" i="6"/>
  <c r="AE951" i="6" s="1"/>
  <c r="AC952" i="6"/>
  <c r="AF951" i="6" l="1"/>
  <c r="AG951" i="6" s="1"/>
  <c r="S951" i="6"/>
  <c r="AD952" i="6"/>
  <c r="AE952" i="6" s="1"/>
  <c r="AC953" i="6"/>
  <c r="AA954" i="6"/>
  <c r="AH955" i="6"/>
  <c r="AF952" i="6" l="1"/>
  <c r="AG952" i="6" s="1"/>
  <c r="S952" i="6"/>
  <c r="AA955" i="6"/>
  <c r="AH956" i="6"/>
  <c r="AD953" i="6"/>
  <c r="AE953" i="6" s="1"/>
  <c r="AC954" i="6"/>
  <c r="AF953" i="6" l="1"/>
  <c r="AG953" i="6" s="1"/>
  <c r="S953" i="6"/>
  <c r="AD954" i="6"/>
  <c r="AE954" i="6" s="1"/>
  <c r="AC955" i="6"/>
  <c r="AA956" i="6"/>
  <c r="AH957" i="6"/>
  <c r="AF954" i="6" l="1"/>
  <c r="AG954" i="6" s="1"/>
  <c r="S954" i="6"/>
  <c r="AA957" i="6"/>
  <c r="AH958" i="6"/>
  <c r="AD955" i="6"/>
  <c r="AE955" i="6" s="1"/>
  <c r="AC956" i="6"/>
  <c r="AF955" i="6" l="1"/>
  <c r="AG955" i="6" s="1"/>
  <c r="S955" i="6"/>
  <c r="AD956" i="6"/>
  <c r="AC957" i="6"/>
  <c r="AA958" i="6"/>
  <c r="AH959" i="6"/>
  <c r="AE956" i="6" l="1"/>
  <c r="AF956" i="6" s="1"/>
  <c r="AG956" i="6" s="1"/>
  <c r="S956" i="6"/>
  <c r="AA959" i="6"/>
  <c r="AH960" i="6"/>
  <c r="AC958" i="6"/>
  <c r="AD957" i="6"/>
  <c r="AE957" i="6" s="1"/>
  <c r="AF957" i="6" l="1"/>
  <c r="AG957" i="6" s="1"/>
  <c r="S957" i="6"/>
  <c r="AD958" i="6"/>
  <c r="AE958" i="6" s="1"/>
  <c r="AC959" i="6"/>
  <c r="AA960" i="6"/>
  <c r="AH961" i="6"/>
  <c r="AF958" i="6" l="1"/>
  <c r="AG958" i="6" s="1"/>
  <c r="S958" i="6"/>
  <c r="AA961" i="6"/>
  <c r="AH962" i="6"/>
  <c r="AC960" i="6"/>
  <c r="AD959" i="6"/>
  <c r="AE959" i="6" s="1"/>
  <c r="AF959" i="6" l="1"/>
  <c r="AG959" i="6" s="1"/>
  <c r="S959" i="6"/>
  <c r="AA962" i="6"/>
  <c r="AH963" i="6"/>
  <c r="AD960" i="6"/>
  <c r="AC961" i="6"/>
  <c r="AE960" i="6" l="1"/>
  <c r="AF960" i="6" s="1"/>
  <c r="AG960" i="6" s="1"/>
  <c r="S960" i="6"/>
  <c r="AD961" i="6"/>
  <c r="AC962" i="6"/>
  <c r="AA963" i="6"/>
  <c r="AH964" i="6"/>
  <c r="AE961" i="6" l="1"/>
  <c r="AF961" i="6" s="1"/>
  <c r="AG961" i="6" s="1"/>
  <c r="S961" i="6"/>
  <c r="AA964" i="6"/>
  <c r="AH965" i="6"/>
  <c r="AD962" i="6"/>
  <c r="AE962" i="6" s="1"/>
  <c r="AC963" i="6"/>
  <c r="AF962" i="6" l="1"/>
  <c r="AG962" i="6" s="1"/>
  <c r="S962" i="6"/>
  <c r="AA965" i="6"/>
  <c r="AH966" i="6"/>
  <c r="AD963" i="6"/>
  <c r="AE963" i="6" s="1"/>
  <c r="AC964" i="6"/>
  <c r="AF963" i="6" l="1"/>
  <c r="AG963" i="6" s="1"/>
  <c r="S963" i="6"/>
  <c r="AD964" i="6"/>
  <c r="AE964" i="6" s="1"/>
  <c r="AC965" i="6"/>
  <c r="AA966" i="6"/>
  <c r="AH967" i="6"/>
  <c r="AF964" i="6" l="1"/>
  <c r="AG964" i="6" s="1"/>
  <c r="S964" i="6"/>
  <c r="AA967" i="6"/>
  <c r="AH968" i="6"/>
  <c r="AD965" i="6"/>
  <c r="AC966" i="6"/>
  <c r="AE965" i="6" l="1"/>
  <c r="AF965" i="6" s="1"/>
  <c r="AG965" i="6" s="1"/>
  <c r="S965" i="6"/>
  <c r="AA968" i="6"/>
  <c r="AH969" i="6"/>
  <c r="AC967" i="6"/>
  <c r="AD966" i="6"/>
  <c r="AE966" i="6" s="1"/>
  <c r="AF966" i="6" l="1"/>
  <c r="AG966" i="6" s="1"/>
  <c r="S966" i="6"/>
  <c r="AA969" i="6"/>
  <c r="AH970" i="6"/>
  <c r="AD967" i="6"/>
  <c r="AE967" i="6" s="1"/>
  <c r="AC968" i="6"/>
  <c r="AF967" i="6" l="1"/>
  <c r="AG967" i="6" s="1"/>
  <c r="S967" i="6"/>
  <c r="AA970" i="6"/>
  <c r="AH971" i="6"/>
  <c r="AD968" i="6"/>
  <c r="AC969" i="6"/>
  <c r="AE968" i="6" l="1"/>
  <c r="AF968" i="6" s="1"/>
  <c r="AG968" i="6" s="1"/>
  <c r="S968" i="6"/>
  <c r="AC970" i="6"/>
  <c r="AD969" i="6"/>
  <c r="AE969" i="6" s="1"/>
  <c r="AA971" i="6"/>
  <c r="AH972" i="6"/>
  <c r="AF969" i="6" l="1"/>
  <c r="AG969" i="6" s="1"/>
  <c r="S969" i="6"/>
  <c r="AA972" i="6"/>
  <c r="AH973" i="6"/>
  <c r="AD970" i="6"/>
  <c r="AE970" i="6" s="1"/>
  <c r="AC971" i="6"/>
  <c r="AF970" i="6" l="1"/>
  <c r="AG970" i="6" s="1"/>
  <c r="S970" i="6"/>
  <c r="AA973" i="6"/>
  <c r="AH974" i="6"/>
  <c r="AC972" i="6"/>
  <c r="AD971" i="6"/>
  <c r="AE971" i="6" l="1"/>
  <c r="AF971" i="6" s="1"/>
  <c r="AG971" i="6" s="1"/>
  <c r="S971" i="6"/>
  <c r="AA974" i="6"/>
  <c r="AH975" i="6"/>
  <c r="AD972" i="6"/>
  <c r="AE972" i="6" s="1"/>
  <c r="AC973" i="6"/>
  <c r="AF972" i="6" l="1"/>
  <c r="AG972" i="6" s="1"/>
  <c r="S972" i="6"/>
  <c r="AA975" i="6"/>
  <c r="AH976" i="6"/>
  <c r="AD973" i="6"/>
  <c r="AE973" i="6" s="1"/>
  <c r="AC974" i="6"/>
  <c r="AF973" i="6" l="1"/>
  <c r="AG973" i="6" s="1"/>
  <c r="S973" i="6"/>
  <c r="AD974" i="6"/>
  <c r="AC975" i="6"/>
  <c r="AA976" i="6"/>
  <c r="AH977" i="6"/>
  <c r="AE974" i="6" l="1"/>
  <c r="AF974" i="6" s="1"/>
  <c r="AG974" i="6" s="1"/>
  <c r="S974" i="6"/>
  <c r="AA977" i="6"/>
  <c r="AH978" i="6"/>
  <c r="AD975" i="6"/>
  <c r="AE975" i="6" s="1"/>
  <c r="AC976" i="6"/>
  <c r="AF975" i="6" l="1"/>
  <c r="AG975" i="6" s="1"/>
  <c r="S975" i="6"/>
  <c r="AA978" i="6"/>
  <c r="AH979" i="6"/>
  <c r="AD976" i="6"/>
  <c r="AE976" i="6" s="1"/>
  <c r="AC977" i="6"/>
  <c r="AF976" i="6" l="1"/>
  <c r="AG976" i="6" s="1"/>
  <c r="S976" i="6"/>
  <c r="AA979" i="6"/>
  <c r="AH980" i="6"/>
  <c r="AD977" i="6"/>
  <c r="AE977" i="6" s="1"/>
  <c r="AC978" i="6"/>
  <c r="AF977" i="6" l="1"/>
  <c r="AG977" i="6" s="1"/>
  <c r="S977" i="6"/>
  <c r="AA980" i="6"/>
  <c r="AH981" i="6"/>
  <c r="AC979" i="6"/>
  <c r="AD978" i="6"/>
  <c r="AE978" i="6" s="1"/>
  <c r="AF978" i="6" l="1"/>
  <c r="AG978" i="6" s="1"/>
  <c r="S978" i="6"/>
  <c r="AA981" i="6"/>
  <c r="AH982" i="6"/>
  <c r="AD979" i="6"/>
  <c r="AE979" i="6" s="1"/>
  <c r="AC980" i="6"/>
  <c r="AF979" i="6" l="1"/>
  <c r="AG979" i="6" s="1"/>
  <c r="S979" i="6"/>
  <c r="AA982" i="6"/>
  <c r="AH983" i="6"/>
  <c r="AD980" i="6"/>
  <c r="AE980" i="6" s="1"/>
  <c r="AC981" i="6"/>
  <c r="AF980" i="6" l="1"/>
  <c r="AG980" i="6" s="1"/>
  <c r="S980" i="6"/>
  <c r="AC982" i="6"/>
  <c r="AD981" i="6"/>
  <c r="AE981" i="6" s="1"/>
  <c r="AA983" i="6"/>
  <c r="AH984" i="6"/>
  <c r="AF981" i="6" l="1"/>
  <c r="AG981" i="6" s="1"/>
  <c r="S981" i="6"/>
  <c r="AA984" i="6"/>
  <c r="AH985" i="6"/>
  <c r="AD982" i="6"/>
  <c r="AE982" i="6" s="1"/>
  <c r="AC983" i="6"/>
  <c r="AF982" i="6" l="1"/>
  <c r="AG982" i="6" s="1"/>
  <c r="S982" i="6"/>
  <c r="AC984" i="6"/>
  <c r="AD983" i="6"/>
  <c r="AE983" i="6" s="1"/>
  <c r="AA985" i="6"/>
  <c r="AH986" i="6"/>
  <c r="AF983" i="6" l="1"/>
  <c r="AG983" i="6" s="1"/>
  <c r="S983" i="6"/>
  <c r="AA986" i="6"/>
  <c r="AH987" i="6"/>
  <c r="AD984" i="6"/>
  <c r="AE984" i="6" s="1"/>
  <c r="AC985" i="6"/>
  <c r="AF984" i="6" l="1"/>
  <c r="AG984" i="6" s="1"/>
  <c r="S984" i="6"/>
  <c r="AD985" i="6"/>
  <c r="AE985" i="6" s="1"/>
  <c r="AC986" i="6"/>
  <c r="AA987" i="6"/>
  <c r="AH988" i="6"/>
  <c r="AF985" i="6" l="1"/>
  <c r="AG985" i="6" s="1"/>
  <c r="S985" i="6"/>
  <c r="AA988" i="6"/>
  <c r="AH989" i="6"/>
  <c r="AD986" i="6"/>
  <c r="AE986" i="6" s="1"/>
  <c r="AC987" i="6"/>
  <c r="AF986" i="6" l="1"/>
  <c r="AG986" i="6" s="1"/>
  <c r="S986" i="6"/>
  <c r="AD987" i="6"/>
  <c r="AE987" i="6" s="1"/>
  <c r="AC988" i="6"/>
  <c r="AA989" i="6"/>
  <c r="AH990" i="6"/>
  <c r="AF987" i="6" l="1"/>
  <c r="AG987" i="6" s="1"/>
  <c r="S987" i="6"/>
  <c r="AA990" i="6"/>
  <c r="AH991" i="6"/>
  <c r="AD988" i="6"/>
  <c r="AE988" i="6" s="1"/>
  <c r="AC989" i="6"/>
  <c r="AF988" i="6" l="1"/>
  <c r="AG988" i="6" s="1"/>
  <c r="S988" i="6"/>
  <c r="AA991" i="6"/>
  <c r="AH992" i="6"/>
  <c r="AD989" i="6"/>
  <c r="AE989" i="6" s="1"/>
  <c r="AC990" i="6"/>
  <c r="AF989" i="6" l="1"/>
  <c r="AG989" i="6" s="1"/>
  <c r="S989" i="6"/>
  <c r="AC991" i="6"/>
  <c r="AD990" i="6"/>
  <c r="AE990" i="6" s="1"/>
  <c r="AA992" i="6"/>
  <c r="AH993" i="6"/>
  <c r="AF990" i="6" l="1"/>
  <c r="AG990" i="6" s="1"/>
  <c r="S990" i="6"/>
  <c r="AA993" i="6"/>
  <c r="AH994" i="6"/>
  <c r="AD991" i="6"/>
  <c r="AE991" i="6" s="1"/>
  <c r="AC992" i="6"/>
  <c r="AF991" i="6" l="1"/>
  <c r="AG991" i="6" s="1"/>
  <c r="S991" i="6"/>
  <c r="AA994" i="6"/>
  <c r="AH995" i="6"/>
  <c r="AD992" i="6"/>
  <c r="AE992" i="6" s="1"/>
  <c r="AC993" i="6"/>
  <c r="AF992" i="6" l="1"/>
  <c r="AG992" i="6" s="1"/>
  <c r="S992" i="6"/>
  <c r="AD993" i="6"/>
  <c r="AE993" i="6" s="1"/>
  <c r="AC994" i="6"/>
  <c r="AA995" i="6"/>
  <c r="AH996" i="6"/>
  <c r="AF993" i="6" l="1"/>
  <c r="AG993" i="6" s="1"/>
  <c r="S993" i="6"/>
  <c r="AA996" i="6"/>
  <c r="AH997" i="6"/>
  <c r="AD994" i="6"/>
  <c r="AE994" i="6" s="1"/>
  <c r="AC995" i="6"/>
  <c r="AF994" i="6" l="1"/>
  <c r="AG994" i="6" s="1"/>
  <c r="S994" i="6"/>
  <c r="AA997" i="6"/>
  <c r="AH998" i="6"/>
  <c r="AC996" i="6"/>
  <c r="AD995" i="6"/>
  <c r="AE995" i="6" l="1"/>
  <c r="AF995" i="6" s="1"/>
  <c r="AG995" i="6" s="1"/>
  <c r="S995" i="6"/>
  <c r="AD996" i="6"/>
  <c r="AE996" i="6" s="1"/>
  <c r="AC997" i="6"/>
  <c r="AA998" i="6"/>
  <c r="AH999" i="6"/>
  <c r="AF996" i="6" l="1"/>
  <c r="AG996" i="6" s="1"/>
  <c r="S996" i="6"/>
  <c r="AA999" i="6"/>
  <c r="AH1000" i="6"/>
  <c r="AD997" i="6"/>
  <c r="AE997" i="6" s="1"/>
  <c r="AC998" i="6"/>
  <c r="AF997" i="6" l="1"/>
  <c r="AG997" i="6" s="1"/>
  <c r="S997" i="6"/>
  <c r="AA1000" i="6"/>
  <c r="AH1001" i="6"/>
  <c r="AD998" i="6"/>
  <c r="AE998" i="6" s="1"/>
  <c r="AC999" i="6"/>
  <c r="AF998" i="6" l="1"/>
  <c r="AG998" i="6" s="1"/>
  <c r="S998" i="6"/>
  <c r="AD999" i="6"/>
  <c r="AE999" i="6" s="1"/>
  <c r="AC1000" i="6"/>
  <c r="AA1001" i="6"/>
  <c r="AH1002" i="6"/>
  <c r="AF999" i="6" l="1"/>
  <c r="AG999" i="6" s="1"/>
  <c r="S999" i="6"/>
  <c r="AA1002" i="6"/>
  <c r="AH1003" i="6"/>
  <c r="AD1000" i="6"/>
  <c r="AE1000" i="6" s="1"/>
  <c r="AC1001" i="6"/>
  <c r="AF1000" i="6" l="1"/>
  <c r="AG1000" i="6" s="1"/>
  <c r="S1000" i="6"/>
  <c r="AD1001" i="6"/>
  <c r="AE1001" i="6" s="1"/>
  <c r="AC1002" i="6"/>
  <c r="AA1003" i="6"/>
  <c r="AH1004" i="6"/>
  <c r="AF1001" i="6" l="1"/>
  <c r="AG1001" i="6" s="1"/>
  <c r="S1001" i="6"/>
  <c r="AA1004" i="6"/>
  <c r="AH1005" i="6"/>
  <c r="AD1002" i="6"/>
  <c r="AE1002" i="6" s="1"/>
  <c r="AC1003" i="6"/>
  <c r="AF1002" i="6" l="1"/>
  <c r="AG1002" i="6" s="1"/>
  <c r="S1002" i="6"/>
  <c r="AA1005" i="6"/>
  <c r="AH1006" i="6"/>
  <c r="AD1003" i="6"/>
  <c r="AE1003" i="6" s="1"/>
  <c r="AC1004" i="6"/>
  <c r="AF1003" i="6" l="1"/>
  <c r="AG1003" i="6" s="1"/>
  <c r="S1003" i="6"/>
  <c r="AA1006" i="6"/>
  <c r="AH1007" i="6"/>
  <c r="AD1004" i="6"/>
  <c r="AE1004" i="6" s="1"/>
  <c r="AC1005" i="6"/>
  <c r="AF1004" i="6" l="1"/>
  <c r="AG1004" i="6" s="1"/>
  <c r="S1004" i="6"/>
  <c r="AD1005" i="6"/>
  <c r="AE1005" i="6" s="1"/>
  <c r="AC1006" i="6"/>
  <c r="AA1007" i="6"/>
  <c r="AH1008" i="6"/>
  <c r="AF1005" i="6" l="1"/>
  <c r="AG1005" i="6" s="1"/>
  <c r="S1005" i="6"/>
  <c r="AA1008" i="6"/>
  <c r="AH1009" i="6"/>
  <c r="AD1006" i="6"/>
  <c r="AE1006" i="6" s="1"/>
  <c r="AC1007" i="6"/>
  <c r="S1007" i="6" s="1"/>
  <c r="AF1006" i="6" l="1"/>
  <c r="AG1006" i="6" s="1"/>
  <c r="S1006" i="6"/>
  <c r="AC1008" i="6"/>
  <c r="AD1007" i="6"/>
  <c r="AE1007" i="6" s="1"/>
  <c r="AF1007" i="6" s="1"/>
  <c r="AG1007" i="6" s="1"/>
  <c r="AA1009" i="6"/>
  <c r="AH1010" i="6"/>
  <c r="AA1010" i="6" l="1"/>
  <c r="AH1011" i="6"/>
  <c r="AD1008" i="6"/>
  <c r="AC1009" i="6"/>
  <c r="AE1008" i="6" l="1"/>
  <c r="AF1008" i="6" s="1"/>
  <c r="AG1008" i="6" s="1"/>
  <c r="S1008" i="6"/>
  <c r="AA1011" i="6"/>
  <c r="AH1012" i="6"/>
  <c r="AD1009" i="6"/>
  <c r="AE1009" i="6" s="1"/>
  <c r="AC1010" i="6"/>
  <c r="S1010" i="6" s="1"/>
  <c r="AF1009" i="6" l="1"/>
  <c r="AG1009" i="6" s="1"/>
  <c r="S1009" i="6"/>
  <c r="AA1012" i="6"/>
  <c r="AH1013" i="6"/>
  <c r="AD1010" i="6"/>
  <c r="AE1010" i="6" s="1"/>
  <c r="AF1010" i="6" s="1"/>
  <c r="AG1010" i="6" s="1"/>
  <c r="AC1011" i="6"/>
  <c r="AD1011" i="6" l="1"/>
  <c r="AC1012" i="6"/>
  <c r="S1012" i="6" s="1"/>
  <c r="AA1013" i="6"/>
  <c r="AH1014" i="6"/>
  <c r="AE1011" i="6" l="1"/>
  <c r="AF1011" i="6" s="1"/>
  <c r="AG1011" i="6" s="1"/>
  <c r="S1011" i="6"/>
  <c r="AA1014" i="6"/>
  <c r="AH1015" i="6"/>
  <c r="AD1012" i="6"/>
  <c r="AE1012" i="6" s="1"/>
  <c r="AF1012" i="6" s="1"/>
  <c r="AG1012" i="6" s="1"/>
  <c r="AC1013" i="6"/>
  <c r="AA1015" i="6" l="1"/>
  <c r="AH1016" i="6"/>
  <c r="AD1013" i="6"/>
  <c r="AC1014" i="6"/>
  <c r="AE1013" i="6" l="1"/>
  <c r="AF1013" i="6" s="1"/>
  <c r="AG1013" i="6" s="1"/>
  <c r="S1013" i="6"/>
  <c r="AD1014" i="6"/>
  <c r="AC1015" i="6"/>
  <c r="S1015" i="6" s="1"/>
  <c r="AA1016" i="6"/>
  <c r="AH1017" i="6"/>
  <c r="AE1014" i="6" l="1"/>
  <c r="AF1014" i="6" s="1"/>
  <c r="AG1014" i="6" s="1"/>
  <c r="S1014" i="6"/>
  <c r="AA1017" i="6"/>
  <c r="AH1018" i="6"/>
  <c r="AD1015" i="6"/>
  <c r="AE1015" i="6" s="1"/>
  <c r="AF1015" i="6" s="1"/>
  <c r="AG1015" i="6" s="1"/>
  <c r="AC1016" i="6"/>
  <c r="AA1018" i="6" l="1"/>
  <c r="AH1019" i="6"/>
  <c r="AD1016" i="6"/>
  <c r="AC1017" i="6"/>
  <c r="AE1016" i="6" l="1"/>
  <c r="AF1016" i="6" s="1"/>
  <c r="AG1016" i="6" s="1"/>
  <c r="S1016" i="6"/>
  <c r="AD1017" i="6"/>
  <c r="AC1018" i="6"/>
  <c r="AA1019" i="6"/>
  <c r="AH1020" i="6"/>
  <c r="AE1017" i="6" l="1"/>
  <c r="AF1017" i="6" s="1"/>
  <c r="AG1017" i="6" s="1"/>
  <c r="S1017" i="6"/>
  <c r="AA1020" i="6"/>
  <c r="AH1021" i="6"/>
  <c r="AD1018" i="6"/>
  <c r="AC1019" i="6"/>
  <c r="S1019" i="6" s="1"/>
  <c r="AE1018" i="6" l="1"/>
  <c r="AF1018" i="6" s="1"/>
  <c r="AG1018" i="6" s="1"/>
  <c r="S1018" i="6"/>
  <c r="AA1021" i="6"/>
  <c r="AH1022" i="6"/>
  <c r="AC1020" i="6"/>
  <c r="AD1019" i="6"/>
  <c r="AE1019" i="6" s="1"/>
  <c r="AF1019" i="6" s="1"/>
  <c r="AG1019" i="6" s="1"/>
  <c r="AA1022" i="6" l="1"/>
  <c r="AH1023" i="6"/>
  <c r="AD1020" i="6"/>
  <c r="AC1021" i="6"/>
  <c r="AE1020" i="6" l="1"/>
  <c r="AF1020" i="6" s="1"/>
  <c r="AG1020" i="6" s="1"/>
  <c r="S1020" i="6"/>
  <c r="AA1023" i="6"/>
  <c r="AH1024" i="6"/>
  <c r="AD1021" i="6"/>
  <c r="AC1022" i="6"/>
  <c r="AE1021" i="6" l="1"/>
  <c r="AF1021" i="6" s="1"/>
  <c r="AG1021" i="6" s="1"/>
  <c r="S1021" i="6"/>
  <c r="AD1022" i="6"/>
  <c r="AE1022" i="6" s="1"/>
  <c r="AC1023" i="6"/>
  <c r="AA1024" i="6"/>
  <c r="AH1025" i="6"/>
  <c r="AF1022" i="6" l="1"/>
  <c r="AG1022" i="6" s="1"/>
  <c r="S1022" i="6"/>
  <c r="AA1025" i="6"/>
  <c r="AH1026" i="6"/>
  <c r="AD1023" i="6"/>
  <c r="AC1024" i="6"/>
  <c r="S1024" i="6" s="1"/>
  <c r="AE1023" i="6" l="1"/>
  <c r="AF1023" i="6" s="1"/>
  <c r="AG1023" i="6" s="1"/>
  <c r="S1023" i="6"/>
  <c r="AA1026" i="6"/>
  <c r="AH1027" i="6"/>
  <c r="AC1025" i="6"/>
  <c r="AD1024" i="6"/>
  <c r="AE1024" i="6" s="1"/>
  <c r="AF1024" i="6" s="1"/>
  <c r="AG1024" i="6" s="1"/>
  <c r="AD1025" i="6" l="1"/>
  <c r="AC1026" i="6"/>
  <c r="AA1027" i="6"/>
  <c r="AH1028" i="6"/>
  <c r="AE1025" i="6" l="1"/>
  <c r="AF1025" i="6" s="1"/>
  <c r="AG1025" i="6" s="1"/>
  <c r="S1025" i="6"/>
  <c r="AA1028" i="6"/>
  <c r="AH1029" i="6"/>
  <c r="AA1029" i="6" s="1"/>
  <c r="AD1026" i="6"/>
  <c r="AC1027" i="6"/>
  <c r="AE1026" i="6" l="1"/>
  <c r="AF1026" i="6" s="1"/>
  <c r="AG1026" i="6" s="1"/>
  <c r="S1026" i="6"/>
  <c r="AD1027" i="6"/>
  <c r="AE1027" i="6" s="1"/>
  <c r="AC1028" i="6"/>
  <c r="AF1027" i="6" l="1"/>
  <c r="AG1027" i="6" s="1"/>
  <c r="S1027" i="6"/>
  <c r="AD1028" i="6"/>
  <c r="AC1029" i="6"/>
  <c r="AD1029" i="6" l="1"/>
  <c r="AE1029" i="6" s="1"/>
  <c r="AE1028" i="6"/>
  <c r="AF1028" i="6" s="1"/>
  <c r="AG1028" i="6" s="1"/>
  <c r="S1028" i="6"/>
  <c r="AF1029" i="6" l="1"/>
  <c r="AG1029" i="6" s="1"/>
  <c r="S1029" i="6"/>
  <c r="N2" i="6" s="1"/>
  <c r="E2" i="6" l="1"/>
  <c r="G22" i="9"/>
  <c r="H22" i="9" l="1"/>
  <c r="C28" i="3" s="1"/>
  <c r="G24" i="9"/>
  <c r="H24" i="9" s="1"/>
  <c r="C32" i="3" s="1"/>
</calcChain>
</file>

<file path=xl/sharedStrings.xml><?xml version="1.0" encoding="utf-8"?>
<sst xmlns="http://schemas.openxmlformats.org/spreadsheetml/2006/main" count="14995" uniqueCount="3462">
  <si>
    <t>2021 SHARED ASSESSMENTS STANDARDIZED INFORMATION GATHERING (SIG) QUESTIONNAIRE</t>
  </si>
  <si>
    <t>The SIG Questionnaire Tools are a comprehensive questionnaire management interface that lets you build, customize, store and automatically analyze SIG questionnaires and their associated evidence requirements all in one place. It is built on a holistic set of industry best practices for gathering and assessing 18 critical control domains including information technology, cybersecurity, privacy, resiliency and compliance risks and their corresponding controls. Service providers can also use SIG Questionnaires to reduce assessment fatigue by proactively supplying their own SIGs to Outsourcers.</t>
  </si>
  <si>
    <t xml:space="preserve">© 2020, 2021 The Santa Fe Group, Shared Assessments Program. All rights reserved. </t>
  </si>
  <si>
    <r>
      <rPr>
        <sz val="11"/>
        <color rgb="FF756762"/>
        <rFont val="Calibri"/>
        <family val="2"/>
        <scheme val="minor"/>
      </rPr>
      <t xml:space="preserve">Documents created under the Shared Assessments Program may be downloaded from the official Shared Assessments Program website at </t>
    </r>
    <r>
      <rPr>
        <u/>
        <sz val="11"/>
        <color theme="10"/>
        <rFont val="Calibri"/>
        <family val="2"/>
        <scheme val="minor"/>
      </rPr>
      <t>SharedAssessments.org</t>
    </r>
    <r>
      <rPr>
        <sz val="11"/>
        <color rgb="FF756762"/>
        <rFont val="Calibri"/>
        <family val="2"/>
        <scheme val="minor"/>
      </rPr>
      <t>.</t>
    </r>
  </si>
  <si>
    <t>While retaining copyrights, the Shared Assessments Program makes specific documents available via license for assessments and other uses. Individuals and organizations should review the terms of use prior to downloading, copying, using or modifying Shared Assessment Program documents.</t>
  </si>
  <si>
    <t>This notice must be included on any copy of the Shared Assessments Program documents, excluding Assessors' or consultants' reports.</t>
  </si>
  <si>
    <r>
      <rPr>
        <sz val="11"/>
        <color rgb="FF756762"/>
        <rFont val="Calibri"/>
        <family val="2"/>
        <scheme val="minor"/>
      </rPr>
      <t xml:space="preserve">The Shared Assessments Program is administered by The Santa Fe Group at </t>
    </r>
    <r>
      <rPr>
        <u/>
        <sz val="11"/>
        <color theme="10"/>
        <rFont val="Calibri"/>
        <family val="2"/>
        <scheme val="minor"/>
      </rPr>
      <t>Santa-Fe-Group.com</t>
    </r>
    <r>
      <rPr>
        <sz val="11"/>
        <color rgb="FF756762"/>
        <rFont val="Calibri"/>
        <family val="2"/>
        <scheme val="minor"/>
      </rPr>
      <t>.</t>
    </r>
  </si>
  <si>
    <r>
      <rPr>
        <sz val="11"/>
        <color rgb="FF756762"/>
        <rFont val="Calibri"/>
        <family val="2"/>
        <scheme val="minor"/>
      </rPr>
      <t xml:space="preserve">Please refer to the support documentation provided on how to use this workbook. If you have additional questions or issues, please go to </t>
    </r>
    <r>
      <rPr>
        <u/>
        <sz val="11"/>
        <color theme="10"/>
        <rFont val="Calibri"/>
        <family val="2"/>
        <scheme val="minor"/>
      </rPr>
      <t>SharedAssessments.org/tools-support/</t>
    </r>
    <r>
      <rPr>
        <sz val="11"/>
        <color rgb="FF756762"/>
        <rFont val="Calibri"/>
        <family val="2"/>
        <scheme val="minor"/>
      </rPr>
      <t>.</t>
    </r>
  </si>
  <si>
    <r>
      <rPr>
        <sz val="11"/>
        <color rgb="FF756762"/>
        <rFont val="Calibri"/>
        <family val="2"/>
        <scheme val="minor"/>
      </rPr>
      <t xml:space="preserve">To learn more about our education offerings or sign up for one of our workshops please go to </t>
    </r>
    <r>
      <rPr>
        <u/>
        <sz val="11"/>
        <color theme="10"/>
        <rFont val="Calibri"/>
        <family val="2"/>
        <scheme val="minor"/>
      </rPr>
      <t>SharedAssessments.org</t>
    </r>
    <r>
      <rPr>
        <sz val="11"/>
        <color rgb="FF756762"/>
        <rFont val="Calibri"/>
        <family val="2"/>
        <scheme val="minor"/>
      </rPr>
      <t>.</t>
    </r>
  </si>
  <si>
    <r>
      <rPr>
        <sz val="11"/>
        <color rgb="FF756762"/>
        <rFont val="Calibri"/>
        <family val="2"/>
        <scheme val="minor"/>
      </rPr>
      <t xml:space="preserve">If you are interested in learning more about the Shared Assessments Program and would like us to contact you, email us at </t>
    </r>
    <r>
      <rPr>
        <u/>
        <sz val="11"/>
        <color theme="10"/>
        <rFont val="Calibri"/>
        <family val="2"/>
        <scheme val="minor"/>
      </rPr>
      <t>info@SharedAssessments.org</t>
    </r>
    <r>
      <rPr>
        <sz val="11"/>
        <color rgb="FF756762"/>
        <rFont val="Calibri"/>
        <family val="2"/>
        <scheme val="minor"/>
      </rPr>
      <t>.</t>
    </r>
  </si>
  <si>
    <t>Terms of Use</t>
  </si>
  <si>
    <t>2021 SHARED ASSESSMENTS STANDARDIZED INFORMATION GATHERING (SIG) QUESTIONNAIRE TOOLS (2021 SIG)</t>
  </si>
  <si>
    <t>The Shared Assessments Program ("Program") maintains, promotes and facilitates the use of the Standardized Information Gathering ("SIG") questionnaire documents and other Program resource documents.</t>
  </si>
  <si>
    <t>The Shared Assessments Program attaches the following conditions to individuals and organizations downloading, copying and/or using the Program Documents:</t>
  </si>
  <si>
    <t>- No modifications may be made to the Program documents without the express written permission of the Shared Assessments Program and The Santa Fe Group.</t>
  </si>
  <si>
    <r>
      <rPr>
        <sz val="11"/>
        <color rgb="FF756762"/>
        <rFont val="Calibri"/>
        <family val="2"/>
        <scheme val="minor"/>
      </rPr>
      <t xml:space="preserve">- Organizations must notify The Santa Fe Group at </t>
    </r>
    <r>
      <rPr>
        <u/>
        <sz val="11"/>
        <color theme="10"/>
        <rFont val="Calibri"/>
        <family val="2"/>
        <scheme val="minor"/>
      </rPr>
      <t>info@SharedAssessments.org</t>
    </r>
    <r>
      <rPr>
        <sz val="11"/>
        <color rgb="FF756762"/>
        <rFont val="Calibri"/>
        <family val="2"/>
        <scheme val="minor"/>
      </rPr>
      <t xml:space="preserve"> of their reasons for the modifications and make the modifications available for review and approval as additions and/or modifications to the current version of the documents.</t>
    </r>
  </si>
  <si>
    <t>- Copyright and all other intellectual property or proprietary rights in any modifications to the Shared Assessments Program documents shall belong to the Shared Assessments Program and The Santa Fe Group.</t>
  </si>
  <si>
    <t>- Organizations or persons who wish to incorporate the Shared Assessments Program tools into a software product offered for license or sale must first obtain a separate license from the Shared Assessments Program.</t>
  </si>
  <si>
    <t>The Program documents have been developed as tools for information security, privacy and business continuity compliance. They are based on general information security and privacy laws, regulation, principles, frameworks, audit programs, seal programs and regulatory guidance from various jurisdictions and do not constitute legal advice or an exhaustive list of questions or procedures covering all the information security or privacy laws in the US, or rest of the world, that may apply to a service provider. Each user should consult counsel on a case-by-case basis to ensure compliance with all applicable information security and privacy laws, regulations, policies and standards.</t>
  </si>
  <si>
    <t>THE SHARED ASSESSMENTS PROGRAM DOCUMENTS ARE PROVIDED "AS IS" AND ANY EXPRESSED OR IMPLIED WARRANTIES, INCLUDING, BUT NOT LIMITED TO, THE IMPLIED WARRANTIES OF MERCHANTABILITY AND FITNESS FOR A PARTICULAR PURPOSE, ARE DISCLAIMED. IN NO EVENT SHALL THE SANTA FE GROUP, OR THE SHARED ASSESSMENTS PROGRAM, ITS SPONSORS OR PROGRAM MEMBERS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SHARED ASSESSMENTS PROGRAM DOCUMENTS, EVEN IF ADVISED OF THE POSSIBILITY OF SUCH DAMAGE.</t>
  </si>
  <si>
    <t>ASSESSEE INSTRUCTIONS FOR SIG QUESTIONNAIRE COMPLETION:</t>
  </si>
  <si>
    <t>ISSUER/OUTSOURCER ADDITIONAL INFORMATION</t>
  </si>
  <si>
    <r>
      <rPr>
        <b/>
        <u/>
        <sz val="11"/>
        <color rgb="FFBC6225"/>
        <rFont val="Calibri"/>
        <family val="2"/>
        <scheme val="minor"/>
      </rPr>
      <t>Before You Start:</t>
    </r>
    <r>
      <rPr>
        <sz val="11"/>
        <color rgb="FF756762"/>
        <rFont val="Calibri"/>
        <family val="2"/>
        <scheme val="minor"/>
      </rPr>
      <t xml:space="preserve"> Review the instructions provided by your Issuer/Outsourcer on how to answer the SIG. Issuer/Outsourcer should provide you with the scope of services for which to provide responses. The SIG is complex. If you did not receive instructions from your Issuer/Outsourcer it is recommended that you contact them before you start and seek guidance on how to proceed with the SIG to meet their needs.</t>
    </r>
  </si>
  <si>
    <t>Don't be overwhelmed by the volume of questions. Some are filtering questions to remove out of scope services or have a question hierarchy to reduce the need to complete items that are NA. Primary or ‘parent’ questions, indicated in bold, are followed by numbered sub or ‘child’ questions. If a parent question is answered Yes, child questions will display. There can be up to four generations of questions below a parent question.</t>
  </si>
  <si>
    <r>
      <rPr>
        <b/>
        <u/>
        <sz val="11"/>
        <color rgb="FFBC6225"/>
        <rFont val="Calibri"/>
        <family val="2"/>
        <scheme val="minor"/>
      </rPr>
      <t>NOTE:</t>
    </r>
    <r>
      <rPr>
        <sz val="11"/>
        <color rgb="FF756762"/>
        <rFont val="Calibri"/>
        <family val="2"/>
        <scheme val="minor"/>
      </rPr>
      <t xml:space="preserve"> To display all of the questions (parent, child, grandchild, etc.) disable macros when opening the file or select Disable from the Tab Automation dropdown on each risk domain tab.</t>
    </r>
  </si>
  <si>
    <t>Steps for each SIG Worksheet:</t>
  </si>
  <si>
    <r>
      <t xml:space="preserve">   </t>
    </r>
    <r>
      <rPr>
        <b/>
        <u/>
        <sz val="11"/>
        <color rgb="FFBC6225"/>
        <rFont val="Calibri"/>
        <family val="2"/>
        <scheme val="minor"/>
      </rPr>
      <t>1)</t>
    </r>
    <r>
      <rPr>
        <sz val="11"/>
        <color rgb="FF756762"/>
        <rFont val="Calibri"/>
        <family val="2"/>
        <scheme val="minor"/>
      </rPr>
      <t xml:space="preserve"> Complete the Business Information tab: Open the tab and complete all of the grey fields. It is 
       recommended that you provide as much detail as possible in your responses.</t>
    </r>
  </si>
  <si>
    <r>
      <t xml:space="preserve">   </t>
    </r>
    <r>
      <rPr>
        <b/>
        <u/>
        <sz val="11"/>
        <color rgb="FFBC6225"/>
        <rFont val="Calibri"/>
        <family val="2"/>
        <scheme val="minor"/>
      </rPr>
      <t>2)</t>
    </r>
    <r>
      <rPr>
        <sz val="11"/>
        <color rgb="FF756762"/>
        <rFont val="Calibri"/>
        <family val="2"/>
        <scheme val="minor"/>
      </rPr>
      <t xml:space="preserve"> Review and Complete the Documentation tab: Open the Documentation tab. Review the list of documents
      and compile all of the appropriate corporate policies and processes as listed on this tab. List the
      document’s name in the gray field to correspond to the appropriate document list. This will allow the
      Outsourcer to identify the documents provided along with the completed SIG. Compile the documentation
      requested on the Documentation tab and update the tab with the documents provided.</t>
    </r>
  </si>
  <si>
    <r>
      <t xml:space="preserve">   </t>
    </r>
    <r>
      <rPr>
        <b/>
        <u/>
        <sz val="11"/>
        <color rgb="FFBC6225"/>
        <rFont val="Calibri"/>
        <family val="2"/>
        <scheme val="minor"/>
      </rPr>
      <t>3)</t>
    </r>
    <r>
      <rPr>
        <sz val="11"/>
        <color rgb="FF756762"/>
        <rFont val="Calibri"/>
        <family val="2"/>
        <scheme val="minor"/>
      </rPr>
      <t xml:space="preserve"> Answer the Questions in each Risk Domain tab:</t>
    </r>
  </si>
  <si>
    <t xml:space="preserve">      • The background color will change depending on the response provided.</t>
  </si>
  <si>
    <t xml:space="preserve">      • If Excel macros are enabled, then Child questions will either be displayed if the response is Yes or
         hidden if the response is No or N/A.</t>
  </si>
  <si>
    <t xml:space="preserve">      • If the question is a Parent question and the response is No or N/ A, then the background will change to
         the associated color for all Child and Grandchild questions of that Parent.</t>
  </si>
  <si>
    <t xml:space="preserve">      • When selecting an N/A response, commentary must be entered in the Additional Information field
         explaining why that question is not applicable.</t>
  </si>
  <si>
    <t xml:space="preserve">      • The progress bar at the top of the page shows the percentage of questions completed for a given tab.</t>
  </si>
  <si>
    <r>
      <t xml:space="preserve">   </t>
    </r>
    <r>
      <rPr>
        <b/>
        <u/>
        <sz val="11"/>
        <color rgb="FFBC6225"/>
        <rFont val="Calibri"/>
        <family val="2"/>
        <scheme val="minor"/>
      </rPr>
      <t>4)</t>
    </r>
    <r>
      <rPr>
        <sz val="11"/>
        <color rgb="FF756762"/>
        <rFont val="Calibri"/>
        <family val="2"/>
        <scheme val="minor"/>
      </rPr>
      <t xml:space="preserve"> Use the Additional Information fields to provide any additional description, explanation, or information
       as needed. An explanation is required for N/A responses.</t>
    </r>
  </si>
  <si>
    <r>
      <t xml:space="preserve">   </t>
    </r>
    <r>
      <rPr>
        <b/>
        <u/>
        <sz val="11"/>
        <color rgb="FFBC6225"/>
        <rFont val="Calibri"/>
        <family val="2"/>
        <scheme val="minor"/>
      </rPr>
      <t>5)</t>
    </r>
    <r>
      <rPr>
        <sz val="11"/>
        <color rgb="FF756762"/>
        <rFont val="Calibri"/>
        <family val="2"/>
        <scheme val="minor"/>
      </rPr>
      <t xml:space="preserve"> Sending the Completed SIG: Once all of the answers have been entered, send the completed SIG and all
       policy/process documents compiled in Step 1-3 to the Outsourcer according to the instructions you have
       been provided.</t>
    </r>
  </si>
  <si>
    <t>Question Numbering</t>
  </si>
  <si>
    <t>Glossary:</t>
  </si>
  <si>
    <t>There may be gaps in the question numbering depending on how the Issuer/Outsourcer scoped the SIG.</t>
  </si>
  <si>
    <r>
      <rPr>
        <sz val="11"/>
        <color rgb="FF756762"/>
        <rFont val="Calibri"/>
        <family val="2"/>
        <scheme val="minor"/>
      </rPr>
      <t xml:space="preserve">For definitions of terms within this document, please refer to the following link:
</t>
    </r>
    <r>
      <rPr>
        <u/>
        <sz val="11"/>
        <color indexed="12"/>
        <rFont val="Calibri"/>
        <family val="2"/>
        <scheme val="minor"/>
      </rPr>
      <t>https://sharedassessments.org/glossary</t>
    </r>
  </si>
  <si>
    <t>Dashboard</t>
  </si>
  <si>
    <t>The Dashboard provides you with a quick and easy reference to determine the percentage of completion for the required sections of the SIG. As questions are answered, either directly or by being pre-filled, the Dashboard will track the completion percentage of each section.</t>
  </si>
  <si>
    <t>Tabs</t>
  </si>
  <si>
    <t>% Comp</t>
  </si>
  <si>
    <t>Please wait for the SIG to update...</t>
  </si>
  <si>
    <t>Response Cell Background Color Coding (All tabs)</t>
  </si>
  <si>
    <t>Resp</t>
  </si>
  <si>
    <t>Copyright</t>
  </si>
  <si>
    <t>N/A</t>
  </si>
  <si>
    <t>Response Required (cells with a gray background are editable)</t>
  </si>
  <si>
    <t>Instructions</t>
  </si>
  <si>
    <t>Yes Response</t>
  </si>
  <si>
    <t>Yes</t>
  </si>
  <si>
    <t>Business Information</t>
  </si>
  <si>
    <t>No Response</t>
  </si>
  <si>
    <t>No</t>
  </si>
  <si>
    <t>Documentation</t>
  </si>
  <si>
    <t>N/A Response</t>
  </si>
  <si>
    <t>A. Risk Assessment and Treatment</t>
  </si>
  <si>
    <t>B. Security Policy</t>
  </si>
  <si>
    <t>C. Organizational Security</t>
  </si>
  <si>
    <t>Response Type</t>
  </si>
  <si>
    <t>D. Asset and Information Management</t>
  </si>
  <si>
    <t>Binary</t>
  </si>
  <si>
    <t>E. Human Resource Security</t>
  </si>
  <si>
    <t>F. Physical and Environmental Security</t>
  </si>
  <si>
    <t>G. IT Operations Management</t>
  </si>
  <si>
    <t>H. Access Control</t>
  </si>
  <si>
    <t>I. Application Security</t>
  </si>
  <si>
    <t>J. Incident Event and Communications Management</t>
  </si>
  <si>
    <t>K. Business Resiliency</t>
  </si>
  <si>
    <t>L. Compliance</t>
  </si>
  <si>
    <t>M. End User Device Security</t>
  </si>
  <si>
    <t>N. Network Security</t>
  </si>
  <si>
    <t>P. Privacy</t>
  </si>
  <si>
    <t>T. Threat Management</t>
  </si>
  <si>
    <t>U. Server Security</t>
  </si>
  <si>
    <t>V. Cloud Hosting</t>
  </si>
  <si>
    <t>Z. Additional Questions</t>
  </si>
  <si>
    <t>SIG 2021</t>
  </si>
  <si>
    <t>Glossary</t>
  </si>
  <si>
    <t>Formula Notes</t>
  </si>
  <si>
    <t>Full</t>
  </si>
  <si>
    <t>SIG Total</t>
  </si>
  <si>
    <t>Serial No</t>
  </si>
  <si>
    <t>Count</t>
  </si>
  <si>
    <t>Progress:</t>
  </si>
  <si>
    <t>Question/Request</t>
  </si>
  <si>
    <t>Assessee Name</t>
  </si>
  <si>
    <t>Information Security</t>
  </si>
  <si>
    <t>Assessee Job Title</t>
  </si>
  <si>
    <t>Sr. Director of Information Security</t>
  </si>
  <si>
    <t>Assessee Contact Information</t>
  </si>
  <si>
    <t>security@seismic.com</t>
  </si>
  <si>
    <t>Names and titles/functions of individuals who contributed to this questionnaire</t>
  </si>
  <si>
    <t>Same as above</t>
  </si>
  <si>
    <t>Date of Response</t>
  </si>
  <si>
    <t>Company Profile</t>
  </si>
  <si>
    <t>Name of the holding or parent company</t>
  </si>
  <si>
    <t>Seismic Software</t>
  </si>
  <si>
    <t>Company/business name</t>
  </si>
  <si>
    <t>Lessonly by Seismic</t>
  </si>
  <si>
    <t>Publicly or privately held company</t>
  </si>
  <si>
    <t>Privately held</t>
  </si>
  <si>
    <t>If public, what is the name of the Exchange</t>
  </si>
  <si>
    <t>If public, what is the trading symbol</t>
  </si>
  <si>
    <t>Type of legal entity and state of incorporation</t>
  </si>
  <si>
    <t>C-Corp, Delaware</t>
  </si>
  <si>
    <t>How long has the company been in business</t>
  </si>
  <si>
    <t>Since 2014</t>
  </si>
  <si>
    <t>Are there any material claims or judgments against the company</t>
  </si>
  <si>
    <t>If yes, describe the impact it may have on the services in scope of this document</t>
  </si>
  <si>
    <t>Has your company suffered a data loss or security breach within the last 3 years</t>
  </si>
  <si>
    <t>If yes, please describe the loss or breach</t>
  </si>
  <si>
    <t>Has any of your Third Party Vendors suffered a data loss or security breach within the last 3 years</t>
  </si>
  <si>
    <t>Not to our knowledge</t>
  </si>
  <si>
    <t>Scope</t>
  </si>
  <si>
    <t xml:space="preserve">Are the answers in this questionnaire for only one facility or geographic location If yes, provide description of physical location (address, city, state, country) </t>
  </si>
  <si>
    <t>Backup site physical address</t>
  </si>
  <si>
    <t>AWS East-1</t>
  </si>
  <si>
    <t>Any additional locations where Scoped Systems and Data are stored</t>
  </si>
  <si>
    <t>If yes, provide each location (address, city, state, country)</t>
  </si>
  <si>
    <t>Are the answers to this questionnaire for only one specific type of service If yes, describe the service</t>
  </si>
  <si>
    <t>SaaS</t>
  </si>
  <si>
    <t>Are software applications provided</t>
  </si>
  <si>
    <t>List the applications provided that are in scope</t>
  </si>
  <si>
    <t>Identify the applications which are covered by the secure software development lifecycle</t>
  </si>
  <si>
    <t>What type of software is being provided, select all that apply from the list below:</t>
  </si>
  <si>
    <t>Commercial Off-The-Shelf (COTS)</t>
  </si>
  <si>
    <t>Custom Developed</t>
  </si>
  <si>
    <t xml:space="preserve">Cloud </t>
  </si>
  <si>
    <t>Mobile</t>
  </si>
  <si>
    <t>Open Source Software</t>
  </si>
  <si>
    <t>Other</t>
  </si>
  <si>
    <t>Does your company require approval prior to submitting the responses and documentation associated with this document</t>
  </si>
  <si>
    <t>If yes, describe your approval process and the individual who approves the submission</t>
  </si>
  <si>
    <t>Does this SIG include Cloud Hosting services</t>
  </si>
  <si>
    <t>What service hosting models are provided as part of this service:</t>
  </si>
  <si>
    <t>Data center: single tenancy</t>
  </si>
  <si>
    <t>Co-location: dedicated server</t>
  </si>
  <si>
    <t>Web Hosting</t>
  </si>
  <si>
    <t>File Hosting</t>
  </si>
  <si>
    <t>Continuous</t>
  </si>
  <si>
    <t>Cloud Hosting: (eg, AWS, Azure, Google, etc)</t>
  </si>
  <si>
    <t>What Cloud Hosting Tiers are provided as part of this service:</t>
  </si>
  <si>
    <t>Software as a Service (SaaS)</t>
  </si>
  <si>
    <t>Infrastructure as a Service (IaaS)</t>
  </si>
  <si>
    <t>What deployment models are provided (select all that apply):</t>
  </si>
  <si>
    <t>Private cloud</t>
  </si>
  <si>
    <t>Public cloud</t>
  </si>
  <si>
    <t>Community cloud</t>
  </si>
  <si>
    <t>Hybrid cloud</t>
  </si>
  <si>
    <r>
      <t>Documentation</t>
    </r>
    <r>
      <rPr>
        <sz val="11"/>
        <color theme="0"/>
        <rFont val="Calibri"/>
        <family val="2"/>
        <scheme val="minor"/>
      </rPr>
      <t xml:space="preserve">
Use this section to request any specific documentation you want the Assessee to provide along with the SIG</t>
    </r>
  </si>
  <si>
    <t>SN</t>
  </si>
  <si>
    <t>Document Request</t>
  </si>
  <si>
    <t>Domain</t>
  </si>
  <si>
    <t>SCA Reference</t>
  </si>
  <si>
    <t>Document Access</t>
  </si>
  <si>
    <t>Documentation Description</t>
  </si>
  <si>
    <t>Documentation that defines the Enterprise Risk Management program requirements (i.e., Enterprise risk governance plan, policies and procedures)</t>
  </si>
  <si>
    <t>A. Risk Assessment &amp; Treatment</t>
  </si>
  <si>
    <t>A.1</t>
  </si>
  <si>
    <t>Documentation that defines the organization's risk assessment lifecycle. Inventory/register of applicable risks and controls included in the risk management program</t>
  </si>
  <si>
    <t>A.2</t>
  </si>
  <si>
    <t>Documentation that defines oversight functions and procedures accountable for compliance with legal, regulatory, and standards obligations</t>
  </si>
  <si>
    <t>A.3</t>
  </si>
  <si>
    <t>Documentation that defines the IT risk assessment process requirements for systems and critical business processes, including a list of critical business processes related to the services provided</t>
  </si>
  <si>
    <t>A.4</t>
  </si>
  <si>
    <t>Documentation that defines the organization's third party risk management program and assessment requirements e.g., policies, standards, procedures. Documentation and evidence of the structure and maintenance of the organization's third party inventory and vendor classification</t>
  </si>
  <si>
    <t>A.5</t>
  </si>
  <si>
    <t>Documentation that describes the organization's process for addressing security contract clauses within service provider agreements and provides evidence that the organization's required security requirements (e.g., standard provisions, model contracts, contract term database) have been included in its vendor contracting process. Documentation that defines the organization's guidelines and process for management and approval of exception handling for required contract terms</t>
  </si>
  <si>
    <t>A.6</t>
  </si>
  <si>
    <t>Documentation that defines the requirements for subcontractor selection and management</t>
  </si>
  <si>
    <t>A.7</t>
  </si>
  <si>
    <t>A list of the critical subcontractors and evidence of the execution of the standard contract provisions, master services agreements in place for identified critical subcontractor relationships that are required for the delivery of the services</t>
  </si>
  <si>
    <t>A.8</t>
  </si>
  <si>
    <t>Documentation that defines the requirements for the assessment process that is in place to manage information security of its subcontractors</t>
  </si>
  <si>
    <t>A.9</t>
  </si>
  <si>
    <t>A copy of the formal criteria and methodology used to identify the inherent risk associated to a subcontractor</t>
  </si>
  <si>
    <t>A.10</t>
  </si>
  <si>
    <t>Documentation that reflects the logging, tracking and risk rating of subcontractor issues</t>
  </si>
  <si>
    <t>A.11</t>
  </si>
  <si>
    <t>Documentation of the organization's information security policies</t>
  </si>
  <si>
    <t>B.1</t>
  </si>
  <si>
    <t>Documentation of the organization's information security standards</t>
  </si>
  <si>
    <t>B.2</t>
  </si>
  <si>
    <t>A copy of its current, approved Information Security (IS) organizational document, including IS roles and responsibilities</t>
  </si>
  <si>
    <t>C.1</t>
  </si>
  <si>
    <t>Documentation that defines the Information Asset Management Program e.g., policies, procedures or standards. Documentation that defines Data Classification and Data Handling procedures in place e.g., policies, standards</t>
  </si>
  <si>
    <t>D.1</t>
  </si>
  <si>
    <t>Documentation regarding the policies, procedures, and logs used for tracking inbound and outbound media shipments</t>
  </si>
  <si>
    <t>D.2</t>
  </si>
  <si>
    <t>Documentation regarding the transportation process used for pickup and transport of inbound and outbound media shipments, including a copy of its processes and log for the transport of backup media for offsite pickup and delivery</t>
  </si>
  <si>
    <t>D.3</t>
  </si>
  <si>
    <t>Organization's documentation restricting the use of removable devices</t>
  </si>
  <si>
    <t>D.4</t>
  </si>
  <si>
    <t>Documentation regarding the organization's encryption key management policy, procedures or standards</t>
  </si>
  <si>
    <t>D.5</t>
  </si>
  <si>
    <t>Documentation that describes policies, procedures or guidelines for web site encryption for internet or public facing web sites</t>
  </si>
  <si>
    <t>D.6</t>
  </si>
  <si>
    <t>Documentation regarding the policies and procedures for asset destruction and secure disposal, including sample destruction report</t>
  </si>
  <si>
    <t>D.7</t>
  </si>
  <si>
    <t>Documentation reflecting the current human resource security and background investigation policy and procedures, including but not limited to evidence of completion of background checks prior to employment</t>
  </si>
  <si>
    <t>E. Human Resources Security</t>
  </si>
  <si>
    <t>E.1</t>
  </si>
  <si>
    <t>Documentation regarding the policies and procedures for acknowledgement and receipt of company policies, including a current constituent list for constituents with access to scoped data</t>
  </si>
  <si>
    <t>E.2</t>
  </si>
  <si>
    <t>A copy of the organization's security awareness training program and a listing of its current constituents</t>
  </si>
  <si>
    <t>E.3</t>
  </si>
  <si>
    <t>Documentation of its process managing the formal performance and appraisal process for employees</t>
  </si>
  <si>
    <t>E.4</t>
  </si>
  <si>
    <t>Documentation of its process for handling involuntary/voluntary separations</t>
  </si>
  <si>
    <t>E.5</t>
  </si>
  <si>
    <t>Documentation regarding the organization's policies, standards or guidelines for environmental controls</t>
  </si>
  <si>
    <t>F.1</t>
  </si>
  <si>
    <t>Documentation of the policies, standards or guidelines for physical access to data or systems</t>
  </si>
  <si>
    <t>F.2</t>
  </si>
  <si>
    <t>Document(s) that are part of the secure workspace physical security and risk management programs</t>
  </si>
  <si>
    <t>F.3</t>
  </si>
  <si>
    <t>Documentation of its physical security plan and other relevant documentation, including fire authority certification for the offsite facility, if an offsite facility exists</t>
  </si>
  <si>
    <t>F.4</t>
  </si>
  <si>
    <t>Documentation of the policy and procedures for maintaining access logs including a sample of an access log within the last 90 days</t>
  </si>
  <si>
    <t>F.5</t>
  </si>
  <si>
    <t>A copy of the inspection program documentation that encompasses the secure workspace and the current inspection reports</t>
  </si>
  <si>
    <t>F.6</t>
  </si>
  <si>
    <t>Documentation regarding its visitor management program and a copy of the organization’s visitor logs from the past 90 days</t>
  </si>
  <si>
    <t>F.7</t>
  </si>
  <si>
    <t>Documentation of its policy and procedures for inspecting and testing its fire and security alarms and environmental control monitoring systems</t>
  </si>
  <si>
    <t>F.8</t>
  </si>
  <si>
    <t>Obtain the policies/procedures related to operational procedures. Include a recent copy of the master change log for all target systems for the past six months</t>
  </si>
  <si>
    <t>G. Operations Management</t>
  </si>
  <si>
    <t>G.1</t>
  </si>
  <si>
    <t>Security patch process, including the name of the tool used for patch management</t>
  </si>
  <si>
    <t>G.2</t>
  </si>
  <si>
    <t>A list of application security risks that are documented as part of the application security program, and review the most recent application security report</t>
  </si>
  <si>
    <t>G.3</t>
  </si>
  <si>
    <t>Documentation of the policies, procedures, and standards that are in place for website setup and security, including architecture diagrams for any in scope web applications</t>
  </si>
  <si>
    <t>G.4</t>
  </si>
  <si>
    <t>Documentation regarding the organization's IT operational procedures</t>
  </si>
  <si>
    <t>G.5</t>
  </si>
  <si>
    <t>Documentation regarding the organization's problem management life cycle and ticketing system framework</t>
  </si>
  <si>
    <t>G.6</t>
  </si>
  <si>
    <t>Documentation regarding the organization's customer contact and communication process, including any specific Service Level Agreements (SLA) or requirements</t>
  </si>
  <si>
    <t>G.7</t>
  </si>
  <si>
    <t>Documentation regarding the policies and procedures for the monitoring of security operations including evidence of day to day management of monitoring and reporting activities</t>
  </si>
  <si>
    <t>G.8</t>
  </si>
  <si>
    <t>Access control policy and procedure documentation</t>
  </si>
  <si>
    <t>H.1</t>
  </si>
  <si>
    <t>Corporate password policy and procedures documentation</t>
  </si>
  <si>
    <t>H.2</t>
  </si>
  <si>
    <t>Process for revoking system and physical access, including an example of a termination checklist</t>
  </si>
  <si>
    <t>H.3</t>
  </si>
  <si>
    <t>A copy of the current, approved logical access policy</t>
  </si>
  <si>
    <t>H.4</t>
  </si>
  <si>
    <t>Documentation regarding the process for reviewing, revoking or disabling access to inactive accounts, including a sample user access report</t>
  </si>
  <si>
    <t>H.5</t>
  </si>
  <si>
    <t>Documentation regarding the policies and procedures to prevent unauthorized access to unattended systems</t>
  </si>
  <si>
    <t>H.6</t>
  </si>
  <si>
    <t>Access control policy and procedure for privileged accounts</t>
  </si>
  <si>
    <t>H.7</t>
  </si>
  <si>
    <t>A copy of the current, approved physical access policy</t>
  </si>
  <si>
    <t>H.8</t>
  </si>
  <si>
    <t>Policy and procedures for remote access</t>
  </si>
  <si>
    <t>H.9</t>
  </si>
  <si>
    <t>Documentation regarding the process for monitoring and reviewing user access rights</t>
  </si>
  <si>
    <t>H.10</t>
  </si>
  <si>
    <t>Documentation that details policy and procedures regarding system boot</t>
  </si>
  <si>
    <t>H.11</t>
  </si>
  <si>
    <t>Process for granting customer user access</t>
  </si>
  <si>
    <t>H.12</t>
  </si>
  <si>
    <t>Documentation related to the use of a remote desktop support function</t>
  </si>
  <si>
    <t>H.13</t>
  </si>
  <si>
    <t>Documentation regarding the organization's policies, standards, procedures regarding the use of log on banners for accessing target systems, including the standard language used to convey obligations for access</t>
  </si>
  <si>
    <t>H.14</t>
  </si>
  <si>
    <t>Document(s) that constitute the application security risk governance program</t>
  </si>
  <si>
    <t>I.1</t>
  </si>
  <si>
    <t>All policies, standards and procedures related to SDLC controls</t>
  </si>
  <si>
    <t>I.2</t>
  </si>
  <si>
    <t>Documents that define the organization's SDLC requirements, criteria, and the process to conduct security reviews</t>
  </si>
  <si>
    <t>I.3</t>
  </si>
  <si>
    <t>Documentation regarding the standard policies and procedures to address security in the development process, including code reviews for target systems or applications</t>
  </si>
  <si>
    <t>I.4</t>
  </si>
  <si>
    <t>Documentation regarding the process for maintenance of software application inventory and evidence of the software application inventory</t>
  </si>
  <si>
    <t>I.5</t>
  </si>
  <si>
    <t>A copy of the organization's risk classification process</t>
  </si>
  <si>
    <t>I.6</t>
  </si>
  <si>
    <t>Documentation regarding the policies and procedures for performing a privacy impact assessment, including the lists of projects in development or completed in the last 12 months</t>
  </si>
  <si>
    <t>I.7</t>
  </si>
  <si>
    <t>A copy of their secure architectural design process or standard</t>
  </si>
  <si>
    <t>I.8</t>
  </si>
  <si>
    <t>A copy of its secure code review process</t>
  </si>
  <si>
    <t>I.9</t>
  </si>
  <si>
    <t>Documentation regarding the policies and procedures for performing security reviews on externally developed applications, including a list of externally developed applications that process, store or transmit scoped data</t>
  </si>
  <si>
    <t>I.10</t>
  </si>
  <si>
    <t>A copy of its utilization of open source code process</t>
  </si>
  <si>
    <t>I.11</t>
  </si>
  <si>
    <t>A copy of its QA_UAT process</t>
  </si>
  <si>
    <t>I.12</t>
  </si>
  <si>
    <t>A copy of its procedures related to the use and protection of production data being utilized in the test environment(s)</t>
  </si>
  <si>
    <t>I.13</t>
  </si>
  <si>
    <t>Documentation on policies, procedures or standards for web server and application log on activity logging</t>
  </si>
  <si>
    <t>I.14</t>
  </si>
  <si>
    <t>Documentation regarding the policies and procedures for administrative activity logging</t>
  </si>
  <si>
    <t>I.15</t>
  </si>
  <si>
    <t>Documentation on policy and procedures regarding log retention</t>
  </si>
  <si>
    <t>I.16</t>
  </si>
  <si>
    <t>Documentation regarding its system monitoring process</t>
  </si>
  <si>
    <t>I.17</t>
  </si>
  <si>
    <t>A copy of the security production monitoring process</t>
  </si>
  <si>
    <t>I.18</t>
  </si>
  <si>
    <t>Documentation on the policies and content of the application security training program and evidence that developers have completed such training</t>
  </si>
  <si>
    <t>I.19</t>
  </si>
  <si>
    <t>A copy of the incident management policy(ies), plans and procedures</t>
  </si>
  <si>
    <t>J. Incident Event and Communications Management (IECM)</t>
  </si>
  <si>
    <t>J.1</t>
  </si>
  <si>
    <t>Documentation which validates roles and responsibilities of its incident response team as well as training</t>
  </si>
  <si>
    <t>J.2</t>
  </si>
  <si>
    <t>Incident management related communications plans, procedures and templates</t>
  </si>
  <si>
    <t>J.3</t>
  </si>
  <si>
    <t>Documentation detailing resources and tools available for information security/information technology incident handling including recommended practices for securing networks, systems and applications</t>
  </si>
  <si>
    <t>J.4</t>
  </si>
  <si>
    <t>Documentation related to the process for identifying incidents and the common attack vectors related to those incidents</t>
  </si>
  <si>
    <t>J.5</t>
  </si>
  <si>
    <t>Documentation describing the Incident Management Analysis process</t>
  </si>
  <si>
    <t>J.6</t>
  </si>
  <si>
    <t>Documentation of the process for defining and maintaining records related to an information security/information technology incident</t>
  </si>
  <si>
    <t>J.7</t>
  </si>
  <si>
    <t>Documentation validating the containment strategy employed by the information security/information technology incident management program for the organization</t>
  </si>
  <si>
    <t>J.8</t>
  </si>
  <si>
    <t>Documentation regarding the information security/information technology incident management program including the processes for containment and eradication</t>
  </si>
  <si>
    <t>J.9</t>
  </si>
  <si>
    <t>Documentation of its backup and recovery plan procedures to recover from an incident or threat that impacts critical assets or systems</t>
  </si>
  <si>
    <t>J.10</t>
  </si>
  <si>
    <t>Documentation of its post incident process</t>
  </si>
  <si>
    <t>J.11</t>
  </si>
  <si>
    <t>A copy of its business resiliency policy, as well as the documentation detailing business resiliency roles and responsibilities, processes and management reporting</t>
  </si>
  <si>
    <t>K.1</t>
  </si>
  <si>
    <t>A copy of the most recent business impact analysis (BIA)</t>
  </si>
  <si>
    <t>K.2</t>
  </si>
  <si>
    <t>The results of the latest enterprise and location level risk assessment(s) performed</t>
  </si>
  <si>
    <t>K.3</t>
  </si>
  <si>
    <t>Documents regarding the most recent crisis management and business continuity and disaster recovery plans</t>
  </si>
  <si>
    <t>K.4</t>
  </si>
  <si>
    <t>Documentation regarding its backup and replication processes and capabilities, including an executive summary of the last test of the backup process and the replication process (as appropriate)</t>
  </si>
  <si>
    <t>K.5</t>
  </si>
  <si>
    <t>Business resiliency exercise procedures and related reference information for critical systems, applications or business processes</t>
  </si>
  <si>
    <t>K.6</t>
  </si>
  <si>
    <t>A copy of its most recent infectious disease plan</t>
  </si>
  <si>
    <t>K.7</t>
  </si>
  <si>
    <t>A copy of its business interruption insurance policy declaration pages</t>
  </si>
  <si>
    <t>K.8</t>
  </si>
  <si>
    <t>Documentation of its environmental risk management program, processes for reporting, documenting and monitoring compliance issues</t>
  </si>
  <si>
    <t>L.1</t>
  </si>
  <si>
    <t>Documentation of its procedures related to identifying and monitoring changes that could affect its internal controls and compliance obligations</t>
  </si>
  <si>
    <t>L.2</t>
  </si>
  <si>
    <t>A copy of its professional ethics and business practices program and related operational procedures and/or guidelines</t>
  </si>
  <si>
    <t>L.3</t>
  </si>
  <si>
    <t>A copy of its compliance program for its marketing and selling activities</t>
  </si>
  <si>
    <t>L.4</t>
  </si>
  <si>
    <t>Documentation on policy and procedures for end user security configuration standards</t>
  </si>
  <si>
    <t>M.1</t>
  </si>
  <si>
    <t>Documentation of the policies and procedures for end user device log on activity logging, including a sample activity log or screen shot that shows logging of end user device access</t>
  </si>
  <si>
    <t>M.2</t>
  </si>
  <si>
    <t>Documentation regarding the process to maintain up-to-date IDS/IPS signatures, including the most recent report or screen shot of the IDS/IPS signatures</t>
  </si>
  <si>
    <t>N.1</t>
  </si>
  <si>
    <t>Documentation regarding the deployment of firewalls or devices to protect the organization from outside entities, including a network diagram of the target systems or applications</t>
  </si>
  <si>
    <t>N.2</t>
  </si>
  <si>
    <t>Documentation regarding the policies and procedures for deployment of IDS/IPS systems</t>
  </si>
  <si>
    <t>N.3</t>
  </si>
  <si>
    <t>Documentation related to its standards for requiring input validation for all internet facing web forms</t>
  </si>
  <si>
    <t>N.4</t>
  </si>
  <si>
    <t>Documentation regarding the guidelines for the management of externally facing administration ports</t>
  </si>
  <si>
    <t>N.5</t>
  </si>
  <si>
    <t>Documented process for DoS protection</t>
  </si>
  <si>
    <t>N.6</t>
  </si>
  <si>
    <t>Documentation regarding the policies and processes to manage and monitor for unauthorized wireless networks, including evidence of the most recent scan</t>
  </si>
  <si>
    <t>N.7</t>
  </si>
  <si>
    <t>Documentation regarding the organization's policies and procedures to encrypt wireless networks</t>
  </si>
  <si>
    <t>N.8</t>
  </si>
  <si>
    <t>Policies and procedures related to its firewall rule change management</t>
  </si>
  <si>
    <t>N.9</t>
  </si>
  <si>
    <t>Documentation regarding the process to maintain network logging, including a sample network connection log</t>
  </si>
  <si>
    <t>N.10</t>
  </si>
  <si>
    <t>Documentation regarding its network monitoring process</t>
  </si>
  <si>
    <t>N.11</t>
  </si>
  <si>
    <t>Documentation for the data loss prevention program that includes but is not limited to policies, procedures and evaluation criteria</t>
  </si>
  <si>
    <t>N.12</t>
  </si>
  <si>
    <t>Documentation related to its DLP configuration, rules/policies and fingerprinting</t>
  </si>
  <si>
    <t>N.13</t>
  </si>
  <si>
    <t>Documentation reflecting the current monitoring processes and metrics in place</t>
  </si>
  <si>
    <t>N.14</t>
  </si>
  <si>
    <t>Compliance documentation regarding its client-scoped data inventory, the data flow, in scope privacy regulatory jurisdictions, privacy policy and procedures, including any data classification policy or procedures</t>
  </si>
  <si>
    <t>P.1</t>
  </si>
  <si>
    <t>Compliance documentation regarding its client-scoped privacy data inventory, the data flow, in scope privacy regulatory jurisdictions, privacy policy and procedures, including any data classification policy or procedures</t>
  </si>
  <si>
    <t>P.2</t>
  </si>
  <si>
    <t>Documentation regarding the delivery and schedule of privacy awareness training to the organization and its constituents</t>
  </si>
  <si>
    <t>P.3</t>
  </si>
  <si>
    <t>Documentation regarding the organization's privacy impact assessment process or policies/procedures that demonstrate how privacy requirements are addressed based on changes to the internal or external environment</t>
  </si>
  <si>
    <t>P.4</t>
  </si>
  <si>
    <t>Documentation including any data confidentiality agreements, operating procedures or any related instructions, statements of work, compliance requirements, applicable terms and conditions, regarding scoped data</t>
  </si>
  <si>
    <t>P.5</t>
  </si>
  <si>
    <t>Privacy Notice documentation that includes a sample of the current web privacy notice(s) applicable to the services provided; description of the mechanism to provide access to the Notice and documentation regarding the policies, procedures or guidelines for maintenance of the notice</t>
  </si>
  <si>
    <t>P.6</t>
  </si>
  <si>
    <t>Documentation of policies, procedures or guidelines that describe the privacy incident reporting, notification, communications and post-incident handling regarding unauthorized disclosure or breach of personal information</t>
  </si>
  <si>
    <t>P.7</t>
  </si>
  <si>
    <t>P.8</t>
  </si>
  <si>
    <t>Documentation regarding policies, procedures or guidelines regarding the definition and implementation of standard contractual provisions, data processing agreements, subcontractor terms and conditions and governance processes for entities involved in the delivery of services. Documentation should include any external audit reports specific to the services provided e.g., SCA, SOC1, SOC2, SOC3</t>
  </si>
  <si>
    <t>P.9</t>
  </si>
  <si>
    <t>Documentation regarding the organization's legal or regulatory authorizations, process for handling privacy inquiries, complaints or disputes from individuals; and any publicly available privacy regulator complaints, findings or court ruling(s) concerning privacy</t>
  </si>
  <si>
    <t>P.10</t>
  </si>
  <si>
    <t>Documentation that includes policies, procedures or standards that address the deployment of controls for anti-malware, including the current settings and definitions for each product</t>
  </si>
  <si>
    <t>T.1</t>
  </si>
  <si>
    <t>Documentation regarding the procedures to deploy and maintain virus protection software</t>
  </si>
  <si>
    <t>T.2</t>
  </si>
  <si>
    <t>Documentation regarding the process for managing anti-virus definition files for workstations</t>
  </si>
  <si>
    <t>T.3</t>
  </si>
  <si>
    <t>Documentation regarding the process for internal and/or external vulnerability scans on internal system components and networks including the latest internal or external scan results</t>
  </si>
  <si>
    <t>T.4</t>
  </si>
  <si>
    <t>Documentation regarding the process for conducting vulnerability testing and developing remediation plans for target systems, including test results from one external vulnerability scan report dated within the preceding two to six months</t>
  </si>
  <si>
    <t>T.5</t>
  </si>
  <si>
    <t>Documentation regarding the policies, standards or guidelines regarding the use of mobile code in the environment for target systems</t>
  </si>
  <si>
    <t>T.6</t>
  </si>
  <si>
    <t>A copy of the current, approved system configuration and hardening standards for each type of operating system in use for workstations, servers and network devices. Documentation regarding the current, approved system configuration and hardening standard for each type of operating system in use for specific operating systems</t>
  </si>
  <si>
    <t>U.1</t>
  </si>
  <si>
    <t>Documentation regarding the usage of Cloud Service Provider (CSP) services related to security policies, controls and delineation of security responsibilities, including component and system configuration standards</t>
  </si>
  <si>
    <t>V.1</t>
  </si>
  <si>
    <t>Documentation on the company's governance process for cloud hosting, include the internal and external audit assurance responsibilities; the Cloud Hosting Provider's independent audit reports (e.g., Service Operational Control-SOC, ISO Certification) for their cloud hosting services and any CSP audit program documentation</t>
  </si>
  <si>
    <t>V.2</t>
  </si>
  <si>
    <t>Documentation that defines the CSP's process for validating secure configurations and documentation of its operational practices that are being applied to its virtual host systems and hypervisors, pre and postproduction, including a sample of the applicable system log report</t>
  </si>
  <si>
    <t>V.3</t>
  </si>
  <si>
    <t>Jump To:</t>
  </si>
  <si>
    <t>Tot</t>
  </si>
  <si>
    <t>Ans</t>
  </si>
  <si>
    <t>aa023ad7efc04973ff784e5fb415cc33</t>
  </si>
  <si>
    <t>Enable</t>
  </si>
  <si>
    <t>Disable</t>
  </si>
  <si>
    <t>SME SIG</t>
  </si>
  <si>
    <t>Licensed to: Seismic Software</t>
  </si>
  <si>
    <t>Tab Automation:</t>
  </si>
  <si>
    <r>
      <t xml:space="preserve">Questionnaire Instructions:
</t>
    </r>
    <r>
      <rPr>
        <sz val="11"/>
        <color rgb="FF756762"/>
        <rFont val="Calibri"/>
        <family val="2"/>
        <scheme val="minor"/>
      </rPr>
      <t xml:space="preserve"> - For each question choose either Yes, No or N/A from the drop-down menu provided. If N/A is chosen, an explanation is recommended. Use the Additional Information field in column E to provide an explanation.
 - To display the entire contents of the tab, select the word "Disable" in the Tab Automation field at the top of the page.
 - There may be gaps in the question number sequence depending on how the outsourcer generated the SIG.
</t>
    </r>
    <r>
      <rPr>
        <b/>
        <sz val="11"/>
        <color rgb="FF006680"/>
        <rFont val="Calibri"/>
        <family val="2"/>
        <scheme val="minor"/>
      </rPr>
      <t xml:space="preserve"> MODIFICATION OF THIS DOCUMENT IS A VIOLATION OF THE COPYRIGHT AND MAY RESULT IN FINANCIAL PENALTY FOR YOU OR YOUR SERVICE PROVIDER</t>
    </r>
  </si>
  <si>
    <t>Q Depth</t>
  </si>
  <si>
    <t>Scoping Level</t>
  </si>
  <si>
    <t>Maturity N/A</t>
  </si>
  <si>
    <t>Answer Calc</t>
  </si>
  <si>
    <t>Jump Domain</t>
  </si>
  <si>
    <t>Jump Row</t>
  </si>
  <si>
    <t>Resp Calc</t>
  </si>
  <si>
    <t>Family Delta</t>
  </si>
  <si>
    <t>Tab</t>
  </si>
  <si>
    <t>L1 Calc</t>
  </si>
  <si>
    <t>L2 Calc</t>
  </si>
  <si>
    <t>L3 Calc</t>
  </si>
  <si>
    <t>L4 Calc</t>
  </si>
  <si>
    <t>L5 Calc</t>
  </si>
  <si>
    <t>Child Filter</t>
  </si>
  <si>
    <t>Bold Ques Text</t>
  </si>
  <si>
    <t>L1 Res Carry</t>
  </si>
  <si>
    <t>L2 Res Carry</t>
  </si>
  <si>
    <t>L3 Res Carry</t>
  </si>
  <si>
    <t>L4 Res Carry</t>
  </si>
  <si>
    <t>L5 Res Carry</t>
  </si>
  <si>
    <t>L1 Filter Calc</t>
  </si>
  <si>
    <t>L2 Filter Calc</t>
  </si>
  <si>
    <t>L3 Filter Calc</t>
  </si>
  <si>
    <t>L4 Filter Calc</t>
  </si>
  <si>
    <t>L5 Filter Calc</t>
  </si>
  <si>
    <r>
      <rPr>
        <b/>
        <sz val="11"/>
        <rFont val="Calibri"/>
        <family val="2"/>
        <scheme val="minor"/>
      </rPr>
      <t xml:space="preserve">This SIG is intended for internal use only.
</t>
    </r>
    <r>
      <rPr>
        <sz val="11"/>
        <rFont val="Calibri"/>
        <family val="2"/>
        <scheme val="minor"/>
      </rPr>
      <t>Do not distribute outside of the organization.</t>
    </r>
  </si>
  <si>
    <t>Ques Num</t>
  </si>
  <si>
    <t>Response</t>
  </si>
  <si>
    <t>Additional Information</t>
  </si>
  <si>
    <t>Maturity</t>
  </si>
  <si>
    <t>Category</t>
  </si>
  <si>
    <t>Sub-category</t>
  </si>
  <si>
    <t>ISO 27002:2013 Relevance</t>
  </si>
  <si>
    <t>Subject Matter Expert Name</t>
  </si>
  <si>
    <t>Subject Matter Expert Notes</t>
  </si>
  <si>
    <t>Optional Score</t>
  </si>
  <si>
    <t>Is there a formalized risk governance plan that defines the Enterprise Risk Management program requirements?</t>
  </si>
  <si>
    <t xml:space="preserve">Seismic has an established Risk Governance Program based off ISO 27005 controls. The program is run by Seismic's internal Information Security team. Seismic performs Enterprise Risk Assessment at least annually and communicate risk findings to executive management. Where risks are identified, appropriate controls are established to remove or reduce the risk to an acceptable level. </t>
  </si>
  <si>
    <t>Enterprise Risk Management</t>
  </si>
  <si>
    <t>Risk Governance Plan</t>
  </si>
  <si>
    <t>A.1 Enterprise Risk Governance</t>
  </si>
  <si>
    <t>An organization's enterprise risk governance program should include a formal program that documents the organization's assets and threats and evaluates associated risks.</t>
  </si>
  <si>
    <t>A</t>
  </si>
  <si>
    <t>A.1.1</t>
  </si>
  <si>
    <t>Does the risk governance plan include risk management policies, procedures, and internal controls?</t>
  </si>
  <si>
    <t>A.1.2</t>
  </si>
  <si>
    <t>Does the risk governance plan include range of assets to include: people, processes, data and technology?</t>
  </si>
  <si>
    <t>A.1.3</t>
  </si>
  <si>
    <t>Does the risk governance plan include range of internal and external threats to include: malicious, natural, accidental, cyber, business changes (transaction volume)?</t>
  </si>
  <si>
    <t>A.1.4</t>
  </si>
  <si>
    <t>Does the risk governance plan include risk scenarios that address threats, vulnerabilities, likelihoods, and impacts that could impact people, processes, technologies, and facilities?</t>
  </si>
  <si>
    <t>A.1.5</t>
  </si>
  <si>
    <t>Does the organization have a governing body accountable to maintain the risk governance plan?</t>
  </si>
  <si>
    <t>A.1.7</t>
  </si>
  <si>
    <t>Is the risk governance plan approved by senior management and/or board of directors?</t>
  </si>
  <si>
    <t>A.1.8</t>
  </si>
  <si>
    <t>Is training provided to employees regarding risk expectations and their obligations?</t>
  </si>
  <si>
    <t>A.1.9</t>
  </si>
  <si>
    <t>Does the risk governance plan include the identification of the systems/products/services that support organizational priorities?</t>
  </si>
  <si>
    <t>A.1.10</t>
  </si>
  <si>
    <t>Does the risk governance plan include the alignment to the organization's mission, objectives, and stakeholders to inform roles and responsibilities for risk management decisions?</t>
  </si>
  <si>
    <t>A.1.11</t>
  </si>
  <si>
    <t>Does the risk governance plan include the establishment and communication of the priorities of activities?</t>
  </si>
  <si>
    <t>Are there Subject Matter Experts and/or groups assigned to assess risk for different categories e.g., operational, reputational, regulatory, technology, privacy, financial, etc.? If no, please explain any exclusions in the additional information field.</t>
  </si>
  <si>
    <t>Risk Governance - Personnel</t>
  </si>
  <si>
    <t>6.1.2 Information Security Risk Asssessment|8.2 Information Security Risk Assessment</t>
  </si>
  <si>
    <t>A.2.1</t>
  </si>
  <si>
    <t>Do risk assessment personnel maintain relevant professional certifications?</t>
  </si>
  <si>
    <t>A.2.2</t>
  </si>
  <si>
    <t>Do risk assessment personnel maintain contacts with relevant professional special interest groups, specialist forums or professional associations?</t>
  </si>
  <si>
    <t>A.2.3</t>
  </si>
  <si>
    <t>Do risk assessment personnel participate in continuing education programs e.g., online training, webinars, seminars, etc.?</t>
  </si>
  <si>
    <t>A.2.5</t>
  </si>
  <si>
    <t>Do all assessment groups utilize a consistent standardized framework for assessing risk?</t>
  </si>
  <si>
    <t>Seismic's Risk Management Program is based off ISO 27005.</t>
  </si>
  <si>
    <t>Is there a formalized Risk Assessment process that identifies, quantifies, and prioritizes risks based on the risk acceptance levels relevant to the organization?</t>
  </si>
  <si>
    <t>Risk Assessments</t>
  </si>
  <si>
    <t>A.4 IT Risk Assessments</t>
  </si>
  <si>
    <t>A.3.1</t>
  </si>
  <si>
    <t>Does the organization maintain an inventory of the applicable risks and controls included in the Enterprise Risk Management program?</t>
  </si>
  <si>
    <t>A.2 Risk Assessment Life Cycle</t>
  </si>
  <si>
    <t>8.2 Information Security Risk Assessment</t>
  </si>
  <si>
    <t>A.3.6</t>
  </si>
  <si>
    <t>Are critical processes and entities reassessed annually?</t>
  </si>
  <si>
    <t>A.3.7</t>
  </si>
  <si>
    <t>Does the organization have a process in place for justifying why a specific control may be omitted from its information security risk treatment program?</t>
  </si>
  <si>
    <t>6.1.3 Information Security Risk Treatment</t>
  </si>
  <si>
    <t>A.3.8</t>
  </si>
  <si>
    <t>Is there a process to identify and manage the risk response and treatment of risks?</t>
  </si>
  <si>
    <t>For areas where new risks are identified or existing controls are assessed as insufficient, the risk may be dealt with by: eliminating the risk by discontinuing the activity associated with the risk or declining to begin a new activity associated with the risk; removing the source of the risk; putting measures in place (policies, procedures, tools, patches) to mitigate the risk and reduce it to acceptable levels; sharing the risk with other parties; and/or proceeding with an informed decision and plan to monitor risk.</t>
  </si>
  <si>
    <t>Risk Treatment</t>
  </si>
  <si>
    <t>6.1.1 General|6.1.2 Information Security Risk Asssessment|6.1.3 Information Security Risk Treatment|8.3 Information Security Risk Treatment</t>
  </si>
  <si>
    <t>A.3.9</t>
  </si>
  <si>
    <t>Does the risk treatment program include a formal process for assigning appropriate management ownership for risk decisions?</t>
  </si>
  <si>
    <t>6.1.1 General|6.1.3 Information Security Risk Treatment|8.3 Information Security Risk Treatment</t>
  </si>
  <si>
    <t>A.3.10</t>
  </si>
  <si>
    <t>Does the risk treatment program include a formal process for accepting risks and approving action plans?</t>
  </si>
  <si>
    <t>A.3.11</t>
  </si>
  <si>
    <t>Does the risk treatment program include a formal program for accepting risks and prioritizing and approving action plans?</t>
  </si>
  <si>
    <t>A.3.12</t>
  </si>
  <si>
    <t>Does the risk treatment program include creation of internal controls if material risks are identified?</t>
  </si>
  <si>
    <t>Does the Enterprise Risk Management program include measures for defining, monitoring, and reporting risk metrics?</t>
  </si>
  <si>
    <t>Risk Reporting</t>
  </si>
  <si>
    <t>6.1.1 General|6.1.3 Information Security Risk Treatment</t>
  </si>
  <si>
    <t>Do subcontractors (e.g., backup vendors, service providers, equipment support maintenance, software maintenance vendors, data recovery vendors, hosting providers, etc.) have access to scoped systems and data or processing facilities?</t>
  </si>
  <si>
    <t>AWS provides data center hosting</t>
  </si>
  <si>
    <t>Third Party Risk Management</t>
  </si>
  <si>
    <t>Subcontractor Selection and Management Process</t>
  </si>
  <si>
    <t>A.5.1</t>
  </si>
  <si>
    <t>Is there a documented third party risk management program in place for the selection, oversight and risk assessment of Subcontractors e.g., service providers, dependent service providers, sub-processors?</t>
  </si>
  <si>
    <t>A.5 Third Party Risk Management Program</t>
  </si>
  <si>
    <t>15.1.1 Information Security Policy for Supplier Relationships|15.2.1 Monitoring and Review of Supplier Services|15.2.2 Managing Changes to Supplier Services</t>
  </si>
  <si>
    <t>A.5.1.1</t>
  </si>
  <si>
    <t>Does the third party risk management program have a governing body accountable for the selection, oversight and risk assessment of subcontractors?</t>
  </si>
  <si>
    <t>A.5.1.2</t>
  </si>
  <si>
    <t>Have policies, standards, and procedures for implementing the third party risk management program been reviewed and approved by senior management?</t>
  </si>
  <si>
    <t>A.5.1.3</t>
  </si>
  <si>
    <t>Does the third party risk management program include creating and maintaining a third party inventory based on information and/or risk classification?</t>
  </si>
  <si>
    <t>A.5.1.4</t>
  </si>
  <si>
    <t>Does the program include definition of required contract development, adherence and management policies and processes?</t>
  </si>
  <si>
    <t>A.5.1.5</t>
  </si>
  <si>
    <t>Does the program include the definition of a third party risk assessment process?</t>
  </si>
  <si>
    <t>A.5.1.6</t>
  </si>
  <si>
    <t>Does the program include consistently applied tools, measurements and criteria to evaluate third party risk?</t>
  </si>
  <si>
    <t>A.5.1.7</t>
  </si>
  <si>
    <t>Does the program include definition and a process for ongoing monitoring and review of third party risk?</t>
  </si>
  <si>
    <t>A.5.1.8</t>
  </si>
  <si>
    <t>Does the third party risk management program include assessments performed on all potential subcontractors before entering contracts with them?</t>
  </si>
  <si>
    <t>Information Security reviews all potential subcontractors before entering into contract through an established vendor risk management program. This includes assessment of security controls, negotiation of contract agreements, risk assessments, and identifying any security and privacy provisions required to comply with applicable laws and regulations.</t>
  </si>
  <si>
    <t>A.7 Subcontractor Selection and Management Process</t>
  </si>
  <si>
    <t>A.5.1.8.1</t>
  </si>
  <si>
    <t>Are subcontractors evaluated for reassessment when there are material changes to risk posture, service offerings or contracts?</t>
  </si>
  <si>
    <t>15.2.2 Managing Changes to Supplier Services</t>
  </si>
  <si>
    <t>A.5.1.13</t>
  </si>
  <si>
    <t>Does the third party risk management program require business units to notify if there are new or changed subcontractors?</t>
  </si>
  <si>
    <t>A.5.1.15</t>
  </si>
  <si>
    <t>Does the subcontractor third party risk management program include defined procedures for subcontractor management?</t>
  </si>
  <si>
    <t>15.2.1 Monitoring and Review of Supplier Services</t>
  </si>
  <si>
    <t>A.5.1.15.1</t>
  </si>
  <si>
    <t>Does the subcontractor third party risk management program include review of subcontractors' third party risk program?</t>
  </si>
  <si>
    <t>Subcontractors' Third Party Risk Management</t>
  </si>
  <si>
    <t>A.9 Documenting Information Security Assessments for Subcontractors</t>
  </si>
  <si>
    <t>15.1.2 Addressing Security Within Supplier Agreements</t>
  </si>
  <si>
    <t>A.5.1.15.2</t>
  </si>
  <si>
    <t>Does the third party risk management program require subcontractors to perform risk and security assessments on their subcontractors prior to engaging their services (logical, physical, other controls)?</t>
  </si>
  <si>
    <t>A.5.1.15.5</t>
  </si>
  <si>
    <t>Does the third party risk management program require Confidentiality and/or Non-Disclosure Agreements from subcontractors?</t>
  </si>
  <si>
    <t>A.8 Subcontractor Contracting Process</t>
  </si>
  <si>
    <t>13.2.4 Confidentiality or Non-Disclosure Agreements|15.1.2 Addressing Security Within Supplier Agreements</t>
  </si>
  <si>
    <t>A.5.1.15.6</t>
  </si>
  <si>
    <t>Does the third party risk program require subcontractors to notify if there are changes affecting services rendered?</t>
  </si>
  <si>
    <t>A.5.1.15.7</t>
  </si>
  <si>
    <t>Does the third party risk management program require background checks performed for service provider contractors and subcontractors?</t>
  </si>
  <si>
    <t>Service Provider Background Checks</t>
  </si>
  <si>
    <t>7.1.1 Screening</t>
  </si>
  <si>
    <t>A.5.1.15.7.1</t>
  </si>
  <si>
    <t>Are background checks performed at time of hire?</t>
  </si>
  <si>
    <t>A.5.1.15.7.2</t>
  </si>
  <si>
    <t>Are background checks performed periodically, at least as frequently as required by regulations?</t>
  </si>
  <si>
    <t>Seismic is not required by regulations to complete background checks after hire.</t>
  </si>
  <si>
    <t>A.5.2</t>
  </si>
  <si>
    <t>For all subcontractors requiring assessment, is there a contract?</t>
  </si>
  <si>
    <t>Service Provider Agreements</t>
  </si>
  <si>
    <t>A.6 Service Provider Agreements</t>
  </si>
  <si>
    <t>15.1.1 Information Security Policy for Supplier Relationships|15.1.2 Addressing Security Within Supplier Agreements|15.1.3 Information and Communication Technology Supply Chain|15.2.1 Monitoring and Review of Supplier Services|7.1.2 Terms and Condition of Employment</t>
  </si>
  <si>
    <t>A.5.2.1</t>
  </si>
  <si>
    <t>Do contracts with all subcontractors include Non-Disclosure/Confidentiality Agreements?</t>
  </si>
  <si>
    <t>13.2.2 Agreements on Information Transfer|13.2.4 Confidentiality or Non-Disclosure Agreements|15.1.1 Information Security Policy for Supplier Relationships|15.1.2 Addressing Security Within Supplier Agreements|7.1.2 Terms and Condition of Employment</t>
  </si>
  <si>
    <t>A.5.2.2</t>
  </si>
  <si>
    <t>Do contracts with all subcontractors include ownership of information, trade secrets and intellectual property?</t>
  </si>
  <si>
    <t>13.2.2 Agreements on Information Transfer|13.2.4 Confidentiality or Non-Disclosure Agreements|15.1.1 Information Security Policy for Supplier Relationships|15.1.2 Addressing Security Within Supplier Agreements|15.1.3 Information and Communication Technology Supply Chain|7.1.2 Terms and Condition of Employment</t>
  </si>
  <si>
    <t>A.5.2.3</t>
  </si>
  <si>
    <t>Do contracts with all subcontractors include all applicable privacy and security requirements?</t>
  </si>
  <si>
    <t>13.2.2 Agreements on Information Transfer|15.1.1 Information Security Policy for Supplier Relationships|15.1.2 Addressing Security Within Supplier Agreements|15.1.3 Information and Communication Technology Supply Chain|7.1.2 Terms and Condition of Employment|7.2.1 Management Responsibilities</t>
  </si>
  <si>
    <t>A.5.2.4</t>
  </si>
  <si>
    <t>Do contracts with all subcontractors include permitted use and limitations of use of confidential information?</t>
  </si>
  <si>
    <t>A.5.2.5</t>
  </si>
  <si>
    <t>Do contracts with all subcontractors include data breach notification?</t>
  </si>
  <si>
    <t>15.1.1 Information Security Policy for Supplier Relationships|15.1.2 Addressing Security Within Supplier Agreements|15.1.3 Information and Communication Technology Supply Chain|16.1.3 Reporting Information Security Weaknesses|7.1.2 Terms and Condition of Employment</t>
  </si>
  <si>
    <t>A.5.2.7</t>
  </si>
  <si>
    <t>Do contracts with all subcontractors include Right to audit?</t>
  </si>
  <si>
    <t>15.1.1 Information Security Policy for Supplier Relationships|15.1.2 Addressing Security Within Supplier Agreements|15.2.1 Monitoring and Review of Supplier Services</t>
  </si>
  <si>
    <t>A.5.2.8</t>
  </si>
  <si>
    <t>Do contracts with all subcontractors include Service Level Agreeements?</t>
  </si>
  <si>
    <t>15.1.1 Information Security Policy for Supplier Relationships|15.2.1 Monitoring and Review of Supplier Services</t>
  </si>
  <si>
    <t>A.5.2.9</t>
  </si>
  <si>
    <t>Do contracts with all subcontractors include Indemnification/Liability?</t>
  </si>
  <si>
    <t>15.1.1 Information Security Policy for Supplier Relationships|15.1.2 Addressing Security Within Supplier Agreements</t>
  </si>
  <si>
    <t>A.5.2.10</t>
  </si>
  <si>
    <t>Do contracts with all subcontractors include termination/exit clause?</t>
  </si>
  <si>
    <t>15.1.1 Information Security Policy for Supplier Relationships|7.3.1 Termination or Change of Employment Responsibilities</t>
  </si>
  <si>
    <t>A.5.2.11</t>
  </si>
  <si>
    <t>Do contracts with all subcontractors include breach of agreement terms?</t>
  </si>
  <si>
    <t>A.5.2.13</t>
  </si>
  <si>
    <t>Do contracts with all subcontractors include privacy and security control requirements for subcontractors?</t>
  </si>
  <si>
    <t>13.2.2 Agreements on Information Transfer|15.1.1 Information Security Policy for Supplier Relationships|15.1.2 Addressing Security Within Supplier Agreements|7.1.2 Terms and Condition of Employment|7.2.1 Management Responsibilities</t>
  </si>
  <si>
    <t>A.5.2.14</t>
  </si>
  <si>
    <t>Do contracts with Subcontractors require negotiating the extension of contractual obligations to its subcontractors?</t>
  </si>
  <si>
    <t>15.1.1 Information Security Policy for Supplier Relationships</t>
  </si>
  <si>
    <t>A.5.3</t>
  </si>
  <si>
    <t>Does the third party risk management program include an assigned individual or group responsible for capturing, maintaining, and tracking subcontractor Information Security, Privacy, or other issues?</t>
  </si>
  <si>
    <t>Issue Management</t>
  </si>
  <si>
    <t>A.5.3.4.3</t>
  </si>
  <si>
    <t>Does remediation reporting include a process to identify and log subcontractor information security, privacy and/or data breach issues?</t>
  </si>
  <si>
    <t>A.11 Information Security Review Process - Tracking and Risk Rating Subcontractor Issues</t>
  </si>
  <si>
    <t>12.4.1 Event Logging</t>
  </si>
  <si>
    <t>Is there a set of information security policies that have been approved by management, published and communicated to constituents?</t>
  </si>
  <si>
    <t>Seismic's Information Security team manage over 15 different information security and privacy policies related to all aspects of business, to include but not limited to, Human Resource Management, Acceptable Use, Secure Technology Standards, Access Control Standards, Information Security Policy, Privacy Protection, and more.  Seismic reviews policies at least annually or upon significant change to business structure. Policies are approved by a member of executive management before release. Policies and procedures are communicated through Seismic's intranet, and are acknowledged employees and contractors at least annually.</t>
  </si>
  <si>
    <t>Information Security Policy Management</t>
  </si>
  <si>
    <t>B.1 Information Security Policy Maintenance</t>
  </si>
  <si>
    <t>4.3 Scope of Information Security Management Systems|5.1 Leadership and Commitment|5.1.1 Policies for Information Security|5.2 Policy|6.2 Information Security Objectives and Planning to Achieve Them|7.4 Communication|7.5.1 General|8.1 Operational Planning and Control</t>
  </si>
  <si>
    <t>B</t>
  </si>
  <si>
    <t>B.1.1</t>
  </si>
  <si>
    <t>Are policies and standards based on industry accepted standards and practices?</t>
  </si>
  <si>
    <t>Policies and Standards are based on industry accepted standards such as ISO 27002</t>
  </si>
  <si>
    <t>6.2 Information Security Objectives and Planning to Achieve Them</t>
  </si>
  <si>
    <t>B.1.2</t>
  </si>
  <si>
    <t>Is there a management-approved process for handling deviations and exceptions?</t>
  </si>
  <si>
    <t>B.1.3</t>
  </si>
  <si>
    <t>Do the information security policies set requirements based on business strategy, regulations, legislation (Including privacy and civil liberties obligations) and cybersecurity threat environment?</t>
  </si>
  <si>
    <t>4.3 Scope of Information Security Management Systems|6.2 Information Security Objectives and Planning to Achieve Them|8.1 Operational Planning and Control</t>
  </si>
  <si>
    <t>B.1.5</t>
  </si>
  <si>
    <t>Have all policies been assigned to an owner responsible for review and approve periodically?</t>
  </si>
  <si>
    <t>All policies have been assigned for review and approved by the Director of Information Security.</t>
  </si>
  <si>
    <t>10.1 Nonconformity and Corrective Action Plan|4.4 Information Security Management System|6.2 Information Security Objectives and Planning to Achieve Them|9.1 Monitoring, Measurement, Analysis, and Evaluation|9.3 Management Review</t>
  </si>
  <si>
    <t>B.1.5.1</t>
  </si>
  <si>
    <t>Do owners review and update policies if significant changes occur in legal, business, organizational, or technical conditions?</t>
  </si>
  <si>
    <t>10.1 Nonconformity and Corrective Action Plan|10.2 Continual Improvement|4.4 Information Security Management System|5.1.2 Review of the Policies for Information Security|9.1 Monitoring, Measurement, Analysis, and Evaluation|9.3 Management Review</t>
  </si>
  <si>
    <t>B.1.6</t>
  </si>
  <si>
    <t>Have all information security policies and standards been reviewed in the last 12 months?</t>
  </si>
  <si>
    <t>B.2 Information Security Standards</t>
  </si>
  <si>
    <t>10.2 Continual Improvement|18.2.1 Independent Review of Information Security|4.4 Information Security Management System|5.1.2 Review of the Policies for Information Security|9.1 Monitoring, Measurement, Analysis, and Evaluation|9.3 Management Review</t>
  </si>
  <si>
    <t>Are responsibilities for asset protection and for carrying out specific information security processes clearly identified and communicated to the relevant parties?</t>
  </si>
  <si>
    <t>Seismic has a written Information Security Policy all employees must acknowledge on an annual basis.</t>
  </si>
  <si>
    <t>Security Organization</t>
  </si>
  <si>
    <t>Organizational Information Security Responsibilities</t>
  </si>
  <si>
    <t>C.1 Security Organization Roles and Responsibilities</t>
  </si>
  <si>
    <t>5.1 Leadership and Commitment|5.3 Organizational Roles, Responsibilities, and Authorities|6.1.1 Information Security Roles and Responsibilities</t>
  </si>
  <si>
    <t>C</t>
  </si>
  <si>
    <t>C.1.7</t>
  </si>
  <si>
    <t>Do the processes include residual risk acceptance responsibilities?</t>
  </si>
  <si>
    <t>6.1.1 Information Security Roles and Responsibilities</t>
  </si>
  <si>
    <t>C.2</t>
  </si>
  <si>
    <t>Does the organization's executive leadership ensure information security policy is established and aligned with organizational strategy, and communicated to the entire organization?</t>
  </si>
  <si>
    <t>Seismic's Information Security Policy is reviewed and approved by the CEO on an annual basis.</t>
  </si>
  <si>
    <t>Executive Sponsorship</t>
  </si>
  <si>
    <t>4.3 Scope of Information Security Management Systems|4.4 Information Security Management System|5.1 Leadership and Commitment|5.1.1 Policies for Information Security|5.2 Policy|6.2 Information Security Objectives and Planning to Achieve Them|8.1 Operational Planning and Control</t>
  </si>
  <si>
    <t>C.2.1</t>
  </si>
  <si>
    <t>Does the organization's executive leadership communicate the mandate of information security awareness, compliance and effectiveness to the entire organization?</t>
  </si>
  <si>
    <t>4.3 Scope of Information Security Management Systems|5.1 Leadership and Commitment|6.2 Information Security Objectives and Planning to Achieve Them</t>
  </si>
  <si>
    <t>C.2.2</t>
  </si>
  <si>
    <t>Does the organization's board of directors or ownership ensure information security programs are funded sufficiently to meet the organization's objectives?</t>
  </si>
  <si>
    <t>4.1 Understanding Organization and its Context|4.4 Information Security Management System|5.1 Leadership and Commitment|6.2 Information Security Objectives and Planning to Achieve Them|7.1 Resources</t>
  </si>
  <si>
    <t>C.2.3</t>
  </si>
  <si>
    <t>Does the organization's board of directors or ownership require management to regularly demonstrate that the information security program meets its intended objectives?</t>
  </si>
  <si>
    <t>10.1 Nonconformity and Corrective Action Plan|18.2.3 Technical Compliance Review|4.1 Understanding Organization and its Context|4.3 Scope of Information Security Management Systems|4.4 Information Security Management System|6.2 Information Security Objectives and Planning to Achieve Them|8.1 Operational Planning and Control|9.1 Monitoring, Measurement, Analysis, and Evaluation|9.3 Management Review</t>
  </si>
  <si>
    <t>C.3</t>
  </si>
  <si>
    <t>Has a qualified individual responsible been designated as a Chief Information Security Officer (CISO) to oversee and implement the organization's cybersecurity program and enforce its cybersecurity policy?</t>
  </si>
  <si>
    <t>Seismic does not have a CISO by title, but the Director of Information Security is assigned the responsibility for Seismic's Information Security Program.</t>
  </si>
  <si>
    <t>Chief Information Security Officer</t>
  </si>
  <si>
    <t>5.3 Organizational Roles, Responsibilities, and Authorities</t>
  </si>
  <si>
    <t>C.3.1</t>
  </si>
  <si>
    <t>Does the CISO issue a report at least annually on the organization's cybersecurity program and material cybersecurity risks to the organization's board of directors, equivalent body, or senior officer in charge of cybersecurity risk?</t>
  </si>
  <si>
    <t>The Director of Information Security meets with executives at least annually.</t>
  </si>
  <si>
    <t>C.4</t>
  </si>
  <si>
    <t>Are information security personnel (internal or outsourced) responsible for information security processes?</t>
  </si>
  <si>
    <t>Seismic has an internal Information Security Team.</t>
  </si>
  <si>
    <t>Information Security Personnel Responsibilities</t>
  </si>
  <si>
    <t>10.1 Nonconformity and Corrective Action Plan|10.2 Continual Improvement|4.1 Understanding Organization and its Context|4.3 Scope of Information Security Management Systems|4.4 Information Security Management System|7.1 Resources|8.1 Operational Planning and Control|9.1 Monitoring, Measurement, Analysis, and Evaluation</t>
  </si>
  <si>
    <t>C.4.1</t>
  </si>
  <si>
    <t>Are information security personnel responsible for the design of information technology systems, processes, and architecture required to meet information security requirements?</t>
  </si>
  <si>
    <t>18.2.3 Technical Compliance Review|4.1 Understanding Organization and its Context|4.3 Scope of Information Security Management Systems|4.4 Information Security Management System|6.2 Information Security Objectives and Planning to Achieve Them|7.1 Resources|8.1 Operational Planning and Control</t>
  </si>
  <si>
    <t>C.4.2</t>
  </si>
  <si>
    <t>Are information security personnel responsible for the creation, and review of information security policies?</t>
  </si>
  <si>
    <t>10.2 Continual Improvement|4.1 Understanding Organization and its Context|4.3 Scope of Information Security Management Systems|4.4 Information Security Management System|6.2 Information Security Objectives and Planning to Achieve Them|7.1 Resources|8.1 Operational Planning and Control|9.1 Monitoring, Measurement, Analysis, and Evaluation</t>
  </si>
  <si>
    <t>C.4.3</t>
  </si>
  <si>
    <t>Do information security personnel review the effectiveness of information security policy implementation and manage instances of non-compliance with security policies across the entire organization?</t>
  </si>
  <si>
    <t>10.1 Nonconformity and Corrective Action Plan|10.2 Continual Improvement|18.2.3 Technical Compliance Review|4.1 Understanding Organization and its Context|4.4 Information Security Management System|6.2 Information Security Objectives and Planning to Achieve Them|7.1 Resources|8.1 Operational Planning and Control|9.1 Monitoring, Measurement, Analysis, and Evaluation|9.3 Management Review</t>
  </si>
  <si>
    <t>C.4.5</t>
  </si>
  <si>
    <t>Are information security personnel responsible for the monitoring of significant changes in the exposure of information assets?</t>
  </si>
  <si>
    <t>16.1.3 Reporting Information Security Weaknesses|4.4 Information Security Management System|6.2 Information Security Objectives and Planning to Achieve Them|9.1 Monitoring, Measurement, Analysis, and Evaluation</t>
  </si>
  <si>
    <t>C.4.6</t>
  </si>
  <si>
    <t>Are information security personnel responsible for the review and/or monitoring information security incidents or events?</t>
  </si>
  <si>
    <t>10.1 Nonconformity and Corrective Action Plan|16.1.3 Reporting Information Security Weaknesses|4.4 Information Security Management System|9.1 Monitoring, Measurement, Analysis, and Evaluation</t>
  </si>
  <si>
    <t>C.5</t>
  </si>
  <si>
    <t>Do information security personnel maintain contacts with information security special interest groups, specialist security forums or professional associations?</t>
  </si>
  <si>
    <t>Information Security continuously research security forums, special interest groups and professional associations to ensure we are staying ahead of related security trends and new vulnerabilities.</t>
  </si>
  <si>
    <t>Information Security Personnel Qualifications</t>
  </si>
  <si>
    <t>6.1.4 Contact with Special Interest Groups|7.2 Competence</t>
  </si>
  <si>
    <t>C.5.1</t>
  </si>
  <si>
    <t>Do Information security personnel participate in continuing education programs e.g., online training, webinars, seminars, etc.?</t>
  </si>
  <si>
    <t>7.2 Competence</t>
  </si>
  <si>
    <t>C.5.2</t>
  </si>
  <si>
    <t>Do information security personnel maintain professional security certifications?</t>
  </si>
  <si>
    <t>All personnel have adequate information security certifications to perform their job functions.</t>
  </si>
  <si>
    <t>C.6</t>
  </si>
  <si>
    <t>Do all projects involving scoped systems and data go through some form of information security assessment?</t>
  </si>
  <si>
    <t>Security Oversight</t>
  </si>
  <si>
    <t>Project Information Security Assessment</t>
  </si>
  <si>
    <t>6.1.5 Information Security in Project Management</t>
  </si>
  <si>
    <t>Is there an asset management program approved by management, communicated to constituents and an owner to maintain and review?</t>
  </si>
  <si>
    <t>Seismic has a written Asset Management Standard establishing required responsibilities for assets within Seismic's control. To include establishing Asset Owners for all systems, asset configuration requirements, and inventory requirements. The standard is updated at least annually or upon significant change to business structure.</t>
  </si>
  <si>
    <t>Asset Management</t>
  </si>
  <si>
    <t>Asset Inventory</t>
  </si>
  <si>
    <t>D.1 Asset Accounting and Inventory</t>
  </si>
  <si>
    <t>8.1.1 Inventory of Assets</t>
  </si>
  <si>
    <t>D</t>
  </si>
  <si>
    <t>D.1.1</t>
  </si>
  <si>
    <t>Is there an asset Inventory list or configuration management Database (CMDB)?</t>
  </si>
  <si>
    <t>D.1.1.1</t>
  </si>
  <si>
    <t>Is the asset inventory updated on a periodic basis as new system assets are connected to the network?</t>
  </si>
  <si>
    <t>D.1.1.2</t>
  </si>
  <si>
    <t>Are the following documented for all devices on the network; machine name, unique identification number, purpose, asset owner, operating System, physical location, Business Function/Department, Environment e.g., PROD, Dev, Test etc.?</t>
  </si>
  <si>
    <t>7.5.1 General|7.5.2 Creating and Updating|8.1.1 Inventory of Assets</t>
  </si>
  <si>
    <t>D.1.1.3</t>
  </si>
  <si>
    <t>Is Environment (Development, Test, etc.) documented for all devices on the network?</t>
  </si>
  <si>
    <t>7.5.2 Creating and Updating|8.1.1 Inventory of Assets</t>
  </si>
  <si>
    <t>D.1.1.4</t>
  </si>
  <si>
    <t>Are all installed software platforms and applications on scoped systems inventoried?</t>
  </si>
  <si>
    <t>D.1.1.5</t>
  </si>
  <si>
    <t>Is data classification documented for all assets?</t>
  </si>
  <si>
    <t xml:space="preserve">Information assets are assigned a sensitivity level based on the appropriate audience for the information. If the information has been previously classified by regulatory, legal, contractual or Company directive, then that classification takes precedence. The sensitivity level then guides the selection of protective measures to secure the information. All data are to be assigned to one of the following four sensitivity levels: public, internal use, confidential, or restricted. </t>
  </si>
  <si>
    <t>D.1.1.6</t>
  </si>
  <si>
    <t>Are external/internet-facing systems identified in the asset inventory?</t>
  </si>
  <si>
    <t>D.1.2</t>
  </si>
  <si>
    <t>Is an automated asset inventory discovery tool used to inventory devices on the network?</t>
  </si>
  <si>
    <t>Automated Asset Inventory</t>
  </si>
  <si>
    <t>Is there an acceptable use policy for information and associated assets that has been approved by management, communicated to appropriate constituents, and assigned an owner to maintain and periodically review the policy?</t>
  </si>
  <si>
    <t>Seismic's Acceptable Use Policy is reviewed and updated at least annually by Information Security, and reviewed and acknowledged by all employees and contractors at least annually.</t>
  </si>
  <si>
    <t>Acceptable Use</t>
  </si>
  <si>
    <t>E.2 Agreements for constituents</t>
  </si>
  <si>
    <t>8.1.3 Acceptable Use of Assets</t>
  </si>
  <si>
    <t>D.2.1</t>
  </si>
  <si>
    <t>Are constituents made aware of and held accountable to the Acceptable Use Policy?</t>
  </si>
  <si>
    <t>Is there a process to verify return of constituent assets (computers, cell phones, access cards, tokens, smart cards, keys, etc.) upon termination?</t>
  </si>
  <si>
    <t>Asset Recovery</t>
  </si>
  <si>
    <t>8.1.4 Return of Assets</t>
  </si>
  <si>
    <t>Is Information classified according to legal or regulatory requirements, business value, and sensitivity to unauthorized disclosure or modification?</t>
  </si>
  <si>
    <t>Information Management</t>
  </si>
  <si>
    <t>Information Classification</t>
  </si>
  <si>
    <t>8.2.1 Classification of Information</t>
  </si>
  <si>
    <t>D.5.1</t>
  </si>
  <si>
    <t>Is information reclassified as information value, sensitivity, and customer requirements change?</t>
  </si>
  <si>
    <t>D.5.3</t>
  </si>
  <si>
    <t>Is an owner assigned to all Information Assets?</t>
  </si>
  <si>
    <t>Information Ownership</t>
  </si>
  <si>
    <t>8.1.2 Ownership of Assets</t>
  </si>
  <si>
    <t>D.5.3.1</t>
  </si>
  <si>
    <t>Are owners responsible to ensure their Information Assets are inventoried, appropriately classified, protected, and decommissioned properly?</t>
  </si>
  <si>
    <t>D.5.3.2</t>
  </si>
  <si>
    <t>Are owners responsible to approve and periodically review access to Information Assets?</t>
  </si>
  <si>
    <t>H.3 Revoke System and Physical Access</t>
  </si>
  <si>
    <t>8.1.2 Ownership of Assets|9.2.5 Review of User Access Rights</t>
  </si>
  <si>
    <t>D.5.4</t>
  </si>
  <si>
    <t>Is there a policy or procedure for information handling (storing, processing, and communicating) consistent with its classification that has been approved by management, communicated to appropriate constituents and assigned an owner to maintain and periodically review?</t>
  </si>
  <si>
    <t>Seismic has a formal Data Handling &amp; Classification Standard that is reviewed at least annually by Information Security. The standard provides labeling, handling, processing, and destruction requirements for four different levels of classification. Public, Internal Use, Confidential, and Restricted. All customer data is considered Confidential information and is protected with encryption in-transit and at-rest.</t>
  </si>
  <si>
    <t>Information Handling</t>
  </si>
  <si>
    <t>14.1.2 Securing Application Services on Public Networks|7.5.3 Control of Documented Information|8.2.2 Labelling of Information|8.2.3 Handing of Assets|8.3.1 Management of Removable Media</t>
  </si>
  <si>
    <t>D.5.4.1</t>
  </si>
  <si>
    <t>Does the policy or procedure for information handling include access control requirements including restrictions and authorized parties?</t>
  </si>
  <si>
    <t>7.5.3 Control of Documented Information|8.2.3 Handing of Assets</t>
  </si>
  <si>
    <t>D.5.4.2</t>
  </si>
  <si>
    <t>Does the policy or procedure for information handling include encryption requirements?</t>
  </si>
  <si>
    <t>D.5 Data Security Policy - Encryption</t>
  </si>
  <si>
    <t>10.1.1 Policy on the Use of Cryptographic Controls|18.1.5 Regulation of Cryptographic Controls|7.5.3 Control of Documented Information|8.2.3 Handing of Assets</t>
  </si>
  <si>
    <t>D.5.4.3</t>
  </si>
  <si>
    <t>Does the policy or procedure for information handling include storage requirements including authorized use of Public Cloud storage?</t>
  </si>
  <si>
    <t>Only approved enterprise cloud storage is authorized.</t>
  </si>
  <si>
    <t>D.5.4.4</t>
  </si>
  <si>
    <t>Does the policy or procedure for information handling include electronic transmission security requirements including email, web, and file transfer services?</t>
  </si>
  <si>
    <t>Encryption requirements for all modes of transmission.</t>
  </si>
  <si>
    <t>13.2.3 Electronic Messaging|7.5.3 Control of Documented Information|8.2.3 Handing of Assets</t>
  </si>
  <si>
    <t>D.5.4.5</t>
  </si>
  <si>
    <t>Does the policy or procedure for information handling include removable media (Thumb Drives, DVDs, Tapes, etc.) requirements?</t>
  </si>
  <si>
    <t>7.5.3 Control of Documented Information|8.2.3 Handing of Assets|8.3.1 Management of Removable Media</t>
  </si>
  <si>
    <t>D.5.4.6</t>
  </si>
  <si>
    <t>Does the policy or procedure for information handling ensure information's classification is properly labeled in its related physical and electronic formats?</t>
  </si>
  <si>
    <t>7.5.3 Control of Documented Information|8.2.2 Labelling of Information|8.2.3 Handing of Assets</t>
  </si>
  <si>
    <t>D.5.5</t>
  </si>
  <si>
    <t>Is there a data retention/destruction requirement that includes information on live media, backup/archived media, and information managed by subcontractors?</t>
  </si>
  <si>
    <t>7.5.3 Control of Documented Information</t>
  </si>
  <si>
    <t>D.5.6</t>
  </si>
  <si>
    <t>Is all media containing scoped data disposed of securely?</t>
  </si>
  <si>
    <t>Data is destroyed logically by destroying encryption keys. Scoped data is destroyed within 90 days after contract termination, or as specified in contract. Destroyed using NIST 800-88 standards.</t>
  </si>
  <si>
    <t>Media Security</t>
  </si>
  <si>
    <t>Media Disposal</t>
  </si>
  <si>
    <t>D.7 Asset Destruction and Disposal</t>
  </si>
  <si>
    <t>11.2.7 Secure Disposal and Re-use of Equipment|8.3.2 Disposal of Media</t>
  </si>
  <si>
    <t>D.5.6.1</t>
  </si>
  <si>
    <t>If in electronic form, is all scoped data made unrecoverable (wiped or overwritten) prior to asset reuse?</t>
  </si>
  <si>
    <t>D.5.6.2</t>
  </si>
  <si>
    <t>Is media disposal logged to maintain an audit trail?</t>
  </si>
  <si>
    <t>12.4.1 Event Logging|8.3.2 Disposal of Media</t>
  </si>
  <si>
    <t>Is scoped data sent or received via physical media?</t>
  </si>
  <si>
    <t>Physical Media Transmission</t>
  </si>
  <si>
    <t>Physical Media Transport Integrity</t>
  </si>
  <si>
    <t>13.2.1 Information Transfer Policies and Procedures|8.3.3 Physical Media Transfer</t>
  </si>
  <si>
    <t>D.6.1</t>
  </si>
  <si>
    <t>Do transport containers protect against physical damage?</t>
  </si>
  <si>
    <t>D.2 Physical Media Tracking</t>
  </si>
  <si>
    <t>D.6.2</t>
  </si>
  <si>
    <t>Are locked or tamper evident transport containers used to transport scoped data?</t>
  </si>
  <si>
    <t>13.2.1 Information Transfer Policies and Procedures|8.3.1 Management of Removable Media|8.3.3 Physical Media Transfer</t>
  </si>
  <si>
    <t>D.6.3</t>
  </si>
  <si>
    <t>Are all the following used when transporting scoped data; chain of custody logs identifying media contents, protection applied, times of transfer and receipt at destination?</t>
  </si>
  <si>
    <t>D.3 Security of Media in Transit</t>
  </si>
  <si>
    <t>12.4.1 Event Logging|13.2.1 Information Transfer Policies and Procedures|7.5.1 General|8.3.3 Physical Media Transfer</t>
  </si>
  <si>
    <t>Is scoped data sent or received electronically?</t>
  </si>
  <si>
    <t>Data Transmission</t>
  </si>
  <si>
    <t>Data Transmission Security Policy</t>
  </si>
  <si>
    <t>13.2.1 Information Transfer Policies and Procedures|13.2.2 Agreements on Information Transfer|13.2.3 Electronic Messaging</t>
  </si>
  <si>
    <t>D.7.1</t>
  </si>
  <si>
    <t>Are policies, procedures, and controls for transferring information enforced?</t>
  </si>
  <si>
    <t>D.7.2</t>
  </si>
  <si>
    <t>Is all scoped data sent or received electronically encrypted in transit while outside the network?</t>
  </si>
  <si>
    <t>Data Transmission Security Policy - Encryption</t>
  </si>
  <si>
    <t>10.1.1 Policy on the Use of Cryptographic Controls|13.2.1 Information Transfer Policies and Procedures|13.2.3 Electronic Messaging</t>
  </si>
  <si>
    <t>D.7.4</t>
  </si>
  <si>
    <t>Does all scoped data sent or received electronically include encryption of e-mail, chat and other messaging technologies?</t>
  </si>
  <si>
    <t>All electronic transfers are over secure web connections.</t>
  </si>
  <si>
    <t>10.1.1 Policy on the Use of Cryptographic Controls|13.2.1 Information Transfer Policies and Procedures|13.2.3 Electronic Messaging|14.1.2 Securing Application Services on Public Networks</t>
  </si>
  <si>
    <t>D.7.5</t>
  </si>
  <si>
    <t>Does scoped data sent or received electronically include content filtering scans performed on incoming/outgoing email to enforce email policy?</t>
  </si>
  <si>
    <t>Data Transmission Security Policy - Traffic Filtering</t>
  </si>
  <si>
    <t>N.13 Data Loss Prevention - Configuration</t>
  </si>
  <si>
    <t>13.2.1 Information Transfer Policies and Procedures|13.2.3 Electronic Messaging|14.1.2 Securing Application Services on Public Networks</t>
  </si>
  <si>
    <t>D.7.6</t>
  </si>
  <si>
    <t>Does scoped data sent or received electronically include protection against malicious code by network virus inspection or virus scan at the endpoint?</t>
  </si>
  <si>
    <t>T.3 Virus Protection (Workstations)</t>
  </si>
  <si>
    <t>D.7.7</t>
  </si>
  <si>
    <t>Do scans performed on incoming and outgoing email include phishing prevention?</t>
  </si>
  <si>
    <t>Phishing Prevention</t>
  </si>
  <si>
    <t>D.7.8</t>
  </si>
  <si>
    <t>Has your company implemented a data loss prevention (DLP) security solution and program?</t>
  </si>
  <si>
    <t>Seismic uses Digital Guardian for DLP.</t>
  </si>
  <si>
    <t>Data Loss Prevention Program</t>
  </si>
  <si>
    <t>N.12 Data Loss Prevention - Program</t>
  </si>
  <si>
    <t>13.2.1 Information Transfer Policies and Procedures|14.1.2 Securing Application Services on Public Networks</t>
  </si>
  <si>
    <t>D.7.8.1</t>
  </si>
  <si>
    <t>Have roles and responsibilities been defined for the program?</t>
  </si>
  <si>
    <t>D.7.8.4</t>
  </si>
  <si>
    <t>Does the program include policies for data in use, in motion, and at rest?</t>
  </si>
  <si>
    <t>D.7.8.6</t>
  </si>
  <si>
    <t>Does the program include DLP solution performance monitoring?</t>
  </si>
  <si>
    <t>D.7.8.6.1</t>
  </si>
  <si>
    <t>Is the DLP performance monitoring continuous?</t>
  </si>
  <si>
    <t>D.7.8.7</t>
  </si>
  <si>
    <t>Does the program include a process for handling if data loss is suspected or has occurred?</t>
  </si>
  <si>
    <t>D.7.8.8</t>
  </si>
  <si>
    <t>Does the program include a review of the DLP solution Rules at least annually?</t>
  </si>
  <si>
    <t>D.7.8.9</t>
  </si>
  <si>
    <t>Is all organization email scanned by DLP?</t>
  </si>
  <si>
    <t>Data Loss Prevention</t>
  </si>
  <si>
    <t>D.7.8.10</t>
  </si>
  <si>
    <t>Is all organization outbound web traffic scanned by DLP?</t>
  </si>
  <si>
    <t>D.7.8.10.1</t>
  </si>
  <si>
    <t>Does your DLP solution have rules setup for the prohibition of unauthorized transfers of personal information to external sites e.g., webmail, blogs, personal storage sites?</t>
  </si>
  <si>
    <t>D.7.8.15</t>
  </si>
  <si>
    <t>Is your DLP system configured to block unauthorized traffic?</t>
  </si>
  <si>
    <t>D.7.9</t>
  </si>
  <si>
    <t>Are scoped systems or data stored or transferred in cloud-based public file sharing solutions? If yes, please explain in the Additional Information field.</t>
  </si>
  <si>
    <t>Cloud File Sharing Access Controls</t>
  </si>
  <si>
    <t>D.7.9.1</t>
  </si>
  <si>
    <t>Are organization-approved, cloud-based public file sharing solution(s) used e.g., SharePoint, Box, Google Drive, Dropbox, OneDrive? If yes, please identify the provider(s) in the Additional Information field.</t>
  </si>
  <si>
    <t>D.7.9.2</t>
  </si>
  <si>
    <t>Are users prohibited by policy from granting public file sharing access to external parties without management approval? If no, please explain in the Additional Information field.</t>
  </si>
  <si>
    <t>D.8</t>
  </si>
  <si>
    <t>Is regulated or confidential scoped data stored electronically?</t>
  </si>
  <si>
    <t>Encryption</t>
  </si>
  <si>
    <t>Scoping</t>
  </si>
  <si>
    <t>8.3.1 Management of Removable Media</t>
  </si>
  <si>
    <t>D.8.1</t>
  </si>
  <si>
    <t>Is full-disk encryption enabled for all systems that store or process scoped data?</t>
  </si>
  <si>
    <t>Disk Encryption</t>
  </si>
  <si>
    <t>10.1.1 Policy on the Use of Cryptographic Controls|18.1.5 Regulation of Cryptographic Controls|8.3.1 Management of Removable Media</t>
  </si>
  <si>
    <t>D.8.2</t>
  </si>
  <si>
    <t>Is regulated or confidential scoped data stored in a database?</t>
  </si>
  <si>
    <t>Database Encryption</t>
  </si>
  <si>
    <t>D.8.2.1</t>
  </si>
  <si>
    <t>Does regulated or confidential scoped data stored in a database include Database Encryption?</t>
  </si>
  <si>
    <t>AES-256</t>
  </si>
  <si>
    <t>10.1.1 Policy on the Use of Cryptographic Controls|18.1.5 Regulation of Cryptographic Controls</t>
  </si>
  <si>
    <t>D.8.3</t>
  </si>
  <si>
    <t>Is regulated or confidential scoped data stored in files?</t>
  </si>
  <si>
    <t>N/a</t>
  </si>
  <si>
    <t>Regulated or confidential Scoped Data is not stored in files.</t>
  </si>
  <si>
    <t>File/Folder Encryption</t>
  </si>
  <si>
    <t>D.8.3.1</t>
  </si>
  <si>
    <t>Does regulated or confidential scoped data stored in files include file/folder-level encryption enabled?</t>
  </si>
  <si>
    <t>10.1.1 Policy on the Use of Cryptographic Controls</t>
  </si>
  <si>
    <t>D.8.4</t>
  </si>
  <si>
    <t>Are encryption keys managed and maintained for scoped data?</t>
  </si>
  <si>
    <t>AWS Key Management Service</t>
  </si>
  <si>
    <t>Key Management</t>
  </si>
  <si>
    <t>10.1.1 Policy on the Use of Cryptographic Controls|10.1.2 Key Management|18.1.5 Regulation of Cryptographic Controls</t>
  </si>
  <si>
    <t>D.8.4.1</t>
  </si>
  <si>
    <t>Are encryption keys generated in a manner consistent with key management industry standards?</t>
  </si>
  <si>
    <t>10.1.2 Key Management|18.1.5 Regulation of Cryptographic Controls</t>
  </si>
  <si>
    <t>D.8.4.2</t>
  </si>
  <si>
    <t>Are encryption keys encrypted at rest and when transmitted?</t>
  </si>
  <si>
    <t>10.1.2 Key Management</t>
  </si>
  <si>
    <t>D.8.4.3</t>
  </si>
  <si>
    <t>Is there segregation of duties between personnel responsible for key management duties and those responsible for normal operational duties?</t>
  </si>
  <si>
    <t>Maintained by small operations team.  Seismic logs all activity completed by these teams related to Key Management.</t>
  </si>
  <si>
    <t>10.1.2 Key Management|6.1.2 Segregation of Duties</t>
  </si>
  <si>
    <t>D.8.4.4</t>
  </si>
  <si>
    <t>Is the use of keys by personnel logged?</t>
  </si>
  <si>
    <t>10.1.2 Key Management|12.4.1 Event Logging</t>
  </si>
  <si>
    <t>D.8.4.6</t>
  </si>
  <si>
    <t>Is there a centralized key management system (KMS)?</t>
  </si>
  <si>
    <t>D.8.4.6.1</t>
  </si>
  <si>
    <t>Does key generation and management occur in a software solution e.g., bouncycastle, OpenSSL?</t>
  </si>
  <si>
    <t>D.8.4.6.2</t>
  </si>
  <si>
    <t>Does key generation and management occur in a hardware Encryption Module/hardware Security Module e.g., NIST, FIPS 140-2?</t>
  </si>
  <si>
    <t>. Encryption keys are stored in FIPS 140-2 Level 2 validated vault.</t>
  </si>
  <si>
    <t>D.8.4.7</t>
  </si>
  <si>
    <t>Is there an option for clients to manage their own encryption keys?</t>
  </si>
  <si>
    <t>D.8.5</t>
  </si>
  <si>
    <t>Is Asymmetric encryption key length a minimum of 2048 bits?</t>
  </si>
  <si>
    <t>Cryptographic Strength</t>
  </si>
  <si>
    <t>D.8.5.1</t>
  </si>
  <si>
    <t>Does Symmetric encryption use AES with a key length of at least 128 bits?</t>
  </si>
  <si>
    <t>D.8.6</t>
  </si>
  <si>
    <t>Are constituents able to view client's unencrypted Data?</t>
  </si>
  <si>
    <t>Constituent Access</t>
  </si>
  <si>
    <t>D.8.6.1</t>
  </si>
  <si>
    <t>Can constituents view an unencrypted version of regulated or confidential Information?</t>
  </si>
  <si>
    <t>D.9</t>
  </si>
  <si>
    <t>Can Clients specify where their data is stored (logically and physically)?</t>
  </si>
  <si>
    <t xml:space="preserve">Clients choose the specific AWS  regions during onboarding. </t>
  </si>
  <si>
    <t>Client Data Segmentation</t>
  </si>
  <si>
    <t>Information Storage Location</t>
  </si>
  <si>
    <t>D.10</t>
  </si>
  <si>
    <t>Is data segmentation and separation capability between clients provided?</t>
  </si>
  <si>
    <t>Data Segmentation</t>
  </si>
  <si>
    <t>V.1 Service and Deployment Models</t>
  </si>
  <si>
    <t>D.10.6</t>
  </si>
  <si>
    <t>Does data segmentation and separation include Database segmentation (i.e., separate database instance for each client)?</t>
  </si>
  <si>
    <t>Database Segmentation</t>
  </si>
  <si>
    <t>D.11</t>
  </si>
  <si>
    <t>In the event of a subpoena or forensics incident, is specific data able to be put on Litigation Hold without impacting other clients' data?</t>
  </si>
  <si>
    <t>eDiscovery and Litigation Hold</t>
  </si>
  <si>
    <t>Are Human Resource policies approved by management, communicated to constituents and an owner to maintain and review?</t>
  </si>
  <si>
    <t xml:space="preserve">Once an employee is hired and joins Seismic, they go through an orientation process where they meet their fellow employees and are provided a collection of Company policies and procedures, including the Employee Handbook and the policies and procedures relevant to their job function. The employee electronically acknowledges receipt of and obligations under the policies they have received. </t>
  </si>
  <si>
    <t>Human Resource Policy</t>
  </si>
  <si>
    <t>E.1 Human Resources Security Policy and Background Investigation Content</t>
  </si>
  <si>
    <t>E</t>
  </si>
  <si>
    <t>E.1.1</t>
  </si>
  <si>
    <t>Do Human Resource policies include Constituent background screening criteria?</t>
  </si>
  <si>
    <t xml:space="preserve">New employees are required to subject to a stringent employee background investigation, including the following checks: Criminal Felony and Misdemeanor Records, Education Report, Employment Report, Federal Criminal Records, National Criminal Records, SSN Trace, SSN Validation, and Professional Reference Checks. </t>
  </si>
  <si>
    <t>Background Investigation Policy Content</t>
  </si>
  <si>
    <t>7.1.1 Screening|7.2 Competence</t>
  </si>
  <si>
    <t>E.1.1.1</t>
  </si>
  <si>
    <t>Does Constituent background screening criteria include Criminal screening?</t>
  </si>
  <si>
    <t>E.1.1.2</t>
  </si>
  <si>
    <t>Does Constituent background screening criteria include Credit checks?</t>
  </si>
  <si>
    <t>Legally restricted in areas Seismic operates. Performed for financial personnel only.</t>
  </si>
  <si>
    <t>E.1.1.4</t>
  </si>
  <si>
    <t>Does Constituent background screening criteria include Reference verification?</t>
  </si>
  <si>
    <t>E.1.1.5</t>
  </si>
  <si>
    <t>Does Constituent background screening criteria include Resume or curriculum vitae verification?</t>
  </si>
  <si>
    <t>E.1.2</t>
  </si>
  <si>
    <t>Are constituents required to sign employment agreements?</t>
  </si>
  <si>
    <t>All employee agreements are part of offer acceptance.</t>
  </si>
  <si>
    <t>Agreements for Constituents</t>
  </si>
  <si>
    <t>7.1.2 Terms and Condition of Employment</t>
  </si>
  <si>
    <t>E.1.2.1</t>
  </si>
  <si>
    <t>Do employment agreements include Acknowledgement of Acceptable Use policies?</t>
  </si>
  <si>
    <t>Employees acknowledge Seismic's Acceptable Use Policy upon hire and annually.</t>
  </si>
  <si>
    <t>7.1.2 Terms and Condition of Employment|7.2.1 Management Responsibilities</t>
  </si>
  <si>
    <t>E.1.2.2</t>
  </si>
  <si>
    <t>Do employment agreements include acknowledgement of Code of Conduct/Ethics policies?</t>
  </si>
  <si>
    <t>Included in Seismic's Employee Handbook. All employees must acknowledge this handbook upon hire.</t>
  </si>
  <si>
    <t>E.1.2.3</t>
  </si>
  <si>
    <t>Do employment agreements include acknowledgement of Confidentiality/Non-Disclosure policies?</t>
  </si>
  <si>
    <t>Included in job offer acceptance letter and kept in Seismic records.</t>
  </si>
  <si>
    <t>E.1.3</t>
  </si>
  <si>
    <t>Are constituents required to attend security awareness training?</t>
  </si>
  <si>
    <t>Security awareness training is required for employees upon hire and annually thereafter. Training includes review of security policies, password policy/ protection of passwords, laptop/mobile device security, as well as additional rotating or ad-hoc topics (e.g., phishing, social engineering). Online training is provided through use of KnowBe4 Security Awareness platform.</t>
  </si>
  <si>
    <t>Security Awareness Training Program</t>
  </si>
  <si>
    <t>E.3 Security Awareness Training Program</t>
  </si>
  <si>
    <t>12.2.1 Controls Against Malware|16.1.3 Reporting Information Security Weaknesses|7.2 Competence|7.2.1 Management Responsibilities|7.2.2 Information Security Awareness, Education and Training|7.3 Awareness</t>
  </si>
  <si>
    <t>E.1.3.1</t>
  </si>
  <si>
    <t>Does the security awareness training program include security policies, procedures and processes?</t>
  </si>
  <si>
    <t>16.1.3 Reporting Information Security Weaknesses|7.2 Competence|7.2.1 Management Responsibilities|7.2.2 Information Security Awareness, Education and Training|7.3 Awareness</t>
  </si>
  <si>
    <t>E.1.3.2</t>
  </si>
  <si>
    <t>Does the security awareness training program include techniques to recognize phishing attempts?</t>
  </si>
  <si>
    <t>7.2.2 Information Security Awareness, Education and Training</t>
  </si>
  <si>
    <t>E.1.3.3</t>
  </si>
  <si>
    <t>Does the security awareness training program include an explanation of constituents' security roles and responsibilities?</t>
  </si>
  <si>
    <t>16.1.3 Reporting Information Security Weaknesses|7.2 Competence|7.2.1 Management Responsibilities|7.2.2 Information Security Awareness, Education and Training|7.3 Awareness|7.3.1 Termination or Change of Employment Responsibilities</t>
  </si>
  <si>
    <t>E.1.3.5</t>
  </si>
  <si>
    <t>Does the security awareness training program include new hire and annual participation?</t>
  </si>
  <si>
    <t>7.2 Competence|7.2.2 Information Security Awareness, Education and Training|7.3 Awareness</t>
  </si>
  <si>
    <t>E.1.4</t>
  </si>
  <si>
    <t>Does the Human Resource policy include a disciplinary process for non-compliance?</t>
  </si>
  <si>
    <t xml:space="preserve">Employees are informed that violation of published company policies is subject to disciplinary action, up to and including termination. </t>
  </si>
  <si>
    <t>Disciplinary Process</t>
  </si>
  <si>
    <t>7.2.1 Management Responsibilities|7.2.3 Disciplinary Process|7.3 Awareness</t>
  </si>
  <si>
    <t>E.1.5</t>
  </si>
  <si>
    <t>Does the Human Resource policy include Constituent accountability for the use and misuse of their access credentials?</t>
  </si>
  <si>
    <t>7.2.1 Management Responsibilities|7.2.3 Disciplinary Process</t>
  </si>
  <si>
    <t>E.1.6</t>
  </si>
  <si>
    <t>Does the Human Resource policy include Termination and/or change of status processes?</t>
  </si>
  <si>
    <t>Hiring managers initiate and complete a form requesting change of user access for employees moving roles, or termination of user access for offboarding employees. System access is changed or removed within 24 hours of notification from the hiring manager that an employee is being moved or terminated. Deactivation of access to systems is triggered by employee exit checklist when the reason for deactivation is the separation of the employee from the company. Employee offboarding process includes de-provisioning of privileged access upon termination of employment.</t>
  </si>
  <si>
    <t>Separation Procedures</t>
  </si>
  <si>
    <t>E.5 Separation Procedures</t>
  </si>
  <si>
    <t>7.3.1 Termination or Change of Employment Responsibilities</t>
  </si>
  <si>
    <t>Is electronic access to systems containing scoped data removed within 24 hours for terminated constituents?</t>
  </si>
  <si>
    <t>9.2.6 Removal or Adjustment of Access Rights</t>
  </si>
  <si>
    <t>Does your organization have an employee performance process that is documented, maintained, and reviewed by management periodically?</t>
  </si>
  <si>
    <t>Performance Review</t>
  </si>
  <si>
    <t>E.4 Formal Performance and Appraisal Process</t>
  </si>
  <si>
    <t>Is there a physical security program approved by management, communicated to constituents, and has an owner been assigned to maintain and review?</t>
  </si>
  <si>
    <t xml:space="preserve">Seismic’s offices are secured with key or digital fob access and are locked outside normal business hours. Outside of normal business hours, unauthorized access to the office is protected with the use of an alarm. Office space is monitored by video surveillance with 30-day retention of video data. Visitors are escorted while on Seismic premises and required to sign in on a visitor log. The Seismic platform as well as Seismic's business system are cloud-based and therefore are not highly dependent on physical information handling.
Access to data center facilities is controlled by the Amazon Data Center Management team. Main access is typically restricted to a single point of entry manned by security personnel. The main interior/reception areas have electronic card access control on doors to interior facilities. Rooms with critical systems are restricted through security mechanisms such as electronic card access control, keyed lock on individual doors, man traps, biometric devices. Temporary or permanent access requests are tracked by a ticketing system. Badges are issued or activated after ID verification. 
</t>
  </si>
  <si>
    <t>Physical Security Program</t>
  </si>
  <si>
    <t>Secured Facility Controls</t>
  </si>
  <si>
    <t>11.1.3 Securing Offices, Rooms, and Facilities|11.1.5 Working in Secure Areas</t>
  </si>
  <si>
    <t>F</t>
  </si>
  <si>
    <t>F.1.1</t>
  </si>
  <si>
    <t>Does the physical security program include a clean desk policy?</t>
  </si>
  <si>
    <t>F.3 Secure Workspace Program</t>
  </si>
  <si>
    <t>11.1.3 Securing Offices, Rooms, and Facilities|11.1.5 Working in Secure Areas|11.2.9 Clear Desk and Clear Screen Policy</t>
  </si>
  <si>
    <t>F.1.2</t>
  </si>
  <si>
    <t>Are there physical security controls for all secured facilities e.g., data centers, office buildings?</t>
  </si>
  <si>
    <t>F.2 Physical Security Controls</t>
  </si>
  <si>
    <t>11.1.1 Physical Security Perimeter|11.1.2 Physical Entry Controls|11.1.5 Working in Secure Areas</t>
  </si>
  <si>
    <t>F.1.2.1</t>
  </si>
  <si>
    <t>Do the physical security controls include electronic controlled access system (key card, token, fob, biometric reader, etc.)?</t>
  </si>
  <si>
    <t>See response to F.1 above. For further details, please refer to documentation made available by AWS. https://aws.amazon.com/compliance/data-center/controls/</t>
  </si>
  <si>
    <t>11.1.1 Physical Security Perimeter|11.1.2 Physical Entry Controls</t>
  </si>
  <si>
    <t>F.1.2.2</t>
  </si>
  <si>
    <t>Do the physical security controls include cipher locks (electronic or mechanical) to control access within or to the Facility?</t>
  </si>
  <si>
    <t>F.1.2.3</t>
  </si>
  <si>
    <t>Do the physical security controls include security guards that provide onsite security services?</t>
  </si>
  <si>
    <t>F.4 Secure Workspace Perimeter</t>
  </si>
  <si>
    <t>F.1.2.4</t>
  </si>
  <si>
    <t>Do the physical security controls include perimeter physical barrier (such as fence or walls)?</t>
  </si>
  <si>
    <t>F.1.2.5</t>
  </si>
  <si>
    <t>Do the physical security controls include entry and exit doors alarmed (forced entry, propped open) and/or monitored by security guards?</t>
  </si>
  <si>
    <t>F.1.2.6</t>
  </si>
  <si>
    <t>Do the physical security controls include a mechanism to prevent Tailgating/Piggybacking?</t>
  </si>
  <si>
    <t>F.1.2.9</t>
  </si>
  <si>
    <t>Do the physical security controls include exterior doors with external hinge pins?</t>
  </si>
  <si>
    <t>F.1.2.10</t>
  </si>
  <si>
    <t>Do the physical security controls include windows with contact or break alarms on all windows?</t>
  </si>
  <si>
    <t>F.1.2.11</t>
  </si>
  <si>
    <t>Do the physical security controls include digital CCTV with video stored at least 90 days?</t>
  </si>
  <si>
    <t>F.1.2.14</t>
  </si>
  <si>
    <t>Are there physical access controls that include restricted access and logs kept of all access?</t>
  </si>
  <si>
    <t>Secured Facility Controls - Access</t>
  </si>
  <si>
    <t>11.1.1 Physical Security Perimeter|11.1.2 Physical Entry Controls|11.1.3 Securing Offices, Rooms, and Facilities|12.4.1 Event Logging|7.5.1 General</t>
  </si>
  <si>
    <t>F.1.2.14.1</t>
  </si>
  <si>
    <t>Do physical access controls include collection of access equipment (badges, keys, change pin numbers, etc.) upon termination or status change?</t>
  </si>
  <si>
    <t>11.1.2 Physical Entry Controls|9.2.6 Removal or Adjustment of Access Rights</t>
  </si>
  <si>
    <t>F.1.2.14.2</t>
  </si>
  <si>
    <t>Are physical access control procedures documented?</t>
  </si>
  <si>
    <t>H.8 Physical Access Controls</t>
  </si>
  <si>
    <t>11.1.2 Physical Entry Controls|11.1.5 Working in Secure Areas</t>
  </si>
  <si>
    <t>F.1.2.14.3</t>
  </si>
  <si>
    <t>Do physical access controls include segregation of duties for issuing and approving access?</t>
  </si>
  <si>
    <t>11.1.2 Physical Entry Controls|11.1.5 Working in Secure Areas|6.1.2 Segregation of Duties</t>
  </si>
  <si>
    <t>F.1.2.14.4</t>
  </si>
  <si>
    <t>Do physical access controls include access reviews at least every six months?</t>
  </si>
  <si>
    <t>F.1.2.14.5</t>
  </si>
  <si>
    <t>Do physical access controls require reporting of lost or stolen access cards/keys?</t>
  </si>
  <si>
    <t>11.1.5 Working in Secure Areas</t>
  </si>
  <si>
    <t>F.1.3</t>
  </si>
  <si>
    <t>Are there environmental controls in secured facilities to protect computers and other physical assets e.g., Fire detection and suppression?</t>
  </si>
  <si>
    <t>Environmental Controls - Computer Hardware</t>
  </si>
  <si>
    <t>F.1 Environmental Controls</t>
  </si>
  <si>
    <t>11.1.4 Protecting Against External and Environmental Threats|11.2.1 Equipment Siting and Protection</t>
  </si>
  <si>
    <t>F.1.3.1</t>
  </si>
  <si>
    <t>Is there a process to ensure equipment supporting critical computer systems is correctly maintained?</t>
  </si>
  <si>
    <t>F.8 Physical and Environmental Security Testing</t>
  </si>
  <si>
    <t>11.2.1 Equipment Siting and Protection|11.2.2 Supporting Utilities|11.2.4 Equipment Maintenance</t>
  </si>
  <si>
    <t>F.1.3.2</t>
  </si>
  <si>
    <t>Is there a process to ensure equipment supporting critical systems is not taken offline or off-site without prior authorization?</t>
  </si>
  <si>
    <t>11.2.1 Equipment Siting and Protection|11.2.5 Removal of Assets</t>
  </si>
  <si>
    <t>F.1.3.3</t>
  </si>
  <si>
    <t>Is signage required to identify environmental controls within the data center?</t>
  </si>
  <si>
    <t>F.1.3.4</t>
  </si>
  <si>
    <t>Do environmental controls include fluid sensors?</t>
  </si>
  <si>
    <t>F.1.3.5</t>
  </si>
  <si>
    <t>Do environmental controls include HVAC and humidity controls?</t>
  </si>
  <si>
    <t>F.1.3.6</t>
  </si>
  <si>
    <t>Do environmental controls include heat detectors?</t>
  </si>
  <si>
    <t>F.1.3.7</t>
  </si>
  <si>
    <t>Do environmental controls include smoke detectors?</t>
  </si>
  <si>
    <t>F.1.3.8</t>
  </si>
  <si>
    <t>Do environmental controls include fire suppression?</t>
  </si>
  <si>
    <t>Are visitors permitted in the facility?</t>
  </si>
  <si>
    <t>Visitor Management</t>
  </si>
  <si>
    <t>F.2.1</t>
  </si>
  <si>
    <t>Are visitors required to sign in and out?</t>
  </si>
  <si>
    <t>F.7 Visitor Management</t>
  </si>
  <si>
    <t>F.2.2</t>
  </si>
  <si>
    <t>Are visitors required to provide a government issued ID?</t>
  </si>
  <si>
    <t>F.2.3</t>
  </si>
  <si>
    <t>Are visitors required to be escorted through secure areas?</t>
  </si>
  <si>
    <t>F.2.4</t>
  </si>
  <si>
    <t>Are visitors required to wear badge distinguishing them from employees?</t>
  </si>
  <si>
    <t>F.2.5</t>
  </si>
  <si>
    <t>Are visitor logs maintained for at least 90 days?</t>
  </si>
  <si>
    <t>12.4.1 Event Logging|7.5.1 General</t>
  </si>
  <si>
    <t>Is there a loading dock at the facility?</t>
  </si>
  <si>
    <t>Loading Dock Controls</t>
  </si>
  <si>
    <t>Secure Workspace Perimeter</t>
  </si>
  <si>
    <t>11.1.6 Delivery and Loading Areas</t>
  </si>
  <si>
    <t>Is there a battery/UPS room in offices and/or facility?</t>
  </si>
  <si>
    <t>Battery/UPS Room Controls</t>
  </si>
  <si>
    <t>Physical Security Controls - Scoped Data</t>
  </si>
  <si>
    <t>11.2.2 Supporting Utilities</t>
  </si>
  <si>
    <t>Is there a generator or generator area in offices and/or facility?</t>
  </si>
  <si>
    <t>Power Generator Controls</t>
  </si>
  <si>
    <t>11.1.4 Protecting Against External and Environmental Threats|11.2.2 Supporting Utilities</t>
  </si>
  <si>
    <t>Is there a media library to store scoped data?</t>
  </si>
  <si>
    <t>Media Library Controls</t>
  </si>
  <si>
    <t>11.2.1 Equipment Siting and Protection</t>
  </si>
  <si>
    <t>Is there a telecom equipment room?</t>
  </si>
  <si>
    <t>Telecom Equipment Room Controls</t>
  </si>
  <si>
    <t>11.2.1 Equipment Siting and Protection|11.2.3 Cabling Security</t>
  </si>
  <si>
    <t>F.9</t>
  </si>
  <si>
    <t>Are your devices located in a locked server cabinet within the data center?</t>
  </si>
  <si>
    <t>Information Technology Device Physical Security</t>
  </si>
  <si>
    <t>11.1.3 Securing Offices, Rooms, and Facilities|11.2.1 Equipment Siting and Protection</t>
  </si>
  <si>
    <t>F.9.1</t>
  </si>
  <si>
    <t>Do server cabinets include restricted access and are logs kept of all access?</t>
  </si>
  <si>
    <t>11.1.3 Securing Offices, Rooms, and Facilities|11.2.1 Equipment Siting and Protection|12.4.1 Event Logging</t>
  </si>
  <si>
    <t>F.9.2</t>
  </si>
  <si>
    <t>Do server cabinets include Digital CCTV and video stored at least 90 days?</t>
  </si>
  <si>
    <t>Video Monitoring</t>
  </si>
  <si>
    <t>F.10</t>
  </si>
  <si>
    <t>Do the Scoped systems and data reside in a data center?</t>
  </si>
  <si>
    <t>Data Center Controls</t>
  </si>
  <si>
    <t>F.10.1</t>
  </si>
  <si>
    <t>Do other tenants use the data center?</t>
  </si>
  <si>
    <t>F.10.2</t>
  </si>
  <si>
    <t>Are locking screensavers on unattended system displays or locks on consoles required within the data center?</t>
  </si>
  <si>
    <t>H.6 Controls for Unattended Systems</t>
  </si>
  <si>
    <t>11.1.3 Securing Offices, Rooms, and Facilities|11.2.1 Equipment Siting and Protection|11.2.8 Unattended User Equipment|11.2.9 Clear Desk and Clear Screen Policy</t>
  </si>
  <si>
    <t>F.10.3</t>
  </si>
  <si>
    <t>Is there a procedure for equipment removal from the data center?</t>
  </si>
  <si>
    <t>11.2.1 Equipment Siting and Protection|11.2.5 Removal of Assets|11.2.6 Security Equipment and Assets Off Premises</t>
  </si>
  <si>
    <t>F.10.4</t>
  </si>
  <si>
    <t>Are maintenance contracts maintained for critical equipment?</t>
  </si>
  <si>
    <t>Maintenance Contracts for Critical Equipment</t>
  </si>
  <si>
    <t>11.1.4 Protecting Against External and Environmental Threats|11.2.2 Supporting Utilities|11.2.4 Equipment Maintenance</t>
  </si>
  <si>
    <t>F.10.5</t>
  </si>
  <si>
    <t>Are tests conducted for any building systems?</t>
  </si>
  <si>
    <t>Physical and Environmental Security Testing</t>
  </si>
  <si>
    <t>11.1.4 Protecting Against External and Environmental Threats</t>
  </si>
  <si>
    <t>F.10.5.1</t>
  </si>
  <si>
    <t>Are UPS systems tested at least annually?</t>
  </si>
  <si>
    <t>F.10.5.2</t>
  </si>
  <si>
    <t>Are all security alarm systems tested at least annually?</t>
  </si>
  <si>
    <t>F.10.5.3</t>
  </si>
  <si>
    <t>Are all fire alarms tested at least annually?</t>
  </si>
  <si>
    <t>F.10.5.4</t>
  </si>
  <si>
    <t>Are all fire suppression systems tested at least annually?</t>
  </si>
  <si>
    <t>F.10.5.5</t>
  </si>
  <si>
    <t>Are all generators tested at least monthly?</t>
  </si>
  <si>
    <t>F.10.5.6</t>
  </si>
  <si>
    <t>Are all generators full load tested at least monthly?</t>
  </si>
  <si>
    <t>Are management approved operating procedures utilized?</t>
  </si>
  <si>
    <t>Operational Procedures and Responsibilities</t>
  </si>
  <si>
    <t>IT Operational Procedures</t>
  </si>
  <si>
    <t>G.1 Operational Procedures</t>
  </si>
  <si>
    <t>12.1.1 Documented Operating Procedures</t>
  </si>
  <si>
    <t>G</t>
  </si>
  <si>
    <t>G.1.1</t>
  </si>
  <si>
    <t>Are operating procedures documented, maintained, and made available to all users?</t>
  </si>
  <si>
    <t>Is the maturity of IT management processes formally evaluated at least annually using an established benchmark e.g., COBIT maturity models?</t>
  </si>
  <si>
    <t xml:space="preserve"> </t>
  </si>
  <si>
    <t>IT Governance</t>
  </si>
  <si>
    <t>Maturity Benchmarking</t>
  </si>
  <si>
    <t>10.2 Continual Improvement|9.1 Monitoring, Measurement, Analysis, and Evaluation</t>
  </si>
  <si>
    <t>Is there an operational Change Management/Change Control policy or program that has been documented, approved by management, communicated to appropriate constituents and assigned an owner to maintain and review the policy?</t>
  </si>
  <si>
    <t>Change Control</t>
  </si>
  <si>
    <t>12.1.2 Change Management|8.1 Operational Planning and Control</t>
  </si>
  <si>
    <t>G.3.5</t>
  </si>
  <si>
    <t>Does the operational Change Management/Change Control policy or program include communication of changes to all relevant constituents?</t>
  </si>
  <si>
    <t>12.1.2 Change Management</t>
  </si>
  <si>
    <t>G.3.10</t>
  </si>
  <si>
    <t>Do changes to the production environment including network, systems, application updates, and code changes subject to the Change Control process?</t>
  </si>
  <si>
    <t>G.3.10.1</t>
  </si>
  <si>
    <t>Does the Change Control process include segregation of duties between those requesting, approving and implementing a change?</t>
  </si>
  <si>
    <t>12.1.2 Change Management|6.1.2 Segregation of Duties</t>
  </si>
  <si>
    <t>G.3.10.2</t>
  </si>
  <si>
    <t>Does the Change Control process include a formal process to ensure clients are notified prior to changes being made which may impact their service?</t>
  </si>
  <si>
    <t xml:space="preserve">Release notes are published for every update. In advance of our monthly release, we publish a product update focused on the upcoming release, with details and screenshots of new features and capabilities. Customers can designate any number of communication contacts for their organization. Communication contacts are placed on the distribution list for a wide variety of communication vehicles Seismic uses to keep in touch with its customers, including release notes, product updates, and technical bulletins. Seismic provides updates via its built in notification system for news about upcoming upgrades or planned maintenance. </t>
  </si>
  <si>
    <t>G.3.10.3</t>
  </si>
  <si>
    <t>Does the Change Control process include a scheduled maintenance window?</t>
  </si>
  <si>
    <t xml:space="preserve">Seismic updates the Platform on a weekly basis.  Changes that will have an effect on Customer environments are communicated through release notes and Customer Success team members.  Through contractual agreements, Seismic works with Customers to establish mutually agreed upon Maintenance windows that may be needed. </t>
  </si>
  <si>
    <t>G.3.10.3.1</t>
  </si>
  <si>
    <t>Does the Change Control process include a scheduled maintenance window which results in client downtime?</t>
  </si>
  <si>
    <t>Downtime of up to four hours per month may be scheduled per Seismic's standard SLA.</t>
  </si>
  <si>
    <t>G.3.10.5</t>
  </si>
  <si>
    <t>Does the Change Control process include an option for clients to opt-in or opt-out of specific features in releases?</t>
  </si>
  <si>
    <t>G.3.10.6</t>
  </si>
  <si>
    <t>Does the change control process require evidence that Information security activities will not adversely affect existing systems, particularly at peak processing times, such as month end?</t>
  </si>
  <si>
    <t>12.1.3 Capacity Management</t>
  </si>
  <si>
    <t>Are Information Security requirements specified and implemented when new systems are introduced, upgraded, or enhanced?</t>
  </si>
  <si>
    <t>System Acceptance Criteria</t>
  </si>
  <si>
    <t>G.8 Security Operations Group</t>
  </si>
  <si>
    <t>14.1.1 Information Security Requirements Analysis and Specification</t>
  </si>
  <si>
    <t>G.4.1</t>
  </si>
  <si>
    <t>Are new, upgraded or enhanced systems required to include a determination of security requirements based on the sensitivity of the data?</t>
  </si>
  <si>
    <t>G.4.2</t>
  </si>
  <si>
    <t>Are Information Security specifications for new, upgraded or enhanced systems identified using requirements from policies and regulations, threat modeling, incident reviews, or use of vulnerability thresholds?</t>
  </si>
  <si>
    <t>12.6.1 Management of Technical Vulnerabilities|14.1.1 Information Security Requirements Analysis and Specification</t>
  </si>
  <si>
    <t>G.4.3</t>
  </si>
  <si>
    <t>Are security specifications implemented prior to the introduction of a new information system, upgrade, or enhancement to the environment?</t>
  </si>
  <si>
    <t>G.4.4</t>
  </si>
  <si>
    <t>Are controls and associated processes related to security specifications such as authentication, access control, provisioning, and training considered for new, upgraded or enhanced systems?</t>
  </si>
  <si>
    <t>G.4.6</t>
  </si>
  <si>
    <t>Are business continuity requirements considered for new, upgraded or enhanced systems?</t>
  </si>
  <si>
    <t>I.1 Application Security Program Governance</t>
  </si>
  <si>
    <t>G.4.7</t>
  </si>
  <si>
    <t>Are performance and computer capacity requirements considered for new, upgraded or enhanced systems?</t>
  </si>
  <si>
    <t>Do systems and network devices utilize a common time synchronization service?</t>
  </si>
  <si>
    <t>Time Synchronization</t>
  </si>
  <si>
    <t>J.6 IS/IT Incident Management - Analysis</t>
  </si>
  <si>
    <t>12.4.4 Clock Synchronization</t>
  </si>
  <si>
    <t>Do you have a problem management life cycle process for tracking, reviewing, and solving issues in a timely manner?</t>
  </si>
  <si>
    <t>Organizational Procedures and Responsibilities</t>
  </si>
  <si>
    <t>Problem Management</t>
  </si>
  <si>
    <t>G.6 Problem Management</t>
  </si>
  <si>
    <t>8.1 Operational Planning and Control</t>
  </si>
  <si>
    <t>Is there an access control program that has been approved by management, communicated to constituents and an owner to maintain and review the program?</t>
  </si>
  <si>
    <t>Access Control</t>
  </si>
  <si>
    <t>Policies and Procedures</t>
  </si>
  <si>
    <t>H.1 Access Control Policy</t>
  </si>
  <si>
    <t>9.1.1 Access Control Policy|9.2.1 User Registration and De-registration|9.4.1 Information Access Restriction</t>
  </si>
  <si>
    <t>H</t>
  </si>
  <si>
    <t>H.1.1</t>
  </si>
  <si>
    <t>Are access control procedures reviewed periodically to keep up with changes in business environment, people, processes and technology?</t>
  </si>
  <si>
    <t>9.1.1 Access Control Policy</t>
  </si>
  <si>
    <t>Are constituents able to access Scoped data?</t>
  </si>
  <si>
    <t xml:space="preserve">With client authorization. </t>
  </si>
  <si>
    <t>H.2.1</t>
  </si>
  <si>
    <t>Can clients receive a list of personnel who have access to their Scoped systems and data?</t>
  </si>
  <si>
    <t>Seismic doesn't provide this information.</t>
  </si>
  <si>
    <t>Are clients allowed to manage access to their own systems and data?</t>
  </si>
  <si>
    <t>Clients provision the application and data which is uploaded.</t>
  </si>
  <si>
    <t>Client Access Control</t>
  </si>
  <si>
    <t>H.12 Client User Access</t>
  </si>
  <si>
    <t>H.3.1</t>
  </si>
  <si>
    <t>Is a standards-based federated ID capability available to clients e.g., SAML, OpenID, Single Sign On?</t>
  </si>
  <si>
    <t xml:space="preserve">Support SAML 2.0.
</t>
  </si>
  <si>
    <t>H.3.2</t>
  </si>
  <si>
    <t>Is there an internet-accessible self-service portal available that allows clients to provision, audit, modify, and remove user entitlements?</t>
  </si>
  <si>
    <t>Is the use of system utilities restricted to authorized users only e.g., remote access software, administrative interfaces, security interfaces?</t>
  </si>
  <si>
    <t>System Utility Access Control</t>
  </si>
  <si>
    <t>9.4.4 Use of Privilege Utility Programs</t>
  </si>
  <si>
    <t>Is there a set of rules governing the way IDs are created and assigned?</t>
  </si>
  <si>
    <t>Access Provisioning</t>
  </si>
  <si>
    <t>Identity Management</t>
  </si>
  <si>
    <t>9.2.1 User Registration and De-registration|9.4.1 Information Access Restriction</t>
  </si>
  <si>
    <t>H.5.1</t>
  </si>
  <si>
    <t>Are unique IDs required for authentication to applications, operating systems, databases and network devices?</t>
  </si>
  <si>
    <t>Every user must have a unique ID. Accounts cannot be shared.</t>
  </si>
  <si>
    <t>9.2.1 User Registration and De-registration|9.4.1 Information Access Restriction|9.4.2 Secure Log-on Procedure</t>
  </si>
  <si>
    <t>H.5.1.1</t>
  </si>
  <si>
    <t>Are user IDs that identify roles or Access levels, or contain personal information other than name or email address (i.e. SSN, Access Level, Admin role) prohibited? If no, please describe in Additional Information field.</t>
  </si>
  <si>
    <t>H.5.2</t>
  </si>
  <si>
    <t>Is there a process to request and receive approval for access to systems transmitting, processing or storing scoped systems and data?</t>
  </si>
  <si>
    <t>Access Approval</t>
  </si>
  <si>
    <t>H.4 Logical Access Authorization</t>
  </si>
  <si>
    <t>9.2.2 User Access Provisioning</t>
  </si>
  <si>
    <t>H.5.2.1</t>
  </si>
  <si>
    <t>Is access to applications, operating systems, databases, and network devices provisioned according to the principle of least privilege?</t>
  </si>
  <si>
    <t>9.1.1 Access Control Policy|9.1.2 Access to Networks and Network Services|9.2.1 User Registration and De-registration|9.4.1 Information Access Restriction</t>
  </si>
  <si>
    <t>H.5.2.2</t>
  </si>
  <si>
    <t>Is there segregation of duties for granting access and approving access to scoped systems and data?</t>
  </si>
  <si>
    <t>6.1.2 Segregation of Duties|9.2.2 User Access Provisioning</t>
  </si>
  <si>
    <t>H.5.2.3</t>
  </si>
  <si>
    <t>Is there segregation of duties for approving and implementing access requests for scoped systems and data?</t>
  </si>
  <si>
    <t>H.5.2.4</t>
  </si>
  <si>
    <t>Where segregation of duties between personnel that grant, approve, and implement access is not feasible, are activity monitoring, audit trail, and/or management supervision controls in place?</t>
  </si>
  <si>
    <t>H.5.2.5</t>
  </si>
  <si>
    <t>Are requests for granting access documented, retained and retrievable for audit purposes for a minimum of a year?</t>
  </si>
  <si>
    <t>Is access to systems that store or process scoped data limited?</t>
  </si>
  <si>
    <t>Authentication</t>
  </si>
  <si>
    <t>Access Restrictions</t>
  </si>
  <si>
    <t>9.4.1 Information Access Restriction</t>
  </si>
  <si>
    <t>Are passwords used?</t>
  </si>
  <si>
    <t>Seismic implements SSO where able.  However, the Seismic Platform supports User Name and Password authentication.</t>
  </si>
  <si>
    <t>Password Policy</t>
  </si>
  <si>
    <t>9.4.2 Secure Log-on Procedure</t>
  </si>
  <si>
    <t>H.7.1</t>
  </si>
  <si>
    <t>Is there a password policy for systems that transmit, process or store scoped systems and data that has been approved by management, communicated to constituents, and enforced on all platforms and network devices? If no, please explain in the Additional Information field.</t>
  </si>
  <si>
    <t xml:space="preserve">Password controls are generally managed by the SSO provider.  In the event that Seismic is authenticating, password settings are configurable on a per tenant basis. </t>
  </si>
  <si>
    <t>H.2 Password Controls</t>
  </si>
  <si>
    <t>9.2.4 Management of Secret Authentication Information of Users|9.3.1 Use of Secret Authentication Information|9.4.2 Secure Log-on Procedure|9.4.3 Password Management System</t>
  </si>
  <si>
    <t>H.7.1.1</t>
  </si>
  <si>
    <t>Does the password policy apply to both Constituent and client passwords? If no, please explain in the Additional Information field.</t>
  </si>
  <si>
    <t>Client passwords are configurable within the administrative console. If using SSO, password requirements are established by the identity provider.</t>
  </si>
  <si>
    <t>9.2.4 Management of Secret Authentication Information of Users|9.3.1 Use of Secret Authentication Information|9.4.2 Secure Log-on Procedure</t>
  </si>
  <si>
    <t>H.7.2</t>
  </si>
  <si>
    <t>Does the password policy define specific length and complexity requirements for passwords?</t>
  </si>
  <si>
    <t>Password Policy - Complexity</t>
  </si>
  <si>
    <t>9.3.1 Use of Secret Authentication Information|9.4.2 Secure Log-on Procedure|9.4.3 Password Management System</t>
  </si>
  <si>
    <t>H.7.2.1</t>
  </si>
  <si>
    <t>Does the password policy require a minimum password length of at least eight characters?</t>
  </si>
  <si>
    <t>9.3.1 Use of Secret Authentication Information|9.4.3 Password Management System</t>
  </si>
  <si>
    <t>H.7.2.3</t>
  </si>
  <si>
    <t>Are complex passwords required on systems transmitting, processing, or storing Scoped data e.g., mix of upper-case letters, lower case letters, numbers, and special characters?</t>
  </si>
  <si>
    <t>H.7.2.4</t>
  </si>
  <si>
    <t>Does the password policy prohibit a PIN or secret question as a possible stand-alone method of authentication?</t>
  </si>
  <si>
    <t>H.7.3</t>
  </si>
  <si>
    <t>Does the password policy define requirements for provisioning and resetting passwords?</t>
  </si>
  <si>
    <t>Password Policy - Provisioning and Reset</t>
  </si>
  <si>
    <t>H.7.3.1</t>
  </si>
  <si>
    <t>Does the password policy require initial and temporary passwords to be changed upon next login?</t>
  </si>
  <si>
    <t>H.7.3.2</t>
  </si>
  <si>
    <t>Does the password policy require initial and temporary passwords to be random and complex?</t>
  </si>
  <si>
    <t>H.7.3.4</t>
  </si>
  <si>
    <t>Is password reset authority restricted to authorized persons and/or an automated password reset tool?</t>
  </si>
  <si>
    <t>H.7.4</t>
  </si>
  <si>
    <t>Does the password policy require changing passwords at regular intervals?</t>
  </si>
  <si>
    <t>Password Policy - Expiration</t>
  </si>
  <si>
    <t>H.7.5</t>
  </si>
  <si>
    <t>Does the password policy require keeping passwords confidential?</t>
  </si>
  <si>
    <t>Password Policy - Password Security</t>
  </si>
  <si>
    <t>9.2.4 Management of Secret Authentication Information of Users|9.3.1 Use of Secret Authentication Information|9.4.3 Password Management System</t>
  </si>
  <si>
    <t>H.7.5.1</t>
  </si>
  <si>
    <t>Does the password policy prohibit users from sharing passwords?</t>
  </si>
  <si>
    <t>H.7.5.2</t>
  </si>
  <si>
    <t>Does the password policy prohibit keeping an unencrypted record of passwords (paper, software file or handheld device)?</t>
  </si>
  <si>
    <t>H.7.5.3</t>
  </si>
  <si>
    <t>Does the password policy prohibit including unencrypted passwords in automated logon processes e.g., stored in a macro or function key?</t>
  </si>
  <si>
    <t>H.7.5.4</t>
  </si>
  <si>
    <t>Does the password policy require passwords to be encrypted in transit?</t>
  </si>
  <si>
    <t>H.7.5.5</t>
  </si>
  <si>
    <t>Does the password policy require passwords to be encrypted or hashed in storage?</t>
  </si>
  <si>
    <t>Passwords are encrypted using PBKDF2 with salt. Additional encryption as well using AES-256 encryption at rest. If using SSO, Seismic does not store any passwords.</t>
  </si>
  <si>
    <t>H.7.5.5.1</t>
  </si>
  <si>
    <t>Does the password policy require passwords to be hashed using a Key Derivation Function (PBKDF2, Scrypt, BALLOON) and a 32-bit random salt?</t>
  </si>
  <si>
    <t>H.7.5.6</t>
  </si>
  <si>
    <t>Does the password policy require passwords be masked when entered and displayed by default?</t>
  </si>
  <si>
    <t>H.7.5.7</t>
  </si>
  <si>
    <t>Are password files and application data stored in different file systems?</t>
  </si>
  <si>
    <t>9.4.3 Password Management System</t>
  </si>
  <si>
    <t>H.7.5.8</t>
  </si>
  <si>
    <t>Are user IDs and passwords communicated/distributed via separate media e.g., e-mail and phone?</t>
  </si>
  <si>
    <t>H.7.5.9</t>
  </si>
  <si>
    <t>Does the password policy require changing passwords when there is an indication of possible system or password compromise?</t>
  </si>
  <si>
    <t>H.7.5.10</t>
  </si>
  <si>
    <t>Does the password policy require system configuration to lock an account when five or more invalid login attempts are made?</t>
  </si>
  <si>
    <t>Accounts are locked out after 10 invalid login attempts.</t>
  </si>
  <si>
    <t>H.7.6</t>
  </si>
  <si>
    <t>Does the organization have a policy restricting the reuse of user IDs for systems storing or processing scoped data?</t>
  </si>
  <si>
    <t>9.2.1 User Registration and De-registration</t>
  </si>
  <si>
    <t>Is Multi-factor Authentication deployed?</t>
  </si>
  <si>
    <t>Multi-Factor Authentication</t>
  </si>
  <si>
    <t>H.8.1</t>
  </si>
  <si>
    <t>Is Multi-factor Authentication required for Privileged System Access?</t>
  </si>
  <si>
    <t>U.1 Server Security Configuration Standards</t>
  </si>
  <si>
    <t>9.2.3 Management of Privileged Access Rights|9.4.2 Secure Log-on Procedure</t>
  </si>
  <si>
    <t>H.8.2</t>
  </si>
  <si>
    <t>Is Multi-factor Authentication required for scoped systems and data access?</t>
  </si>
  <si>
    <t>Does system policy require terminating or securing active sessions when finished?</t>
  </si>
  <si>
    <t>User Session Controls</t>
  </si>
  <si>
    <t>11.1.5 Working in Secure Areas|11.2.8 Unattended User Equipment|9.4.2 Secure Log-on Procedure</t>
  </si>
  <si>
    <t>H.9.1</t>
  </si>
  <si>
    <t>Does system policy require logoff from terminals, PC or servers when the session is finished?</t>
  </si>
  <si>
    <t>Are documented log-on banner requirements maintained?</t>
  </si>
  <si>
    <t>Log-On Banners</t>
  </si>
  <si>
    <t>H.14 Presence of Log on Banners</t>
  </si>
  <si>
    <t>Is there a process for reviewing access?</t>
  </si>
  <si>
    <t>Access Reviews</t>
  </si>
  <si>
    <t>Entitlement Reviews</t>
  </si>
  <si>
    <t>H.10 Monitoring of System Access Rights</t>
  </si>
  <si>
    <t>9.1.1 Access Control Policy|9.2.2 User Access Provisioning</t>
  </si>
  <si>
    <t>H.11.1</t>
  </si>
  <si>
    <t>Are user access rights reviewed periodically?</t>
  </si>
  <si>
    <t>9.1.1 Access Control Policy|9.2.5 Review of User Access Rights</t>
  </si>
  <si>
    <t>H.11.1.2</t>
  </si>
  <si>
    <t>Are privileged user access rights reviewed periodically?</t>
  </si>
  <si>
    <t>9.1.1 Access Control Policy|9.2.3 Management of Privileged Access Rights|9.2.5 Review of User Access Rights</t>
  </si>
  <si>
    <t>H.11.2</t>
  </si>
  <si>
    <t>Are access rights reviewed when a constituent's role changes?</t>
  </si>
  <si>
    <t>7.3.1 Termination or Change of Employment Responsibilities|9.1.1 Access Control Policy|9.2.5 Review of User Access Rights|9.2.6 Removal or Adjustment of Access Rights</t>
  </si>
  <si>
    <t>H.11.3</t>
  </si>
  <si>
    <t>Is the service provider responsible for performing all user entitlement audits of constituents with access to scoped systems and data? If no, please explain.</t>
  </si>
  <si>
    <t>Are inactive constituent user IDs disabled and deleted after defined periods of inactivity?</t>
  </si>
  <si>
    <t>Inactivity Controls</t>
  </si>
  <si>
    <t>9.2.1 User Registration and De-registration|9.2.6 Removal or Adjustment of Access Rights</t>
  </si>
  <si>
    <t>H.12.1</t>
  </si>
  <si>
    <t>Are inactive constituent user IDs disabled within 90 days?</t>
  </si>
  <si>
    <t>Has your organization established controls for client user access to in-scope information systems?</t>
  </si>
  <si>
    <t>9.1.2 Access to Networks and Network Services|9.4.1 Information Access Restriction|9.4.2 Secure Log-on Procedure</t>
  </si>
  <si>
    <t>H.15</t>
  </si>
  <si>
    <t>Does your organization have a process for end users to acknowledge and accept remote desktop support prior to another user taking control of their system?</t>
  </si>
  <si>
    <t>Access Acceptance</t>
  </si>
  <si>
    <t>H.13 User Awareness on Remote Sessions</t>
  </si>
  <si>
    <t>Are applications used to transmit, process or store scoped data?</t>
  </si>
  <si>
    <t>Seismic is a web-based application; additionally, Android and iOS applications are available but must be enabled by the customer.</t>
  </si>
  <si>
    <t>Application Security</t>
  </si>
  <si>
    <t>14.1.3 Protecting Application Services Transactions</t>
  </si>
  <si>
    <t>I</t>
  </si>
  <si>
    <t>I.1.1</t>
  </si>
  <si>
    <t>Is there an individual or group responsible for Application Security?</t>
  </si>
  <si>
    <t>This falls under the responsibility of Information Security.</t>
  </si>
  <si>
    <t>Application Security Roles and Responsibilities</t>
  </si>
  <si>
    <t>Application Security Responsibility</t>
  </si>
  <si>
    <t>I.1.2</t>
  </si>
  <si>
    <t>Is there formal software security training for developers?</t>
  </si>
  <si>
    <t>Developer Training</t>
  </si>
  <si>
    <t>I.1.2.1</t>
  </si>
  <si>
    <t>Do application security experts work with developers for every application?</t>
  </si>
  <si>
    <t>Secure DevOps</t>
  </si>
  <si>
    <t>I.1.2.2</t>
  </si>
  <si>
    <t>Are outside development resources utilized?</t>
  </si>
  <si>
    <t>External Developers</t>
  </si>
  <si>
    <t>14.2.7 Outsourced Development</t>
  </si>
  <si>
    <t>I.1.2.2.1</t>
  </si>
  <si>
    <t>Do all outside development resources comply with the SDLC (Software Development Life Cycle)?</t>
  </si>
  <si>
    <t>not utilized</t>
  </si>
  <si>
    <t>I.1.3</t>
  </si>
  <si>
    <t>Do changes to applications or application code go through a risk assessment?</t>
  </si>
  <si>
    <t>Seismic performs internal risk assessments at least annually. Seismic's risk management program is based on ISO 27005.</t>
  </si>
  <si>
    <t>Secure Architectural Design Standards</t>
  </si>
  <si>
    <t>New Platform Secure Architecture Risk Analysis</t>
  </si>
  <si>
    <t>I.1.3.1</t>
  </si>
  <si>
    <t>Is a security architecture risk analysis performed when new applications are designed?</t>
  </si>
  <si>
    <t>I.8 Secure Architectural Design Standards</t>
  </si>
  <si>
    <t>I.1.3.6</t>
  </si>
  <si>
    <t>Do security architecture risk analyses assign applications risk ratings that reflect the types of data accessed (e.g., high, medium, low)?</t>
  </si>
  <si>
    <t>I.1.4</t>
  </si>
  <si>
    <t>Are the risks from internal and external sources clearly understood based on risk exposure?</t>
  </si>
  <si>
    <t>I.1.6</t>
  </si>
  <si>
    <t>Is a formal application methodology used (e.g., Agile, DSDM, XP, FDD, LD)? If yes, please list in Additional Information.</t>
  </si>
  <si>
    <t>Agile</t>
  </si>
  <si>
    <t>Design Methodology</t>
  </si>
  <si>
    <t>I.1.7</t>
  </si>
  <si>
    <t>Is every data transaction maintained in an authenticated state?</t>
  </si>
  <si>
    <t>State Management</t>
  </si>
  <si>
    <t>I.1.8</t>
  </si>
  <si>
    <t>Is there a means for secure session management?</t>
  </si>
  <si>
    <t>Session Management</t>
  </si>
  <si>
    <t>I.1.9</t>
  </si>
  <si>
    <t>Is there comprehensive, secure error handling?</t>
  </si>
  <si>
    <t>Secure Error Handling</t>
  </si>
  <si>
    <t>I.1.10</t>
  </si>
  <si>
    <t>Do audit log failures generate an alert?</t>
  </si>
  <si>
    <t>Application Logging</t>
  </si>
  <si>
    <t>I.1.11</t>
  </si>
  <si>
    <t>Do applications provide granular and comprehensive logging?</t>
  </si>
  <si>
    <t>I.15 Administrative Activity Logging</t>
  </si>
  <si>
    <t>I.1.13</t>
  </si>
  <si>
    <t>Are system, vendor, or service accounts disallowed for normal operations and monitored for usage?</t>
  </si>
  <si>
    <t>Service Account Management</t>
  </si>
  <si>
    <t>I.1.14</t>
  </si>
  <si>
    <t>Are web applications configured to follow best practices or security guidelines (e.g., OWASP)?</t>
  </si>
  <si>
    <t>OWASP Top 10</t>
  </si>
  <si>
    <t>Web Security Standards</t>
  </si>
  <si>
    <t>I.18 Production Application Vulnerability Monitoring Process</t>
  </si>
  <si>
    <t>I.1.15</t>
  </si>
  <si>
    <t>Is data input into applications validated?</t>
  </si>
  <si>
    <t>Validated server side.</t>
  </si>
  <si>
    <t>Application Data Integrity</t>
  </si>
  <si>
    <t>I.1.16</t>
  </si>
  <si>
    <t>Are development, test, and staging environment separate from the production environment?</t>
  </si>
  <si>
    <t>Seismic develops and operates its SaaS software product using distinct Engineering, Quality Assurance, and Operations teams with strict separation of responsibilities between the teams. The Engineering team is responsible for developing Seismic's software products following Seismic's software development process. The software is developed in a development environment that is separate from the production environment on which the released software is deployed for use by customers. The Quality Assurance team is responsible for developing quality assurance test cases and test plans and performing quality assurance testing on software releases to ensure the software quality prior to release. The Operations team is responsible for deploying, monitoring, and operating the software in the production environment after it has been released. The Operations team is the only team whose members have access to the production systems and their administrative interfaces.</t>
  </si>
  <si>
    <t>Application Environment Segmentation</t>
  </si>
  <si>
    <t>12.1.4 Separation of Development, Testing, and Operational Environments|14.2.6 Secure Development Environments</t>
  </si>
  <si>
    <t>I.1.17</t>
  </si>
  <si>
    <t>Do applications have separate source code repositories for production and non-production environments?</t>
  </si>
  <si>
    <t>9.4.5 Access Control to Program Source Code</t>
  </si>
  <si>
    <t>I.1.18</t>
  </si>
  <si>
    <t>Do IT support personnel have access to application source libraries?</t>
  </si>
  <si>
    <t>Application Source Library Access Control</t>
  </si>
  <si>
    <t>I.1.19</t>
  </si>
  <si>
    <t>Is all access to application source libraries logged?</t>
  </si>
  <si>
    <t>12.4.1 Event Logging|9.4.5 Access Control to Program Source Code</t>
  </si>
  <si>
    <t>I.1.19.1</t>
  </si>
  <si>
    <t>Are audit logs maintained and reviewed for all application source library updates?</t>
  </si>
  <si>
    <t>I.1.20</t>
  </si>
  <si>
    <t>Are developers permitted to access production environments, including read only access?</t>
  </si>
  <si>
    <t>Developer Access Control</t>
  </si>
  <si>
    <t>I.1.20.2</t>
  </si>
  <si>
    <t>Are developers required to request or obtain access outside an established role (emergency access)?</t>
  </si>
  <si>
    <t>Developers do not have access to the Production environment.</t>
  </si>
  <si>
    <t>I.1.21</t>
  </si>
  <si>
    <t>Are Scoped systems and data used in the test, development, or QA environments?</t>
  </si>
  <si>
    <t>Test Data Access Control</t>
  </si>
  <si>
    <t>14.3.1 Protection of Test Data</t>
  </si>
  <si>
    <t>I.1.21.1</t>
  </si>
  <si>
    <t>Is authorization required when production data is copied to the test environment?</t>
  </si>
  <si>
    <t>Scoped data not used in these environments.</t>
  </si>
  <si>
    <t>I.1.21.2</t>
  </si>
  <si>
    <t>Is test data destroyed following the testing phase?</t>
  </si>
  <si>
    <t>I.1.21.3</t>
  </si>
  <si>
    <t>Is test data masked or obfuscated during the testing phase?</t>
  </si>
  <si>
    <t>Is application development performed?</t>
  </si>
  <si>
    <t>SDLC</t>
  </si>
  <si>
    <t>I.2.1</t>
  </si>
  <si>
    <t>Is there a formal Software Development Life Cycle (SDLC) process?</t>
  </si>
  <si>
    <t xml:space="preserve">Seismic has a formal SDLC policy that instates appropriate testing, planning, approval, and communication between teams during to include Information Security involvement across all phases of the SDLC.
</t>
  </si>
  <si>
    <t>I.2 Secure Systems Development Life Cycle (SDLC) Policies, Standards and Procedures</t>
  </si>
  <si>
    <t>I.2.1.1</t>
  </si>
  <si>
    <t>Does the SDLC process include integration testing, and acceptance testing?</t>
  </si>
  <si>
    <t>I.2.2</t>
  </si>
  <si>
    <t>Is there a secure software development lifecycle policy that has been approved by management, communicated to appropriate constituents and an owner to maintain and review the policy?</t>
  </si>
  <si>
    <t>Seismic follows an agile Software Development Lifecycle methodology, utilizing Agile project management tools to track and manage software development activities. Seismic maintains development, test, and production in separate environments.</t>
  </si>
  <si>
    <t>14.2.1 Secure Development Policy|14.2.5 Secure System Engineering Principles</t>
  </si>
  <si>
    <t>I.2.3</t>
  </si>
  <si>
    <t>Is there a documented change management/change control process for applications with scoped data?</t>
  </si>
  <si>
    <t>Application Change Control</t>
  </si>
  <si>
    <t>14.2.2 System Change Control Procedures|14.2.3 Technical Review of Applications After Operating Platform Changes|14.2.4 Restrictions on Changes to Software Packages|14.2.9 System Acceptance Testing</t>
  </si>
  <si>
    <t>I.2.3.1</t>
  </si>
  <si>
    <t>Are applications released to production on a fixed schedule? Identify the schedule in the Additional Information field (e.g., Daily, Weekly, Monthly, Ad Hoc).</t>
  </si>
  <si>
    <t>Weekly product updates</t>
  </si>
  <si>
    <t>I.2.3.2</t>
  </si>
  <si>
    <t>Does the application Change Management/Change Control process include change control procedures required for all changes to the production environment?</t>
  </si>
  <si>
    <t>14.2.2 System Change Control Procedures|14.2.3 Technical Review of Applications After Operating Platform Changes</t>
  </si>
  <si>
    <t>I.2.3.3</t>
  </si>
  <si>
    <t>Does the application Change Management/Change Control process include testing prior to deployment?</t>
  </si>
  <si>
    <t>I.3 Application Security SDLC Phases</t>
  </si>
  <si>
    <t>14.2.2 System Change Control Procedures|14.2.3 Technical Review of Applications After Operating Platform Changes|14.2.9 System Acceptance Testing</t>
  </si>
  <si>
    <t>I.2.3.4</t>
  </si>
  <si>
    <t>Does the application Change Management/Change Control process include management approval prior to deployment?</t>
  </si>
  <si>
    <t>I.9 Secure Code Review</t>
  </si>
  <si>
    <t>14.2.2 System Change Control Procedures|14.2.9 System Acceptance Testing</t>
  </si>
  <si>
    <t>I.2.3.8</t>
  </si>
  <si>
    <t>Does the application change management/change control process include stakeholder communication and/or approvals?</t>
  </si>
  <si>
    <t>14.2.2 System Change Control Procedures</t>
  </si>
  <si>
    <t>I.2.3.9</t>
  </si>
  <si>
    <t>Does the application change management/change control process include a list of individuals authorized to approve changes?</t>
  </si>
  <si>
    <t>I.2.3.10</t>
  </si>
  <si>
    <t>Does the application change management/change control process include an impact assessment to review all affected systems and applications?</t>
  </si>
  <si>
    <t>G.3 Application Security Vulnerability Assessment and Remediation</t>
  </si>
  <si>
    <t>I.2.3.11</t>
  </si>
  <si>
    <t>Does the application change management/change control process include documentation for all system changes?</t>
  </si>
  <si>
    <t>I.2.3.12</t>
  </si>
  <si>
    <t>Does the application change management/change control process include version control for all software?</t>
  </si>
  <si>
    <t>I.2.3.13</t>
  </si>
  <si>
    <t>Does the application change management/change control process include logging of all Change Requests?</t>
  </si>
  <si>
    <t>12.4.1 Event Logging|14.2.2 System Change Control Procedures</t>
  </si>
  <si>
    <t>I.2.3.14</t>
  </si>
  <si>
    <t>Does the application Change Management/Change Control process include changes only take place during specified and agreed upon times (green zone)?</t>
  </si>
  <si>
    <t>I.2.3.15</t>
  </si>
  <si>
    <t>Does the application Change Management/Change Control process include modifications and changes to software are strictly controlled?</t>
  </si>
  <si>
    <t>14.2.2 System Change Control Procedures|14.2.4 Restrictions on Changes to Software Packages</t>
  </si>
  <si>
    <t>I.2.4</t>
  </si>
  <si>
    <t>Are applications evaluated from a security perspective prior to promotion to production?</t>
  </si>
  <si>
    <t>Seismic conducts Static and Dynamic Analysis testing on all code going to production.</t>
  </si>
  <si>
    <t>Application Security QA_UAT Process</t>
  </si>
  <si>
    <t>14.2.3 Technical Review of Applications After Operating Platform Changes|14.2.8 System Security Testing</t>
  </si>
  <si>
    <t>I.2.4.1</t>
  </si>
  <si>
    <t>Do pre-production application security reviews include testing procedures to determine whether security features are effective?</t>
  </si>
  <si>
    <t>I.2.5</t>
  </si>
  <si>
    <t>Is code obtained from external sources reviewed for security flaws and backdoors prior to use in production?</t>
  </si>
  <si>
    <t>Seismic uses Source Code Analysis tools to inspect security flaws and licensing of all external code.</t>
  </si>
  <si>
    <t>Reviews of Code Obtained from External Sources</t>
  </si>
  <si>
    <t>I.2.5.1</t>
  </si>
  <si>
    <t>Is code obtained from external sources identified in application documentation as external code?</t>
  </si>
  <si>
    <t>I.2.5.2</t>
  </si>
  <si>
    <t>Is code obtained from external sources reviewed for new versions at least every 6 months?</t>
  </si>
  <si>
    <t>I.2.5.3</t>
  </si>
  <si>
    <t>Is any code obtained from external sources open source?</t>
  </si>
  <si>
    <t>Open Source Software Security</t>
  </si>
  <si>
    <t>I.2.5.3.1</t>
  </si>
  <si>
    <t>Is open source software or libraries used to transmit, process or store Scoped data?</t>
  </si>
  <si>
    <t>I.11 Open Source</t>
  </si>
  <si>
    <t>I.2.5.3.1.1</t>
  </si>
  <si>
    <t>Are information security reviews conducted and approved for the use or installation of open source software e.g., Linux, Apache, etc.?</t>
  </si>
  <si>
    <t>I.2.6</t>
  </si>
  <si>
    <t>Is a Secure Code Review performed regularly?</t>
  </si>
  <si>
    <t>Secure Code Review</t>
  </si>
  <si>
    <t>I.2.6.1</t>
  </si>
  <si>
    <t>Is there a full Secure Code Review for each release? If no, please explain the Secure Code Review schedule and scope in the additional information field.</t>
  </si>
  <si>
    <t>All code changes are code reviewed for  security considerations.</t>
  </si>
  <si>
    <t>I.2.6.2</t>
  </si>
  <si>
    <t>Are Secure Code Reviews performed against the entire code base in the development phase? If not, please explain in the additional information field.</t>
  </si>
  <si>
    <t>I.2.6.3</t>
  </si>
  <si>
    <t>Do Secure Code Reviews include validation checks for the most critical web application security flaws including Cross Site Scripting, SQL injection (e.g., OWASP Top 10 vulnerabilities)?</t>
  </si>
  <si>
    <t>I.2.6.4</t>
  </si>
  <si>
    <t>Do Secure Code Reviews include regular analysis of vulnerability to recent attacks?</t>
  </si>
  <si>
    <t>I.2.6.6</t>
  </si>
  <si>
    <t>Do Secure Code Reviews include dynamic scanning against web-based applications while in the Q/A phase?</t>
  </si>
  <si>
    <t>I.2.6.7</t>
  </si>
  <si>
    <t>Do Secure Code Reviews include testing against common code vulnerabilities?</t>
  </si>
  <si>
    <t>I.4 Secure Systems Development Life Cycle (SDLC) Code Reviews</t>
  </si>
  <si>
    <t>I.2.6.8</t>
  </si>
  <si>
    <t>Are Secure Code Reviews performed by individuals qualified to identify and correct code security flaws?</t>
  </si>
  <si>
    <t>I.19 Application Security Awareness Training Content</t>
  </si>
  <si>
    <t>I.2.6.9</t>
  </si>
  <si>
    <t>Is source code security reviewed manually? If yes, identify the frequency in the additional information field (e.g., Daily, Weekly, Monthly, Ad Hoc).</t>
  </si>
  <si>
    <t>At least monthly, and ad-hoc as part of the peer review process.</t>
  </si>
  <si>
    <t>I.2.6.10</t>
  </si>
  <si>
    <t>Is an automated secure source code review conducted?</t>
  </si>
  <si>
    <t>I.2.7</t>
  </si>
  <si>
    <t>Are identified security vulnerabilities remediated prior to promotion to production?</t>
  </si>
  <si>
    <t>Vulnerability Remediation</t>
  </si>
  <si>
    <t>I.12 QA UAT Process</t>
  </si>
  <si>
    <t>I.2.7.1</t>
  </si>
  <si>
    <t>Does the SDLC process include Remediation of Penetration Test issues relevant to the application under review?</t>
  </si>
  <si>
    <t>I.10 Security Review of Externally Developed Applications</t>
  </si>
  <si>
    <t>I.2.7.2</t>
  </si>
  <si>
    <t>Does the SDLC process include communicating discovered vulnerabilities to developers?</t>
  </si>
  <si>
    <t>I.2.7.3</t>
  </si>
  <si>
    <t>Does the SDLC process include communicating known un-remediated vulnerabilities to the Security Monitoring and Response group for awareness and monitoring?</t>
  </si>
  <si>
    <t>Is a web site supported, hosted or maintained that has access to scoped systems and data?</t>
  </si>
  <si>
    <t>Web Server Security</t>
  </si>
  <si>
    <t>I.3.1</t>
  </si>
  <si>
    <t>Do you have logical or Physical segregation between web, application and database components? (i.e., Internet, DMZ, Database)?</t>
  </si>
  <si>
    <t>Configuration Management</t>
  </si>
  <si>
    <t>G.4 Website Setup, Operation and Security</t>
  </si>
  <si>
    <t>I.3.2</t>
  </si>
  <si>
    <t>Are Web Servers used for transmitting, processing or storing scoped data?</t>
  </si>
  <si>
    <t>I.3.2.1</t>
  </si>
  <si>
    <t>Are security configuration standards documented for web server software?</t>
  </si>
  <si>
    <t>Web Server Security Standards</t>
  </si>
  <si>
    <t>I.3.2.2</t>
  </si>
  <si>
    <t>Are web server software security configuration standards reviewed and/or updated at least annually to account for any changes in environment, available security features and/or leading practices?</t>
  </si>
  <si>
    <t>I.3.2.3</t>
  </si>
  <si>
    <t>Are reviews performed to validate compliance with documented web server software security standards?</t>
  </si>
  <si>
    <t>I.3.2.4</t>
  </si>
  <si>
    <t>Is HTTPS enabled for all web pages?</t>
  </si>
  <si>
    <t>Web Encryption Security</t>
  </si>
  <si>
    <t>I.3.2.4.1</t>
  </si>
  <si>
    <t>Are either TLS 1.2 or 1.3 used for encrypting all web pages used?</t>
  </si>
  <si>
    <t>TLS 1.2 with strong cipher suites.</t>
  </si>
  <si>
    <t>I.3.2.4.2</t>
  </si>
  <si>
    <t>Are web server certificates centrally managed and kept current?</t>
  </si>
  <si>
    <t>Certificates are renewed annually.</t>
  </si>
  <si>
    <t>D.6 Website - Encryption</t>
  </si>
  <si>
    <t>I.3.2.5</t>
  </si>
  <si>
    <t>Are all unnecessary/unused services in web server software uninstalled or disabled?</t>
  </si>
  <si>
    <t>Administrative and File Sharing Service Security</t>
  </si>
  <si>
    <t>I.3.2.7</t>
  </si>
  <si>
    <t>Are all remote administration and file sharing services on web server software configured to require authentication and encryption?</t>
  </si>
  <si>
    <t>I.3.2.9</t>
  </si>
  <si>
    <t>Are sample applications and scripts removed from web servers?</t>
  </si>
  <si>
    <t>Web Server Hardening</t>
  </si>
  <si>
    <t>I.3.2.10</t>
  </si>
  <si>
    <t>Are all web server software files maintained separate from the Operating System?</t>
  </si>
  <si>
    <t>I.3.2.11</t>
  </si>
  <si>
    <t>Are available high-risk web server software security patches applied and verified at least monthly?</t>
  </si>
  <si>
    <t>Web Server Vulnerability Management</t>
  </si>
  <si>
    <t>14.2.9 System Acceptance Testing</t>
  </si>
  <si>
    <t>I.3.2.12</t>
  </si>
  <si>
    <t>Are all web server software patching exceptions documented and approved by information security or senior management?</t>
  </si>
  <si>
    <t>I.3.2.12.1</t>
  </si>
  <si>
    <t>Are web server software patches, service packs, and hot fixes tested prior to installation?</t>
  </si>
  <si>
    <t>G.2 System Patching</t>
  </si>
  <si>
    <t>I.3.2.12.4</t>
  </si>
  <si>
    <t>Are third party alert services used to keep up to date with the latest web server software vulnerabilities?</t>
  </si>
  <si>
    <t>Specific responsibilities for risk assessment are documented by the information security team.
The information security team subscribes to US-CERT alerts and we are members of the Shared Assessments organization, a global community of risk management and information technology professionals, collaborating with industry peers on challenging issues and best practices in information and data security, privacy and business continuity. Shared Assessments puts a vast knowledge base, tools, and a network of global expertise at our fingertips to ensure that we are aware of security vulnerabilities.
Additionally, we use Threat Intelligence tools to identify latest software and security trends, and real-time Threat Intelligence monitoring and protection for Seismic assets and users.</t>
  </si>
  <si>
    <t>I.3.2.12.5</t>
  </si>
  <si>
    <t>Are web server software versions that no longer have security patches released prohibited?</t>
  </si>
  <si>
    <t>I.3.2.13</t>
  </si>
  <si>
    <t>Are web server software configuration options restricted to authorized users?</t>
  </si>
  <si>
    <t>Web Server Configuration Management</t>
  </si>
  <si>
    <t>I.3.2.14</t>
  </si>
  <si>
    <t>Is sufficient detail contained in Web Server and application logs to support incident investigation, including successful and failed login attempts and changes to sensitive configuration settings and files?</t>
  </si>
  <si>
    <t>Web Server Auditing and Logging</t>
  </si>
  <si>
    <t>I.14 Web Server and Application Log on Activity Logging</t>
  </si>
  <si>
    <t>12.4.1 Event Logging|12.4.3 Administrator and Operator Logs</t>
  </si>
  <si>
    <t>I.3.2.14.1</t>
  </si>
  <si>
    <t>Are web server software events relevant to supporting incident investigation retained for a minimum of one year?</t>
  </si>
  <si>
    <t>I.16 Web Server and Application Log Retention</t>
  </si>
  <si>
    <t>I.3.2.14.4</t>
  </si>
  <si>
    <t>Are Web Server and application logs relevant to supporting incident investigation protected against modification, deletion, and/or inappropriate access?</t>
  </si>
  <si>
    <t>Logs are written to a restricted storage partition then periodically copied to a SQL database with access only by operations personnel.</t>
  </si>
  <si>
    <t>12.4.2 Protection of Log Information|12.4.3 Administrator and Operator Logs|7.5.3 Control of Documented Information</t>
  </si>
  <si>
    <t>I.3.3</t>
  </si>
  <si>
    <t>Are compilers, editors or other development tools present in production web server environments?</t>
  </si>
  <si>
    <t>Development Tool Security</t>
  </si>
  <si>
    <t>I.3.6</t>
  </si>
  <si>
    <t>Is an Application Programming Interface (API) available to clients?</t>
  </si>
  <si>
    <t>API Security</t>
  </si>
  <si>
    <t>I.3.6.1</t>
  </si>
  <si>
    <t>Is there a formal security program established to include API security reviews?</t>
  </si>
  <si>
    <t>Seismic conducts API security testing on all API endpoints on a continuous basis.</t>
  </si>
  <si>
    <t>I.3.6.1.2</t>
  </si>
  <si>
    <t>Is manual code security testing on APIs performed by qualified personnel with expertise in both development and code security?</t>
  </si>
  <si>
    <t>I.3.6.1.3</t>
  </si>
  <si>
    <t>Do application security reviews include an API Permission model review?</t>
  </si>
  <si>
    <t>RBAC testing is conducted on all API endpoints.</t>
  </si>
  <si>
    <t>I.3.6.2</t>
  </si>
  <si>
    <t>Are APIs tested for security weaknesses?</t>
  </si>
  <si>
    <t>I.3.6.3</t>
  </si>
  <si>
    <t>Can a client manage access to the APIs?</t>
  </si>
  <si>
    <t>API's are available to Premium subscription users only.</t>
  </si>
  <si>
    <t>API Access</t>
  </si>
  <si>
    <t>I.3.6.5</t>
  </si>
  <si>
    <t>Is scoped data encrypted in transit within the API for both request and response?</t>
  </si>
  <si>
    <t>Are mobile applications that access scoped systems and data developed?</t>
  </si>
  <si>
    <t>Seismic has Android and iOS applications available for download in the respective app-stores. Mobile application usage is disabled by default and must be enabled the the customer in the administrative console. The mobile applications are MDM compatible.</t>
  </si>
  <si>
    <t>Mobile Application Security</t>
  </si>
  <si>
    <t>I.4.1</t>
  </si>
  <si>
    <t>Are any actions performed by the mobile application to access, process, transmit or locally store scoped systems and data?</t>
  </si>
  <si>
    <t>I.4.2</t>
  </si>
  <si>
    <t>Is dynamic code analysis performed on mobile applications (including fuzzing)?</t>
  </si>
  <si>
    <t>Secure Code Analysis</t>
  </si>
  <si>
    <t>Is there an established Incident Management Program that has been approved by management, communicated to appropriate constituents and an owner to maintain and review the program?</t>
  </si>
  <si>
    <t>Cybersecurity Incident Management</t>
  </si>
  <si>
    <t>Governance</t>
  </si>
  <si>
    <t>16.1.1 Responsibilities and Procedures</t>
  </si>
  <si>
    <t>J</t>
  </si>
  <si>
    <t>J.1.1</t>
  </si>
  <si>
    <t>Is an Incident/Event Response team available 24x7x365?</t>
  </si>
  <si>
    <t>Seismic has 24x7x365 support personnel, as well as managed 24x7x365 SOC services.</t>
  </si>
  <si>
    <t>Cybersecurity Governance</t>
  </si>
  <si>
    <t>J.2 Incident Response Team - Roles, Responsibilities and Training</t>
  </si>
  <si>
    <t>J.1.4</t>
  </si>
  <si>
    <t>Does documentation exist defining which personnel are authorized to speak with the public during adverse events?</t>
  </si>
  <si>
    <t>J.3 Incident Response Communication</t>
  </si>
  <si>
    <t>J.1.6</t>
  </si>
  <si>
    <t>Is the Incident Response Plan and changes to the plan distributed to defined stakeholders and organizations?</t>
  </si>
  <si>
    <t>Is there a formal Incident Response Plan?</t>
  </si>
  <si>
    <t>Seismic has a formal Incident Response Plan that is tested and updated at least annually. The program is ran by Information Security. Upon identification or notice of an incident, through various alert systems, Seismic's Information Security, Operations, and IT Support team are all prepared to respond to an incident dependent on the type of incident. Steps are taken immediately to limit the scope of the incident, remediate the incident, and gather evidence and reporting requirements. Customers are notified within 24 hours of a Security or Privacy incident affecting their data, or as agreed upon in contract. This process is tested annually through table-top exercises. Each incident involves a lessons learned process afterwards to identify any errors in processes, systems, or controls, and to document and prevent the recurrence of incidents.</t>
  </si>
  <si>
    <t>Cybersecurity Incident Response Plan</t>
  </si>
  <si>
    <t>J.1 Incident Management - Policy and Procedure Content</t>
  </si>
  <si>
    <t>16.1.1 Responsibilities and Procedures|16.1.4 Assessment and Decision on Information Security Events|16.1.5 Response to Information Security Events|7.4 Communication</t>
  </si>
  <si>
    <t>J.2.10</t>
  </si>
  <si>
    <t>Does the Incident Response Plan include guidance for escalation procedure?</t>
  </si>
  <si>
    <t>16.1.2 Reporting Information Security Events|16.1.5 Response to Information Security Events|7.4 Communication</t>
  </si>
  <si>
    <t>J.2.11</t>
  </si>
  <si>
    <t>Does the Incident Response Plan include procedures to collect and maintain a chain of custody for evidence during incident investigation?</t>
  </si>
  <si>
    <t>16.1.5 Response to Information Security Events|16.1.7 Collection of Evidence|7.4 Communication</t>
  </si>
  <si>
    <t>J.2.12</t>
  </si>
  <si>
    <t>Does the Incident Response Plan include feedback process to ensure those reporting information security events are notified of the results after the issue has been dealt with and closed?</t>
  </si>
  <si>
    <t>16.1.5 Response to Information Security Events|7.4 Communication</t>
  </si>
  <si>
    <t>J.2.14</t>
  </si>
  <si>
    <t>Does the Incident Response Plan include actions to be taken in the event of an information security event?</t>
  </si>
  <si>
    <t>16.1.4 Assessment and Decision on Information Security Events|16.1.5 Response to Information Security Events</t>
  </si>
  <si>
    <t>J.2.15</t>
  </si>
  <si>
    <t>Does the Incident Response Plan include formal disciplinary process for dealing with those who commit a security breach?</t>
  </si>
  <si>
    <t>J.11 IS/IT Incident Management - Post Incident</t>
  </si>
  <si>
    <t>16.1.5 Response to Information Security Events|7.2.3 Disciplinary Process</t>
  </si>
  <si>
    <t>J.2.16</t>
  </si>
  <si>
    <t>Does the Incident Response Plan include a process for assessing and executing client and third party notification requirements (legal, regulatory and contractual)?</t>
  </si>
  <si>
    <t>J.7 IS/IT Incident Management - Incident Documentation</t>
  </si>
  <si>
    <t>16.1.1 Responsibilities and Procedures|16.1.5 Response to Information Security Events|7.4 Communication</t>
  </si>
  <si>
    <t>J.2.17</t>
  </si>
  <si>
    <t>Does the Incident Response Plan require notifying the client when unauthorized access to scoped systems and data is confirmed?</t>
  </si>
  <si>
    <t>16.1.1 Responsibilities and Procedures|16.1.5 Response to Information Security Events</t>
  </si>
  <si>
    <t>J.2.17.1</t>
  </si>
  <si>
    <t>Do the Incident Response Plan notification procedures include any customer/client-specific notification requirements?</t>
  </si>
  <si>
    <t>J.2.20</t>
  </si>
  <si>
    <t>Does the Incident Response Plan include events relevant to supporting incident investigation regularly reviewed using a specific methodology to uncover potential incidents?</t>
  </si>
  <si>
    <t>J.5 IS/IT Incident Management - Detection</t>
  </si>
  <si>
    <t>J.2.22</t>
  </si>
  <si>
    <t>Does the Incident Response Plan require identifying and mitigating all vulnerabilities that were exploited, removing all malware, inappropriate materials and other components, and remediating any affected systems discovered after incident closure?</t>
  </si>
  <si>
    <t>J.9 IS/IT Incident Management - Eradication</t>
  </si>
  <si>
    <t>16.1.5 Response to Information Security Events|16.1.6 Learning from Informtion Security Incidents</t>
  </si>
  <si>
    <t>J.2.22.1</t>
  </si>
  <si>
    <t>Are personnel, processes and technologies budgeted and in-place to adequately support remediation of issues identified after incident containment?</t>
  </si>
  <si>
    <t>J.8 IS/IT Incident Management - Containment</t>
  </si>
  <si>
    <t>16.1.5 Response to Information Security Events</t>
  </si>
  <si>
    <t>J.2.23</t>
  </si>
  <si>
    <t>Does the Incident Response Plan require returning systems to an operationally ready state, confirming that the affected systems are functioning normally and if necessary, implement additional monitoring to look for future related activity?</t>
  </si>
  <si>
    <t>J.10 IS/IT Incident Management - Recovery</t>
  </si>
  <si>
    <t>J.2.23.1</t>
  </si>
  <si>
    <t>Are personnel, processes and technologies budgeted and in-place to adequately support recovery and restoration of systems and data after incident containment?</t>
  </si>
  <si>
    <t>Is the scope of the Incident Management Program defined?</t>
  </si>
  <si>
    <t>Incident Definition</t>
  </si>
  <si>
    <t>16.1.4 Assessment and Decision on Information Security Events</t>
  </si>
  <si>
    <t>Is there a 24x7x365 staffed phone number available to customers/clients to report security incidents?</t>
  </si>
  <si>
    <t>Incident Response Communications</t>
  </si>
  <si>
    <t>Are events on scoped systems or systems containing scoped data relevant to supporting incident investigation regularly reviewed using a specific methodology to uncover potential incidents?</t>
  </si>
  <si>
    <t>Security Event Monitoring</t>
  </si>
  <si>
    <t>Incident Detection</t>
  </si>
  <si>
    <t>J.5.1</t>
  </si>
  <si>
    <t>Is there an automated system to review and correlate log and/or behavioral events (e.g., SIEM)?</t>
  </si>
  <si>
    <t>J.5.2</t>
  </si>
  <si>
    <t>Do personnel monitor security alerts related to scoped systems and data at least daily?</t>
  </si>
  <si>
    <t>J.5.4</t>
  </si>
  <si>
    <t>Are all changes to user access rights logged on scoped systems and data?</t>
  </si>
  <si>
    <t>Incident Detection - Access</t>
  </si>
  <si>
    <t>J.5.5</t>
  </si>
  <si>
    <t>Does regular security monitoring include all changes to privileged user access rights on all scoped systems and systems with scoped data?</t>
  </si>
  <si>
    <t>J.5.6</t>
  </si>
  <si>
    <t>Does regular security monitoring include Network IDS events?</t>
  </si>
  <si>
    <t>Incident Detection - NIDS</t>
  </si>
  <si>
    <t>J.5.7</t>
  </si>
  <si>
    <t>Does regular security monitoring include behavioral activity indicating botnet traffic?</t>
  </si>
  <si>
    <t>Incident Detection - Botnet Traffic</t>
  </si>
  <si>
    <t>J.5.8</t>
  </si>
  <si>
    <t>Does regular security monitoring include network device security events?</t>
  </si>
  <si>
    <t>Incident Detection - Network Devices</t>
  </si>
  <si>
    <t>J.5.9</t>
  </si>
  <si>
    <t>Does regular security monitoring include server security events?</t>
  </si>
  <si>
    <t>Incident Detection - Servers</t>
  </si>
  <si>
    <t>J.5.10</t>
  </si>
  <si>
    <t>Does regular security monitoring include hypervisor security events?</t>
  </si>
  <si>
    <t>Incident Detection - Hypervisors</t>
  </si>
  <si>
    <t>J.5.11</t>
  </si>
  <si>
    <t>Does regular security monitoring include application, Web Server, and Database security events?</t>
  </si>
  <si>
    <t>Incident Detection - Applications</t>
  </si>
  <si>
    <t>J.5.12</t>
  </si>
  <si>
    <t>Does regular security monitoring include malware activity alerts such as uncleaned infections and suspicious activity?</t>
  </si>
  <si>
    <t>Incident Detection - Malware</t>
  </si>
  <si>
    <t>Is 24x7x365 security monitoring of the hosting environment performed?</t>
  </si>
  <si>
    <t>Incident Detection - Virtualized/ Cloud Environments</t>
  </si>
  <si>
    <t>Is there an established Business Resiliency Program that has been approved by management, communicated to appropriate constituents, and an owner to maintain and review the program?</t>
  </si>
  <si>
    <t>Seismic has a documented Business Resiliency program approved by Management.  The program is owned by the Director of Information Security and is reviewed annually.</t>
  </si>
  <si>
    <t>Business Resilience Governance Program</t>
  </si>
  <si>
    <t>Resilience Program Governance</t>
  </si>
  <si>
    <t>K.1 Business Resiliency Governance</t>
  </si>
  <si>
    <t>K</t>
  </si>
  <si>
    <t>K.1.1</t>
  </si>
  <si>
    <t>Does the Business Resiliency Program include an individual program owner with full responsibility and accountability?</t>
  </si>
  <si>
    <t>K.1.2</t>
  </si>
  <si>
    <t>Have appropriate actions been taken to ensure that a person(s) (either external or internal) working under the Business Resiliency Program have or acquire the desired competencies?</t>
  </si>
  <si>
    <t>Business Resilience Roles</t>
  </si>
  <si>
    <t>K.1.3</t>
  </si>
  <si>
    <t>Does the Business Resiliency Program include a formal annual (or more frequent) executive management review of business continuity scope, key performance indicators, accomplishments, and risks?</t>
  </si>
  <si>
    <t>Business Resilience Metrics</t>
  </si>
  <si>
    <t>17.1.3 Verifty, Review and Evaluate Information Security Continuity</t>
  </si>
  <si>
    <t>K.1.3.1</t>
  </si>
  <si>
    <t>Does the Business Resiliency Program's annual review include adequacy of resources including people, technology, support services, and budget?</t>
  </si>
  <si>
    <t>K.1.3.2</t>
  </si>
  <si>
    <t>Does the Business Resiliency Program's annual review include reporting of key program activity, short term and long term objective attainment, and performance?</t>
  </si>
  <si>
    <t>K.1.3.3</t>
  </si>
  <si>
    <t>Does the Business Resiliency Program's annual review include results of program examination, audits and reviews, including those of key suppliers and partners where appropriate?</t>
  </si>
  <si>
    <t>K.1.3.3.1</t>
  </si>
  <si>
    <t>Does the Business Resiliency Program's annual review include a review of ensuring the program is reflective of the current business environment?</t>
  </si>
  <si>
    <t>K.3 Risk Assessment</t>
  </si>
  <si>
    <t>K.1.3.4</t>
  </si>
  <si>
    <t>Does the Business Resiliency Program's annual review include results of exercising and testing?</t>
  </si>
  <si>
    <t>K.1.3.5</t>
  </si>
  <si>
    <t>Does the Business Resiliency Program's annual review include lessons learned and actions arising from disruptive incidents?</t>
  </si>
  <si>
    <t>K.1.3.6</t>
  </si>
  <si>
    <t>Does the Business Resiliency Program's annual review include results of training and awareness efforts?</t>
  </si>
  <si>
    <t>K.1.4</t>
  </si>
  <si>
    <t>Has formal documentation and reference information relevant to the Business Resiliency Program and procedures been created?</t>
  </si>
  <si>
    <t>Business Resilience Documentation</t>
  </si>
  <si>
    <t>K.1.4.1</t>
  </si>
  <si>
    <t>Does business resiliency documentation include controls to ensure its availability when and where it is needed?</t>
  </si>
  <si>
    <t>K.1.4.2</t>
  </si>
  <si>
    <t>Is version and change control managed for business resiliency documentation that provides a history of changes and related approvals?</t>
  </si>
  <si>
    <t>K.1.5</t>
  </si>
  <si>
    <t>Do the products and/or services specified in the scope of this assessment fall within the scope of the business resiliency program?</t>
  </si>
  <si>
    <t>Service Resilience</t>
  </si>
  <si>
    <t>Has a business impact analysis been conducted?</t>
  </si>
  <si>
    <t>Business Continuity Planning</t>
  </si>
  <si>
    <t>Business Impact Analysis</t>
  </si>
  <si>
    <t>17.1.1 Planning Information Security Continuity|17.1.2 Implementing Information Security Continuity|17.1.3 Verifty, Review and Evaluate Information Security Continuity|4.2 Understanding Needs and Expectations of Interested Parties</t>
  </si>
  <si>
    <t>K.2.1</t>
  </si>
  <si>
    <t>Is the business impact analysis validated and/or refreshed at least annually?</t>
  </si>
  <si>
    <t>K.2 Business Impact Analysis (BIA)</t>
  </si>
  <si>
    <t>K.2.2</t>
  </si>
  <si>
    <t>Does the business impact analysis include business activity or business process criticality (e.g., high, medium, low or numerical rating) that distinguishes the relative importance of each activity or process?</t>
  </si>
  <si>
    <t>K.2.3</t>
  </si>
  <si>
    <t>Does the business impact analysis include identification of critical assets including: application systems, data, equipment, facilities, personnel, supplies and paper documents necessary for recovery?</t>
  </si>
  <si>
    <t>K.2.4</t>
  </si>
  <si>
    <t>Does the business impact analysis include an identification of asset/resource single points of failure?</t>
  </si>
  <si>
    <t>K.2.5</t>
  </si>
  <si>
    <t>Does the business impact analysis include maximum acceptable outage/maximum tolerable period of disruption for each business activity or business process?</t>
  </si>
  <si>
    <t>K.2.6</t>
  </si>
  <si>
    <t>Does the business impact analysis include recovery time objectives for all essential application systems, network services, third party services, and other resources?</t>
  </si>
  <si>
    <t>K.2.7</t>
  </si>
  <si>
    <t>Does the business impact analysis include recovery point objective for all essential data?</t>
  </si>
  <si>
    <t>K.2.8</t>
  </si>
  <si>
    <t>Does the business impact analysis include impact to clients/customers as an element of determining business function/activity criticality?</t>
  </si>
  <si>
    <t>4.2 Understanding Needs and Expectations of Interested Parties</t>
  </si>
  <si>
    <t>K.2.9</t>
  </si>
  <si>
    <t>Does the business impact analysis (or other process) include identification of those data assets requiring enhanced data resilience to assure recoverability following a successful data-compromising cyber-attack (e.g., ransomware)?</t>
  </si>
  <si>
    <t>K.2.10</t>
  </si>
  <si>
    <t>Has the business impact analysis determined that information security operations is a critical business function/activity, assigned it a maximum tolerable downtime/maximum tolerable period of disruption value, and identified its critical assets/resources and recovery objectives?</t>
  </si>
  <si>
    <t>17.1.1 Planning Information Security Continuity|17.1.2 Implementing Information Security Continuity|4.2 Understanding Needs and Expectations of Interested Parties</t>
  </si>
  <si>
    <t>K.2.11</t>
  </si>
  <si>
    <t>Does the business impact analysis include analysis of internal systems and business functions, including services, production processes, hardware, software, and application programming interfaces, data, and vital records?</t>
  </si>
  <si>
    <t>K.2.11.1</t>
  </si>
  <si>
    <t>Does the business impact analysis include analysis of third party service providers, key suppliers, and business partners?</t>
  </si>
  <si>
    <t>K.2.11.2</t>
  </si>
  <si>
    <t>Does the business impact analysis include analysis of telecommunications single points of failure?</t>
  </si>
  <si>
    <t>K.2.11.3</t>
  </si>
  <si>
    <t>Does the business impact analysis include analysis of power single points of failure?</t>
  </si>
  <si>
    <t>Is there a formal process focused on identifying and addressing risks of disruptive events to business operations?</t>
  </si>
  <si>
    <t>A formal risk assessment is undertaken to determine the requirements for business continuity planning and disaster recovery processes at least annually by Information Security.</t>
  </si>
  <si>
    <t>Operational Risk Assessment</t>
  </si>
  <si>
    <t>K.3.1</t>
  </si>
  <si>
    <t>Do operational risk assessments include foreseeable hazards including natural, technological, and adversarial/human-caused?</t>
  </si>
  <si>
    <t>K.3.2</t>
  </si>
  <si>
    <t>Do operational risk assessments include identifying risks associated with unavailability or loss of critical assets/resources including: application systems, data, equipment, facilities, personnel, and paper documents?</t>
  </si>
  <si>
    <t>K.3.3</t>
  </si>
  <si>
    <t>Do operational risk assessments include analysis of risks identified and determination of those requiring treatment?</t>
  </si>
  <si>
    <t>K.3.4</t>
  </si>
  <si>
    <t>Do operational risk assessments include assigning responsibility and acting on approved treatments?</t>
  </si>
  <si>
    <t>Are specific response and recovery strategies defined for the prioritized business activities?</t>
  </si>
  <si>
    <t>Business Activity Recovery Planning</t>
  </si>
  <si>
    <t>K.4 Business Activity Level Recovery Planning</t>
  </si>
  <si>
    <t>K.4.1</t>
  </si>
  <si>
    <t>Are specific response and recovery strategies defined for loss and unavailability of critical personnel (40% or more)?</t>
  </si>
  <si>
    <t>K.4.2</t>
  </si>
  <si>
    <t>Are specific response and recovery strategies defined for loss or unavailability of critical data?</t>
  </si>
  <si>
    <t>K.4.3</t>
  </si>
  <si>
    <t>Are specific response and recovery strategies defined for loss or unavailability of critical Information and Communication Technology (ICT)?</t>
  </si>
  <si>
    <t>K.4.4</t>
  </si>
  <si>
    <t>Are specific response and recovery strategies defined for critical workplaces/buildings and related electrical power systems?</t>
  </si>
  <si>
    <t>K.4.5</t>
  </si>
  <si>
    <t>Are specific response and recovery strategies defined for loss or unavailability of critical third party services (e.g., partners and suppliers)?</t>
  </si>
  <si>
    <t>K.4.7</t>
  </si>
  <si>
    <t>Do the response and recovery strategies defined for the unavailability of resources address scalability to accommodate full transaction volumes?</t>
  </si>
  <si>
    <t>Are formal business continuity procedures developed and documented?</t>
  </si>
  <si>
    <t>Business Continuity Procedures</t>
  </si>
  <si>
    <t>K.5.1</t>
  </si>
  <si>
    <t>Do formal business continuity procedures include specific actions to be taken in response to a disruptive event for each business activity/process supporting the products and/or services specified in the scope of this assessment?</t>
  </si>
  <si>
    <t>K.5.2</t>
  </si>
  <si>
    <t>Do the formal business continuity procedures include manual steps for critical functions, as applicable?</t>
  </si>
  <si>
    <t>K.5.3</t>
  </si>
  <si>
    <t>Do formal business continuity procedures include the continuity of information security activities and processes e.g., intrusion detection, vulnerability management, log collection?</t>
  </si>
  <si>
    <t>K.5.4</t>
  </si>
  <si>
    <t>Do formal business continuity procedures include the continuity of IT operations activities and processes (e.g., network operations, data center operations, help desk)?</t>
  </si>
  <si>
    <t>Has senior management assigned the responsibility for the overall management of critical response and recovery efforts?</t>
  </si>
  <si>
    <t>Business Recovery Management and Communications</t>
  </si>
  <si>
    <t>16.1.1 Responsibilities and Procedures|16.1.2 Reporting Information Security Events</t>
  </si>
  <si>
    <t>K.6.1</t>
  </si>
  <si>
    <t>Does the overall management of critical response and recovery include a virtual or physical command center where management can meet, organize, and manage emergency operations in a secure setting?</t>
  </si>
  <si>
    <t>K.6.2</t>
  </si>
  <si>
    <t>Does the overall management of critical response and recovery include conditions for activating the plan(s), and the associated roles and responsibilities?</t>
  </si>
  <si>
    <t>K.6.3</t>
  </si>
  <si>
    <t>Does the overall management of critical response and recovery include roles and responsibilities for those who invoke and execute response and recovery plans?</t>
  </si>
  <si>
    <t>K.6.4</t>
  </si>
  <si>
    <t>Does the overall management of critical response include multiple mechanisms to communicate with personnel?</t>
  </si>
  <si>
    <t>K.6.6</t>
  </si>
  <si>
    <t>Does the overall management of critical response and recovery include notification and escalation to external stakeholders including regulatory agencies, emergency responders, and law enforcement?</t>
  </si>
  <si>
    <t>K.6.6.1</t>
  </si>
  <si>
    <t>Are primary and alternative personnel assigned to each recovery role to assure availability of sufficiently skilled personnel?</t>
  </si>
  <si>
    <t>Crisis Management</t>
  </si>
  <si>
    <t>Is there a periodic (at least annual) review of your business resiliency procedures?</t>
  </si>
  <si>
    <t>The disaster recovery plan is reviewed at least annually and kept up to date to take into account changing circumstances. Business continuity processes are tested at least annually through table-top exercise or functional test.</t>
  </si>
  <si>
    <t>Business Continuity Plan Management</t>
  </si>
  <si>
    <t>K.7.1</t>
  </si>
  <si>
    <t>Does periodic review of business resiliency procedures include updates to the procedures as necessary after the review?</t>
  </si>
  <si>
    <t>K.7.2</t>
  </si>
  <si>
    <t>Does periodic review of business resiliency procedures include changes in business activities, dependencies and related recovery objectives?</t>
  </si>
  <si>
    <t>K.7.3</t>
  </si>
  <si>
    <t>Does periodic review of business resiliency procedures include changes in organizational structure and personnel changes?</t>
  </si>
  <si>
    <t>K.7.4</t>
  </si>
  <si>
    <t>Does periodic review of business resiliency procedures include emerging threats and identified new risks?</t>
  </si>
  <si>
    <t>K.7.5</t>
  </si>
  <si>
    <t>Does periodic review of business resiliency procedures include warning and communication procedures and capabilities?</t>
  </si>
  <si>
    <t>K.7.6</t>
  </si>
  <si>
    <t>Does periodic review of business resiliency procedures include updates from the inventory of information and communication technology (ICT) assets?</t>
  </si>
  <si>
    <t>Are there any dependencies on critical third party service providers?</t>
  </si>
  <si>
    <t>AWS</t>
  </si>
  <si>
    <t>Critical Vendors</t>
  </si>
  <si>
    <t>K.8.1</t>
  </si>
  <si>
    <t>Has contact information for key service provider personnel been documented?</t>
  </si>
  <si>
    <t>K.8.2.1</t>
  </si>
  <si>
    <t>Is the contact information for key service provider personnel reviewed and updated at least annually?</t>
  </si>
  <si>
    <t>K.8.3</t>
  </si>
  <si>
    <t>Have the notification and escalation protocols for key service provider personnel been established?</t>
  </si>
  <si>
    <t>K.8.4</t>
  </si>
  <si>
    <t>Has the organization established processes and formal agreements for third party service providers to provide immediate notification in the event of a disruption that impacts delivery of the products and/or services they provide?</t>
  </si>
  <si>
    <t>K.8.5</t>
  </si>
  <si>
    <t>Have planned responses to business disruptions been coordinated with key service providers?</t>
  </si>
  <si>
    <t>K.8.6</t>
  </si>
  <si>
    <t>When business resiliency procedures have been modified that affect key service provider personnel, has a process been implemented to notify them?</t>
  </si>
  <si>
    <t>K.8.7</t>
  </si>
  <si>
    <t>Are there at least two network paths to all critical vendors?</t>
  </si>
  <si>
    <t>K.8.8</t>
  </si>
  <si>
    <t>Are third parties in possession of or have access to data held to the same level of risk control requirements around data confidentiality, integrity and availability as are applicable internally?</t>
  </si>
  <si>
    <t>K.8.9</t>
  </si>
  <si>
    <t>Is a critical vendor dependency chart or list made available to clients?</t>
  </si>
  <si>
    <t>Provided with the contract</t>
  </si>
  <si>
    <t>K.8.13.3</t>
  </si>
  <si>
    <t>Do contracts with critical service providers include a penalty or remediation clause for breach of availability and continuity Service Level Agreements (SLAs)?</t>
  </si>
  <si>
    <t>K.9</t>
  </si>
  <si>
    <t>Are there formal, documented disaster recovery procedures that are maintained and reviewed periodically?</t>
  </si>
  <si>
    <t>Disaster Recovery Governance</t>
  </si>
  <si>
    <t>Disaster Recovery Procedures</t>
  </si>
  <si>
    <t>K.9.1</t>
  </si>
  <si>
    <t>Is the disaster recovery location more than 100 miles from the production data center?</t>
  </si>
  <si>
    <t>Disaster Recovery Location</t>
  </si>
  <si>
    <t>K.9.2</t>
  </si>
  <si>
    <t>Do the formal disaster recovery procedures include specific actions to be taken in response to a data center disruptive event for each data center (internal and external) supporting the products and/or services specified in the scope of this assessment?</t>
  </si>
  <si>
    <t>K.6 Exercising</t>
  </si>
  <si>
    <t>17.2.1 Availability of Information Processing Facilities</t>
  </si>
  <si>
    <t>K.9.3</t>
  </si>
  <si>
    <t>Do the formal disaster recovery procedures address the recovery of critical networks and systems?</t>
  </si>
  <si>
    <t>K.9.3.1</t>
  </si>
  <si>
    <t>Does the recovery of critical networks and systems include backup types (e.g., physical, and/or virtual)?</t>
  </si>
  <si>
    <t>K.5 Data Backup Restoration</t>
  </si>
  <si>
    <t>K.9.3.2</t>
  </si>
  <si>
    <t>Does the recovery of critical networks and systems include backup levels (full, incremental, or differential)?</t>
  </si>
  <si>
    <t>K.9.3.3</t>
  </si>
  <si>
    <t>Does the recovery of critical networks and systems include update and retention cycle frequencies?</t>
  </si>
  <si>
    <t>K.9.4</t>
  </si>
  <si>
    <t>Are procedures defined for restoring backlogged activity or lost transactions to identify how transaction records will be brought current within expected recovery time frames?</t>
  </si>
  <si>
    <t>not performing transactions</t>
  </si>
  <si>
    <t>K.10</t>
  </si>
  <si>
    <t>Is there a formal, documented information technology disaster recovery exercise and testing program in place?</t>
  </si>
  <si>
    <t xml:space="preserve">The disaster recovery plan is periodically tested (at least once each calendar year) in a simulated environment to ensure that it can be implemented in emergency situations and that the management and staff understand how it is to be executed. All staff are aware of the disaster recovery plan and their own respective roles. </t>
  </si>
  <si>
    <t>Disaster Recovery Testing</t>
  </si>
  <si>
    <t>Disaster Recovery Testing Scope</t>
  </si>
  <si>
    <t>K.10.1</t>
  </si>
  <si>
    <t>Does the disaster recovery exercise and testing program have a designated program owner with full responsibility and accountability?</t>
  </si>
  <si>
    <t>Disaster Recovery Testing Governance</t>
  </si>
  <si>
    <t>K.10.2</t>
  </si>
  <si>
    <t>Does disaster recovery testing include specific exercises and tests that address the unavailability of specific IT resources?</t>
  </si>
  <si>
    <t>K.10.3</t>
  </si>
  <si>
    <t>Does information technology disaster recovery testing include production data center(s)?</t>
  </si>
  <si>
    <t>K.10.4</t>
  </si>
  <si>
    <t>Does information technology disaster recovery testing include data stores?</t>
  </si>
  <si>
    <t>K.10.5</t>
  </si>
  <si>
    <t>Does information technology disaster recovery testing include recovery of critical network infrastructure?</t>
  </si>
  <si>
    <t>K.10.6</t>
  </si>
  <si>
    <t>Are measurable recovery objectives defined for each exercise and test?</t>
  </si>
  <si>
    <t>Disaster Recovery Testing Criteria</t>
  </si>
  <si>
    <t>K.10.8</t>
  </si>
  <si>
    <t>Does measurable recovery objective attainment include recovery time objectives for all essential application systems, network services and other resources?</t>
  </si>
  <si>
    <t>K.10.9</t>
  </si>
  <si>
    <t>Does measurable recovery objective attainment include recovery point objectives for all essential application systems?</t>
  </si>
  <si>
    <t>K.10.10</t>
  </si>
  <si>
    <t>Is there an annual schedule of planned disaster recovery exercises and tests?</t>
  </si>
  <si>
    <t>Disaster Recovery Testing Issue Management</t>
  </si>
  <si>
    <t>K.10.11</t>
  </si>
  <si>
    <t>Do business continuity exercises include evacuation drills?</t>
  </si>
  <si>
    <t>K.10.12</t>
  </si>
  <si>
    <t>Do business continuity exercises include notification procedure and mechanism tests?</t>
  </si>
  <si>
    <t>K.10.13</t>
  </si>
  <si>
    <t>Do disaster recovery tests include application recovery tests?</t>
  </si>
  <si>
    <t>K.10.14</t>
  </si>
  <si>
    <t>Do disaster recovery tests include remote access tests?</t>
  </si>
  <si>
    <t>K.10.16</t>
  </si>
  <si>
    <t>Do disaster recovery tests include production transaction processing?</t>
  </si>
  <si>
    <t>K.10.17</t>
  </si>
  <si>
    <t>Do disaster recovery tests include typical business volumes/full capacity?</t>
  </si>
  <si>
    <t>K.10.18</t>
  </si>
  <si>
    <t>Do business continuity tests include business relocation testing?</t>
  </si>
  <si>
    <t>K.10.19</t>
  </si>
  <si>
    <t>Do disaster recovery tests include data center failover testing?</t>
  </si>
  <si>
    <t>K.10.20</t>
  </si>
  <si>
    <t>Are critical service providers included in disaster recovery testing?</t>
  </si>
  <si>
    <t>K.10.21</t>
  </si>
  <si>
    <t>Do disaster recovery tests include recovery and continuity of information security controls to assure that controls in the DR environment are equivalent to those normally in the production environment?</t>
  </si>
  <si>
    <t>K.11</t>
  </si>
  <si>
    <t>Is there a process for documenting disaster recovery test scripts and exercises?</t>
  </si>
  <si>
    <t>Disaster Recovery Test Scripts - Documentation</t>
  </si>
  <si>
    <t>K.11.1</t>
  </si>
  <si>
    <t>Does the disaster recovery exercise and test script documentation include applications, business processes, systems, and/or facilities tested?</t>
  </si>
  <si>
    <t>K.11.2</t>
  </si>
  <si>
    <t>Does the disaster recovery exercise and test script documentation include employee and external party procedures to be followed?</t>
  </si>
  <si>
    <t>K.11.5</t>
  </si>
  <si>
    <t>Does the disaster recovery exercise and test script documentation include a process for participants to record results, quantifiable metrics, and possible issues?</t>
  </si>
  <si>
    <t>K.12</t>
  </si>
  <si>
    <t>Does business continuity testing include recovery supporting critical loss or unavailability of personnel (40% or more)?</t>
  </si>
  <si>
    <t>Business Continuity Testing</t>
  </si>
  <si>
    <t>Business Continuity Testing Scope</t>
  </si>
  <si>
    <t>K.12.1</t>
  </si>
  <si>
    <t>Does business continuity testing include specific business activity exercises and tests that address the unavailability of specific resources (i.e., realistic scenarios)?</t>
  </si>
  <si>
    <t>Business Continuity Testing Scope - Scenarios</t>
  </si>
  <si>
    <t>K.12.8</t>
  </si>
  <si>
    <t>Do business continuity testing exercises include recovery and continuity of information security operational processes and controls that may be impacted by a non-disaster recovery event (e.g., loss of physical workplace, reduction in available IS personnel)?</t>
  </si>
  <si>
    <t>Business Continuity Testing Scope - IT/IS Operations</t>
  </si>
  <si>
    <t>K.12.9</t>
  </si>
  <si>
    <t>Do business continuity testing exercises include recovery and continuity of IT operational processes and controls that may be impacted by a non-disaster recovery event (e.g., loss of physical workplace, reduction in available IT operations personnel)?</t>
  </si>
  <si>
    <t>K.12.10</t>
  </si>
  <si>
    <t>Are the results of testing exercises conducted internally shared with customers?</t>
  </si>
  <si>
    <t>K.12.11</t>
  </si>
  <si>
    <t>Are joint testing exercises conducted in partnership with customers?</t>
  </si>
  <si>
    <t>K.13</t>
  </si>
  <si>
    <t>Are there established business resiliency testing exercise scenarios addressing cyber resilience?</t>
  </si>
  <si>
    <t>Business Resiliency Testing - Exercises</t>
  </si>
  <si>
    <t>Cyber Resilience Scenario Testing</t>
  </si>
  <si>
    <t>K.14</t>
  </si>
  <si>
    <t>Is there a pandemic/infectious disease outbreak plan?</t>
  </si>
  <si>
    <t>Business Resiliency Governance</t>
  </si>
  <si>
    <t>Pandemic Planning</t>
  </si>
  <si>
    <t>K.14.1</t>
  </si>
  <si>
    <t>Does the pandemic plan include a preventive program to reduce the likelihood that an organization's operations will be significantly affected by a pandemic event?</t>
  </si>
  <si>
    <t>K.7 Infectious Disease Planning</t>
  </si>
  <si>
    <t>K.14.2</t>
  </si>
  <si>
    <t>Does the pandemic plan include a documented strategy that provides for scaling the institution's pandemic efforts, so they are consistent with the effects of a stage of a pandemic outbreak?</t>
  </si>
  <si>
    <t>K.14.3</t>
  </si>
  <si>
    <t>Does the pandemic plan include procedures for social distancing to minimize staff contact, telecommuting, conducting operations from alternative sites, and advising customers/clients on alternative means of conducting business?</t>
  </si>
  <si>
    <t>K.14.4</t>
  </si>
  <si>
    <t>Does the pandemic plan include a testing program to ensure that the institution's pandemic planning practices and capabilities are effective and will allow critical operations to continue?</t>
  </si>
  <si>
    <t>K.14.5</t>
  </si>
  <si>
    <t>Does the pandemic plan include an oversight program to ensure ongoing review and updates to the pandemic plan so that policies, standards, and procedures include up-to-date, relevant information provided by governmental sources?</t>
  </si>
  <si>
    <t>K.16</t>
  </si>
  <si>
    <t>Are networks fully redundant, with at least two network paths to any node, and for every network device, at least one other redundant network device of the same type?</t>
  </si>
  <si>
    <t>Capacity Management and Redundancy</t>
  </si>
  <si>
    <t>Network Redundancy</t>
  </si>
  <si>
    <t>K.17</t>
  </si>
  <si>
    <t>Is there sufficient redundancy capacity to ensure services are not impacted in multi-tenancy environments during peak usage and above?</t>
  </si>
  <si>
    <t>Built in geo-redundant cloud data centers</t>
  </si>
  <si>
    <t>Computing Capacity Management</t>
  </si>
  <si>
    <t>K.18</t>
  </si>
  <si>
    <t>Is there sufficient volume or disk partitioning to prevent inadvertent resource bottlenecks from guest operating systems?</t>
  </si>
  <si>
    <t>Disk Capacity Management</t>
  </si>
  <si>
    <t>K.19</t>
  </si>
  <si>
    <t>Are backups of scoped systems and data performed?</t>
  </si>
  <si>
    <t>For the production environment, which operates with live customer data, regular backups are performed to ensure the integrity and recoverability of customers' data. Persistently stored data is actively geo-replicated in near real time to a geographically separate data center for immediate fail-over and seamless continuity of operations with no data loss in the event of a loss of database or storage service in the primary data center. Additionally, nightly full backups are performed with encrypted backups stored in an alternate data center. The backup process backs up customer files and databases and the restore from backup process is tested daily through normal operations, with automated alerts for failed instances.</t>
  </si>
  <si>
    <t>Business Continuity Procedures - Backup Policy and Procedures</t>
  </si>
  <si>
    <t>12.3.1 Information Backup|17.2.1 Availability of Information Processing Facilities</t>
  </si>
  <si>
    <t>K.19.1</t>
  </si>
  <si>
    <t>Is there a policy or process for the backup of production data?</t>
  </si>
  <si>
    <t>K.19.1.1</t>
  </si>
  <si>
    <t>Are backup integrity and related restoration procedures tested at least annually?</t>
  </si>
  <si>
    <t>K.19.1.2</t>
  </si>
  <si>
    <t>Is backup media tracked and reviewed for compliance to data retention/destruction requirements at least annually?</t>
  </si>
  <si>
    <t>K.19.2</t>
  </si>
  <si>
    <t>Are backup and replication errors reviewed and resolved as required?</t>
  </si>
  <si>
    <t>12.3.1 Information Backup</t>
  </si>
  <si>
    <t>K.19.2.1</t>
  </si>
  <si>
    <t>Are backup and replication errors reviewed and resolved at least weekly?</t>
  </si>
  <si>
    <t>K.19.3</t>
  </si>
  <si>
    <t>Is scoped data backed up and stored offsite?</t>
  </si>
  <si>
    <t>Stored logically in AWS</t>
  </si>
  <si>
    <t>K.19.4</t>
  </si>
  <si>
    <t>Are backups containing scoped data stored in an environment where the security controls protecting them are equivalent to production environment security controls?</t>
  </si>
  <si>
    <t>K.19.5</t>
  </si>
  <si>
    <t>Is there a data retention policy?</t>
  </si>
  <si>
    <t>Business Continuity Procedures - Data Retention Policy and Procedures</t>
  </si>
  <si>
    <t>K.19.5.1</t>
  </si>
  <si>
    <t>Does the data retention policy define retention history parameters based on information security provided guidance about dormant malware?</t>
  </si>
  <si>
    <t>K.19.5.2</t>
  </si>
  <si>
    <t>Does all scoped data fully adhere to the data retention policy?</t>
  </si>
  <si>
    <t>K.19.5.3</t>
  </si>
  <si>
    <t>Are offline data backups protected from destructive malware or other threats that may corrupt production and online backup versions of data?</t>
  </si>
  <si>
    <t>No offline data backups</t>
  </si>
  <si>
    <t>K.19.5.4</t>
  </si>
  <si>
    <t>Is there a plan (typically separate from a traditional disaster recovery plan) for managing a data recovery effort in the aftermath of a successful data compromising cyberattack (e.g., ransomware, data wiper malware)?</t>
  </si>
  <si>
    <t>K.20</t>
  </si>
  <si>
    <t>Are the organization's insurance coverages defined and outlined within its business resiliency plan?</t>
  </si>
  <si>
    <t>Business Insurance</t>
  </si>
  <si>
    <t>K.8 Business Insurance</t>
  </si>
  <si>
    <t>K.20.1</t>
  </si>
  <si>
    <t>Does the organization have a process to ensure the organization has adequate coverage limits?</t>
  </si>
  <si>
    <t>K.20.2</t>
  </si>
  <si>
    <t>Does the organization have a process to review the terms, conditions, and exclusions?</t>
  </si>
  <si>
    <t>Are there policies and procedures to ensure compliance with applicable legislative, regulatory and contractual requirements?</t>
  </si>
  <si>
    <t>Compliance Management</t>
  </si>
  <si>
    <t>L.1 Monitoring and Reporting - Compliance/organization</t>
  </si>
  <si>
    <t>18.1.1 Identification of Applicable Legislation and Contractual Requirements|18.2.2 Compliance with Security Policies and Standards</t>
  </si>
  <si>
    <t>L</t>
  </si>
  <si>
    <t>L.1.1</t>
  </si>
  <si>
    <t>Is there a documented process to identify and assess regulatory changes that could significantly affect the delivery of products and services?</t>
  </si>
  <si>
    <t>L.2 Monitoring and Reporting - Compliance Requirement Identification</t>
  </si>
  <si>
    <t>L.1.1.1</t>
  </si>
  <si>
    <t>Does the regulatory change management process include receiving, monitoring, tracking/logging, and where necessary, implementing changes required to comply with applicable new regulations and regulatory alerts?</t>
  </si>
  <si>
    <t>18.2.2 Compliance with Security Policies and Standards</t>
  </si>
  <si>
    <t>L.1.2</t>
  </si>
  <si>
    <t>Are business licenses, permits, or registrations maintained in all jurisdictions where required?</t>
  </si>
  <si>
    <t>L.3 Professional Ethics and Business Practices</t>
  </si>
  <si>
    <t>For employees with access to scoped data and/or scoped Systems, is training on legislative and regulatory requirements provided and updated on a regular basis?</t>
  </si>
  <si>
    <t>Compliance Training</t>
  </si>
  <si>
    <t>18.1.1 Identification of Applicable Legislation and Contractual Requirements</t>
  </si>
  <si>
    <t>Is there an internal audit, risk management, or compliance department, or similar management oversight unit with responsibility for assessing, identifying and tracking resolution of outstanding regulatory issues?</t>
  </si>
  <si>
    <t>We have a designated internal Information Security team responsible for assessing, identifying, and tracking resolution of outstanding regulatory issues.</t>
  </si>
  <si>
    <t>Compliance Organization</t>
  </si>
  <si>
    <t>18.1.1 Identification of Applicable Legislation and Contractual Requirements|18.2.2 Compliance with Security Policies and Standards|9.2 Internal Audit</t>
  </si>
  <si>
    <t>L.3.1</t>
  </si>
  <si>
    <t>Does the audit function have independence from the lines of business?</t>
  </si>
  <si>
    <t>Information Security reports to the CFO</t>
  </si>
  <si>
    <t>9.2 Internal Audit</t>
  </si>
  <si>
    <t>L.3.2</t>
  </si>
  <si>
    <t>Is there non-audit staff dedicated to compliance and risk responsibilities?</t>
  </si>
  <si>
    <t>This falls under the responsibility of the information security team.</t>
  </si>
  <si>
    <t>L.3.3</t>
  </si>
  <si>
    <t>Are audits performed to ensure compliance with applicable statutory, regulatory, contractual or industry requirements?</t>
  </si>
  <si>
    <t>Compliance Audits</t>
  </si>
  <si>
    <t>Is there a set of policies and procedures that address required records management and compliance reporting?</t>
  </si>
  <si>
    <t>Compliance Reporting</t>
  </si>
  <si>
    <t>L.4.1</t>
  </si>
  <si>
    <t>Are compliance issues logged, tracked, and reported to management?</t>
  </si>
  <si>
    <t>10.1 Nonconformity and Corrective Action Plan|9.2 Internal Audit</t>
  </si>
  <si>
    <t>L.4.2</t>
  </si>
  <si>
    <t>Are internal management reporting and/or external reporting to government agencies maintained in accordance with applicable law?</t>
  </si>
  <si>
    <t>L.4 Marketing and Selling Business Practices</t>
  </si>
  <si>
    <t>6.1.3 Contact with Authorities</t>
  </si>
  <si>
    <t>L.4.3</t>
  </si>
  <si>
    <t>Are regulatory alerts and updates on changes in applicable law or regulations reported routinely to management and if appropriate, to the Board of Directors?</t>
  </si>
  <si>
    <t>L.7</t>
  </si>
  <si>
    <t>Are there policies and procedures to address bribery, corruption, the prohibition of providing monetary offers or preventing improper actions that create advantage in practices with individuals and corporate representatives?</t>
  </si>
  <si>
    <t>Employees sign a Code of Ethics agreement via acknowledgement of the Employee Handbook upon hire.</t>
  </si>
  <si>
    <t>Business Ethics and Corporate Compliance</t>
  </si>
  <si>
    <t>Anti-Bribery and Anti-Corruption</t>
  </si>
  <si>
    <t>L.7.1</t>
  </si>
  <si>
    <t>For public companies, are there policies and procedures to address accounting provisions as outlined under Foreign Corrupt Practices Act (FCPA)?</t>
  </si>
  <si>
    <t>Seismic is privately held.</t>
  </si>
  <si>
    <t>L.7.2</t>
  </si>
  <si>
    <t>Do employees receive training that covers Anti-Bribery and Anti-Corruption topics?</t>
  </si>
  <si>
    <t>L.8</t>
  </si>
  <si>
    <t>Is there a compliance program or set of policies and procedures that address Anti-Trust and Anti-Competitive Business Practices?</t>
  </si>
  <si>
    <t>Anti-Trust &amp; Anti-Competitive Business Practices</t>
  </si>
  <si>
    <t>L.8.1</t>
  </si>
  <si>
    <t>Is training on Anti-Trust and Anti-Competitive Business Practices for all relevant constituents?</t>
  </si>
  <si>
    <t>L.8.1.1</t>
  </si>
  <si>
    <t>Is training on Anti-Trust and Anti-Competitive Business Practices conducted on an annual basis?</t>
  </si>
  <si>
    <t>Upon hire.</t>
  </si>
  <si>
    <t>L.10</t>
  </si>
  <si>
    <t>Is there a documented policy for Ethical Sourcing?</t>
  </si>
  <si>
    <t>Ethical Sourcing</t>
  </si>
  <si>
    <t>L.10.1</t>
  </si>
  <si>
    <t>Is there a defined supplier code of conduct required of all suppliers?</t>
  </si>
  <si>
    <t>L.10.2</t>
  </si>
  <si>
    <t>Are their defined standards in the sourcing process to address sustainability?</t>
  </si>
  <si>
    <t>L.11</t>
  </si>
  <si>
    <t>Is there a documented internal compliance and ethics program to ensure professional ethics and business practices are implemented and maintained?</t>
  </si>
  <si>
    <t>Ethics</t>
  </si>
  <si>
    <t>L.11.1</t>
  </si>
  <si>
    <t>Has the organization established its standards of conduct concerning integrity and ethical values that are understood by all levels and by outsourced service providers?</t>
  </si>
  <si>
    <t>L.11.2</t>
  </si>
  <si>
    <t>Is there a whistleblowing policy and/or separate communication channel procedure to report compliance issues?</t>
  </si>
  <si>
    <t>L.11.3</t>
  </si>
  <si>
    <t>Do employees undergo annual training regarding company expectations related to non-disclosure of insider information, code of conduct, conflicts of interest, and compliance and ethics responsibilities?</t>
  </si>
  <si>
    <t>L.13</t>
  </si>
  <si>
    <t>Is there a defined policy or guidelines for social media conduct?</t>
  </si>
  <si>
    <t>Social Media</t>
  </si>
  <si>
    <t>L.14</t>
  </si>
  <si>
    <t>Will this engagement include any call center related services?</t>
  </si>
  <si>
    <t>Call Center Controls</t>
  </si>
  <si>
    <t>L.14.6</t>
  </si>
  <si>
    <t>Is the call support team physically segregated from teams servicing other clients?</t>
  </si>
  <si>
    <t>Personnel</t>
  </si>
  <si>
    <t>L.14.7</t>
  </si>
  <si>
    <t>Do any Call Center personnel who would support this account work offshore (outside the client's country)?</t>
  </si>
  <si>
    <t>L.14.8</t>
  </si>
  <si>
    <t>Can Customer Service Representatives (CSR) work remotely?</t>
  </si>
  <si>
    <t>L.14.11</t>
  </si>
  <si>
    <t>Is a documented methodology for caller authentication used e.g., secret questions, etc.?</t>
  </si>
  <si>
    <t>Caller Authentication</t>
  </si>
  <si>
    <t>L.16</t>
  </si>
  <si>
    <t>Are marketing or selling activities conducted directly to Client's customers?</t>
  </si>
  <si>
    <t>Consumer Protection</t>
  </si>
  <si>
    <t>Marketing and Sales Practices</t>
  </si>
  <si>
    <t>L.16.1</t>
  </si>
  <si>
    <t>Is there a documented consumer protection compliance program?</t>
  </si>
  <si>
    <t>Neither marketing nor selling activities are conducted directly to Client's customers.</t>
  </si>
  <si>
    <t>L.16.2</t>
  </si>
  <si>
    <t>Is training conducted for constituents who have direct customer contact regarding consumer protection compliance responsibilities?</t>
  </si>
  <si>
    <t>L.16.3</t>
  </si>
  <si>
    <t>Are processes in place to periodically review call center scripts, call monitoring, and/or email marketing to identify compliance issues?</t>
  </si>
  <si>
    <t>L.16.4</t>
  </si>
  <si>
    <t>Is there an incentive or compensation program for constituents who directly sell/market to Client customers? If yes, please describe in the additional information field.</t>
  </si>
  <si>
    <t>L.16.5</t>
  </si>
  <si>
    <t>Are there documented policies and procedures to ensure compliance with applicable laws and regulations including Unfair, Deceptive, or Abusive Acts or Practices?</t>
  </si>
  <si>
    <t>L.16.6</t>
  </si>
  <si>
    <t>Are calls for telemarketing purposes recorded and retained? If yes, please provide the retention period in the additional information field.</t>
  </si>
  <si>
    <t>There are no direct interactions with our client's customers.</t>
  </si>
  <si>
    <t>L.17</t>
  </si>
  <si>
    <t>Are collections activities conducted directly to Client's customers?</t>
  </si>
  <si>
    <t>Collections Practices</t>
  </si>
  <si>
    <t>L.17.1</t>
  </si>
  <si>
    <t>Are calls for collections' purposes recorded and retained? If yes, please provide the retention period in the additional information field.</t>
  </si>
  <si>
    <t>L.18</t>
  </si>
  <si>
    <t>Is a web site(s) maintained or hosted for the purpose of advertising, offering, managing, or servicing accounts, products or services to clients' customers?</t>
  </si>
  <si>
    <t>Offer &amp; Terms Compliance</t>
  </si>
  <si>
    <t>L.18.1</t>
  </si>
  <si>
    <t>Are documented terms and conditions, software licensing agreements maintained and available online for enabling compliance with applicable legal, regulatory, and/or contractual obligations related to product or service specifications?</t>
  </si>
  <si>
    <t>L.18.2</t>
  </si>
  <si>
    <t>Are terms of sale, dispute and/or return of goods procedures available online?</t>
  </si>
  <si>
    <t>L.19</t>
  </si>
  <si>
    <t>Are there direct interactions with your client's customers?</t>
  </si>
  <si>
    <t>Complaint Management</t>
  </si>
  <si>
    <t>L.19.1</t>
  </si>
  <si>
    <t>Is there a documented process for receiving and responding to inquiries, complaints and requests directly from individuals or the client's customers?</t>
  </si>
  <si>
    <t>L.19.2</t>
  </si>
  <si>
    <t>Is there a documented process to provide periodic summary reports to management regarding types and resolution of complaints?</t>
  </si>
  <si>
    <t>L.19.3</t>
  </si>
  <si>
    <t>Is there a documented process to provide periodic summary reports to your applicable clients regarding types and resolution of complaints?</t>
  </si>
  <si>
    <t>L.19.4</t>
  </si>
  <si>
    <t>Is there a documented process to receive and respond to complaints, inquiries and requests from business or trade associations (e.g., BBB, GMOs, chambers of commerce, PCI Council) and from government agencies, including state attorneys general?</t>
  </si>
  <si>
    <t>L.19.5</t>
  </si>
  <si>
    <t>Is there a documented escalation and resolution process to address specific complaints to management and the client?</t>
  </si>
  <si>
    <t>L.20</t>
  </si>
  <si>
    <t>Are documented policies and procedures maintained to enforce applicable legal, regulatory or contractual cybersecurity obligations?</t>
  </si>
  <si>
    <t>Cybersecurity Regulatory Compliance</t>
  </si>
  <si>
    <t>Cybersecurity Compliance Controls</t>
  </si>
  <si>
    <t>18.1.4 Privacy and Protection of Personally Identifiable Information</t>
  </si>
  <si>
    <t>L.20.1</t>
  </si>
  <si>
    <t>Are all systems regularly reviewed for compliance with all cybersecurity legal, contractual, and policy requirements?</t>
  </si>
  <si>
    <t>L.20.2</t>
  </si>
  <si>
    <t>Is cryptography enabled in accordance with all legal and contractual requirements?</t>
  </si>
  <si>
    <t>L.23</t>
  </si>
  <si>
    <t>Are client audits and/or risk assessments permitted?</t>
  </si>
  <si>
    <t>Customer audits may be scheduled upon mutual agreement and with sufficient advanced written notice (30 days)</t>
  </si>
  <si>
    <t>External Assurance and Audit</t>
  </si>
  <si>
    <t>Client Audit Requirements</t>
  </si>
  <si>
    <t>L.23.1</t>
  </si>
  <si>
    <t>Are onsite audits or risk assessments by clients permitted?</t>
  </si>
  <si>
    <t>L.23.4</t>
  </si>
  <si>
    <t>Is evidence of internal controls available during a client assessment?</t>
  </si>
  <si>
    <t>L.23.4.1</t>
  </si>
  <si>
    <t>Are system and network topology and architecture diagrams available during a client risk assessment or audit?</t>
  </si>
  <si>
    <t>L.23.4.2</t>
  </si>
  <si>
    <t>Are Data Flow/System Interface diagrams available during a client risk assessment or audit?</t>
  </si>
  <si>
    <t>L.23.4.3</t>
  </si>
  <si>
    <t>Is a list of ports that are open externally available during a client risk assessment or audit?</t>
  </si>
  <si>
    <t>L.23.4.4</t>
  </si>
  <si>
    <t>Are system configuration standards available during a client risk assessment or audit?</t>
  </si>
  <si>
    <t>L.23.4.5</t>
  </si>
  <si>
    <t>Are standard operating procedures available during a client risk assessment or audit?</t>
  </si>
  <si>
    <t>L.23.5</t>
  </si>
  <si>
    <t>Are controls validated by independent, third party auditors or information security professionals?</t>
  </si>
  <si>
    <t>Independent Audits</t>
  </si>
  <si>
    <t>18.2.1 Independent Review of Information Security</t>
  </si>
  <si>
    <t>L.23.5.1</t>
  </si>
  <si>
    <t>Has a proactive Shared Assessments Standardized Control Assessment (SCA) been performed within the last 12 months?</t>
  </si>
  <si>
    <t>L.23.5.2</t>
  </si>
  <si>
    <t>Has a SOC™ 1 audit been performed within the last 12 months?</t>
  </si>
  <si>
    <t>L.23.5.3</t>
  </si>
  <si>
    <t>Has a SOC 2 audit been performed within the last 12 months?</t>
  </si>
  <si>
    <t>L.23.5.5</t>
  </si>
  <si>
    <t>Has an ISO 27001 control assessment been performed within the last 12 months?</t>
  </si>
  <si>
    <t>L.23.5.6</t>
  </si>
  <si>
    <t>Has an ISO 27017 control assessment been performed within the last 12 months?</t>
  </si>
  <si>
    <t>L.23.5.7</t>
  </si>
  <si>
    <t>Has an ISO 27018 control assessment been performed within the last 12 months?</t>
  </si>
  <si>
    <t>L.23.5.8</t>
  </si>
  <si>
    <t>Has a NIST 800 53 control assessment been performed within the last 12 months?</t>
  </si>
  <si>
    <t>L.23.5.9</t>
  </si>
  <si>
    <t>Has a PCI DSS control assessment been performed within the last 12 months?</t>
  </si>
  <si>
    <t>Not involved in payments.</t>
  </si>
  <si>
    <t>L.23.5.10</t>
  </si>
  <si>
    <t>Has a HITRUST CSF control assessment been performed within the last 12 months?</t>
  </si>
  <si>
    <t>Not involved in healthcare.</t>
  </si>
  <si>
    <t>L.23.5.11</t>
  </si>
  <si>
    <t>Has a Multi-tiered cloud computing Security - Singapore (MCTS) assessment been performed within the last 12 months?</t>
  </si>
  <si>
    <t>L.23.5.12</t>
  </si>
  <si>
    <t>Have any other audits, risk or control assessments been performed within the last 12 months by an independent firm with transparent standardized audit criteria? If yes, please list/describe in the Additional Information field.</t>
  </si>
  <si>
    <t>L.25</t>
  </si>
  <si>
    <t>Is there a compliance program or set of policies and procedures that address internal and external Fraud Detection and Fraud Prevention?</t>
  </si>
  <si>
    <t xml:space="preserve">Seismic does not perform e-commerce functions.  </t>
  </si>
  <si>
    <t>Financial Crimes and Anti-Fraud</t>
  </si>
  <si>
    <t>Anti-Fraud</t>
  </si>
  <si>
    <t>L.25.3</t>
  </si>
  <si>
    <t>Are there documented and defined monitoring and oversight functions for suspected fraud instances or fraud investigations?</t>
  </si>
  <si>
    <t>L.25.4</t>
  </si>
  <si>
    <t>Are customer account activities monitored for unusual or suspicious activity?</t>
  </si>
  <si>
    <t>L.26</t>
  </si>
  <si>
    <t>Is there a set of policies and procedures that address Anti-Money Laundering obligations?</t>
  </si>
  <si>
    <t>Anti-Money Laundering</t>
  </si>
  <si>
    <t>L.26.1</t>
  </si>
  <si>
    <t>Do employees receive training on Anti-Money Laundering if applicable to the services provided?</t>
  </si>
  <si>
    <t>Not applicable to the services provided. No e-commerce functions are performed.</t>
  </si>
  <si>
    <t>L.31</t>
  </si>
  <si>
    <t>Is there a set of policies and procedures that address International Trade and Export Compliance?</t>
  </si>
  <si>
    <t xml:space="preserve">Seismic solutions not covered
</t>
  </si>
  <si>
    <t>International Trade and Export</t>
  </si>
  <si>
    <t>L.31.1</t>
  </si>
  <si>
    <t>Are there policies and procedures to maintain compliance with international requirements for import and/or export of goods or services?</t>
  </si>
  <si>
    <t>L.31.2</t>
  </si>
  <si>
    <t>Are there policies and procedures to maintain compliance with implemented trade partner restrictions based on international requirements?</t>
  </si>
  <si>
    <t>L.31.3</t>
  </si>
  <si>
    <t>Are there policies and procedures to ensure any international sourcing using third party customs brokers maintain International Trade and Export Compliance?</t>
  </si>
  <si>
    <t>L.32</t>
  </si>
  <si>
    <t>Are accounts opened, financial transactions initiated or other account maintenance activity (e.g., applying payments, address changes, receiving payments, transferring funds, etc.) through either electronic, telephonic, written or in-person requests made on behalf of your clients' customers?</t>
  </si>
  <si>
    <t>Payments Compliance</t>
  </si>
  <si>
    <t>L.32.1</t>
  </si>
  <si>
    <t>Are there policies and procedures to address payments compliance in the delivery of the product or services if required by regulation?</t>
  </si>
  <si>
    <t>L.32.3</t>
  </si>
  <si>
    <t>Are electronic commerce web sites or applications used to transmit, process or store Scoped systems and data?</t>
  </si>
  <si>
    <t>eCommerce Security</t>
  </si>
  <si>
    <t>L.32.3.2</t>
  </si>
  <si>
    <t>Are all transaction details (i.e., payment card info and information about the parties conducting transactions, prohibited from being stored in the Internet facing DMZ)?</t>
  </si>
  <si>
    <t>L.32.4</t>
  </si>
  <si>
    <t>Do the services require receiving or processing credit or debit card data? If yes, indicate the PCI Level in the additional information field (Level 1, 2, 3 or 4).</t>
  </si>
  <si>
    <t>Payment Card Processing</t>
  </si>
  <si>
    <t>L.32.4.1</t>
  </si>
  <si>
    <t>Does your credit and debit card process comply with PCI Standards?</t>
  </si>
  <si>
    <t>L.33</t>
  </si>
  <si>
    <t>Is there a records retention policy covering paper and electronic records, including email in support of applicable regulations, standards and contractual requirements?</t>
  </si>
  <si>
    <t>Seismic retains all data stored in the system for the lifetime of the engagement by default.  Content can also be configured to be pushed to an external retention repository if required by the customer.</t>
  </si>
  <si>
    <t>Records Retention</t>
  </si>
  <si>
    <t>18.1.3 Protection of Records|7.5.1 General</t>
  </si>
  <si>
    <t>L.33.2</t>
  </si>
  <si>
    <t>Are there procedures for managing conflicting regulatory record retention and deletion requirements as part of eDiscovery obligations (e.g., managing legal holds or preservation requests pending vs. deletion schedules)?</t>
  </si>
  <si>
    <t>eDiscovery</t>
  </si>
  <si>
    <t>18.1.3 Protection of Records</t>
  </si>
  <si>
    <t>L.34</t>
  </si>
  <si>
    <t>Are policies and procedures in place to restrict activities or transactions for sanctioned countries (e.g., country blocking)?</t>
  </si>
  <si>
    <t>Sanction Compliance</t>
  </si>
  <si>
    <t>L.34.7</t>
  </si>
  <si>
    <t>Is a sanctions risk assessment performed on all relevant entities within the organization on a periodic basis, with results shared with management?</t>
  </si>
  <si>
    <t>Organizational Sanction Compliance Risk Assessment</t>
  </si>
  <si>
    <t>L.34.10</t>
  </si>
  <si>
    <t>Are there compliance and sanction checks (e.g., Office of Foreign Assets Controls - OFAC) performed against customers, suppliers and third parties?</t>
  </si>
  <si>
    <t>Third Party Due Diligence</t>
  </si>
  <si>
    <t>L.34.10.1</t>
  </si>
  <si>
    <t>Are there policies and procedures to address ongoing due diligence of business partners including guidelines for periodic screening?</t>
  </si>
  <si>
    <t>L.34.11</t>
  </si>
  <si>
    <t>Is there a sanctions compliance program or set of policies and procedures that address obligations for Office of Foreign Assets Controls (OFAC) requirements?</t>
  </si>
  <si>
    <t>OFAC Compliance</t>
  </si>
  <si>
    <t>Are End User Devices (desktops, laptops, tablets, smartphones) used for transmitting, processing or storing Scoped data?</t>
  </si>
  <si>
    <t>Company laptops are used to support the processing services of scoped data. However, no scoped data is authorized to be copied to the laptops. End User Devices with access to production are configured with an enterprise DLP solution ensuring no unauthorized downloading of data.</t>
  </si>
  <si>
    <t>End User Device Security</t>
  </si>
  <si>
    <t>11.2.8 Unattended User Equipment</t>
  </si>
  <si>
    <t>M</t>
  </si>
  <si>
    <t>M.1.1</t>
  </si>
  <si>
    <t>Are end user device security configuration standards documented?</t>
  </si>
  <si>
    <t>End User Devices are configured in accordance with the Secure Configuration Standard. All unnecessary ports, services, software are disabled or uninstalled, default accounts and password are changed, login banners, inactive screen lockout, Anti-Virus, and security monitoring tools are installed and configured as required by Information Security.</t>
  </si>
  <si>
    <t>Security Configuration Standards</t>
  </si>
  <si>
    <t>M.1 Security Configuration Standards</t>
  </si>
  <si>
    <t>M.1.1.1</t>
  </si>
  <si>
    <t>Are end user device security configuration standards reviewed and/or updated at least annually to account for any changes in environment, available security features and/or best practices?</t>
  </si>
  <si>
    <t>M.1.1.2</t>
  </si>
  <si>
    <t>Are end user device security reviews performed to validate compliance with documented standards?</t>
  </si>
  <si>
    <t>M.1.2</t>
  </si>
  <si>
    <t>Are all unnecessary/unused services uninstalled or disabled for devices used for accessing, transmitting, processing, or storing Scoped data on end user devices?</t>
  </si>
  <si>
    <t>End User Device Hardening</t>
  </si>
  <si>
    <t>M.1.3</t>
  </si>
  <si>
    <t>Are all remote access and file sharing services configured to require authentication and encryption on end user devices?</t>
  </si>
  <si>
    <t>6.2.2 Teleworking</t>
  </si>
  <si>
    <t>M.1.5</t>
  </si>
  <si>
    <t>Are end user devices configured to lock screens after 15 minutes of inactivity?</t>
  </si>
  <si>
    <t>M.1.6</t>
  </si>
  <si>
    <t>Are all available high-risk security patches applied and verified at least monthly on all end-user devices?</t>
  </si>
  <si>
    <t>Patching and Vulnerability Management</t>
  </si>
  <si>
    <t>M.1.7</t>
  </si>
  <si>
    <t>Are all end user device patching exceptions documented and approved by information security or senior management?</t>
  </si>
  <si>
    <t>M.1.9</t>
  </si>
  <si>
    <t>Are all end user device operating system versions that no longer have patches released prohibited?</t>
  </si>
  <si>
    <t>M.1.10</t>
  </si>
  <si>
    <t>Are all end user device operating system and application logs configured to provide sufficient detail to support incident investigation, including successful and failed login attempts and changes to sensitive configuration settings and files?</t>
  </si>
  <si>
    <t>Audit Logs</t>
  </si>
  <si>
    <t>M.1.15</t>
  </si>
  <si>
    <t>Are anti-malware software version and engine upgrade deployment failures reviewed at least weekly for all end user devices?</t>
  </si>
  <si>
    <t>Malware Protection</t>
  </si>
  <si>
    <t>M.1.16</t>
  </si>
  <si>
    <t>Are activity alerts such as uncleaned infections and suspicious activity reviewed and actioned at least weekly for all end user devices?</t>
  </si>
  <si>
    <t>M.1.17</t>
  </si>
  <si>
    <t>Are defined procedures in place to identify and correct systems without anti-virus at least weekly for all end user devices?</t>
  </si>
  <si>
    <t>M.1.18</t>
  </si>
  <si>
    <t>Are periodic configuration reviews performed at least quarterly and when a change is made to anti-malware standards?</t>
  </si>
  <si>
    <t>12.2.1 Controls Against Malware</t>
  </si>
  <si>
    <t>M.1.19</t>
  </si>
  <si>
    <t>Are application whitelisting, application blacklisting, or restriction of users' ability to install unapproved applications documented and used to prevent the installation of malicious software for all end user devices?</t>
  </si>
  <si>
    <t>12.2.1 Controls Against Malware|12.5.1 Installation of Software on Operational Systems|12.6.2 Restrictions on Software Installation</t>
  </si>
  <si>
    <t>M.1.20</t>
  </si>
  <si>
    <t>Are users required to terminate active sessions when finished on all end user devices?</t>
  </si>
  <si>
    <t>Inactivity Timeout</t>
  </si>
  <si>
    <t>11.2.8 Unattended User Equipment|11.2.9 Clear Desk and Clear Screen Policy</t>
  </si>
  <si>
    <t>M.1.21</t>
  </si>
  <si>
    <t>Is there a requirement to physically secure end user systems when left unattended?</t>
  </si>
  <si>
    <t>Seismic implements a clean desk policy and trains users to lock laptops when unattended. All laptops are protected with Hard Disk Encryption.</t>
  </si>
  <si>
    <t>M.1.22</t>
  </si>
  <si>
    <t>Are constituents allowed to utilize mobile devices within your environment?</t>
  </si>
  <si>
    <t>Per administrative settings and approval by Information Security.</t>
  </si>
  <si>
    <t>Mobile Device Policy and Procedures</t>
  </si>
  <si>
    <t>Mobile Device Access</t>
  </si>
  <si>
    <t>M.1.22.1</t>
  </si>
  <si>
    <t>Can constituents view scoped data using mobile devices?</t>
  </si>
  <si>
    <t>M.1.22.2</t>
  </si>
  <si>
    <t>Can constituents process scoped data using mobile devices?</t>
  </si>
  <si>
    <t>M.1.22.3</t>
  </si>
  <si>
    <t>Can constituents delete scoped data using mobile devices?</t>
  </si>
  <si>
    <t>M.1.22.4</t>
  </si>
  <si>
    <t>Can constituents store scoped data using mobile devices?</t>
  </si>
  <si>
    <t>M.1.22.5</t>
  </si>
  <si>
    <t>Can constituents access corporate e-mail using mobile devices?</t>
  </si>
  <si>
    <t>M.1.22.6</t>
  </si>
  <si>
    <t>Can constituents connect to scoped Systems using mobile devices?</t>
  </si>
  <si>
    <t>M.1.23</t>
  </si>
  <si>
    <t>Is there a mobile device management program in place that has been approved by management and communicated to appropriate constituents?</t>
  </si>
  <si>
    <t>Microsoft Intune.</t>
  </si>
  <si>
    <t>Mobile Device Management</t>
  </si>
  <si>
    <t>11.2.6 Security Equipment and Assets Off Premises|6.2.1 Mobile Device Policy</t>
  </si>
  <si>
    <t>M.1.23.1</t>
  </si>
  <si>
    <t>Are all mobile devices evaluated as part of the IT Risk Management program?</t>
  </si>
  <si>
    <t>M.1.24</t>
  </si>
  <si>
    <t>Are any mobile devices with access to scoped data Constituent owned (BYOD)?</t>
  </si>
  <si>
    <t>BYOD</t>
  </si>
  <si>
    <t>M.1.24.1</t>
  </si>
  <si>
    <t>Are BYOD mobile devices company managed using Mobile Device Management (MDM) technology?</t>
  </si>
  <si>
    <t>M.1.25</t>
  </si>
  <si>
    <t>Is a technical solution in place to enforce mobile device security requirements (e.g., PIN, encryption, remote wipe, etc.)?</t>
  </si>
  <si>
    <t>M.1.26</t>
  </si>
  <si>
    <t>Prior to device on-boarding are constituents required to sign a legal agreement which details the obligations and rights related to mobile devices?</t>
  </si>
  <si>
    <t>Mobile Device User Agreement</t>
  </si>
  <si>
    <t>11.2.6 Security Equipment and Assets Off Premises</t>
  </si>
  <si>
    <t>M.1.26.1</t>
  </si>
  <si>
    <t>Does the mobile device user agreement include the owner of data on the mobile device?</t>
  </si>
  <si>
    <t>M.1.26.2</t>
  </si>
  <si>
    <t>Does the mobile device user agreement include the User's responsibility in ensuring the security of the mobile device?</t>
  </si>
  <si>
    <t>M.1.26.3</t>
  </si>
  <si>
    <t>Does the mobile device user agreement include the security requirements for scoped systems and data will override user's personal use?</t>
  </si>
  <si>
    <t>M.1.26.4</t>
  </si>
  <si>
    <t>Does the mobile device user agreement include the support roles and responsibilities?</t>
  </si>
  <si>
    <t>M.1.27</t>
  </si>
  <si>
    <t>Is there a process or procedure for responding to mobile device data compromise events?</t>
  </si>
  <si>
    <t>Incident Response Procedures</t>
  </si>
  <si>
    <t>M.1.27.1</t>
  </si>
  <si>
    <t>Does the mobile device incident response process or procedure include remotely wiping the mobile device?</t>
  </si>
  <si>
    <t>M.1.28</t>
  </si>
  <si>
    <t>Is there an approved process to support the mobile device lifecycle?</t>
  </si>
  <si>
    <t>M.1.29</t>
  </si>
  <si>
    <t>Is there an approved process for IT to offboard mobile devices when a Constituent terminates, or requests to on-board a new mobile device?</t>
  </si>
  <si>
    <t>Mobile devices are provisioned/de-provisioned as part of the employee onboarding/offboarding process. Upon de-provisioning, company data is removed from the mobile device.</t>
  </si>
  <si>
    <t>11.2.7 Secure Disposal and Re-use of Equipment</t>
  </si>
  <si>
    <t>M.1.29.1</t>
  </si>
  <si>
    <t>Does the mobile device offboarding process identify if the Constituent has any legacy devices accessing scoped systems and data?</t>
  </si>
  <si>
    <t>n/a</t>
  </si>
  <si>
    <t>scoped data not on mobile devices</t>
  </si>
  <si>
    <t>M.1.30</t>
  </si>
  <si>
    <t>Is the identity management system (directory services) integrated with mobile infrastructure to support people joining/leaving/changing roles in the enterprise?</t>
  </si>
  <si>
    <t>M.1.31</t>
  </si>
  <si>
    <t>Is Mobile Device Management (MDM) subject to an internal or external audit?</t>
  </si>
  <si>
    <t>M.1.33</t>
  </si>
  <si>
    <t>Are mobile operating system versions that are deemed end of life permitted to connect to Scoped systems and data?</t>
  </si>
  <si>
    <t>Are Personal Computers (PCs) used to transmit, process or store Scoped systems and data.</t>
  </si>
  <si>
    <t>Personal Computers are not authorized for company use and is logically restricted. Employees are held to this standard by acknowledgement of the Acceptable Use Policy.</t>
  </si>
  <si>
    <t>Personal Computer Policy and Procedures</t>
  </si>
  <si>
    <t>M.2.1</t>
  </si>
  <si>
    <t>Is security approval required prior to implementing non-standard PC operating equipment?</t>
  </si>
  <si>
    <t>See M.2.</t>
  </si>
  <si>
    <t>PC Change Management</t>
  </si>
  <si>
    <t>M.2.2</t>
  </si>
  <si>
    <t>Is security approval required prior to implementing freeware or shareware applications on PCs?</t>
  </si>
  <si>
    <t>M.2.3</t>
  </si>
  <si>
    <t>Are non-company managed PCs used to connect to the company network?</t>
  </si>
  <si>
    <t>M.2.4</t>
  </si>
  <si>
    <t>Is installation of software on company-owned equipment (workstations, mobile devices) restricted to administrators?</t>
  </si>
  <si>
    <t>Administrative rights are removed for employees.</t>
  </si>
  <si>
    <t>12.5.1 Installation of Software on Operational Systems|12.6.2 Restrictions on Software Installation</t>
  </si>
  <si>
    <t>Is there a policy that defines network security requirements that is approved by management, communicated to constituents and has an owner to maintain and review?</t>
  </si>
  <si>
    <t>Network Policy</t>
  </si>
  <si>
    <t>13.1.1 Network Controls</t>
  </si>
  <si>
    <t>N</t>
  </si>
  <si>
    <t>N.1.1</t>
  </si>
  <si>
    <t>Is there an approval process prior to installing a network device?</t>
  </si>
  <si>
    <t>N.1.2</t>
  </si>
  <si>
    <t>Is there a process that requires security approval to allow external networks to connect to the company network, and enforces the least privilege necessary?</t>
  </si>
  <si>
    <t>13.1.2 Security of Network Devices</t>
  </si>
  <si>
    <t>N.1.3</t>
  </si>
  <si>
    <t>Is security approval required to connect a device on the company network to a non-company network (including the Internet) if it bypasses network security devices (e.g., firewall, IPS, content filter)?</t>
  </si>
  <si>
    <t>Are there security and hardening standards for network devices, including Firewalls, Switches, Routers and Wireless Access Points (baseline configuration, patching, passwords, Access control)?</t>
  </si>
  <si>
    <t xml:space="preserve">Seismic hardens all components to provide only necessary ports, protocols, and services to meet business needs and have supporting technical controls such as: antivirus, file integrity monitoring, and logging as part of their baseline operating build standard or template. Baseline configurations are reviewed quarterly.
</t>
  </si>
  <si>
    <t>Network Device Hardening Standards</t>
  </si>
  <si>
    <t>N.2 Network Security - Firewall(s) and/or Other Devices Providing the Same Functionality</t>
  </si>
  <si>
    <t>13.1.1 Network Controls|9.1.2 Access to Networks and Network Services</t>
  </si>
  <si>
    <t>N.2.1</t>
  </si>
  <si>
    <t>Are all network device administrative interfaces configured to require authentication and encryption?</t>
  </si>
  <si>
    <t>N.2.2</t>
  </si>
  <si>
    <t>Are default passwords changed or disabled prior to placing network devices into production?</t>
  </si>
  <si>
    <t>N.2.3</t>
  </si>
  <si>
    <t>Are corporate standardized Simple Network Management Protocol (SNMP) Community Strings used, default strings such as 'public' or 'private' removed, and SNMP configured to use the most secure compatible version of the protocol?</t>
  </si>
  <si>
    <t>SNMP is not used.</t>
  </si>
  <si>
    <t>N.2.4</t>
  </si>
  <si>
    <t>Are reviews performed to validate compliance with documented network device standards at least annually?</t>
  </si>
  <si>
    <t>Is there sufficient detail contained in network device logs to support incident investigation?</t>
  </si>
  <si>
    <t>Network Device Logging</t>
  </si>
  <si>
    <t>N.10 Network Logging</t>
  </si>
  <si>
    <t>12.4.1 Event Logging|12.4.3 Administrator and Operator Logs|7.5.1 General|7.5.2 Creating and Updating</t>
  </si>
  <si>
    <t>N.3.1</t>
  </si>
  <si>
    <t>Are network device logs relevant to supporting incident investigation protected against modification, deletion and/or inappropriate access and stored on alternate systems (e.g., SIEM, Syslog, Log Management Service)?</t>
  </si>
  <si>
    <t>12.4.2 Protection of Log Information|12.4.3 Administrator and Operator Logs|7.5.1 General|7.5.2 Creating and Updating|7.5.3 Control of Documented Information</t>
  </si>
  <si>
    <t>N.3.2</t>
  </si>
  <si>
    <t>Are network device events relevant to supporting incident investigation retained for a minimum of one year?</t>
  </si>
  <si>
    <t>7.5.1 General</t>
  </si>
  <si>
    <t>Are all available high-risk security patches applied and verified on network devices?</t>
  </si>
  <si>
    <t>Network Device Patching</t>
  </si>
  <si>
    <t>12.6.1 Management of Technical Vulnerabilities</t>
  </si>
  <si>
    <t>Are network technologies used to isolate critical and sensitive systems into network segments separate from those with less sensitive systems?</t>
  </si>
  <si>
    <t>restrict access</t>
  </si>
  <si>
    <t>Network Segregation and Segmentation</t>
  </si>
  <si>
    <t>13.1.1 Network Controls|13.1.3 Segregation in Networks</t>
  </si>
  <si>
    <t>N.5.6</t>
  </si>
  <si>
    <t>Are network or security technologies used to enforce security requirements and block unauthorized traffic between segregated systems and other networks and systems?</t>
  </si>
  <si>
    <t>N.5.9</t>
  </si>
  <si>
    <t>Do all systems that need to be accessed from both segregated and non-segregated networks reside in a separate DMZ network segment?</t>
  </si>
  <si>
    <t>N.5.11</t>
  </si>
  <si>
    <t>Is every connection to an external network terminated at a firewall (e.g., the Internet, partner networks)?</t>
  </si>
  <si>
    <t>N.5.12</t>
  </si>
  <si>
    <t>Is there a separate network segment or dedicated endpoints for remote access to internal networks?</t>
  </si>
  <si>
    <t>N.6.1</t>
  </si>
  <si>
    <t>Do network devices deny all access by default?</t>
  </si>
  <si>
    <t>ACL Management</t>
  </si>
  <si>
    <t>J.4 Information Security/Information Technology (IS/IT) Incident Management - Preparation</t>
  </si>
  <si>
    <t>N.6.2</t>
  </si>
  <si>
    <t>Do the firewalls have any rules that permit 'any' network, sub network, host, protocol or port on any of the firewalls (internal or external)?</t>
  </si>
  <si>
    <t xml:space="preserve">As a SaaS solution, Seismic needs to provide 'any' network into our solution for common ports such as 80, 443. </t>
  </si>
  <si>
    <t>Is there a policy that defines the requirements for remote access from external networks to networks containing Scoped systems and data that has been approved by management and communicated to constituents?</t>
  </si>
  <si>
    <t>Remote Network Access</t>
  </si>
  <si>
    <t>Policy</t>
  </si>
  <si>
    <t>H.9 Restrictions and Multifactor Authentication for Remote Access</t>
  </si>
  <si>
    <t>N.7.1</t>
  </si>
  <si>
    <t>Are Split Tunneling and Bridged Internet Connections while remotely connected to the company network prohibited by policy and/or technical control?</t>
  </si>
  <si>
    <t>N.7.2</t>
  </si>
  <si>
    <t>Is only organization-owned equipment permitted to connect from external networks to networks containing Scoped systems and data?</t>
  </si>
  <si>
    <t>N.7.3</t>
  </si>
  <si>
    <t>Are encrypted communications required for all remote network connections from external networks to networks containing scoped systems and data?</t>
  </si>
  <si>
    <t>N.7.4</t>
  </si>
  <si>
    <t>Is multi-factor authentication required for all remote network connections from external networks to networks containing scoped systems and data?</t>
  </si>
  <si>
    <t>Is there a process that requires security approval to allow connections to internal network services from third party users, and enforces the least privilege necessary?</t>
  </si>
  <si>
    <t>Third Party</t>
  </si>
  <si>
    <t>N.9 Network Security - Authorized Network Traffic</t>
  </si>
  <si>
    <t>N.8.1</t>
  </si>
  <si>
    <t>Are third party support personnel granted remote network access only upon request, their activity is logged while active, and their access is removed upon completion of support?</t>
  </si>
  <si>
    <t>Is remote administration of organizational assets approved, logged, and performed in a manner that prevents unauthorized access?</t>
  </si>
  <si>
    <t>Remote System Access</t>
  </si>
  <si>
    <t>Remote Administration Controls</t>
  </si>
  <si>
    <t>13.1.1 Network Controls|6.2.2 Teleworking</t>
  </si>
  <si>
    <t>N.9.1</t>
  </si>
  <si>
    <t>Is multi-factor authentication required for remote administrative system access (shell or UI)?</t>
  </si>
  <si>
    <t>N.9.2</t>
  </si>
  <si>
    <t>Are encrypted communications required for all remote system access?</t>
  </si>
  <si>
    <t>Are Baseboard Management Controllers (BMCs) enabled on any servers or other devices?</t>
  </si>
  <si>
    <t>No physical servers as part of services provided.</t>
  </si>
  <si>
    <t>Baseboard Management Controllers</t>
  </si>
  <si>
    <t>N.10.1</t>
  </si>
  <si>
    <t>Is the default password changed on all BMCs?</t>
  </si>
  <si>
    <t>N.10.2</t>
  </si>
  <si>
    <t>Are all BMCs configured on network address ranges reserved specifically for BMCs and no other devices?</t>
  </si>
  <si>
    <t>N.10.3</t>
  </si>
  <si>
    <t>Are BMC firmware updates monitored regularly and applied at the first available maintenance window?</t>
  </si>
  <si>
    <t>N.10.4</t>
  </si>
  <si>
    <t>Is all direct traffic to Baseboard Management controllers restricted except from reserved IP address ranges for management servers?</t>
  </si>
  <si>
    <t>N.10.5</t>
  </si>
  <si>
    <t>Are firewalls configured to restrict all outbound traffic from BMCs?</t>
  </si>
  <si>
    <t>Are Network Intrusion Detection capabilities employed?</t>
  </si>
  <si>
    <t>Network Security</t>
  </si>
  <si>
    <t>Network Intrusion Detection/ Prevention</t>
  </si>
  <si>
    <t>N.11.3</t>
  </si>
  <si>
    <t>Is the interval between the availability of a new Network IDS/IPS signature update and its deployment in 'Detect' mode no longer than 24 hours?</t>
  </si>
  <si>
    <t>N.11.5</t>
  </si>
  <si>
    <t>Is there Network IDS/IPS monitoring and alert escalation to security incident response personnel 24x7x365?</t>
  </si>
  <si>
    <t>N.3 Network Security - IDS/IPS Attributes</t>
  </si>
  <si>
    <t>Is there a DMZ environment within the network that transmits, processes or stores Scoped systems and data?</t>
  </si>
  <si>
    <t>DMZ Security</t>
  </si>
  <si>
    <t>N.12.1</t>
  </si>
  <si>
    <t>Are DMZ environments limited to only those servers that require access from the Internet?</t>
  </si>
  <si>
    <t>N.12.2</t>
  </si>
  <si>
    <t>Are DMZ environments divided into isolated DMZ network segments for devices that initiate outbound traffic to the Internet and those that only receive inbound traffic?</t>
  </si>
  <si>
    <t>N.12.3</t>
  </si>
  <si>
    <t>Are DMZ environments divided into isolated application and database network segments for internet-facing webpages or other applications with an internet presence?</t>
  </si>
  <si>
    <t>Are wireless networking devices connected to networks containing scoped systems and data?</t>
  </si>
  <si>
    <t>No wireless network devices connected to networks containg scope systems and data.</t>
  </si>
  <si>
    <t>Wireless Security</t>
  </si>
  <si>
    <t>N.13.1</t>
  </si>
  <si>
    <t>Is there a wireless policy or program that has been approved by management, communicated to appropriate constituents and an owner to maintain and review the policy?</t>
  </si>
  <si>
    <t>N.8 Wireless Networks Encryption</t>
  </si>
  <si>
    <t>N.13.2</t>
  </si>
  <si>
    <t>Does the Wireless Security Policy require approved and vendor supported wireless access points?</t>
  </si>
  <si>
    <t>N.13.3</t>
  </si>
  <si>
    <t>Does the Wireless Security Policy prohibit wired and wireless network connections at the same time?</t>
  </si>
  <si>
    <t>N.13.4</t>
  </si>
  <si>
    <t>Does the Wireless Security Policy require sensitive Wireless networks to be authenticated using multi-factor authentication?</t>
  </si>
  <si>
    <t>N.13.5</t>
  </si>
  <si>
    <t>Does the Wireless Security Policy require wireless connections to be secured with WPA2, and encrypted using AES or CCMP?</t>
  </si>
  <si>
    <t>N.13.6</t>
  </si>
  <si>
    <t>Does the Wireless Security Policy require continuous monitoring and alerting to security personnel, or quarterly scanning for rogue wireless access points?</t>
  </si>
  <si>
    <t>Are there controls to prevent one client attempting to compromise another client in a resource pooled environment?</t>
  </si>
  <si>
    <t>Cloud Tenant Segregation Controls</t>
  </si>
  <si>
    <t>N.15</t>
  </si>
  <si>
    <t>Are mechanisms implemented to achieve resilience requirements in normal and adverse situations such as Distributed Denial of Service (DDoS) attacks?</t>
  </si>
  <si>
    <t>DDoS Mitigation</t>
  </si>
  <si>
    <t>N.6 Network Management - Denial of Service (DoS) Attacks</t>
  </si>
  <si>
    <t>Is there collection of, access to, processing of, disclosure of, or retention of client scoped data that includes any classification of personal information or personal data of individuals?</t>
  </si>
  <si>
    <t>Privacy Program Management</t>
  </si>
  <si>
    <t>Personal Information, Identification, and Classification</t>
  </si>
  <si>
    <t>P.1 Privacy Program Management</t>
  </si>
  <si>
    <t>P</t>
  </si>
  <si>
    <t>P.1.1</t>
  </si>
  <si>
    <t>Is client scoped data collected, accessed, transmitted, processed, disclosed, or retained that can be classified as personally identifiable financial information under the Gramm-Leach-Bliley Act (GBLA)?</t>
  </si>
  <si>
    <t>Personal data processed by Seismic is limited to:
-Employee Name
-Work Email Address
-Work Address
-Job Title
-IP Address
-Geolocation</t>
  </si>
  <si>
    <t>Consumer Financial Privacy</t>
  </si>
  <si>
    <t>P.1.1.1</t>
  </si>
  <si>
    <t>Does the client scoped data include the disclosure of account numbers or identifiers to the consumer's account?</t>
  </si>
  <si>
    <t>No financial data or account number information is processed.</t>
  </si>
  <si>
    <t>Use of Personal Information</t>
  </si>
  <si>
    <t>P.1.1.2</t>
  </si>
  <si>
    <t>Does the contract limit the usage of the account number information?</t>
  </si>
  <si>
    <t>P.1.1.3</t>
  </si>
  <si>
    <t>Do contracts between parties, including subcontractors, specify the obligations for technical, administrative, and physical data safeguards for the protection of personal information?</t>
  </si>
  <si>
    <t>Protection of Personal Information</t>
  </si>
  <si>
    <t>P.9 Third Party Privacy Agreements</t>
  </si>
  <si>
    <t>P.1.1.4</t>
  </si>
  <si>
    <t>Do contracts between parties, including subcontractors, specify the limitations on the disclosure or sharing of personal information for marketing purposes?</t>
  </si>
  <si>
    <t>P.1.2</t>
  </si>
  <si>
    <t>Is client scoped data collected, accessed, processed, disclosed, or retained that can be classified as consumer report information or derived from a consumer report under the Fair and Accurate Credit Reporting Act (FACTA)?</t>
  </si>
  <si>
    <t>Seismic does not use consumer report information.</t>
  </si>
  <si>
    <t>P.1.2.1</t>
  </si>
  <si>
    <t>Are policies and procedures for secure disposal of consumer information maintained to prevent the unauthorized access to or use of information in a consumer report or information derived from a consumer report?</t>
  </si>
  <si>
    <t>Disposal, Destruction and Redaction of Personal Information</t>
  </si>
  <si>
    <t>P.7 Management of Client-Scoped Privacy Data</t>
  </si>
  <si>
    <t>P.1.3</t>
  </si>
  <si>
    <t>Is client scoped data collected, accessed, transmitted, processed, disclosed, or retained that can be classified as Protected Health Information (PHI) or other higher healthcare classifications of privacy data under the U.S. Health Insurance Portability and Accountability Act (HIPAA)?</t>
  </si>
  <si>
    <t>Since Seismic provides an enteprise SaaS solution to our customers, the personal data processed by Seismic is generally limited to the types of data listed in P.1.1.</t>
  </si>
  <si>
    <t>Healthcare Privacy</t>
  </si>
  <si>
    <t>Personal Information Identification and Classification</t>
  </si>
  <si>
    <t>P.1.3.1</t>
  </si>
  <si>
    <t>Are there documented policies and procedures to detect and report unauthorized acquisition, use, or disclosure of PHI client scoped data?</t>
  </si>
  <si>
    <t>Seismic does not process or store PHI.</t>
  </si>
  <si>
    <t>Privacy Incident &amp; Breach Management</t>
  </si>
  <si>
    <t>P.1.3.2</t>
  </si>
  <si>
    <t>Are there documented procedures to enable the ability to reasonably amend PHI maintained by the service provider upon request?</t>
  </si>
  <si>
    <t>Accuracy and Completeness of Personal Information</t>
  </si>
  <si>
    <t>P.1.3.3</t>
  </si>
  <si>
    <t>Are training records maintained for employees (including management) with access to or potential access to client PHI to meet the privacy and security obligations required by HIPAA?</t>
  </si>
  <si>
    <t>Privacy Awareness &amp; Training</t>
  </si>
  <si>
    <t>P.3 Privacy Awareness</t>
  </si>
  <si>
    <t>P.1.3.4</t>
  </si>
  <si>
    <t>Is there a business associate contract in place to address obligations for the privacy and security requirements for the services provided to the covered entity?</t>
  </si>
  <si>
    <t>P.1.4</t>
  </si>
  <si>
    <t>Is client scoped data collected, accessed, transmitted, processed, or retained that can be classified under U.S. State Privacy Regulations (e.g., CA, MA, NY, NV, WA, CO)?</t>
  </si>
  <si>
    <t>State Privacy Regulations</t>
  </si>
  <si>
    <t>P.1.4.1</t>
  </si>
  <si>
    <t>If client scoped data includes data of California residents, does the contract prohibit the vendor from retaining, using or disclosing the personal information for any other commercial purpose other than the specific purpose of performing the services?</t>
  </si>
  <si>
    <t>P.1.5</t>
  </si>
  <si>
    <t>Is client scoped data collected, accessed, transmitted, processed, disclosed, or retained that can be classified as European Union covered Personal Data, or Sensitive Personal Data (e.g., genetic data, biometric data, health data)?</t>
  </si>
  <si>
    <t>European Privacy &amp; Data Protection</t>
  </si>
  <si>
    <t>P.1.5.1</t>
  </si>
  <si>
    <t>Are there documented policies and procedures for cross border data flows or transfers of client Scoped data to the US from other countries, or from EU to other countries?</t>
  </si>
  <si>
    <t>Privacy Policies</t>
  </si>
  <si>
    <t>P.1.5.2</t>
  </si>
  <si>
    <t>Is there a Data Processing Agreement (DPA) in place to address the organization's obligations for the services provided?</t>
  </si>
  <si>
    <t>Disclosure of Personal Information</t>
  </si>
  <si>
    <t>P.1.5.3</t>
  </si>
  <si>
    <t>If necessary, based on the services, is your organization registered with the appropriate Data Protection Authorities? If yes, please list which authorities and member countries are in scope for the services in the Additional Information field.</t>
  </si>
  <si>
    <t>Compliance Review</t>
  </si>
  <si>
    <t>P.1.5.4</t>
  </si>
  <si>
    <t>If required, is there a designated Data Protection Officer? If yes, please identify in the Additional Information field.</t>
  </si>
  <si>
    <t>Director of Information Security is responsible for data protection.  Seismic is not required to have a DPO.</t>
  </si>
  <si>
    <t>P.1.5.5</t>
  </si>
  <si>
    <t>Is there a process in place to erase Personal Data based on the Right to be Forgotten if required based upon the services provided?</t>
  </si>
  <si>
    <t>Seismic has a data subject request process using a GRC tool managed by Seismic Information Security.</t>
  </si>
  <si>
    <t>P.5 Privacy Data Collection, Notice, Choice &amp; Consent</t>
  </si>
  <si>
    <t>P.1.6</t>
  </si>
  <si>
    <t>Is client scoped data collected, transmitted, processed, disclosed, or retained that can be classified as Personal Information as defined by Canadian Personal Information Protection and Electronic Documents Act (PIPEDA) or Canadian Provincial Privacy Regulations?</t>
  </si>
  <si>
    <t>Canadian Privacy &amp; Data Protection</t>
  </si>
  <si>
    <t>P.1.6.1</t>
  </si>
  <si>
    <t>Are there contractual obligations and procedures defined to address breach notification to the client including maintenance of record-keeping obligations of all breaches?</t>
  </si>
  <si>
    <t>P.1.7</t>
  </si>
  <si>
    <t>Is client scoped data collected, accessed, transmitted, processed, or retained that can be classified under any other international privacy jurisdictions? If Yes, list the applicable international location in the Additional Information field.</t>
  </si>
  <si>
    <t>International Privacy &amp; Data Protection</t>
  </si>
  <si>
    <t>P.1.8</t>
  </si>
  <si>
    <t>Is client scoped data collected, accessed, transmitted, processed, disclosed or retained that can be classified as Cardholder Data (CHD) within a Cardholder Data Environment (CDE) for credit card processing?</t>
  </si>
  <si>
    <t>PCI Security Standards</t>
  </si>
  <si>
    <t>P.1.8.1</t>
  </si>
  <si>
    <t>Is a Report on Compliance (ROC), or Self-Assessment Questionnaire (SAQ) and Attestation of Compliance for Service Providers (AOC) available? If Yes, please provide and note in Additional Information field the type of assurance report.</t>
  </si>
  <si>
    <t>P.1.9</t>
  </si>
  <si>
    <t>Is client scoped data of minors collected, transmitted, processed, disclosed, or stored that can be classified under the Children's Online Privacy Protection Act (COPPA)?</t>
  </si>
  <si>
    <t>Children's Privacy</t>
  </si>
  <si>
    <t>P.1.9.1</t>
  </si>
  <si>
    <t>Does the organization maintain an external safe harbor certification for children's privacy? If yes, please indicate the certifying organization and link to current status.</t>
  </si>
  <si>
    <t>P.1.10</t>
  </si>
  <si>
    <t>Is client scoped data collected, accessed, transmitted, processed, disclosed, or retained that can be classified as biometric data?</t>
  </si>
  <si>
    <t>P.1.10.1</t>
  </si>
  <si>
    <t>Does the contract limit the use of biometric identifiers and prohibit the sale or disclosure for commercial purposes?</t>
  </si>
  <si>
    <t>P.1.10.2</t>
  </si>
  <si>
    <t>Is there a documented procedure in place to destroy or erase biometric data within a retention schedule?</t>
  </si>
  <si>
    <t>P.1.11</t>
  </si>
  <si>
    <t>Is there a designated organizational structure or function responsible for data privacy or data protection as it relates to client scoped data?</t>
  </si>
  <si>
    <t>Information Security is responsible for Seismic's Privacy Program.</t>
  </si>
  <si>
    <t>Responsibility &amp; Accountability for Policies</t>
  </si>
  <si>
    <t>P.1.12</t>
  </si>
  <si>
    <t>Is documentation of data flows and/or data inventories maintained for client scoped data based on data or information classification?</t>
  </si>
  <si>
    <t>P.10 Authorizations, Monitoring &amp; Enforcement</t>
  </si>
  <si>
    <t>P.1.12.1</t>
  </si>
  <si>
    <t>Is there a formalized approval process to review and update data classification definitions and related data flows/data inventories of client scoped data on a periodic basis?</t>
  </si>
  <si>
    <t>P.1.12.2</t>
  </si>
  <si>
    <t>Does the data inventory and data flow documentation describe the data processing environment, including locations where data is collected, accessed, transmitted, processed, disclosed, or retained by affiliates, subcontractors, or vendors?</t>
  </si>
  <si>
    <t>P.1.12.3</t>
  </si>
  <si>
    <t>Does the data inventory and/or data flow documentation include identification of any access, transfer, processing, disclosed, or retention that crosses national borders?</t>
  </si>
  <si>
    <t>P.1.12.6</t>
  </si>
  <si>
    <t>Does the data inventory include the categories of types of individuals whose data is being processed?</t>
  </si>
  <si>
    <t>P.1.12.7</t>
  </si>
  <si>
    <t>Does the data inventory identify the systems/products/services in scope for the provision of the services?</t>
  </si>
  <si>
    <t>Infrastructure and Systems Management</t>
  </si>
  <si>
    <t>P.1.12.8</t>
  </si>
  <si>
    <t>Does the data inventory identify the specific data elements used within the services?</t>
  </si>
  <si>
    <t>P.1.13</t>
  </si>
  <si>
    <t>Is there a documented Privacy Policy or procedures for the protection of personal information collected, accessed, transmitted, processed, disclosed, or retained on behalf of the client?</t>
  </si>
  <si>
    <t xml:space="preserve">Seismic has an internal Privacy Protection Policy covering aspects of the services, and an external policy located at seismic.com/privacy-policy. </t>
  </si>
  <si>
    <t>P.1.13.2</t>
  </si>
  <si>
    <t>Are there privacy policies and procedures with identified privacy controls that are reviewed and revised at least annually?</t>
  </si>
  <si>
    <t>P.1.13.3</t>
  </si>
  <si>
    <t>Is there a management procedure maintained to monitor changes in applicable privacy statutory, regulatory or contractual regulations or contractual obligations?</t>
  </si>
  <si>
    <t>Director of Information Security is responsible.</t>
  </si>
  <si>
    <t>Changes in Regulatory and Business Requirements</t>
  </si>
  <si>
    <t>P.1.13.4</t>
  </si>
  <si>
    <t>Is there a documented privacy policy and are procedures maintained for the protection of information collected, transmitted, processed, disclosed, or maintained on behalf of the client?</t>
  </si>
  <si>
    <t>P.1.13.5</t>
  </si>
  <si>
    <t>Are copies of privacy policies and associated procedures retained for a specified period in its retention schedule to address disputes or investigations by supervisory authorities?</t>
  </si>
  <si>
    <t>P.6 Online Privacy</t>
  </si>
  <si>
    <t>P.1.13.6</t>
  </si>
  <si>
    <t>Is version history of privacy policies maintained for externally facing web privacy policies to address disputes, inquiries, and investigations?</t>
  </si>
  <si>
    <t>P.1.14</t>
  </si>
  <si>
    <t>Are regular privacy impact risk assessments conducted? If yes, please provide frequency and scope in additional information field.</t>
  </si>
  <si>
    <t>Performed annually and include privacy impact to the contracted service.</t>
  </si>
  <si>
    <t>P.4 Privacy Impact Risk Assessments</t>
  </si>
  <si>
    <t>P.1.14.1</t>
  </si>
  <si>
    <t>Are privacy risks identified and associated mitigation plans documented in a formal data protection or privacy program plan that is reviewed by management?</t>
  </si>
  <si>
    <t>P.1.14.3</t>
  </si>
  <si>
    <t>Are procedures to assess privacy impact maintained which embed privacy requirements into new systems, applications or devices throughout the system lifecycle (e.g., Privacy by Design or Privacy by Default)?</t>
  </si>
  <si>
    <t>Part of Seismic's Data Protection Impact Assessment (DPIA) process.</t>
  </si>
  <si>
    <t>P.1.15</t>
  </si>
  <si>
    <t>Is there a training and awareness program maintained that addresses data privacy and data protection obligations based on role?</t>
  </si>
  <si>
    <t>P.1.15.1</t>
  </si>
  <si>
    <t>Is privacy awareness training conducted for new employees at the time of onboarding?</t>
  </si>
  <si>
    <t>P.1.15.2</t>
  </si>
  <si>
    <t>Is privacy awareness training for employees, including privacy personnel, conducted on an annual basis including acknowledgement and acceptance of their roles and responsibilities for privacy requirements?</t>
  </si>
  <si>
    <t>P.1.15.3</t>
  </si>
  <si>
    <t>Are privacy awareness training obligations extended to the organizations fourth parties (e.g., subcontractors or vendors)?</t>
  </si>
  <si>
    <t>Part of Seismic's Data Protection Agreements (DPA).</t>
  </si>
  <si>
    <t>P.1.16</t>
  </si>
  <si>
    <t>Are documented policies and procedures maintained to detect and report unauthorized acquisition, use, or disclosure of client scoped data?</t>
  </si>
  <si>
    <t>P.8 Privacy Incident Notification and Response Management</t>
  </si>
  <si>
    <t>16.1.3 Reporting Information Security Weaknesses</t>
  </si>
  <si>
    <t>P.1.16.1</t>
  </si>
  <si>
    <t>Is a process maintained to identify and record any detected or reported unauthorized disclosures of personal information?</t>
  </si>
  <si>
    <t>P.1.16.2</t>
  </si>
  <si>
    <t>Is there a process in place to identify and report privacy incidents including notification to external authorities as required by applicable privacy or cyber security law?</t>
  </si>
  <si>
    <t>Does the organization have or maintain internet-facing website(s), mobile applications, or other digital services or applications that, collect, use, disclose, or retain client-scoped data and are used directly by individuals?</t>
  </si>
  <si>
    <t>Notice</t>
  </si>
  <si>
    <t>Provision of Notice</t>
  </si>
  <si>
    <t>P.2.1</t>
  </si>
  <si>
    <t>Do clear and conspicuous privacy notices identify the business purposes for which personal information is collected, used, processed, retained, maintained, and disclosed?</t>
  </si>
  <si>
    <t>Communication to Individuals</t>
  </si>
  <si>
    <t>P.2.2</t>
  </si>
  <si>
    <t>Do privacy notices include the categories of information collected, use of outside data sources, including any categories of affiliates or non-affiliated third parties with whom the personal data is shared?</t>
  </si>
  <si>
    <t>P.2.3</t>
  </si>
  <si>
    <t>Is there an ongoing process to regularly review and update privacy policies and notices on a periodic basis?</t>
  </si>
  <si>
    <t>P.2 Privacy Organization &amp; Program Maintenance</t>
  </si>
  <si>
    <t>P.2.4</t>
  </si>
  <si>
    <t>Is notice provided at or before point of collection regarding the selling of personal data or sharing of data with third parties for marketing purposes?</t>
  </si>
  <si>
    <t>Seismic does not sell personal data.</t>
  </si>
  <si>
    <t>P.2.6</t>
  </si>
  <si>
    <t>Do privacy notices identify the web or digital technology(ies) used (e.g., pixels, geolocation, cookies, web beacons, tracking tools) and include a description(s) of how the technology(ies) is used and include opt-out mechanisms?</t>
  </si>
  <si>
    <t>Entities and Activities Covered</t>
  </si>
  <si>
    <t>P.2.7</t>
  </si>
  <si>
    <t>Is there a mechanism to address the ability for individuals to prohibit the sale of their personal information?</t>
  </si>
  <si>
    <t>Is personal information collected directly from an individual by the organization on behalf of the client?</t>
  </si>
  <si>
    <t>Choice &amp; Consent</t>
  </si>
  <si>
    <t>P.3.0.1</t>
  </si>
  <si>
    <t>Are there documented privacy policies and procedures that address choice and consent based on the statutory, regulatory, or contractual obligations to provide privacy protection for client-scoped data?</t>
  </si>
  <si>
    <t>P.3.0.2</t>
  </si>
  <si>
    <t>Are choices offered regarding the collection, use processing, retention, disclosure and disposal of personal information communicated?</t>
  </si>
  <si>
    <t>P.3.0.3</t>
  </si>
  <si>
    <t>Is there a mechanism in place to receive and address changes that can include modification or withdrawal of consent?</t>
  </si>
  <si>
    <t>P.3.0.4</t>
  </si>
  <si>
    <t>Is there a mechanism in place to receive and address restrictions on processing, or objections to the processing of personal information?</t>
  </si>
  <si>
    <t>For client scoped data, is personal information provided to the organization directly by the client?</t>
  </si>
  <si>
    <t>Collection</t>
  </si>
  <si>
    <t>Types of Personal Information Collection and Methods of Collection</t>
  </si>
  <si>
    <t>P.4.1</t>
  </si>
  <si>
    <t>Are there documented policies and procedures regarding limiting the personal information collected and its use to the minimum necessary?</t>
  </si>
  <si>
    <t>Collection limited to identified purpose</t>
  </si>
  <si>
    <t>P.4.2</t>
  </si>
  <si>
    <t>Are there documented policies and procedures that address data collection and use based on the instructions of the client or by contract?</t>
  </si>
  <si>
    <t>Collection by Fair and Lawful Means</t>
  </si>
  <si>
    <t>Are there documented policies and procedures in place to ensure that the access, transmission, processing, disclosure, and retention of client scoped data is limited, and in compliance with applicable law?</t>
  </si>
  <si>
    <t>Use, Retention, &amp; Disposal</t>
  </si>
  <si>
    <t>P.5.1</t>
  </si>
  <si>
    <t>Are purpose limitations to the collection, use, and retention of personal information defined in the contract?</t>
  </si>
  <si>
    <t>P.5.2</t>
  </si>
  <si>
    <t>If required by privacy jurisdiction, are mechanisms in place to enable data portability of client scoped data maintained by the organization?</t>
  </si>
  <si>
    <t>P.5.4</t>
  </si>
  <si>
    <t>Is there a documented records retention policy and process with defined schedules that ensure that Personal Information is retained for no longer than necessary?</t>
  </si>
  <si>
    <t>Retention of Personal Information</t>
  </si>
  <si>
    <t>P.5.4.1</t>
  </si>
  <si>
    <t>Does the organization have a process for ensuring the timely secure disposal of temporary files that have been created containing PII?</t>
  </si>
  <si>
    <t>P.5.5</t>
  </si>
  <si>
    <t>Is there a policy and process to limit any secondary use of client scoped data unless authorized?</t>
  </si>
  <si>
    <t>P.5.6</t>
  </si>
  <si>
    <t>Are there control mechanisms in place to de-identify, mask, anonymize, or pseudonymize personal data to prevent loss, theft, misuse or unauthorized access?</t>
  </si>
  <si>
    <t>P.5.7</t>
  </si>
  <si>
    <t>Is there a policy and/or process to limit or prevent the sharing of client scoped data with affiliates unless authorized?</t>
  </si>
  <si>
    <t>P.5.8</t>
  </si>
  <si>
    <t>Is client scoped data aggregated, appended, or modeled using data analytics?</t>
  </si>
  <si>
    <t>Are individuals informed about their rights to access, review, update, correct and limit disclosure or transmission of their personal information which is maintained by the organization?</t>
  </si>
  <si>
    <t>Access</t>
  </si>
  <si>
    <t>Access by Individuals to their Personal Information</t>
  </si>
  <si>
    <t>P.6.1</t>
  </si>
  <si>
    <t>Is there a documented process to reasonably authenticate or verify an individual's request prior to fulfilling their request for access to their personal information?</t>
  </si>
  <si>
    <t>Confirmation of an Individual's Identity</t>
  </si>
  <si>
    <t>P.6.1.1</t>
  </si>
  <si>
    <t>Is there a process to inform individuals in writing of the reason a request for access to their personal information was denied and the dispute mechanisms if any to challenge as specifically permitted or required by law or regulation?</t>
  </si>
  <si>
    <t>Denial of Access</t>
  </si>
  <si>
    <t>P.6.1.2</t>
  </si>
  <si>
    <t>Does the mechanism to inform individuals about their rights of access to their personal information include specified timeframes, standardized formats, costs of response, or exceptions/limitations?</t>
  </si>
  <si>
    <t>Understandable Personal Information, Time Frame, and Cost</t>
  </si>
  <si>
    <t>P.6.2</t>
  </si>
  <si>
    <t>If required, are there processes established to require the service provider to enable the fulfillment of an individual's access rights and requests? If yes, please describe in additional information field.</t>
  </si>
  <si>
    <t>Included in Data Protection Agreements (DPA).</t>
  </si>
  <si>
    <t>P.6.2.1</t>
  </si>
  <si>
    <t>Does the process to respond to an individual's access request include the categories and specific pieces of personal information if collected by the organization?</t>
  </si>
  <si>
    <t>P.6.2.2</t>
  </si>
  <si>
    <t>Does the process to respond to an individual's access request include the personal information that has been shared with fourth parties (vendors, subcontractors, service providers)?</t>
  </si>
  <si>
    <t>P.6.2.3</t>
  </si>
  <si>
    <t>Does the process to respond to an individual's access request include providing the origins or sources of information collected?</t>
  </si>
  <si>
    <t>P.6.2.4</t>
  </si>
  <si>
    <t>Does the process to respond to an individual's access request include providing the business or commercial purpose for collecting or selling personal information?</t>
  </si>
  <si>
    <t>P.6.2.5</t>
  </si>
  <si>
    <t>Does the contract specify the technical measures and obligations of the organization to support individuals' access requests?</t>
  </si>
  <si>
    <t>P.6.2.6</t>
  </si>
  <si>
    <t>Are records of data disclosures and sharing maintained that can be accessed by individuals upon request?</t>
  </si>
  <si>
    <t>Are policies and procedures in place to address third party privacy obligations including limitations on disclosure and use of client scoped data?</t>
  </si>
  <si>
    <t>Disclosures to Third Parties</t>
  </si>
  <si>
    <t>P.7.1</t>
  </si>
  <si>
    <t>Do agreements with third parties who have access to or potential access to client scoped data address confidentiality, audit, security, and privacy, including but not limited to incident response and notification, ongoing monitoring, return of data, and secure disposal of client scoped data?</t>
  </si>
  <si>
    <t>P.7.2</t>
  </si>
  <si>
    <t>Do agreements with third parties who have access to or potential access to client scoped data address limitations on personal information use and disclosure, retention, and restrictions on selling of personal information?</t>
  </si>
  <si>
    <t>P.7.3</t>
  </si>
  <si>
    <t>Do contracts or agreements with third parties define the nature, business purpose, and duration of processing, direction including type of personal information or categories of data subjects that are in scope of the services?</t>
  </si>
  <si>
    <t>P.7.4</t>
  </si>
  <si>
    <t>If required, are there contractual controls established to require the service provider to enable the fulfillment of data subject access rights and requests? If yes, please describe in Additional Information field.</t>
  </si>
  <si>
    <t>P.7.5</t>
  </si>
  <si>
    <t>Are policies and procedures documented that demonstrate the understanding by the organization of its privacy obligations and implementation of limitations on disclosure, use, sharing, and retention of client scoped data?</t>
  </si>
  <si>
    <t>Communication to Third Parties</t>
  </si>
  <si>
    <t>P.7.6</t>
  </si>
  <si>
    <t>Do fourth parties, (e.g., subcontractors, sub-processors, sub-service organizations) have access to, receive, or process client scoped data?</t>
  </si>
  <si>
    <t>P.7.6.1</t>
  </si>
  <si>
    <t>Has client consent been obtained for any usage of fourth-parties, subcontractors, sub-processors or sub-service organizations?</t>
  </si>
  <si>
    <t>Included in contracts with the customer.</t>
  </si>
  <si>
    <t>P.7.6.2</t>
  </si>
  <si>
    <t>Is a contract maintained with such fourth parties to require each fourth-party, subcontractor, sub-processor, or sub-service organization to adhere to the same legal and contractual requirements that are required by the service organization?</t>
  </si>
  <si>
    <t>P.7.7</t>
  </si>
  <si>
    <t>Are there documented policies, procedures or mechanisms to provide notice, and if required obtain consent for any new, or changed usage of fourth parties, subcontractors, sub-processors, or sub-service organizations?</t>
  </si>
  <si>
    <t>P.7.8</t>
  </si>
  <si>
    <t>Is there a documented process to obtain and periodically assess compliance with confidentiality and privacy commitments and requirements between client and service provider?</t>
  </si>
  <si>
    <t>Misuse of Personal Information by a Third Party</t>
  </si>
  <si>
    <t>Is there a documented data protection program with administrative, technical, and physical and environmental safeguards for the protection of client scoped data?</t>
  </si>
  <si>
    <t>Security for Privacy</t>
  </si>
  <si>
    <t>Information Security Program</t>
  </si>
  <si>
    <t>P.8.1</t>
  </si>
  <si>
    <t>Are tests conducted of the effectiveness of the key administrative, technical, physical and environmental safeguards for protecting personal information at least annually?</t>
  </si>
  <si>
    <t>Testing Security Safeguards</t>
  </si>
  <si>
    <t>P.8.2</t>
  </si>
  <si>
    <t>Are mechanisms established so that access to personal information is limited to authorized personnel based upon their assigned roles and responsibilities?</t>
  </si>
  <si>
    <t>Logical Access Controls</t>
  </si>
  <si>
    <t>P.8.3</t>
  </si>
  <si>
    <t>Is there a mechanism that informs individuals of the administrative, technical, and physical safeguards taken to protection their personal information?</t>
  </si>
  <si>
    <t>P.8.4</t>
  </si>
  <si>
    <t>Is there a Vendor Risk Management Program (including ongoing monitoring) maintained to address the security of the client scoped data, that may be accessed, processed, communicated to, or managed by external parties?</t>
  </si>
  <si>
    <t>P.8.5</t>
  </si>
  <si>
    <t>Is there a control to protect personal information stored on portable media or devices from unauthorized access?</t>
  </si>
  <si>
    <t>Seismic uses an enterprise DLP solution to prevent personal information from getting stored on portable media, which is against the Acceptable Use Policy.</t>
  </si>
  <si>
    <t>Personal Information on Portable Media</t>
  </si>
  <si>
    <t>P.8.6</t>
  </si>
  <si>
    <t>Is there a process or mechanism to minimize the use of personal information in testing, training and research?</t>
  </si>
  <si>
    <t>Scoped data is prohibited from being used in any of these environments.</t>
  </si>
  <si>
    <t>Is there a documented policy or process to maintain accurate, complete and relevant records of client scoped data?</t>
  </si>
  <si>
    <t>Quality</t>
  </si>
  <si>
    <t>7.5.1 General|7.5.2 Creating and Updating|7.5.3 Control of Documented Information</t>
  </si>
  <si>
    <t>P.9.1</t>
  </si>
  <si>
    <t>Are procedures documented that outline the relevancy of the personal information collected, used, or processed to the defined purpose in the contract or privacy notice?</t>
  </si>
  <si>
    <t>Is there a data privacy or data protection function that maintains compliance, enforcement and monitoring procedures to address compliance for its privacy obligations for client scoped data?</t>
  </si>
  <si>
    <t>Seismic Information Security handles this internally.</t>
  </si>
  <si>
    <t>Monitoring and Enforcement</t>
  </si>
  <si>
    <t>P.10.1</t>
  </si>
  <si>
    <t>Are there enforcement mechanisms in place to address privacy inquiries, complaints, disputes and recourse for violations of privacy compliance?</t>
  </si>
  <si>
    <t>Inquiry, Complaint, and Dispute Process</t>
  </si>
  <si>
    <t>P.10.2</t>
  </si>
  <si>
    <t>Are there policies and processes in place to address privacy inquiries, complaints and disputes?</t>
  </si>
  <si>
    <t>P.10.3</t>
  </si>
  <si>
    <t>Is an independent dispute mechanism maintained for resolution of privacy disputes? If so, identify the provider in additional information field.</t>
  </si>
  <si>
    <t>Seismic Information Security handles this internally and has a documented process.</t>
  </si>
  <si>
    <t>Dispute Resolution and Recourse</t>
  </si>
  <si>
    <t>P.10.4</t>
  </si>
  <si>
    <t>Are applicable licenses, registrations, permits, or approvals maintained as required by applicable privacy laws and regulations?</t>
  </si>
  <si>
    <t>P.10.4.2</t>
  </si>
  <si>
    <t>If required, has the organization registered as a telemarketer under any state regulation? If yes, identify the stake and link to the registration in the Additional Information field.</t>
  </si>
  <si>
    <t>Not required</t>
  </si>
  <si>
    <t>P.10.5</t>
  </si>
  <si>
    <t>Is compliance with privacy policies, commitments, SLAs, contractual obligations, and applicable laws/regulations reviewed, documented, with results reported to management?</t>
  </si>
  <si>
    <t>P.10.6</t>
  </si>
  <si>
    <t>Are there processes in place to address instances of non-compliance with privacy obligations for client scoped data, including corrective measures and disciplinary measures?</t>
  </si>
  <si>
    <t>Instances of noncompliance</t>
  </si>
  <si>
    <t>P.10.7</t>
  </si>
  <si>
    <t>Are there any open or unresolved privacy findings or citations from regulatory authorities applicable to the services?</t>
  </si>
  <si>
    <t>P.10.8</t>
  </si>
  <si>
    <t>Does the organization participate in any self-regulatory, self-certification, or formal certification to address compliance to specific privacy obligations?</t>
  </si>
  <si>
    <t>P.10.9</t>
  </si>
  <si>
    <t>Does the organization maintain memberships in self-regulatory or interoperability frameworks (e.g., ANA, NAI, DMA, IAB) to address privacy risks or codes of conduct for the collection, use, and transfer of data? If so, please indicate in the Additional Information field.</t>
  </si>
  <si>
    <t>Dataguidance, ISO 27701</t>
  </si>
  <si>
    <t>P.10.10</t>
  </si>
  <si>
    <t>Has the organization self-certified to the EU-U.S. Privacy Shield Framework and/or Swiss-U.S. Privacy Shield Framework? If, yes, please provide a link to the publicly available filing.</t>
  </si>
  <si>
    <t>https://www.privacyshield.gov/participant?id=a2zt0000000GnjwAAC&amp;status=Active</t>
  </si>
  <si>
    <t>P.10.11</t>
  </si>
  <si>
    <t>Has the organization applied for and received GDPR certification to an accredited certification body or to the competent supervisory authority?</t>
  </si>
  <si>
    <t>P.10.12</t>
  </si>
  <si>
    <t>Has the organization applied for and received APEC Certification for Processors by an authorized Accountability Agent?</t>
  </si>
  <si>
    <t>P.10.13</t>
  </si>
  <si>
    <t>Has the organization applied for and received certification as a data processor for the international standard ISO/IEC 27701:2019 Privacy Information Management System (PIMS)?</t>
  </si>
  <si>
    <t>Are Windows servers used as part of the Scoped Services?</t>
  </si>
  <si>
    <t>T</t>
  </si>
  <si>
    <t>T.1.1</t>
  </si>
  <si>
    <t>Is there an anti-malware policy or program that has been approved by management, communicated to appropriate constituents and an owner to maintain and review the policy?</t>
  </si>
  <si>
    <t>Seismic has a documented Secure Configuration Standard that requires anti-malware solutions on company assets.</t>
  </si>
  <si>
    <t>Anti-Malware Policy</t>
  </si>
  <si>
    <t>T.1 Anti-malware protection policy and program</t>
  </si>
  <si>
    <t>T.1.1.1</t>
  </si>
  <si>
    <t>Does the anti-malware policy or program include defined operating systems that require antivirus?</t>
  </si>
  <si>
    <t>T.1.1.2</t>
  </si>
  <si>
    <t>Does the anti-malware policy or program include defined antivirus configuration requirements including required modules/components?</t>
  </si>
  <si>
    <t>T.1.1.3</t>
  </si>
  <si>
    <t>Does the anti-malware policy or program prohibit disabling anti-malware with exceptions requiring Security approval and re-enablement as soon as possible?</t>
  </si>
  <si>
    <t>Seismic uses an enterprise Anti-Virus solution that is deployed to all employee computers and centrally managed/administered.</t>
  </si>
  <si>
    <t>Anti-Malware Coverage Exclusions</t>
  </si>
  <si>
    <t>T.1.1.5</t>
  </si>
  <si>
    <t>Does the anti-malware policy or program require documentation of any folders, applications, and/or processes excluded from anti-malware scanning?</t>
  </si>
  <si>
    <t>T.1.1.6</t>
  </si>
  <si>
    <t>Does the approved anti-malware policy or program mandate an interval between the availability of a new anti-malware signature update and its deployment no longer than 24 hours?</t>
  </si>
  <si>
    <t>T.1.1.8</t>
  </si>
  <si>
    <t>Are anti-malware standards reviewed and/or updated at least annually to account for new security features and threats?</t>
  </si>
  <si>
    <t>T.1.1.9</t>
  </si>
  <si>
    <t>Are Anti-malware software version and engine upgrade deployment failures reviewed at least weekly?</t>
  </si>
  <si>
    <t>Anti-Malware Operations</t>
  </si>
  <si>
    <t>T.1.1.10</t>
  </si>
  <si>
    <t>Is there a defined procedure to identify and correct systems without anti-malware software, performed at least weekly?</t>
  </si>
  <si>
    <t>T.1.1.11</t>
  </si>
  <si>
    <t>Does the anti-malware policy or program require a periodic configuration review performed at least quarterly and when a change is made to anti-malware standards?</t>
  </si>
  <si>
    <t>T.1.1.12</t>
  </si>
  <si>
    <t>Does outbound web traffic get scanned for malware and malicious/blacklisted sites, with any authorized exclusions documented?</t>
  </si>
  <si>
    <t>Web Malware Scanning</t>
  </si>
  <si>
    <t>Is there a Vulnerability Management Policy or Program that has been approved by management, communicated to appropriate constituent and an owner assigned to maintain and review the policy?</t>
  </si>
  <si>
    <t>Seismic has a documented Vulnerability Management Standard.</t>
  </si>
  <si>
    <t>Vulnerability Management</t>
  </si>
  <si>
    <t>Vulnerability Management Policy</t>
  </si>
  <si>
    <t>T.4 Application Vulnerability Assessments/Ethical Hacking</t>
  </si>
  <si>
    <t>T.2.2</t>
  </si>
  <si>
    <t>Are vulnerabilities documented and tracked to remediation?</t>
  </si>
  <si>
    <t>T.2.3</t>
  </si>
  <si>
    <t>Are exceptions and risk mitigation strategies tracked and approved by the Security group?</t>
  </si>
  <si>
    <t>T.2.4</t>
  </si>
  <si>
    <t>Are network Vulnerability Scans performed against internal networks and systems?</t>
  </si>
  <si>
    <t>Vulnerability Scans: Internal</t>
  </si>
  <si>
    <t>T.2.4.1</t>
  </si>
  <si>
    <t>Do network Vulnerability Scans occur at least monthly?</t>
  </si>
  <si>
    <t>T.2.4.2</t>
  </si>
  <si>
    <t>Do network Vulnerability Scans occur after a significant change?</t>
  </si>
  <si>
    <t>T.2.5</t>
  </si>
  <si>
    <t>Are network vulnerability scans performed against internet-facing networks and systems?</t>
  </si>
  <si>
    <t>Vulnerability Scans External</t>
  </si>
  <si>
    <t>T.2.5.1</t>
  </si>
  <si>
    <t>T.2.5.2</t>
  </si>
  <si>
    <t>T.2.6</t>
  </si>
  <si>
    <t>Are penetration tests performed?</t>
  </si>
  <si>
    <t>Penetration Testing</t>
  </si>
  <si>
    <t>T.2.6.1</t>
  </si>
  <si>
    <t>Is penetration testing performed at least annually?</t>
  </si>
  <si>
    <t>T.2.6.3</t>
  </si>
  <si>
    <t>Are Penetration Tests performed by independent trained and experienced personnel?</t>
  </si>
  <si>
    <t>T.2.6.4</t>
  </si>
  <si>
    <t>Do penetration tests procedures include manual in addition to automated procedures?</t>
  </si>
  <si>
    <t>T.2.6.5</t>
  </si>
  <si>
    <t>Is penetration testing performed on external systems from the Internet?</t>
  </si>
  <si>
    <t>T.2.6.9</t>
  </si>
  <si>
    <t>Are web applications included in Penetration Tests?</t>
  </si>
  <si>
    <t>T.2.6.10</t>
  </si>
  <si>
    <t>Are network and system details provided to the tester (White-Box Test) in Penetration Tests?</t>
  </si>
  <si>
    <t>T.2.6.11</t>
  </si>
  <si>
    <t>Are Penetration Testing issues risk-ranked for importance to the system and vulnerability identified?</t>
  </si>
  <si>
    <t>T.2.6.12</t>
  </si>
  <si>
    <t>Are Penetration Testing issues documented and tracked to remediation?</t>
  </si>
  <si>
    <t>T.2.6.13</t>
  </si>
  <si>
    <t>Are Penetration Testing exceptions and risk mitigation strategies tracked and approved by the security group?</t>
  </si>
  <si>
    <t>Are there policies and processes to secure threat and vulnerability assessment tools and the data they collect?</t>
  </si>
  <si>
    <t>Security Tools</t>
  </si>
  <si>
    <t>N.11 Network Monitoring</t>
  </si>
  <si>
    <t>Are there documented and managed processes for identifying and managing cyber supply chain risks (i.e. ensuring software and hardware components used as part of delivering a service or product do not present a risk)?</t>
  </si>
  <si>
    <t>Cyber Supply Chain Risk Management</t>
  </si>
  <si>
    <t>Do you deliver software, firmware, and/or BIOS updates to clients through automatic downloads (e.g., Windows Update, LiveUpdate)?</t>
  </si>
  <si>
    <t>Automatic Software Update Mechanisms</t>
  </si>
  <si>
    <t>T.5.1</t>
  </si>
  <si>
    <t>Is there a documented process in place to protect against and detect attacks against automatic software update mechanisms?</t>
  </si>
  <si>
    <t>Are Servers used for transmitting, processing or storing scoped data?</t>
  </si>
  <si>
    <t>Server Security Configuration Management</t>
  </si>
  <si>
    <t>U</t>
  </si>
  <si>
    <t>U.1.1</t>
  </si>
  <si>
    <t>Are server security configuration standards documented and based on external industry or vendor guidance?</t>
  </si>
  <si>
    <t xml:space="preserve">Seismic has a documented Secure Configuration Standard. </t>
  </si>
  <si>
    <t>Server Security Configuration Standards</t>
  </si>
  <si>
    <t>U.1.1.1</t>
  </si>
  <si>
    <t>Are server security standards reviewed and/or updated at least annually to account for any changes in environment, available security features and/or leading practices?</t>
  </si>
  <si>
    <t>U.1.1.2</t>
  </si>
  <si>
    <t>Are server security configuration reviews performed regularly to validate compliance with documented standards?</t>
  </si>
  <si>
    <t>Server Security Configuration Reviews</t>
  </si>
  <si>
    <t>U.1.1.2.1</t>
  </si>
  <si>
    <t>Are server security configuration reviews performed to validate compliance with documented standards at least annually?</t>
  </si>
  <si>
    <t>U.1.2</t>
  </si>
  <si>
    <t>Are all servers configured according to security standards as part of the build process?</t>
  </si>
  <si>
    <t>Server Build Security Configuration</t>
  </si>
  <si>
    <t>U.1.2.1</t>
  </si>
  <si>
    <t>Are all unnecessary/unused services uninstalled or disabled on all servers?</t>
  </si>
  <si>
    <t>Network and System Services</t>
  </si>
  <si>
    <t>U.1.2.2</t>
  </si>
  <si>
    <t>Are all remote access and file sharing services configured to require authentication and encryption on all servers?</t>
  </si>
  <si>
    <t>U.1.2.3</t>
  </si>
  <si>
    <t>Is data on a separate drive than the operating system executables/binaries on all servers?</t>
  </si>
  <si>
    <t>Volume Security</t>
  </si>
  <si>
    <t>U.1.2.4</t>
  </si>
  <si>
    <t>Are all servers configured to log users out after 15 minutes of inactivity?</t>
  </si>
  <si>
    <t>Session Time-Out</t>
  </si>
  <si>
    <t>U.1.2.5</t>
  </si>
  <si>
    <t>Are vendor default passwords removed, disabled or changed prior to placing any device or system into production?</t>
  </si>
  <si>
    <t>Password Management</t>
  </si>
  <si>
    <t>U.1.3</t>
  </si>
  <si>
    <t>Is sufficient detail contained in operating system and application logs to support security incident investigations (at a minimum, successful and failed login attempts, and changes to sensitive configuration settings and files)?</t>
  </si>
  <si>
    <t>U.1.3.1</t>
  </si>
  <si>
    <t>Are operating system and application events relevant to supporting incident investigation retained for a minimum of one year?</t>
  </si>
  <si>
    <t>U.1.3.2</t>
  </si>
  <si>
    <t>Are operating system and application logs relevant to supporting incident investigation protected against modification, deletion and/or inappropriate access?</t>
  </si>
  <si>
    <t>U.1.3.3</t>
  </si>
  <si>
    <t>Are operating system and application events relevant to supporting incident investigation stored on alternate systems?</t>
  </si>
  <si>
    <t>Within Seismic's enterprise SIEM solution.</t>
  </si>
  <si>
    <t>12.4.2 Protection of Log Information|12.4.3 Administrator and Operator Logs</t>
  </si>
  <si>
    <t>U.1.4</t>
  </si>
  <si>
    <t>Is an alert generated if removable media (floppy disk, recordable CD, USB drive) is used on servers?</t>
  </si>
  <si>
    <t>U.1.5</t>
  </si>
  <si>
    <t>Are all systems and applications patched regularly?</t>
  </si>
  <si>
    <t>Server Patching</t>
  </si>
  <si>
    <t>Patching Cadence</t>
  </si>
  <si>
    <t>U.1.5.1</t>
  </si>
  <si>
    <t>Are all available high-risk security patches applied and verified at least monthly on all server platforms?</t>
  </si>
  <si>
    <t>Seismic performs vulnerability scans on all systems at least monthly to verify no high-risk security patches are left unpatched.</t>
  </si>
  <si>
    <t>U.1.5.6</t>
  </si>
  <si>
    <t>Are all server patching exceptions necessary, documented and approved?</t>
  </si>
  <si>
    <t>Completed through Seismic's Risk Management Process.</t>
  </si>
  <si>
    <t>Patching Exception Management</t>
  </si>
  <si>
    <t>U.1.5.8</t>
  </si>
  <si>
    <t>Are there any Operating System versions in use within the Scoped Services that no longer have patches released? If yes, please describe in the Additional Information section.</t>
  </si>
  <si>
    <t xml:space="preserve">EOL software is restricted from use.
</t>
  </si>
  <si>
    <t>Patching Operations</t>
  </si>
  <si>
    <t>U.1.6</t>
  </si>
  <si>
    <t>Is Unix or Linux used as part of the scoped services?</t>
  </si>
  <si>
    <t>Unix/Linux Security</t>
  </si>
  <si>
    <t>U.1.6.1</t>
  </si>
  <si>
    <t>Are users required to 'su' or 'sudo' into root?</t>
  </si>
  <si>
    <t>Root/Administrator Authentication</t>
  </si>
  <si>
    <t>U.1.6.2</t>
  </si>
  <si>
    <t>Does remote su/root access require multi-factor authentication?</t>
  </si>
  <si>
    <t>Remote usage of SU and root is disabled.</t>
  </si>
  <si>
    <t>Multi-factor SU/Root</t>
  </si>
  <si>
    <t>U.1.7</t>
  </si>
  <si>
    <t>Are AS/400s used as part of the scoped services?</t>
  </si>
  <si>
    <t>AS/400 Security</t>
  </si>
  <si>
    <t>U.1.7.1</t>
  </si>
  <si>
    <t>Are group profile assignments based on constituent role?</t>
  </si>
  <si>
    <t>Not used.</t>
  </si>
  <si>
    <t>Role-Based Group Profile</t>
  </si>
  <si>
    <t>U.1.7.2</t>
  </si>
  <si>
    <t>Are group profile assignments approved?</t>
  </si>
  <si>
    <t>Group Profile Approval</t>
  </si>
  <si>
    <t>U.1.8</t>
  </si>
  <si>
    <t>Are Mainframes used as part of the scoped services?</t>
  </si>
  <si>
    <t>Mainframe Security</t>
  </si>
  <si>
    <t>U.1.8.2</t>
  </si>
  <si>
    <t>Are ESM (RACF) and inherent security configuration settings configured to support mainframe access control standards and requirements?</t>
  </si>
  <si>
    <t>Access Control Subsystem Configuration Management</t>
  </si>
  <si>
    <t>U.1.8.3</t>
  </si>
  <si>
    <t>Is authentication required for access to any mainframe transaction or database system?</t>
  </si>
  <si>
    <t>Transaction or Database Authentication</t>
  </si>
  <si>
    <t>U.1.9</t>
  </si>
  <si>
    <t>Are Hypervisors used to manage systems used to transmit, process or store Scoped data?</t>
  </si>
  <si>
    <t>Hypervisors controlled by the cloud provider</t>
  </si>
  <si>
    <t>Hypervisor and Virtualization Security</t>
  </si>
  <si>
    <t>Hypervisor Security</t>
  </si>
  <si>
    <t>U.1.9.1</t>
  </si>
  <si>
    <t>Are Hypervisor hardening standards applied on all Hypervisors?</t>
  </si>
  <si>
    <t>See U.1.9</t>
  </si>
  <si>
    <t>U.1.9.2</t>
  </si>
  <si>
    <t>Are Hypervisor Standard builds/security compliance checks required?</t>
  </si>
  <si>
    <t>U.1.9.3</t>
  </si>
  <si>
    <t>Are Hypervisors kept up to date with current patches?</t>
  </si>
  <si>
    <t>U.1.9.4</t>
  </si>
  <si>
    <t>Are unnecessary/unused Hypervisor services turned off?</t>
  </si>
  <si>
    <t>U.1.9.5</t>
  </si>
  <si>
    <t>Is sufficient information in Hypervisor logs to evaluate incidents?</t>
  </si>
  <si>
    <t>12.4.1 Event Logging|12.4.3 Administrator and Operator Logs|7.5.1 General</t>
  </si>
  <si>
    <t>U.1.9.6</t>
  </si>
  <si>
    <t>Are Hypervisor logs retained for a minimum of one year?</t>
  </si>
  <si>
    <t>U.1.9.8</t>
  </si>
  <si>
    <t>Are Hypervisor audit logs stored on alternate systems?</t>
  </si>
  <si>
    <t>U.1.9.9</t>
  </si>
  <si>
    <t>Are Hypervisor audit logs protected against modification, deletion and/or inappropriate access?</t>
  </si>
  <si>
    <t>U.1.9.10</t>
  </si>
  <si>
    <t>Does the Hypervisor system lock accounts after 3-5 invalid login attempts?</t>
  </si>
  <si>
    <t>U.1.9.11</t>
  </si>
  <si>
    <t>Is administrative access restricted to Hypervisor management interfaces?</t>
  </si>
  <si>
    <t>U.1.9.12</t>
  </si>
  <si>
    <t>Are unneeded Hypervisor services disabled e.g., file-sharing between the guest and the host operating system)?</t>
  </si>
  <si>
    <t>U.1.9.13</t>
  </si>
  <si>
    <t>Does the Hypervisor have introspection capabilities to monitor the security of each guest operating system?</t>
  </si>
  <si>
    <t>Guest OS Security</t>
  </si>
  <si>
    <t>U.1.9.14</t>
  </si>
  <si>
    <t>Does the Hypervisor have introspection capabilities to monitor the security of activity taking place between each guest operating system?</t>
  </si>
  <si>
    <t>Virtual Network Security</t>
  </si>
  <si>
    <t>U.1.9.15</t>
  </si>
  <si>
    <t>Are separate network VLANs for host operating system communication with guest operating systems configured in the Hypervisor?</t>
  </si>
  <si>
    <t>U.1.9.16</t>
  </si>
  <si>
    <t>Do guest operating systems communicate on separate VLAN's from other guest operating systems that they do not need to communicate with?</t>
  </si>
  <si>
    <t>U.1.9.17</t>
  </si>
  <si>
    <t>Is the host operating system management interface on a separate network than those used by guest operating systems?</t>
  </si>
  <si>
    <t>U.1.9.18</t>
  </si>
  <si>
    <t>Is two-factor-authentication required for access to the administrative interfaces?</t>
  </si>
  <si>
    <t>U.1.9.19</t>
  </si>
  <si>
    <t>Is there an approval process before VMs can be created to avoid VM sprawl?</t>
  </si>
  <si>
    <t>Virtual Machine Management</t>
  </si>
  <si>
    <t>U.1.9.20</t>
  </si>
  <si>
    <t>Is migration of VMs logged, including source and target systems, time, user?</t>
  </si>
  <si>
    <t>U.1.9.22</t>
  </si>
  <si>
    <t>Do all VMs in the same host share the same system sensitivity level grouping (development and production not present on the same host)?</t>
  </si>
  <si>
    <t>U.1.10</t>
  </si>
  <si>
    <t>Are Containers used to process or store Scoped data e.g., Docker, Kubernetes, OpenShift?</t>
  </si>
  <si>
    <t>Container Security</t>
  </si>
  <si>
    <t>U.1.10.1</t>
  </si>
  <si>
    <t>Can clients prohibit containers from being used on scoped systems with sensitive or confidential information?</t>
  </si>
  <si>
    <t>Prohibition</t>
  </si>
  <si>
    <t>U.1.10.2</t>
  </si>
  <si>
    <t>Is there a data container security policy approved by management, communicated to constituents and an owner to maintain and review?</t>
  </si>
  <si>
    <t>Container Security Policy</t>
  </si>
  <si>
    <t>U.1.10.3</t>
  </si>
  <si>
    <t>Does the data container security policy include security requirements implemented as part of the container build process?</t>
  </si>
  <si>
    <t>U.1.10.4</t>
  </si>
  <si>
    <t>Does the data container security policy require Data Containers on the same host share the same risk and data classification?</t>
  </si>
  <si>
    <t>U.1.10.5</t>
  </si>
  <si>
    <t>Does the data container security policy require external Container images to be signed and originate from a trusted registry?</t>
  </si>
  <si>
    <t>U.1.10.6</t>
  </si>
  <si>
    <t>Does the data container security policy ensure Containers are scanned for vulnerabilities and identified vulnerabilities are remediated?</t>
  </si>
  <si>
    <t>U.1.10.7</t>
  </si>
  <si>
    <t>Does the data container security policy require that Seccomp profiles are enabled to reduce the number of potentially risky usable system calls?</t>
  </si>
  <si>
    <t>U.1.10.8</t>
  </si>
  <si>
    <t>Does the data container security policy require that an Authorization Plug-In be enabled?</t>
  </si>
  <si>
    <t>U.1.10.9</t>
  </si>
  <si>
    <t>Does the data container security policy require that Control Groups be enabled to reduce the kernel and system resources that a container can consume?</t>
  </si>
  <si>
    <t>U.1.10.10</t>
  </si>
  <si>
    <t>Does the data container security policy require that Linux User Namespace Support be enabled to reduce the kernel and system resources that a container can access?</t>
  </si>
  <si>
    <t>U.1.10.11</t>
  </si>
  <si>
    <t>Are Vulnerability Scans performed against all Containers using tools that can inspect the contents of Containers?</t>
  </si>
  <si>
    <t>Are Cloud Hosting services (IaaS) provided?</t>
  </si>
  <si>
    <t>Cloud Hosting</t>
  </si>
  <si>
    <t>Cloud Service Model</t>
  </si>
  <si>
    <t>V</t>
  </si>
  <si>
    <t>V.1.1</t>
  </si>
  <si>
    <t>Is there an Internet-accessible self-service portal available that allows clients to configure security settings and view access logs, security events and alerts?</t>
  </si>
  <si>
    <t>An administrative console is available in the web application for Seismic administrators only.</t>
  </si>
  <si>
    <t>Cloud API</t>
  </si>
  <si>
    <t>V.1.1.8</t>
  </si>
  <si>
    <t>Can the API alert, block or lock based on rate limit?</t>
  </si>
  <si>
    <t>Cloud Security Configuration</t>
  </si>
  <si>
    <t>Are Cloud Hosting services subcontracted?</t>
  </si>
  <si>
    <t>Cloud Hosting Organization</t>
  </si>
  <si>
    <t>Subcontracted Cloud Services</t>
  </si>
  <si>
    <t>V.2.1</t>
  </si>
  <si>
    <t>Is there a full-time internal security team assigned to protecting the cloud hosting infrastructure?</t>
  </si>
  <si>
    <t>Information Security Team Responsibilities</t>
  </si>
  <si>
    <t>Is there a management approved process to ensure that backup image snapshots containing Scoped data are authorized by Outsourcer prior to being snapped?</t>
  </si>
  <si>
    <t>Seismic does not use snapshots to back up data.</t>
  </si>
  <si>
    <t>Backup Image Management</t>
  </si>
  <si>
    <t>V.3.1</t>
  </si>
  <si>
    <t>Are backup image snapshots containing Scoped data stored in an environment where the security controls protecting them are commensurate with the production environment?</t>
  </si>
  <si>
    <t>V.3.2</t>
  </si>
  <si>
    <t>Can backup image versions be electronically signed to ensure integrity?</t>
  </si>
  <si>
    <t>V.4</t>
  </si>
  <si>
    <t>Is the Assessee responsible for deploying patches to the live guest Operating Systems?</t>
  </si>
  <si>
    <t>Not required for a SaaS solution.</t>
  </si>
  <si>
    <t>Patch Management</t>
  </si>
  <si>
    <t>V.2 Cloud Audit Program</t>
  </si>
  <si>
    <t>V.4.1</t>
  </si>
  <si>
    <t>Is the Assessee responsible for ensuring the live Guest Operating Systems remain hardened?</t>
  </si>
  <si>
    <t>Periodic Configuration Review</t>
  </si>
  <si>
    <t>V.4.2</t>
  </si>
  <si>
    <t>Is the Assessee responsible for deploying patches to all application server components (e.g., web server, mail server, databases)?</t>
  </si>
  <si>
    <t>V.4.3</t>
  </si>
  <si>
    <t>Is the Assessee responsible for ensuring all application server components remain hardened (e.g., web server, mail server, databases)?</t>
  </si>
  <si>
    <t>V.5</t>
  </si>
  <si>
    <t>Are default hardened base virtual images applied to virtualized operating systems?</t>
  </si>
  <si>
    <t>V.5.1</t>
  </si>
  <si>
    <t>Are default hardened base virtual images based on a publicly distributed industry, vendor, or government-recognized configuration standard?</t>
  </si>
  <si>
    <t>V.5.2</t>
  </si>
  <si>
    <t>Is the Service Provider responsible for ensuring the Guest Operating System Base Images are hardened to the latest standards?</t>
  </si>
  <si>
    <t>Base Image Management</t>
  </si>
  <si>
    <t>V.5.2.1</t>
  </si>
  <si>
    <t>Can a client supply their own default base virtual image for guest operating systems?</t>
  </si>
  <si>
    <t>V.5.3</t>
  </si>
  <si>
    <t>Is the Service Provider responsible for deploying patches to the guest operating system Base Images?</t>
  </si>
  <si>
    <t>V.6</t>
  </si>
  <si>
    <t>Does the Cloud Hosting Provider provide independent audit reports for their cloud hosting services (e.g., Service Operational Control - SOC)?</t>
  </si>
  <si>
    <t>AWS is SOC2 Type II compliant</t>
  </si>
  <si>
    <t>Independent Oversight</t>
  </si>
  <si>
    <t>Audit Reports</t>
  </si>
  <si>
    <t>V.6.1</t>
  </si>
  <si>
    <t>Are independent audit reports provided by the Cloud Hosting Provider valid for a 12-month period, completed within the last 12 months, performed by a certified audit firm, and free of qualified opinion?</t>
  </si>
  <si>
    <t>V.6.2</t>
  </si>
  <si>
    <t>Is the Cloud Service Provider certified by an independent third party for compliance with domestic or international control standards e.g., the National Institute of Standards and Technology - NIST, the International Organization for Standardization - ISO?</t>
  </si>
  <si>
    <t>AWS is SOC2 Type II and ISO certified</t>
  </si>
  <si>
    <t>V.6.2.1</t>
  </si>
  <si>
    <t>Are any certifications of the Cloud Service Provider's environment current, performed by a certified audit firm, and have they been reassessed within the last 12 months?</t>
  </si>
  <si>
    <t>V.6.3</t>
  </si>
  <si>
    <t>Can clients run their own vulnerability scans against their own cloud environment?</t>
  </si>
  <si>
    <t>Customers may conduct testing on their environments with thirty (30) days prior written notice and approval to security@seismic.com. And are obligated to share the reports with Seismic's Information Security team for review.</t>
  </si>
  <si>
    <t>Client-Managed Security</t>
  </si>
  <si>
    <t>V.6.3.1</t>
  </si>
  <si>
    <t>Can clients procure their own network security services e.g., Firewall, IDS, IPS, WAF?</t>
  </si>
  <si>
    <t xml:space="preserve">These are managed by Seismic. </t>
  </si>
  <si>
    <t>Column</t>
  </si>
  <si>
    <t>Description</t>
  </si>
  <si>
    <r>
      <t>A
&lt;</t>
    </r>
    <r>
      <rPr>
        <b/>
        <i/>
        <sz val="11"/>
        <color rgb="FF756762"/>
        <rFont val="Calibri"/>
        <family val="2"/>
        <scheme val="minor"/>
      </rPr>
      <t>Serial No</t>
    </r>
    <r>
      <rPr>
        <b/>
        <sz val="11"/>
        <color rgb="FF756762"/>
        <rFont val="Calibri"/>
        <family val="2"/>
        <scheme val="minor"/>
      </rPr>
      <t>&gt;</t>
    </r>
  </si>
  <si>
    <t>This is a unique record for a question. This value is sequential starting with one on Tab A to the end of questions on last tab. Any row that is not a question will not have a number. The highest value used as a unique identifier is located on this tab in cell D35 (below).</t>
  </si>
  <si>
    <t>A4</t>
  </si>
  <si>
    <t>Calculates the highest serial number on the tab. This tab cell C22 identifies the highest serial number used so new question serial numbers can be used. Retired serial numbers are never re-used.</t>
  </si>
  <si>
    <t>B
Conditional Formatting</t>
  </si>
  <si>
    <t>The question text will be bold if the question has a child question and tab automation is enabled. Questions not bold have no children or tab automation is disabled.</t>
  </si>
  <si>
    <r>
      <t>D
Conditional Formatting
&lt;</t>
    </r>
    <r>
      <rPr>
        <b/>
        <i/>
        <sz val="11"/>
        <color rgb="FF756762"/>
        <rFont val="Calibri"/>
        <family val="2"/>
        <scheme val="minor"/>
      </rPr>
      <t>Response</t>
    </r>
    <r>
      <rPr>
        <b/>
        <sz val="11"/>
        <color rgb="FF756762"/>
        <rFont val="Calibri"/>
        <family val="2"/>
        <scheme val="minor"/>
      </rPr>
      <t>&gt;</t>
    </r>
  </si>
  <si>
    <t>The conditional formatting looks in column J and U to determine the background of the cell. If the value in column J =1, conditional formatting sets the background to a hash (no response required) to indicated the top of a table question. If the value in column U = 1 the background will be green indicating a "Yes" response. If the value in column U = 2 than the background will turn orange indicating a "No" response. If the value in column U = 3 the background turns violet to indicate an N/A response. The default background is light blue.</t>
  </si>
  <si>
    <r>
      <t>E
Conditional Formatting
&lt;</t>
    </r>
    <r>
      <rPr>
        <b/>
        <i/>
        <sz val="11"/>
        <color rgb="FF756762"/>
        <rFont val="Calibri"/>
        <family val="2"/>
        <scheme val="minor"/>
      </rPr>
      <t>Additional Information</t>
    </r>
    <r>
      <rPr>
        <b/>
        <sz val="11"/>
        <color rgb="FF756762"/>
        <rFont val="Calibri"/>
        <family val="2"/>
        <scheme val="minor"/>
      </rPr>
      <t>&gt;</t>
    </r>
  </si>
  <si>
    <t>The conditional formatting looks in column J. If the value in column J =1, conditional formatting sets the background to a hash (no response required) to indicated a not applicable maturity question.</t>
  </si>
  <si>
    <t>J2</t>
  </si>
  <si>
    <t>The value calculated with this formula counts the number of questions on the tab.</t>
  </si>
  <si>
    <r>
      <t>J
&lt;</t>
    </r>
    <r>
      <rPr>
        <b/>
        <i/>
        <sz val="11"/>
        <color rgb="FF756762"/>
        <rFont val="Calibri"/>
        <family val="2"/>
        <scheme val="minor"/>
      </rPr>
      <t>Q Depth</t>
    </r>
    <r>
      <rPr>
        <b/>
        <sz val="11"/>
        <color rgb="FF756762"/>
        <rFont val="Calibri"/>
        <family val="2"/>
        <scheme val="minor"/>
      </rPr>
      <t>&gt;</t>
    </r>
  </si>
  <si>
    <t>Values in this column indicate the depth (number of periods) the question has.</t>
  </si>
  <si>
    <r>
      <t>K
&lt;</t>
    </r>
    <r>
      <rPr>
        <b/>
        <i/>
        <sz val="11"/>
        <color rgb="FF756762"/>
        <rFont val="Calibri"/>
        <family val="2"/>
        <scheme val="minor"/>
      </rPr>
      <t>Table ID</t>
    </r>
    <r>
      <rPr>
        <b/>
        <sz val="11"/>
        <color rgb="FF756762"/>
        <rFont val="Calibri"/>
        <family val="2"/>
        <scheme val="minor"/>
      </rPr>
      <t>&gt;</t>
    </r>
  </si>
  <si>
    <t>A value of "1" in this cell indicate the top of a table.</t>
  </si>
  <si>
    <r>
      <t>L
&lt;</t>
    </r>
    <r>
      <rPr>
        <b/>
        <i/>
        <sz val="11"/>
        <color rgb="FF756762"/>
        <rFont val="Calibri"/>
        <family val="2"/>
        <scheme val="minor"/>
      </rPr>
      <t>1</t>
    </r>
    <r>
      <rPr>
        <b/>
        <sz val="11"/>
        <color rgb="FF756762"/>
        <rFont val="Calibri"/>
        <family val="2"/>
        <scheme val="minor"/>
      </rPr>
      <t>&gt;</t>
    </r>
  </si>
  <si>
    <t>This formula is used to calculate the first digit of the question number. It looks to see if there is a value in the cell above, if not it assumes the value should be a 1. Next it looks to see if the depth is 1, If so, it will increment by one, if not it pulls down the value from the cell above.</t>
  </si>
  <si>
    <r>
      <t>M - P
&lt;</t>
    </r>
    <r>
      <rPr>
        <b/>
        <i/>
        <sz val="11"/>
        <color rgb="FF756762"/>
        <rFont val="Calibri"/>
        <family val="2"/>
        <scheme val="minor"/>
      </rPr>
      <t>2 - 5</t>
    </r>
    <r>
      <rPr>
        <b/>
        <sz val="11"/>
        <color rgb="FF756762"/>
        <rFont val="Calibri"/>
        <family val="2"/>
        <scheme val="minor"/>
      </rPr>
      <t>&gt;</t>
    </r>
  </si>
  <si>
    <t>This formula is used to calculate the second through fifth digits of the question number. It first looks at the cell above and if blank it assumes a 0. If not blank, it looks at it's next highest neighbor above to see if there is a transition, it there is a transition then it resets to 0, Lastly it looks at the question depth to see if it is the same depth as above. If so it increments, if not it will pull down the value from above.</t>
  </si>
  <si>
    <r>
      <t>Q
&lt;</t>
    </r>
    <r>
      <rPr>
        <b/>
        <i/>
        <sz val="11"/>
        <color rgb="FF756762"/>
        <rFont val="Calibri"/>
        <family val="2"/>
        <scheme val="minor"/>
      </rPr>
      <t>HL Ans</t>
    </r>
    <r>
      <rPr>
        <b/>
        <sz val="11"/>
        <color rgb="FF756762"/>
        <rFont val="Calibri"/>
        <family val="2"/>
        <scheme val="minor"/>
      </rPr>
      <t>&gt;</t>
    </r>
  </si>
  <si>
    <r>
      <t xml:space="preserve">This formula is used to carry over and convert the answer from the Lite tab to a number on the detail tabs. The VLOOKUP will search the L2_Array named field to find the question serial number and bring back the answer number in that array. For proper SMT operation, if a Master SIG is created then high level responses are ignored.
</t>
    </r>
    <r>
      <rPr>
        <b/>
        <sz val="11"/>
        <color rgb="FF756762"/>
        <rFont val="Calibri"/>
        <family val="2"/>
        <scheme val="minor"/>
      </rPr>
      <t>Note</t>
    </r>
    <r>
      <rPr>
        <sz val="11"/>
        <color rgb="FF756762"/>
        <rFont val="Calibri"/>
        <family val="2"/>
        <scheme val="minor"/>
      </rPr>
      <t>: This function has been removed in the 2018 SIG. However, the L2 array still exists to ensure backward compatibility.</t>
    </r>
  </si>
  <si>
    <r>
      <t>R
&lt;</t>
    </r>
    <r>
      <rPr>
        <b/>
        <i/>
        <sz val="11"/>
        <color rgb="FF756762"/>
        <rFont val="Calibri"/>
        <family val="2"/>
        <scheme val="minor"/>
      </rPr>
      <t>Loc Ans</t>
    </r>
    <r>
      <rPr>
        <b/>
        <sz val="11"/>
        <color rgb="FF756762"/>
        <rFont val="Calibri"/>
        <family val="2"/>
        <scheme val="minor"/>
      </rPr>
      <t>&gt;</t>
    </r>
  </si>
  <si>
    <t>This formula converts the local answer to a number. It first checks to see if the depth is not blank. If it is then assumes the answer should be blank. If the depth field is not blank the formula converts the local answer to a number. 0 = No answer, 1 = "Yes", 2 = "No" and 3 = "N/A".</t>
  </si>
  <si>
    <r>
      <t>S
&lt;</t>
    </r>
    <r>
      <rPr>
        <b/>
        <i/>
        <sz val="11"/>
        <color rgb="FF756762"/>
        <rFont val="Calibri"/>
        <family val="2"/>
        <scheme val="minor"/>
      </rPr>
      <t>Comb Ans</t>
    </r>
    <r>
      <rPr>
        <b/>
        <sz val="11"/>
        <color rgb="FF756762"/>
        <rFont val="Calibri"/>
        <family val="2"/>
        <scheme val="minor"/>
      </rPr>
      <t>&gt;</t>
    </r>
  </si>
  <si>
    <t>This formula is used to combine the high level answer and the local answer. If the question depth is blank a blank is assumed. Responses are evaluated in the following order 1st - Lite, 2nd - local response.</t>
  </si>
  <si>
    <t>T2</t>
  </si>
  <si>
    <t>The value calculated with this formula counts the number of questions on the tab. This value is used by a formula on the Drops tab to calculate the total questions on the tab.</t>
  </si>
  <si>
    <r>
      <t>T
&lt;</t>
    </r>
    <r>
      <rPr>
        <b/>
        <i/>
        <sz val="11"/>
        <color rgb="FF756762"/>
        <rFont val="Calibri"/>
        <family val="2"/>
        <scheme val="minor"/>
      </rPr>
      <t>Table Calc (Tot Q#)</t>
    </r>
    <r>
      <rPr>
        <b/>
        <sz val="11"/>
        <color rgb="FF756762"/>
        <rFont val="Calibri"/>
        <family val="2"/>
        <scheme val="minor"/>
      </rPr>
      <t>&gt;</t>
    </r>
  </si>
  <si>
    <t>The value in this cell determines if the question is actually a question or if it is part of a response list for a question. The logic looks above, below and in column H to make the determination.</t>
  </si>
  <si>
    <r>
      <t>U
&lt;</t>
    </r>
    <r>
      <rPr>
        <b/>
        <i/>
        <sz val="11"/>
        <color rgb="FF756762"/>
        <rFont val="Calibri"/>
        <family val="2"/>
        <scheme val="minor"/>
      </rPr>
      <t>Q Carry Dn</t>
    </r>
    <r>
      <rPr>
        <b/>
        <sz val="11"/>
        <color rgb="FF756762"/>
        <rFont val="Calibri"/>
        <family val="2"/>
        <scheme val="minor"/>
      </rPr>
      <t>&gt;</t>
    </r>
  </si>
  <si>
    <t>This formula carries parent responses down to it's children. It first looks for a blank in the question depth and if blank will carry down the value from above. If the question has been answered it will bring over the question depth. If the questions not answered it will compare the local question depth to the previous value if the depth is greater the previous value will be carried down, if not it will turn to 0.</t>
  </si>
  <si>
    <r>
      <t>V
&lt;</t>
    </r>
    <r>
      <rPr>
        <b/>
        <i/>
        <sz val="11"/>
        <color rgb="FF756762"/>
        <rFont val="Calibri"/>
        <family val="2"/>
        <scheme val="minor"/>
      </rPr>
      <t>Resp Calc</t>
    </r>
    <r>
      <rPr>
        <b/>
        <sz val="11"/>
        <color rgb="FF756762"/>
        <rFont val="Calibri"/>
        <family val="2"/>
        <scheme val="minor"/>
      </rPr>
      <t>&gt;</t>
    </r>
  </si>
  <si>
    <t>This formula works with the Q Carry Dn formula to carry the value of the response down. If response is No or N/A those responses values are carried down to the next parent question. For proper SMT operation, if Master is selected (this tab, D6) response carry down is disabled.</t>
  </si>
  <si>
    <r>
      <t>W
&lt;</t>
    </r>
    <r>
      <rPr>
        <b/>
        <i/>
        <sz val="11"/>
        <color rgb="FF756762"/>
        <rFont val="Calibri"/>
        <family val="2"/>
        <scheme val="minor"/>
      </rPr>
      <t>T Carry Dn</t>
    </r>
    <r>
      <rPr>
        <b/>
        <sz val="11"/>
        <color rgb="FF756762"/>
        <rFont val="Calibri"/>
        <family val="2"/>
        <scheme val="minor"/>
      </rPr>
      <t>&gt;</t>
    </r>
  </si>
  <si>
    <t>The value in this cell identifies if a question in a table has been answered. If any value in a response list is answered the result will be rolled up the next cell until it reaches the list identifier.</t>
  </si>
  <si>
    <t>X2</t>
  </si>
  <si>
    <t>The formula in this cell counts the number of answered questions. This value is used by a formula on the Drops tab to calculate the total questions answered on the tab.</t>
  </si>
  <si>
    <r>
      <t>X
&lt;</t>
    </r>
    <r>
      <rPr>
        <b/>
        <i/>
        <sz val="11"/>
        <color rgb="FF756762"/>
        <rFont val="Calibri"/>
        <family val="2"/>
        <scheme val="minor"/>
      </rPr>
      <t>Final Ans</t>
    </r>
    <r>
      <rPr>
        <b/>
        <sz val="11"/>
        <color rgb="FF756762"/>
        <rFont val="Calibri"/>
        <family val="2"/>
        <scheme val="minor"/>
      </rPr>
      <t>&gt;</t>
    </r>
  </si>
  <si>
    <t>The result in this cell determines if a question has been answered and is used to count the actual questions answered not answers as part of a response list. This is a simple AND function to combine the values in columns T, S and V.</t>
  </si>
  <si>
    <t>Y1</t>
  </si>
  <si>
    <t>The formula in this cell calculates the total number of rows used on the tab.</t>
  </si>
  <si>
    <t>Y
&lt;Question Level&gt;</t>
  </si>
  <si>
    <t>Used to identify the scoping level of the question:
1 = Filter
2 = Lite
3 = Core
4 = Full</t>
  </si>
  <si>
    <t>Z
Category</t>
  </si>
  <si>
    <t>Identifies the category of the question</t>
  </si>
  <si>
    <t>AA
Sub-Category</t>
  </si>
  <si>
    <t>Identifies the sub-category of the question</t>
  </si>
  <si>
    <t>AB
Optional Scoring</t>
  </si>
  <si>
    <t>Provides a field for the user to provide their own value for the question. This field is only displayed when a Master SIG is created.</t>
  </si>
  <si>
    <t>AC
&lt;Automation Filter&gt;</t>
  </si>
  <si>
    <t>This value is macro generated and determines if the question should be displayed or not when tab automation is enabled. The macro calculates if the question is a parent and what it's response is and will then add a 1 or 2 to identify displayed questions. It then applies an auto-filter to the column to hide the children.</t>
  </si>
  <si>
    <t>AD
&lt;Maturity N/A&gt;</t>
  </si>
  <si>
    <t>Used to hash the maturity field. This field may be updated my the macro depending on the response. If the response is No or N/A this field gets updated and the formatting removed from the maturity field.</t>
  </si>
  <si>
    <t>AE
&lt;Scoping Filter&gt;</t>
  </si>
  <si>
    <t>The value in this field is macro generated and determines if the question should be displayed or not. If there is an x in the field the question will appear, if it's blank the question will be hidden by the auto-filter. This value is updated when the SIG is scoped.</t>
  </si>
  <si>
    <t>AF
Question Level</t>
  </si>
  <si>
    <t>Shows the scoping level of the question (see Y &lt;Question Level&gt; above). This field is only displayed when a Master SIG is created.</t>
  </si>
  <si>
    <t>Column (Cell)</t>
  </si>
  <si>
    <t>Formula</t>
  </si>
  <si>
    <t>Hard coded, unique serial number (Rows without questions have no serial numbers)</t>
  </si>
  <si>
    <t>A4 (some tabs location is different)</t>
  </si>
  <si>
    <t>MAX(An:An)</t>
  </si>
  <si>
    <t>D Conditional Formatting</t>
  </si>
  <si>
    <t>E Conditional Formatting</t>
  </si>
  <si>
    <t>Manually entered question depth value (0 - 5)</t>
  </si>
  <si>
    <t>Manually entered table top identifier (if 1 than table top)</t>
  </si>
  <si>
    <t>IF(Kn-1="",1,IF(In=1,Kn-1+1,Kn-1))</t>
  </si>
  <si>
    <t xml:space="preserve">L (M - O) are similar </t>
  </si>
  <si>
    <t>IF(Ln-1="",0,IF(Kn-1&lt;&gt;Kn,0,IF($In=2,Ln-1+1,Ln-1)))</t>
  </si>
  <si>
    <t>IF(OR(Master="Master",In=0,Jn=1),0,IF(ISNA(VLOOKUP(An,L2_Array,21,FALSE)),0,VLOOKUP(An,L2_Array,21,FALSE)))</t>
  </si>
  <si>
    <t>Q</t>
  </si>
  <si>
    <t>IF(In="","",IF(Dn="Yes",1,IF(Dn="No",2,IF(Dn="N/A",3,0))))</t>
  </si>
  <si>
    <t>R</t>
  </si>
  <si>
    <t>IF(In="","",IF(Pn&gt;0,Pn,IF(Qn&gt;0,Qn,0)))</t>
  </si>
  <si>
    <t>S</t>
  </si>
  <si>
    <t>IF(OR(In="",In=0),"",IF(OR(In=1,Sn-1=""),1,IF(OR(AND(Jn-1=1,(In-In-2&lt;&gt;0)),AND(Sn-1=0,In-1=I5),AND(Jn-1=1,In=In-2)),0,1)))</t>
  </si>
  <si>
    <t>IF(In="",Tn-1,IF(AND(Rn&gt;1,OR(Tn-1="",Tn-1=0,Tn-1&gt;=In)),In,IF(In&gt;Tn-1,Tn-1,0)))</t>
  </si>
  <si>
    <t>IF(Master="Master",Qn,IF(Un-1="",Rn,IF(OR(AND(Tn&gt;0,Rn&lt;Un-1),AND(Tn=1,Rn&lt;=Un-1)),Un-1,Rn)))</t>
  </si>
  <si>
    <t>IF(In="","",IF(OR(AND(Sn-1=1,Tn=1),Rn&gt;0,AND(Sn+1=0,Vn+1=1)),1,0))</t>
  </si>
  <si>
    <t>W</t>
  </si>
  <si>
    <t>IF(In="","",IF(OR(AND(Tn&gt;0,Sn=1),AND(Sn=1,Vn=1)),1,0))</t>
  </si>
  <si>
    <t>X</t>
  </si>
  <si>
    <t>IF(ISNA(VLOOKUP(An,L2_Array,1,FALSE)),"",1)</t>
  </si>
  <si>
    <t>Sheet Protection</t>
  </si>
  <si>
    <t>vSKrQP2D</t>
  </si>
  <si>
    <t>Ser No.</t>
  </si>
  <si>
    <t>SIG Question Text</t>
  </si>
  <si>
    <t>Sub-Category</t>
  </si>
  <si>
    <t>2021 SCA Reference</t>
  </si>
  <si>
    <t>SME Name</t>
  </si>
  <si>
    <t>SME Notes</t>
  </si>
  <si>
    <t>Optional Scoring</t>
  </si>
  <si>
    <t>ScaledLarge</t>
  </si>
  <si>
    <t>TabAuto</t>
  </si>
  <si>
    <t>Section</t>
  </si>
  <si>
    <t>Total Ques</t>
  </si>
  <si>
    <t>Quest ans</t>
  </si>
  <si>
    <t>Totals</t>
  </si>
  <si>
    <t>SMESIG</t>
  </si>
  <si>
    <t>Version Num</t>
  </si>
  <si>
    <t>FullFlag</t>
  </si>
  <si>
    <t>ServiceSelection</t>
  </si>
  <si>
    <t>A. Risk Management</t>
  </si>
  <si>
    <t>D. Asset and Info Management</t>
  </si>
  <si>
    <t>F. Physical and Environmental</t>
  </si>
  <si>
    <t>J. Incident Event &amp; Comm Mgmt</t>
  </si>
  <si>
    <t>Sheet Protection Password</t>
  </si>
  <si>
    <t>Scoped Name</t>
  </si>
  <si>
    <t>SIG Core 2021</t>
  </si>
  <si>
    <t>CurrentVersionSIG</t>
  </si>
  <si>
    <t>Bus Info</t>
  </si>
  <si>
    <t>Doc Info</t>
  </si>
  <si>
    <t>A1VerVal</t>
  </si>
  <si>
    <t>From Scoping</t>
  </si>
  <si>
    <t>ProtectStatus</t>
  </si>
  <si>
    <t>Locked</t>
  </si>
  <si>
    <t>Formula Notes Selected</t>
  </si>
  <si>
    <t>SIG 2021 Seelcted</t>
  </si>
  <si>
    <t>CompanyName</t>
  </si>
  <si>
    <t>CompanyNameFlag</t>
  </si>
  <si>
    <t>CompanyHashSIG</t>
  </si>
  <si>
    <t>ButtonGone</t>
  </si>
  <si>
    <t>ThisIsASIG</t>
  </si>
  <si>
    <t>SingleTabSngleDomain</t>
  </si>
  <si>
    <t>Single Domain</t>
  </si>
  <si>
    <t>JumpSelection</t>
  </si>
  <si>
    <t xml:space="preserve">Seismic's disaster recovery plan covers all essential and critical infrastructure elements, systems, and networks, in accordance with key business activities. 
Seismic states the following time objectives:
RTO &lt; 8 hours
RPO &lt; 8 hours
</t>
  </si>
  <si>
    <t>RPO &lt;8 hours</t>
  </si>
  <si>
    <t>RTO &lt;8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</si>
</sst>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32"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0"/>
      <name val="Arial"/>
      <family val="2"/>
    </font>
    <font>
      <sz val="11"/>
      <name val="Calibri"/>
      <family val="2"/>
      <scheme val="minor"/>
    </font>
    <font>
      <sz val="10"/>
      <name val="Calibri"/>
      <family val="2"/>
      <scheme val="minor"/>
    </font>
    <font>
      <b/>
      <sz val="14"/>
      <color theme="0"/>
      <name val="Calibri"/>
      <family val="2"/>
      <scheme val="minor"/>
    </font>
    <font>
      <b/>
      <sz val="12"/>
      <color theme="0"/>
      <name val="Calibri"/>
      <family val="2"/>
      <scheme val="minor"/>
    </font>
    <font>
      <b/>
      <sz val="14"/>
      <color rgb="FF756762"/>
      <name val="Calibri"/>
      <family val="2"/>
      <scheme val="minor"/>
    </font>
    <font>
      <b/>
      <sz val="14"/>
      <color rgb="FF006680"/>
      <name val="Calibri"/>
      <family val="2"/>
      <scheme val="minor"/>
    </font>
    <font>
      <u/>
      <sz val="10"/>
      <color theme="10"/>
      <name val="Arial"/>
      <family val="2"/>
    </font>
    <font>
      <sz val="11"/>
      <color rgb="FF756762"/>
      <name val="Calibri"/>
      <family val="2"/>
      <scheme val="minor"/>
    </font>
    <font>
      <b/>
      <sz val="11"/>
      <color rgb="FF756762"/>
      <name val="Calibri"/>
      <family val="2"/>
      <scheme val="minor"/>
    </font>
    <font>
      <b/>
      <sz val="11"/>
      <color rgb="FF006680"/>
      <name val="Calibri"/>
      <family val="2"/>
      <scheme val="minor"/>
    </font>
    <font>
      <sz val="12"/>
      <color rgb="FF756762"/>
      <name val="Calibri"/>
      <family val="2"/>
      <scheme val="minor"/>
    </font>
    <font>
      <b/>
      <u/>
      <sz val="11"/>
      <color rgb="FFBC6225"/>
      <name val="Calibri"/>
      <family val="2"/>
      <scheme val="minor"/>
    </font>
    <font>
      <u/>
      <sz val="10"/>
      <color indexed="12"/>
      <name val="Arial"/>
      <family val="2"/>
    </font>
    <font>
      <u/>
      <sz val="11"/>
      <color indexed="12"/>
      <name val="Calibri"/>
      <family val="2"/>
      <scheme val="minor"/>
    </font>
    <font>
      <b/>
      <sz val="18"/>
      <color theme="0"/>
      <name val="Calibri"/>
      <family val="2"/>
      <scheme val="minor"/>
    </font>
    <font>
      <b/>
      <sz val="18"/>
      <color rgb="FFEDDFDA"/>
      <name val="Calibri"/>
      <family val="2"/>
      <scheme val="minor"/>
    </font>
    <font>
      <b/>
      <sz val="10"/>
      <color theme="0"/>
      <name val="Calibri"/>
      <family val="2"/>
      <scheme val="minor"/>
    </font>
    <font>
      <sz val="10"/>
      <color theme="0"/>
      <name val="Calibri"/>
      <family val="2"/>
      <scheme val="minor"/>
    </font>
    <font>
      <b/>
      <sz val="11"/>
      <name val="Calibri"/>
      <family val="2"/>
      <scheme val="minor"/>
    </font>
    <font>
      <sz val="6"/>
      <name val="Calibri"/>
      <family val="2"/>
      <scheme val="minor"/>
    </font>
    <font>
      <sz val="8"/>
      <name val="Calibri"/>
      <family val="2"/>
      <scheme val="minor"/>
    </font>
    <font>
      <b/>
      <i/>
      <sz val="11"/>
      <color theme="0"/>
      <name val="Calibri"/>
      <family val="2"/>
      <scheme val="minor"/>
    </font>
    <font>
      <b/>
      <sz val="11"/>
      <color indexed="9"/>
      <name val="Calibri"/>
      <family val="2"/>
      <scheme val="minor"/>
    </font>
    <font>
      <b/>
      <i/>
      <sz val="11"/>
      <color rgb="FF756762"/>
      <name val="Calibri"/>
      <family val="2"/>
      <scheme val="minor"/>
    </font>
    <font>
      <sz val="10"/>
      <color rgb="FFFF0000"/>
      <name val="Calibri"/>
      <family val="2"/>
      <scheme val="minor"/>
    </font>
    <font>
      <sz val="10"/>
      <color rgb="FF000000"/>
      <name val="Arial"/>
      <family val="2"/>
    </font>
  </fonts>
  <fills count="10">
    <fill>
      <patternFill patternType="none"/>
    </fill>
    <fill>
      <patternFill patternType="gray125"/>
    </fill>
    <fill>
      <patternFill patternType="solid">
        <fgColor rgb="FF006680"/>
        <bgColor indexed="64"/>
      </patternFill>
    </fill>
    <fill>
      <patternFill patternType="solid">
        <fgColor theme="0"/>
        <bgColor indexed="64"/>
      </patternFill>
    </fill>
    <fill>
      <patternFill patternType="solid">
        <fgColor rgb="FF006680"/>
        <bgColor indexed="22"/>
      </patternFill>
    </fill>
    <fill>
      <patternFill patternType="solid">
        <fgColor rgb="FF006680"/>
        <bgColor auto="1"/>
      </patternFill>
    </fill>
    <fill>
      <patternFill patternType="solid">
        <fgColor rgb="FFA7A9AC"/>
        <bgColor indexed="64"/>
      </patternFill>
    </fill>
    <fill>
      <patternFill patternType="solid">
        <fgColor rgb="FFBC6225"/>
        <bgColor indexed="64"/>
      </patternFill>
    </fill>
    <fill>
      <patternFill patternType="solid">
        <fgColor rgb="FFC66225"/>
        <bgColor indexed="64"/>
      </patternFill>
    </fill>
    <fill>
      <patternFill patternType="lightGrid">
        <fgColor rgb="FF006680"/>
        <bgColor auto="1"/>
      </patternFill>
    </fill>
  </fills>
  <borders count="3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theme="0"/>
      </bottom>
      <diagonal/>
    </border>
    <border>
      <left/>
      <right/>
      <top/>
      <bottom style="thin">
        <color theme="0"/>
      </bottom>
      <diagonal/>
    </border>
    <border>
      <left/>
      <right style="thin">
        <color auto="1"/>
      </right>
      <top/>
      <bottom/>
      <diagonal/>
    </border>
    <border>
      <left style="thin">
        <color auto="1"/>
      </left>
      <right style="thin">
        <color auto="1"/>
      </right>
      <top style="thin">
        <color theme="0"/>
      </top>
      <bottom style="thin">
        <color auto="1"/>
      </bottom>
      <diagonal/>
    </border>
    <border>
      <left style="thin">
        <color auto="1"/>
      </left>
      <right/>
      <top style="thin">
        <color theme="0"/>
      </top>
      <bottom style="thin">
        <color auto="1"/>
      </bottom>
      <diagonal/>
    </border>
    <border>
      <left/>
      <right style="thin">
        <color auto="1"/>
      </right>
      <top style="thin">
        <color theme="0"/>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rgb="FFEDDFDA"/>
      </right>
      <top style="thin">
        <color auto="1"/>
      </top>
      <bottom style="thin">
        <color auto="1"/>
      </bottom>
      <diagonal/>
    </border>
    <border>
      <left style="thin">
        <color rgb="FFEDDFDA"/>
      </left>
      <right style="thin">
        <color auto="1"/>
      </right>
      <top style="thin">
        <color auto="1"/>
      </top>
      <bottom style="thin">
        <color auto="1"/>
      </bottom>
      <diagonal/>
    </border>
    <border>
      <left style="thin">
        <color auto="1"/>
      </left>
      <right style="thin">
        <color rgb="FFEDDFDA"/>
      </right>
      <top style="thin">
        <color rgb="FFEDDFDA"/>
      </top>
      <bottom style="thin">
        <color auto="1"/>
      </bottom>
      <diagonal/>
    </border>
    <border>
      <left style="thin">
        <color rgb="FFEDDFDA"/>
      </left>
      <right style="thin">
        <color rgb="FFEDDFDA"/>
      </right>
      <top style="thin">
        <color auto="1"/>
      </top>
      <bottom style="thin">
        <color auto="1"/>
      </bottom>
      <diagonal/>
    </border>
    <border>
      <left style="thin">
        <color auto="1"/>
      </left>
      <right/>
      <top style="thin">
        <color auto="1"/>
      </top>
      <bottom style="thin">
        <color auto="1"/>
      </bottom>
      <diagonal/>
    </border>
    <border>
      <left style="thin">
        <color theme="0"/>
      </left>
      <right/>
      <top style="thin">
        <color auto="1"/>
      </top>
      <bottom style="thin">
        <color theme="0"/>
      </bottom>
      <diagonal/>
    </border>
    <border>
      <left style="thin">
        <color rgb="FFEDDFDA"/>
      </left>
      <right style="thin">
        <color rgb="FFEDDFDA"/>
      </right>
      <top/>
      <bottom style="thin">
        <color auto="1"/>
      </bottom>
      <diagonal/>
    </border>
    <border>
      <left style="thin">
        <color rgb="FFEDDFDA"/>
      </left>
      <right style="thin">
        <color rgb="FFEDDFDA"/>
      </right>
      <top style="thin">
        <color rgb="FFEDDFDA"/>
      </top>
      <bottom style="thin">
        <color auto="1"/>
      </bottom>
      <diagonal/>
    </border>
    <border>
      <left style="thin">
        <color rgb="FFEDDFDA"/>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DDFDA"/>
      </left>
      <right/>
      <top style="thin">
        <color auto="1"/>
      </top>
      <bottom style="thin">
        <color auto="1"/>
      </bottom>
      <diagonal/>
    </border>
    <border>
      <left/>
      <right style="thin">
        <color rgb="FFEDDFDA"/>
      </right>
      <top style="thin">
        <color auto="1"/>
      </top>
      <bottom style="thin">
        <color auto="1"/>
      </bottom>
      <diagonal/>
    </border>
    <border>
      <left style="thin">
        <color auto="1"/>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rgb="FFFF0000"/>
      </left>
      <right style="thin">
        <color rgb="FFFF0000"/>
      </right>
      <top style="thin">
        <color rgb="FFFF0000"/>
      </top>
      <bottom style="thin">
        <color rgb="FFFF0000"/>
      </bottom>
      <diagonal/>
    </border>
  </borders>
  <cellStyleXfs count="5">
    <xf numFmtId="0" fontId="0" fillId="0" borderId="0"/>
    <xf numFmtId="0" fontId="12" fillId="0" borderId="0" applyNumberFormat="0" applyFill="0" applyBorder="0" applyAlignment="0" applyProtection="0"/>
    <xf numFmtId="0" fontId="5" fillId="0" borderId="0"/>
    <xf numFmtId="0" fontId="1" fillId="0" borderId="0"/>
    <xf numFmtId="0" fontId="18" fillId="0" borderId="0" applyNumberFormat="0" applyFill="0" applyBorder="0" applyAlignment="0" applyProtection="0">
      <alignment vertical="top"/>
      <protection locked="0"/>
    </xf>
  </cellStyleXfs>
  <cellXfs count="157">
    <xf numFmtId="0" fontId="0" fillId="0" borderId="0" xfId="0"/>
    <xf numFmtId="0" fontId="6" fillId="0" borderId="0" xfId="2" applyFont="1" applyProtection="1">
      <protection locked="0"/>
    </xf>
    <xf numFmtId="0" fontId="7" fillId="0" borderId="0" xfId="2" applyFont="1"/>
    <xf numFmtId="0" fontId="6" fillId="0" borderId="0" xfId="2" applyFont="1"/>
    <xf numFmtId="0" fontId="8" fillId="2" borderId="1" xfId="2" applyFont="1" applyFill="1" applyBorder="1" applyAlignment="1">
      <alignment wrapText="1"/>
    </xf>
    <xf numFmtId="0" fontId="9" fillId="2" borderId="2" xfId="2" applyFont="1" applyFill="1" applyBorder="1" applyAlignment="1">
      <alignment wrapText="1"/>
    </xf>
    <xf numFmtId="0" fontId="10" fillId="3" borderId="1" xfId="2" applyFont="1" applyFill="1" applyBorder="1" applyAlignment="1">
      <alignment wrapText="1"/>
    </xf>
    <xf numFmtId="0" fontId="11" fillId="0" borderId="2" xfId="2" applyFont="1" applyBorder="1" applyAlignment="1">
      <alignment wrapText="1"/>
    </xf>
    <xf numFmtId="0" fontId="4" fillId="0" borderId="2" xfId="1" applyFont="1" applyFill="1" applyBorder="1" applyAlignment="1">
      <alignment wrapText="1"/>
    </xf>
    <xf numFmtId="0" fontId="13" fillId="0" borderId="2" xfId="2" applyFont="1" applyBorder="1" applyAlignment="1">
      <alignment wrapText="1"/>
    </xf>
    <xf numFmtId="0" fontId="14" fillId="0" borderId="2" xfId="2" applyFont="1" applyBorder="1" applyAlignment="1">
      <alignment wrapText="1"/>
    </xf>
    <xf numFmtId="0" fontId="15" fillId="0" borderId="2" xfId="2" applyFont="1" applyBorder="1" applyAlignment="1">
      <alignment wrapText="1"/>
    </xf>
    <xf numFmtId="0" fontId="13" fillId="0" borderId="2" xfId="2" quotePrefix="1" applyFont="1" applyBorder="1" applyAlignment="1">
      <alignment horizontal="left" wrapText="1" indent="1"/>
    </xf>
    <xf numFmtId="0" fontId="4" fillId="0" borderId="2" xfId="1" quotePrefix="1" applyFont="1" applyFill="1" applyBorder="1" applyAlignment="1">
      <alignment horizontal="left" wrapText="1" indent="1"/>
    </xf>
    <xf numFmtId="0" fontId="13" fillId="0" borderId="2" xfId="2" applyFont="1" applyBorder="1" applyAlignment="1">
      <alignment horizontal="left" wrapText="1"/>
    </xf>
    <xf numFmtId="0" fontId="16" fillId="0" borderId="3" xfId="2" applyFont="1" applyBorder="1" applyAlignment="1">
      <alignment wrapText="1"/>
    </xf>
    <xf numFmtId="0" fontId="8" fillId="4" borderId="4" xfId="2" applyFont="1" applyFill="1" applyBorder="1"/>
    <xf numFmtId="0" fontId="8" fillId="2" borderId="5" xfId="2" applyFont="1" applyFill="1" applyBorder="1"/>
    <xf numFmtId="0" fontId="8" fillId="2" borderId="6" xfId="2" applyFont="1" applyFill="1" applyBorder="1"/>
    <xf numFmtId="0" fontId="9" fillId="4" borderId="7" xfId="2" applyFont="1" applyFill="1" applyBorder="1"/>
    <xf numFmtId="0" fontId="9" fillId="2" borderId="8" xfId="2" applyFont="1" applyFill="1" applyBorder="1"/>
    <xf numFmtId="0" fontId="9" fillId="2" borderId="0" xfId="2" applyFont="1" applyFill="1"/>
    <xf numFmtId="0" fontId="9" fillId="2" borderId="9" xfId="2" applyFont="1" applyFill="1" applyBorder="1"/>
    <xf numFmtId="0" fontId="8" fillId="4" borderId="10" xfId="2" applyFont="1" applyFill="1" applyBorder="1"/>
    <xf numFmtId="0" fontId="8" fillId="5" borderId="11" xfId="2" applyFont="1" applyFill="1" applyBorder="1"/>
    <xf numFmtId="0" fontId="2" fillId="5" borderId="12" xfId="2" applyFont="1" applyFill="1" applyBorder="1"/>
    <xf numFmtId="0" fontId="13" fillId="0" borderId="1" xfId="2" applyFont="1" applyBorder="1" applyAlignment="1">
      <alignment wrapText="1"/>
    </xf>
    <xf numFmtId="0" fontId="8" fillId="2" borderId="14" xfId="2" applyFont="1" applyFill="1" applyBorder="1" applyAlignment="1">
      <alignment horizontal="left"/>
    </xf>
    <xf numFmtId="0" fontId="13" fillId="0" borderId="3" xfId="2" applyFont="1" applyBorder="1" applyAlignment="1">
      <alignment wrapText="1"/>
    </xf>
    <xf numFmtId="0" fontId="8" fillId="2" borderId="13" xfId="2" applyFont="1" applyFill="1" applyBorder="1" applyAlignment="1">
      <alignment horizontal="left"/>
    </xf>
    <xf numFmtId="0" fontId="2" fillId="0" borderId="2" xfId="2" applyFont="1" applyBorder="1" applyAlignment="1">
      <alignment horizontal="left"/>
    </xf>
    <xf numFmtId="0" fontId="8" fillId="2" borderId="13" xfId="2" applyFont="1" applyFill="1" applyBorder="1"/>
    <xf numFmtId="0" fontId="2" fillId="2" borderId="9" xfId="2" applyFont="1" applyFill="1" applyBorder="1"/>
    <xf numFmtId="0" fontId="1" fillId="0" borderId="0" xfId="3"/>
    <xf numFmtId="0" fontId="13" fillId="0" borderId="15" xfId="2" applyFont="1" applyBorder="1" applyAlignment="1">
      <alignment wrapText="1"/>
    </xf>
    <xf numFmtId="0" fontId="6" fillId="0" borderId="2" xfId="2" applyFont="1" applyBorder="1"/>
    <xf numFmtId="0" fontId="7" fillId="0" borderId="0" xfId="2" applyFont="1" applyAlignment="1">
      <alignment vertical="top"/>
    </xf>
    <xf numFmtId="0" fontId="20" fillId="2" borderId="4" xfId="2" applyFont="1" applyFill="1" applyBorder="1" applyAlignment="1">
      <alignment vertical="top" wrapText="1"/>
    </xf>
    <xf numFmtId="0" fontId="21" fillId="2" borderId="5" xfId="2" applyFont="1" applyFill="1" applyBorder="1" applyAlignment="1">
      <alignment vertical="top" wrapText="1"/>
    </xf>
    <xf numFmtId="0" fontId="21" fillId="2" borderId="6" xfId="2" applyFont="1" applyFill="1" applyBorder="1" applyAlignment="1">
      <alignment vertical="top" wrapText="1"/>
    </xf>
    <xf numFmtId="0" fontId="2" fillId="4" borderId="18" xfId="2" applyFont="1" applyFill="1" applyBorder="1" applyAlignment="1">
      <alignment horizontal="center" vertical="top"/>
    </xf>
    <xf numFmtId="0" fontId="2" fillId="4" borderId="19" xfId="2" applyFont="1" applyFill="1" applyBorder="1" applyAlignment="1">
      <alignment horizontal="center" vertical="top"/>
    </xf>
    <xf numFmtId="0" fontId="19" fillId="0" borderId="14" xfId="4" applyFont="1" applyBorder="1" applyAlignment="1" applyProtection="1"/>
    <xf numFmtId="0" fontId="3" fillId="5" borderId="14" xfId="2" applyFont="1" applyFill="1" applyBorder="1" applyAlignment="1">
      <alignment horizontal="center" vertical="top"/>
    </xf>
    <xf numFmtId="0" fontId="6" fillId="0" borderId="14" xfId="2" applyFont="1" applyBorder="1" applyAlignment="1">
      <alignment vertical="top"/>
    </xf>
    <xf numFmtId="0" fontId="2" fillId="6" borderId="14" xfId="2" applyFont="1" applyFill="1" applyBorder="1" applyAlignment="1">
      <alignment horizontal="right" vertical="top"/>
    </xf>
    <xf numFmtId="0" fontId="3" fillId="6" borderId="3" xfId="2" applyFont="1" applyFill="1" applyBorder="1" applyAlignment="1" applyProtection="1">
      <alignment horizontal="center" wrapText="1"/>
      <protection locked="0"/>
    </xf>
    <xf numFmtId="9" fontId="22" fillId="7" borderId="14" xfId="2" applyNumberFormat="1" applyFont="1" applyFill="1" applyBorder="1" applyAlignment="1">
      <alignment horizontal="center" vertical="top"/>
    </xf>
    <xf numFmtId="0" fontId="22" fillId="0" borderId="0" xfId="2" applyFont="1" applyAlignment="1">
      <alignment horizontal="center" vertical="top"/>
    </xf>
    <xf numFmtId="0" fontId="23" fillId="0" borderId="0" xfId="2" applyFont="1" applyAlignment="1" applyProtection="1">
      <alignment vertical="top"/>
      <protection locked="0"/>
    </xf>
    <xf numFmtId="0" fontId="6" fillId="0" borderId="0" xfId="2" applyFont="1" applyAlignment="1">
      <alignment vertical="top"/>
    </xf>
    <xf numFmtId="0" fontId="4" fillId="0" borderId="14" xfId="1" applyFont="1" applyBorder="1" applyAlignment="1" applyProtection="1"/>
    <xf numFmtId="0" fontId="4" fillId="0" borderId="14" xfId="1" applyFont="1" applyBorder="1"/>
    <xf numFmtId="0" fontId="24" fillId="0" borderId="14" xfId="2" applyFont="1" applyBorder="1" applyAlignment="1">
      <alignment vertical="top"/>
    </xf>
    <xf numFmtId="0" fontId="22" fillId="2" borderId="6" xfId="2" applyFont="1" applyFill="1" applyBorder="1"/>
    <xf numFmtId="0" fontId="25" fillId="0" borderId="0" xfId="2" applyFont="1" applyAlignment="1">
      <alignment vertical="top" textRotation="90"/>
    </xf>
    <xf numFmtId="0" fontId="22" fillId="2" borderId="13" xfId="2" applyFont="1" applyFill="1" applyBorder="1" applyAlignment="1">
      <alignment horizontal="right"/>
    </xf>
    <xf numFmtId="9" fontId="22" fillId="8" borderId="14" xfId="2" applyNumberFormat="1" applyFont="1" applyFill="1" applyBorder="1" applyAlignment="1">
      <alignment horizontal="center" vertical="top"/>
    </xf>
    <xf numFmtId="0" fontId="26" fillId="0" borderId="0" xfId="2" applyFont="1" applyAlignment="1">
      <alignment vertical="top"/>
    </xf>
    <xf numFmtId="0" fontId="2" fillId="4" borderId="20" xfId="2" applyFont="1" applyFill="1" applyBorder="1" applyAlignment="1">
      <alignment horizontal="center" vertical="top"/>
    </xf>
    <xf numFmtId="0" fontId="2" fillId="4" borderId="21" xfId="2" applyFont="1" applyFill="1" applyBorder="1" applyAlignment="1">
      <alignment horizontal="center" vertical="top"/>
    </xf>
    <xf numFmtId="0" fontId="26" fillId="0" borderId="0" xfId="2" applyFont="1" applyAlignment="1">
      <alignment vertical="top" wrapText="1"/>
    </xf>
    <xf numFmtId="0" fontId="13" fillId="0" borderId="22" xfId="2" applyFont="1" applyBorder="1" applyAlignment="1">
      <alignment vertical="top" wrapText="1"/>
    </xf>
    <xf numFmtId="0" fontId="3" fillId="6" borderId="14" xfId="2" applyFont="1" applyFill="1" applyBorder="1" applyAlignment="1" applyProtection="1">
      <alignment vertical="top" wrapText="1"/>
      <protection locked="0"/>
    </xf>
    <xf numFmtId="0" fontId="2" fillId="4" borderId="21" xfId="2" applyFont="1" applyFill="1" applyBorder="1" applyAlignment="1" applyProtection="1">
      <alignment horizontal="center" vertical="top"/>
      <protection locked="0"/>
    </xf>
    <xf numFmtId="0" fontId="13" fillId="0" borderId="22" xfId="2" applyFont="1" applyBorder="1" applyAlignment="1">
      <alignment horizontal="left" vertical="top" wrapText="1" indent="1"/>
    </xf>
    <xf numFmtId="0" fontId="27" fillId="4" borderId="18" xfId="2" applyFont="1" applyFill="1" applyBorder="1" applyAlignment="1">
      <alignment horizontal="center" vertical="top" wrapText="1"/>
    </xf>
    <xf numFmtId="0" fontId="6" fillId="9" borderId="14" xfId="2" applyFont="1" applyFill="1" applyBorder="1" applyAlignment="1" applyProtection="1">
      <alignment vertical="top" wrapText="1"/>
      <protection locked="0"/>
    </xf>
    <xf numFmtId="0" fontId="13" fillId="0" borderId="22" xfId="2" applyFont="1" applyBorder="1" applyAlignment="1">
      <alignment horizontal="left" vertical="top" wrapText="1" indent="2"/>
    </xf>
    <xf numFmtId="0" fontId="7" fillId="0" borderId="0" xfId="2" applyFont="1" applyAlignment="1">
      <alignment vertical="top" textRotation="90"/>
    </xf>
    <xf numFmtId="0" fontId="20" fillId="2" borderId="5" xfId="2" applyFont="1" applyFill="1" applyBorder="1" applyAlignment="1">
      <alignment vertical="top"/>
    </xf>
    <xf numFmtId="0" fontId="22" fillId="2" borderId="5" xfId="2" applyFont="1" applyFill="1" applyBorder="1"/>
    <xf numFmtId="0" fontId="2" fillId="2" borderId="15" xfId="2" applyFont="1" applyFill="1" applyBorder="1"/>
    <xf numFmtId="0" fontId="2" fillId="2" borderId="17" xfId="2" applyFont="1" applyFill="1" applyBorder="1" applyAlignment="1">
      <alignment horizontal="left" wrapText="1"/>
    </xf>
    <xf numFmtId="0" fontId="2" fillId="2" borderId="16" xfId="2" applyFont="1" applyFill="1" applyBorder="1" applyAlignment="1">
      <alignment horizontal="left" wrapText="1"/>
    </xf>
    <xf numFmtId="0" fontId="13" fillId="0" borderId="14" xfId="2" applyFont="1" applyBorder="1" applyAlignment="1">
      <alignment wrapText="1"/>
    </xf>
    <xf numFmtId="0" fontId="3" fillId="6" borderId="14" xfId="2" applyFont="1" applyFill="1" applyBorder="1" applyAlignment="1" applyProtection="1">
      <alignment wrapText="1"/>
      <protection locked="0"/>
    </xf>
    <xf numFmtId="0" fontId="20" fillId="2" borderId="4" xfId="2" applyFont="1" applyFill="1" applyBorder="1" applyAlignment="1">
      <alignment vertical="top"/>
    </xf>
    <xf numFmtId="0" fontId="23" fillId="2" borderId="5" xfId="2" applyFont="1" applyFill="1" applyBorder="1"/>
    <xf numFmtId="0" fontId="22" fillId="2" borderId="5" xfId="2" applyFont="1" applyFill="1" applyBorder="1" applyAlignment="1">
      <alignment vertical="top"/>
    </xf>
    <xf numFmtId="0" fontId="23" fillId="2" borderId="5" xfId="2" applyFont="1" applyFill="1" applyBorder="1" applyAlignment="1">
      <alignment vertical="top"/>
    </xf>
    <xf numFmtId="0" fontId="2" fillId="2" borderId="23" xfId="2" applyFont="1" applyFill="1" applyBorder="1" applyAlignment="1">
      <alignment horizontal="right" vertical="center"/>
    </xf>
    <xf numFmtId="0" fontId="22" fillId="2" borderId="5" xfId="2" applyFont="1" applyFill="1" applyBorder="1" applyAlignment="1">
      <alignment horizontal="right" vertical="top"/>
    </xf>
    <xf numFmtId="0" fontId="8" fillId="2" borderId="6" xfId="2" applyFont="1" applyFill="1" applyBorder="1" applyAlignment="1">
      <alignment horizontal="center" vertical="top"/>
    </xf>
    <xf numFmtId="0" fontId="7" fillId="0" borderId="5" xfId="2" applyFont="1" applyBorder="1" applyAlignment="1">
      <alignment vertical="top"/>
    </xf>
    <xf numFmtId="0" fontId="20" fillId="2" borderId="4" xfId="2" applyFont="1" applyFill="1" applyBorder="1" applyAlignment="1">
      <alignment horizontal="centerContinuous" vertical="top"/>
    </xf>
    <xf numFmtId="0" fontId="20" fillId="2" borderId="5" xfId="2" applyFont="1" applyFill="1" applyBorder="1" applyAlignment="1">
      <alignment horizontal="centerContinuous" vertical="top"/>
    </xf>
    <xf numFmtId="0" fontId="20" fillId="2" borderId="6" xfId="2" applyFont="1" applyFill="1" applyBorder="1" applyAlignment="1">
      <alignment horizontal="centerContinuous" vertical="top"/>
    </xf>
    <xf numFmtId="0" fontId="28" fillId="2" borderId="15" xfId="2" applyFont="1" applyFill="1" applyBorder="1"/>
    <xf numFmtId="0" fontId="2" fillId="2" borderId="17" xfId="2" applyFont="1" applyFill="1" applyBorder="1" applyAlignment="1">
      <alignment horizontal="left" vertical="top"/>
    </xf>
    <xf numFmtId="0" fontId="2" fillId="2" borderId="17" xfId="2" applyFont="1" applyFill="1" applyBorder="1" applyAlignment="1">
      <alignment horizontal="right" vertical="top"/>
    </xf>
    <xf numFmtId="9" fontId="2" fillId="7" borderId="14" xfId="2" applyNumberFormat="1" applyFont="1" applyFill="1" applyBorder="1" applyAlignment="1">
      <alignment horizontal="center" vertical="top"/>
    </xf>
    <xf numFmtId="0" fontId="3" fillId="2" borderId="17" xfId="2" applyFont="1" applyFill="1" applyBorder="1" applyAlignment="1">
      <alignment vertical="top"/>
    </xf>
    <xf numFmtId="0" fontId="2" fillId="2" borderId="24" xfId="2" applyFont="1" applyFill="1" applyBorder="1" applyAlignment="1">
      <alignment horizontal="right" vertical="top"/>
    </xf>
    <xf numFmtId="0" fontId="2" fillId="6" borderId="25" xfId="2" applyFont="1" applyFill="1" applyBorder="1" applyAlignment="1" applyProtection="1">
      <alignment vertical="top"/>
      <protection locked="0"/>
    </xf>
    <xf numFmtId="0" fontId="2" fillId="2" borderId="26" xfId="2" applyFont="1" applyFill="1" applyBorder="1" applyAlignment="1">
      <alignment vertical="top"/>
    </xf>
    <xf numFmtId="0" fontId="3" fillId="2" borderId="16" xfId="2" applyFont="1" applyFill="1" applyBorder="1" applyAlignment="1">
      <alignment vertical="top"/>
    </xf>
    <xf numFmtId="0" fontId="7" fillId="0" borderId="17" xfId="2" applyFont="1" applyBorder="1" applyAlignment="1">
      <alignment vertical="top"/>
    </xf>
    <xf numFmtId="0" fontId="7" fillId="0" borderId="17" xfId="2" applyFont="1" applyBorder="1"/>
    <xf numFmtId="0" fontId="23" fillId="2" borderId="15" xfId="2" applyFont="1" applyFill="1" applyBorder="1" applyAlignment="1">
      <alignment vertical="top"/>
    </xf>
    <xf numFmtId="0" fontId="23" fillId="2" borderId="17" xfId="2" applyFont="1" applyFill="1" applyBorder="1" applyAlignment="1">
      <alignment vertical="top"/>
    </xf>
    <xf numFmtId="0" fontId="23" fillId="2" borderId="16" xfId="2" applyFont="1" applyFill="1" applyBorder="1" applyAlignment="1">
      <alignment vertical="top"/>
    </xf>
    <xf numFmtId="0" fontId="7" fillId="0" borderId="5" xfId="2" applyFont="1" applyBorder="1" applyAlignment="1">
      <alignment vertical="top" textRotation="90"/>
    </xf>
    <xf numFmtId="0" fontId="6" fillId="0" borderId="22"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2" fillId="4" borderId="29" xfId="2" applyFont="1" applyFill="1" applyBorder="1" applyAlignment="1">
      <alignment horizontal="centerContinuous" vertical="top"/>
    </xf>
    <xf numFmtId="0" fontId="2" fillId="4" borderId="28" xfId="2" applyFont="1" applyFill="1" applyBorder="1" applyAlignment="1">
      <alignment horizontal="centerContinuous" vertical="top" wrapText="1"/>
    </xf>
    <xf numFmtId="0" fontId="6" fillId="0" borderId="28" xfId="2" applyFont="1" applyBorder="1"/>
    <xf numFmtId="0" fontId="6" fillId="0" borderId="14" xfId="2" applyFont="1" applyBorder="1"/>
    <xf numFmtId="0" fontId="7" fillId="0" borderId="14" xfId="2" applyFont="1" applyBorder="1"/>
    <xf numFmtId="0" fontId="2" fillId="4" borderId="30" xfId="2" applyFont="1" applyFill="1" applyBorder="1" applyAlignment="1">
      <alignment horizontal="center" vertical="top" wrapText="1"/>
    </xf>
    <xf numFmtId="0" fontId="2" fillId="4" borderId="14" xfId="2" applyFont="1" applyFill="1" applyBorder="1" applyAlignment="1">
      <alignment horizontal="center" vertical="top"/>
    </xf>
    <xf numFmtId="0" fontId="13" fillId="0" borderId="3" xfId="2" applyFont="1" applyBorder="1" applyAlignment="1">
      <alignment vertical="top" wrapText="1"/>
    </xf>
    <xf numFmtId="0" fontId="3" fillId="6" borderId="3" xfId="2" applyFont="1" applyFill="1" applyBorder="1" applyAlignment="1" applyProtection="1">
      <alignment horizontal="center" vertical="center" wrapText="1"/>
      <protection locked="0"/>
    </xf>
    <xf numFmtId="0" fontId="3" fillId="6" borderId="3" xfId="2" applyFont="1" applyFill="1" applyBorder="1" applyAlignment="1" applyProtection="1">
      <alignment vertical="top" wrapText="1"/>
      <protection locked="0"/>
    </xf>
    <xf numFmtId="0" fontId="3" fillId="6" borderId="3" xfId="2" applyFont="1" applyFill="1" applyBorder="1" applyAlignment="1" applyProtection="1">
      <alignment horizontal="center" vertical="center"/>
      <protection locked="0"/>
    </xf>
    <xf numFmtId="165" fontId="13" fillId="0" borderId="22" xfId="2" applyNumberFormat="1" applyFont="1" applyBorder="1" applyAlignment="1">
      <alignment vertical="top" wrapText="1"/>
    </xf>
    <xf numFmtId="0" fontId="7" fillId="0" borderId="28" xfId="2" applyFont="1" applyBorder="1" applyAlignment="1">
      <alignment vertical="top" wrapText="1"/>
    </xf>
    <xf numFmtId="0" fontId="7" fillId="0" borderId="13" xfId="2" applyFont="1" applyBorder="1"/>
    <xf numFmtId="0" fontId="6" fillId="0" borderId="0" xfId="2" applyFont="1" applyAlignment="1">
      <alignment vertical="top" wrapText="1"/>
    </xf>
    <xf numFmtId="0" fontId="20" fillId="2" borderId="6" xfId="2" applyFont="1" applyFill="1" applyBorder="1" applyAlignment="1">
      <alignment vertical="top"/>
    </xf>
    <xf numFmtId="0" fontId="2" fillId="2" borderId="15" xfId="2" applyFont="1" applyFill="1" applyBorder="1" applyAlignment="1">
      <alignment vertical="top"/>
    </xf>
    <xf numFmtId="0" fontId="2" fillId="2" borderId="16" xfId="2" applyFont="1" applyFill="1" applyBorder="1" applyAlignment="1">
      <alignment vertical="top"/>
    </xf>
    <xf numFmtId="0" fontId="14" fillId="0" borderId="14" xfId="2" applyFont="1" applyBorder="1" applyAlignment="1">
      <alignment vertical="top" wrapText="1"/>
    </xf>
    <xf numFmtId="0" fontId="13" fillId="0" borderId="14" xfId="2" applyFont="1" applyBorder="1" applyAlignment="1">
      <alignment vertical="top" wrapText="1"/>
    </xf>
    <xf numFmtId="0" fontId="14" fillId="0" borderId="14" xfId="2" applyFont="1" applyBorder="1" applyAlignment="1">
      <alignment vertical="top"/>
    </xf>
    <xf numFmtId="0" fontId="2" fillId="2" borderId="31" xfId="2" applyFont="1" applyFill="1" applyBorder="1" applyAlignment="1">
      <alignment vertical="top"/>
    </xf>
    <xf numFmtId="0" fontId="2" fillId="2" borderId="32" xfId="2" applyFont="1" applyFill="1" applyBorder="1" applyAlignment="1">
      <alignment vertical="top"/>
    </xf>
    <xf numFmtId="0" fontId="13" fillId="0" borderId="14" xfId="2" applyFont="1" applyBorder="1" applyAlignment="1" applyProtection="1">
      <alignment vertical="top" wrapText="1"/>
      <protection locked="0"/>
    </xf>
    <xf numFmtId="0" fontId="6" fillId="0" borderId="14" xfId="2" applyFont="1" applyBorder="1" applyAlignment="1">
      <alignment horizontal="left" vertical="top" wrapText="1"/>
    </xf>
    <xf numFmtId="0" fontId="7" fillId="0" borderId="14" xfId="2" applyFont="1" applyBorder="1" applyAlignment="1">
      <alignment horizontal="centerContinuous"/>
    </xf>
    <xf numFmtId="0" fontId="7" fillId="0" borderId="27" xfId="2" applyFont="1" applyBorder="1" applyAlignment="1">
      <alignment horizontal="centerContinuous"/>
    </xf>
    <xf numFmtId="0" fontId="7" fillId="0" borderId="28" xfId="2" applyFont="1" applyBorder="1" applyAlignment="1">
      <alignment horizontal="centerContinuous"/>
    </xf>
    <xf numFmtId="0" fontId="7" fillId="0" borderId="22" xfId="2" applyFont="1" applyBorder="1"/>
    <xf numFmtId="164" fontId="7" fillId="0" borderId="22" xfId="2" applyNumberFormat="1" applyFont="1" applyBorder="1"/>
    <xf numFmtId="0" fontId="30" fillId="0" borderId="33" xfId="2" applyFont="1" applyBorder="1"/>
    <xf numFmtId="0" fontId="5" fillId="0" borderId="0" xfId="2"/>
    <xf numFmtId="0" fontId="13" fillId="0" borderId="3" xfId="2" applyFont="1" applyBorder="1" applyAlignment="1">
      <alignment horizontal="left" vertical="top" wrapText="1" indent="1"/>
    </xf>
    <xf numFmtId="0" fontId="13" fillId="0" borderId="3" xfId="2" applyFont="1" applyBorder="1" applyAlignment="1">
      <alignment horizontal="left" vertical="top" wrapText="1" indent="2"/>
    </xf>
    <xf numFmtId="0" fontId="13" fillId="0" borderId="3" xfId="2" applyFont="1" applyBorder="1" applyAlignment="1">
      <alignment horizontal="left" vertical="top" wrapText="1" indent="3"/>
    </xf>
    <xf numFmtId="0" fontId="13" fillId="0" borderId="3" xfId="2" applyFont="1" applyBorder="1" applyAlignment="1">
      <alignment horizontal="left" vertical="top" wrapText="1" indent="4"/>
    </xf>
    <xf numFmtId="164" fontId="3" fillId="6" borderId="14" xfId="2" quotePrefix="1" applyNumberFormat="1" applyFont="1" applyFill="1" applyBorder="1" applyAlignment="1" applyProtection="1">
      <alignment vertical="top" wrapText="1"/>
      <protection locked="0"/>
    </xf>
    <xf numFmtId="0" fontId="6" fillId="6" borderId="4" xfId="2" applyFont="1" applyFill="1" applyBorder="1" applyAlignment="1" applyProtection="1">
      <alignment vertical="top" wrapText="1"/>
      <protection locked="0"/>
    </xf>
    <xf numFmtId="0" fontId="5" fillId="6" borderId="6" xfId="2" applyFill="1" applyBorder="1" applyAlignment="1" applyProtection="1">
      <alignment vertical="top" wrapText="1"/>
      <protection locked="0"/>
    </xf>
    <xf numFmtId="0" fontId="5" fillId="6" borderId="13" xfId="2" applyFill="1" applyBorder="1" applyAlignment="1" applyProtection="1">
      <alignment vertical="top" wrapText="1"/>
      <protection locked="0"/>
    </xf>
    <xf numFmtId="0" fontId="5" fillId="6" borderId="9" xfId="2" applyFill="1" applyBorder="1" applyAlignment="1" applyProtection="1">
      <alignment vertical="top" wrapText="1"/>
      <protection locked="0"/>
    </xf>
    <xf numFmtId="0" fontId="5" fillId="6" borderId="15" xfId="2" applyFill="1" applyBorder="1" applyAlignment="1" applyProtection="1">
      <alignment vertical="top" wrapText="1"/>
      <protection locked="0"/>
    </xf>
    <xf numFmtId="0" fontId="5" fillId="6" borderId="16" xfId="2" applyFill="1" applyBorder="1" applyAlignment="1" applyProtection="1">
      <alignment vertical="top" wrapText="1"/>
      <protection locked="0"/>
    </xf>
    <xf numFmtId="0" fontId="19" fillId="0" borderId="15" xfId="4" applyFont="1" applyBorder="1" applyAlignment="1" applyProtection="1">
      <alignment wrapText="1"/>
    </xf>
    <xf numFmtId="0" fontId="19" fillId="0" borderId="16" xfId="4" applyFont="1" applyBorder="1" applyAlignment="1" applyProtection="1">
      <alignment wrapText="1"/>
    </xf>
    <xf numFmtId="0" fontId="2" fillId="2" borderId="15" xfId="2" applyFont="1" applyFill="1" applyBorder="1" applyAlignment="1">
      <alignment vertical="center" wrapText="1"/>
    </xf>
    <xf numFmtId="0" fontId="3" fillId="2" borderId="17" xfId="2" applyFont="1" applyFill="1" applyBorder="1" applyAlignment="1">
      <alignment vertical="center" wrapText="1"/>
    </xf>
    <xf numFmtId="0" fontId="3" fillId="2" borderId="16" xfId="2" applyFont="1" applyFill="1" applyBorder="1" applyAlignment="1">
      <alignment vertical="center" wrapText="1"/>
    </xf>
    <xf numFmtId="0" fontId="15" fillId="0" borderId="22" xfId="2" applyFont="1" applyBorder="1" applyAlignment="1">
      <alignment vertical="top" wrapText="1"/>
    </xf>
    <xf numFmtId="0" fontId="7" fillId="0" borderId="27" xfId="2" applyFont="1" applyBorder="1" applyAlignment="1">
      <alignment vertical="top"/>
    </xf>
    <xf numFmtId="0" fontId="7" fillId="0" borderId="28" xfId="2" applyFont="1" applyBorder="1" applyAlignment="1">
      <alignment vertical="top"/>
    </xf>
  </cellXfs>
  <cellStyles count="5">
    <cellStyle name="Hyperlink" xfId="1" builtinId="8"/>
    <cellStyle name="Hyperlink 2" xfId="4" xr:uid="{3E09FE37-D190-4895-BA94-469E6AA9ECC7}"/>
    <cellStyle name="Normal" xfId="0" builtinId="0"/>
    <cellStyle name="Normal 2" xfId="2" xr:uid="{628D4CFD-1B18-4F76-B7E3-B7A82383A333}"/>
    <cellStyle name="Normal 4 3" xfId="3" xr:uid="{C59A4079-3E59-47A0-A3FB-3B3CF8A0CBD6}"/>
  </cellStyles>
  <dxfs count="16">
    <dxf>
      <fill>
        <patternFill>
          <bgColor rgb="FFFF0000"/>
        </patternFill>
      </fill>
    </dxf>
    <dxf>
      <border>
        <left/>
        <vertical/>
        <horizontal/>
      </border>
    </dxf>
    <dxf>
      <font>
        <color theme="0"/>
      </font>
      <fill>
        <patternFill patternType="solid">
          <fgColor auto="1"/>
          <bgColor rgb="FFBC6225"/>
        </patternFill>
      </fill>
    </dxf>
    <dxf>
      <font>
        <color theme="0"/>
      </font>
      <fill>
        <patternFill patternType="solid">
          <fgColor auto="1"/>
          <bgColor theme="1"/>
        </patternFill>
      </fill>
    </dxf>
    <dxf>
      <font>
        <color theme="0"/>
      </font>
      <fill>
        <patternFill patternType="solid">
          <fgColor auto="1"/>
          <bgColor rgb="FF756762"/>
        </patternFill>
      </fill>
    </dxf>
    <dxf>
      <font>
        <b/>
        <i val="0"/>
      </font>
    </dxf>
    <dxf>
      <font>
        <color theme="0"/>
      </font>
      <fill>
        <patternFill patternType="solid">
          <fgColor auto="1"/>
          <bgColor rgb="FF756762"/>
        </patternFill>
      </fill>
    </dxf>
    <dxf>
      <font>
        <color theme="0"/>
      </font>
      <fill>
        <patternFill patternType="solid">
          <fgColor auto="1"/>
          <bgColor rgb="FF756762"/>
        </patternFill>
      </fill>
    </dxf>
    <dxf>
      <font>
        <color theme="0"/>
      </font>
      <fill>
        <patternFill patternType="solid">
          <fgColor auto="1"/>
          <bgColor rgb="FF756762"/>
        </patternFill>
      </fill>
    </dxf>
    <dxf>
      <font>
        <color theme="0"/>
      </font>
      <fill>
        <patternFill patternType="solid">
          <fgColor auto="1"/>
          <bgColor rgb="FF756762"/>
        </patternFill>
      </fill>
    </dxf>
    <dxf>
      <fill>
        <patternFill patternType="mediumGray">
          <fgColor rgb="FFFFDE9B"/>
          <bgColor rgb="FF92D050"/>
        </patternFill>
      </fill>
    </dxf>
    <dxf>
      <fill>
        <patternFill>
          <bgColor indexed="24"/>
        </patternFill>
      </fill>
    </dxf>
    <dxf>
      <font>
        <color theme="0"/>
      </font>
      <fill>
        <patternFill patternType="solid">
          <fgColor auto="1"/>
          <bgColor rgb="FFBC6225"/>
        </patternFill>
      </fill>
    </dxf>
    <dxf>
      <font>
        <color theme="0"/>
      </font>
      <fill>
        <patternFill patternType="solid">
          <fgColor auto="1"/>
          <bgColor theme="1"/>
        </patternFill>
      </fill>
    </dxf>
    <dxf>
      <font>
        <color theme="0"/>
      </font>
      <fill>
        <patternFill patternType="solid">
          <fgColor auto="1"/>
          <bgColor rgb="FF756762"/>
        </patternFill>
      </fill>
    </dxf>
    <dxf>
      <fill>
        <patternFill patternType="lightGrid">
          <fgColor indexed="23"/>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trlProps/ctrlProp1.xml><?xml version="1.0" encoding="utf-8"?>
<formControlPr xmlns="http://schemas.microsoft.com/office/spreadsheetml/2009/9/main" objectType="Drop" dropLines="18" dropStyle="combo" dx="22" fmlaLink="Drops!$F$45" fmlaRange="Drops!$E$26:$E$43" noThreeD="1" sel="0" val="0"/>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807</xdr:colOff>
      <xdr:row>1</xdr:row>
      <xdr:rowOff>266</xdr:rowOff>
    </xdr:from>
    <xdr:to>
      <xdr:col>1</xdr:col>
      <xdr:colOff>4011705</xdr:colOff>
      <xdr:row>1</xdr:row>
      <xdr:rowOff>1076029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37" y="45986"/>
          <a:ext cx="4010898" cy="10757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4011705</xdr:colOff>
      <xdr:row>1</xdr:row>
      <xdr:rowOff>1075763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 y="45720"/>
          <a:ext cx="4011705" cy="10757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1283970</xdr:colOff>
          <xdr:row>0</xdr:row>
          <xdr:rowOff>49530</xdr:rowOff>
        </xdr:from>
        <xdr:to>
          <xdr:col>9</xdr:col>
          <xdr:colOff>190500</xdr:colOff>
          <xdr:row>0</xdr:row>
          <xdr:rowOff>240030</xdr:rowOff>
        </xdr:to>
        <xdr:sp macro="" textlink="">
          <xdr:nvSpPr>
            <xdr:cNvPr id="6145" name="Jump To"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5932170</xdr:colOff>
          <xdr:row>1</xdr:row>
          <xdr:rowOff>125730</xdr:rowOff>
        </xdr:from>
        <xdr:to>
          <xdr:col>3</xdr:col>
          <xdr:colOff>0</xdr:colOff>
          <xdr:row>2</xdr:row>
          <xdr:rowOff>64770</xdr:rowOff>
        </xdr:to>
        <xdr:sp macro="" textlink="">
          <xdr:nvSpPr>
            <xdr:cNvPr id="7169" name="ExportJSON"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w="9525">
              <a:miter lim="800000"/>
              <a:headEnd/>
              <a:tailEnd/>
            </a:ln>
          </xdr:spPr>
          <xdr:txBody>
            <a:bodyPr vertOverflow="clip" wrap="square" lIns="54864" tIns="41148" rIns="54864" bIns="41148" anchor="ctr" upright="1"/>
            <a:lstStyle/>
            <a:p>
              <a:pPr algn="ctr" rtl="0">
                <a:defRPr sz="1000"/>
              </a:pPr>
              <a:r>
                <a:rPr lang="en-US" sz="1000" b="0" i="0" u="none" strike="noStrike" baseline="0">
                  <a:solidFill>
                    <a:srgbClr val="000000"/>
                  </a:solidFill>
                  <a:latin typeface="Arial"/>
                  <a:cs typeface="Arial"/>
                </a:rPr>
                <a:t>Export SIG JSON</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sharedassessments.org/tools-support/" TargetMode="External"/><Relationship Id="rId7" Type="http://schemas.openxmlformats.org/officeDocument/2006/relationships/printerSettings" Target="../printerSettings/printerSettings1.bin"/><Relationship Id="rId2" Type="http://schemas.openxmlformats.org/officeDocument/2006/relationships/hyperlink" Target="https://www.santa-fe-group.com/" TargetMode="External"/><Relationship Id="rId1" Type="http://schemas.openxmlformats.org/officeDocument/2006/relationships/hyperlink" Target="https://sharedassessments.org/" TargetMode="External"/><Relationship Id="rId6" Type="http://schemas.openxmlformats.org/officeDocument/2006/relationships/hyperlink" Target="mailto:info@sharedassessments.org" TargetMode="External"/><Relationship Id="rId5" Type="http://schemas.openxmlformats.org/officeDocument/2006/relationships/hyperlink" Target="mailto:info@sharedassessments.org" TargetMode="External"/><Relationship Id="rId4" Type="http://schemas.openxmlformats.org/officeDocument/2006/relationships/hyperlink" Target="https://sharedassessments.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haredassessments.org/glossary"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trlProp" Target="../ctrlProps/ctrlProp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FECC-23BD-4B44-BC66-760412CA89E5}">
  <sheetPr codeName="Sheet01">
    <pageSetUpPr fitToPage="1"/>
  </sheetPr>
  <dimension ref="A1:B22"/>
  <sheetViews>
    <sheetView showGridLines="0" zoomScaleNormal="100" workbookViewId="0"/>
  </sheetViews>
  <sheetFormatPr defaultColWidth="8.68359375" defaultRowHeight="14.4" x14ac:dyDescent="0.55000000000000004"/>
  <cols>
    <col min="1" max="1" width="0.68359375" style="3" customWidth="1"/>
    <col min="2" max="2" width="137.47265625" style="3" customWidth="1"/>
    <col min="3" max="16384" width="8.68359375" style="3"/>
  </cols>
  <sheetData>
    <row r="1" spans="1:2" ht="3.75" customHeight="1" x14ac:dyDescent="0.55000000000000004">
      <c r="A1" s="1"/>
      <c r="B1" s="2"/>
    </row>
    <row r="2" spans="1:2" ht="123" customHeight="1" x14ac:dyDescent="0.7">
      <c r="B2" s="4" t="s">
        <v>0</v>
      </c>
    </row>
    <row r="3" spans="1:2" ht="15.6" x14ac:dyDescent="0.6">
      <c r="B3" s="5" t="str">
        <f>"Version: "&amp;CurrentVersionSIG&amp;" - Licensed to: "&amp;CompanyName</f>
        <v>Version: 2021.02 - Licensed to: Seismic Software</v>
      </c>
    </row>
    <row r="4" spans="1:2" ht="91.5" x14ac:dyDescent="0.7">
      <c r="B4" s="6" t="s">
        <v>1</v>
      </c>
    </row>
    <row r="5" spans="1:2" ht="18.3" x14ac:dyDescent="0.7">
      <c r="B5" s="7" t="s">
        <v>2</v>
      </c>
    </row>
    <row r="6" spans="1:2" ht="15" customHeight="1" x14ac:dyDescent="0.55000000000000004">
      <c r="B6" s="8" t="s">
        <v>3</v>
      </c>
    </row>
    <row r="7" spans="1:2" ht="28.8" x14ac:dyDescent="0.55000000000000004">
      <c r="B7" s="9" t="s">
        <v>4</v>
      </c>
    </row>
    <row r="8" spans="1:2" x14ac:dyDescent="0.55000000000000004">
      <c r="B8" s="10" t="s">
        <v>5</v>
      </c>
    </row>
    <row r="9" spans="1:2" x14ac:dyDescent="0.55000000000000004">
      <c r="B9" s="8" t="s">
        <v>6</v>
      </c>
    </row>
    <row r="10" spans="1:2" ht="28.8" x14ac:dyDescent="0.55000000000000004">
      <c r="B10" s="8" t="s">
        <v>7</v>
      </c>
    </row>
    <row r="11" spans="1:2" x14ac:dyDescent="0.55000000000000004">
      <c r="B11" s="8" t="s">
        <v>8</v>
      </c>
    </row>
    <row r="12" spans="1:2" x14ac:dyDescent="0.55000000000000004">
      <c r="B12" s="8" t="s">
        <v>9</v>
      </c>
    </row>
    <row r="13" spans="1:2" ht="18.3" x14ac:dyDescent="0.7">
      <c r="B13" s="7" t="s">
        <v>10</v>
      </c>
    </row>
    <row r="14" spans="1:2" x14ac:dyDescent="0.55000000000000004">
      <c r="B14" s="11" t="s">
        <v>11</v>
      </c>
    </row>
    <row r="15" spans="1:2" ht="28.8" x14ac:dyDescent="0.55000000000000004">
      <c r="B15" s="9" t="s">
        <v>12</v>
      </c>
    </row>
    <row r="16" spans="1:2" ht="15" customHeight="1" x14ac:dyDescent="0.55000000000000004">
      <c r="B16" s="11" t="s">
        <v>13</v>
      </c>
    </row>
    <row r="17" spans="2:2" ht="15" customHeight="1" x14ac:dyDescent="0.55000000000000004">
      <c r="B17" s="12" t="s">
        <v>14</v>
      </c>
    </row>
    <row r="18" spans="2:2" ht="28.8" x14ac:dyDescent="0.55000000000000004">
      <c r="B18" s="13" t="s">
        <v>15</v>
      </c>
    </row>
    <row r="19" spans="2:2" ht="28.8" x14ac:dyDescent="0.55000000000000004">
      <c r="B19" s="12" t="s">
        <v>16</v>
      </c>
    </row>
    <row r="20" spans="2:2" ht="28.8" x14ac:dyDescent="0.55000000000000004">
      <c r="B20" s="12" t="s">
        <v>17</v>
      </c>
    </row>
    <row r="21" spans="2:2" ht="57.6" x14ac:dyDescent="0.55000000000000004">
      <c r="B21" s="14" t="s">
        <v>18</v>
      </c>
    </row>
    <row r="22" spans="2:2" ht="109.2" x14ac:dyDescent="0.6">
      <c r="B22" s="15" t="s">
        <v>19</v>
      </c>
    </row>
  </sheetData>
  <sheetProtection algorithmName="SHA-512" hashValue="znd96tMZz/+q/4X/Fl5D9zkjrLDTXy7fOYpft60U+6E5lMA+zkZAsFt2bb6O2TXX9cjytl1iTuPlqekgawvPAg==" saltValue="pdJ+2EyIGMGl6917QOLQqA==" spinCount="100000" sheet="1" objects="1" scenarios="1"/>
  <hyperlinks>
    <hyperlink ref="B6" r:id="rId1" xr:uid="{575CBF2A-A8C0-40DA-AAEE-86B51AE4D686}"/>
    <hyperlink ref="B9" r:id="rId2" xr:uid="{DC14546B-0D78-44BE-88F9-9EAA23D9E8C8}"/>
    <hyperlink ref="B10" r:id="rId3" xr:uid="{82932320-2DDC-4673-901F-654B33224EDC}"/>
    <hyperlink ref="B11" r:id="rId4" xr:uid="{08D29E9E-1607-4E47-95D8-1F2B8D90228A}"/>
    <hyperlink ref="B12" r:id="rId5" xr:uid="{C0FE025A-CBBE-4131-8169-B09E8713AB68}"/>
    <hyperlink ref="B18" r:id="rId6" xr:uid="{D494AC89-3225-4888-B08D-F06C3CB1CC22}"/>
  </hyperlinks>
  <pageMargins left="0.25" right="0.25" top="0.75" bottom="0.75" header="0.3" footer="0.3"/>
  <pageSetup scale="59" orientation="landscape" r:id="rId7"/>
  <headerFooter>
    <oddHeader>&amp;L&amp;K756762Shared Assessments Program&amp;C&amp;K756762Standardized Information Gathering (SIG) Questionnaire&amp;R&amp;K756762 Version 2020</oddHeader>
    <oddFooter>&amp;L&amp;K756762&amp;A&amp;C&amp;K756762Page &amp;P of &amp;N Page(s)</oddFooter>
  </headerFooter>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57F09-6493-47D6-BA4D-70A2AC5A9330}">
  <sheetPr codeName="Sheet03">
    <pageSetUpPr fitToPage="1"/>
  </sheetPr>
  <dimension ref="A1:E20"/>
  <sheetViews>
    <sheetView showGridLines="0" zoomScaleNormal="100" workbookViewId="0"/>
  </sheetViews>
  <sheetFormatPr defaultColWidth="8.68359375" defaultRowHeight="14.4" x14ac:dyDescent="0.55000000000000004"/>
  <cols>
    <col min="1" max="1" width="0.68359375" style="2" customWidth="1"/>
    <col min="2" max="2" width="95.47265625" style="3" customWidth="1"/>
    <col min="3" max="3" width="1.15625" style="3" customWidth="1"/>
    <col min="4" max="4" width="21" style="3" customWidth="1"/>
    <col min="5" max="5" width="87.47265625" style="3" customWidth="1"/>
    <col min="6" max="16384" width="8.68359375" style="3"/>
  </cols>
  <sheetData>
    <row r="1" spans="2:5" s="2" customFormat="1" ht="3.75" customHeight="1" x14ac:dyDescent="0.5"/>
    <row r="2" spans="2:5" s="2" customFormat="1" ht="123" customHeight="1" x14ac:dyDescent="0.7">
      <c r="B2" s="16" t="s">
        <v>0</v>
      </c>
      <c r="C2" s="17"/>
      <c r="D2" s="17"/>
      <c r="E2" s="18"/>
    </row>
    <row r="3" spans="2:5" s="2" customFormat="1" ht="14.25" customHeight="1" x14ac:dyDescent="0.6">
      <c r="B3" s="19" t="str">
        <f>"Version: "&amp;CurrentVersionSIG&amp;" Licensed to: "&amp;CompanyName</f>
        <v>Version: 2021.02 Licensed to: Seismic Software</v>
      </c>
      <c r="C3" s="20"/>
      <c r="D3" s="21"/>
      <c r="E3" s="22"/>
    </row>
    <row r="4" spans="2:5" s="2" customFormat="1" ht="26.05" customHeight="1" x14ac:dyDescent="0.7">
      <c r="B4" s="23" t="s">
        <v>20</v>
      </c>
      <c r="D4" s="24" t="s">
        <v>21</v>
      </c>
      <c r="E4" s="25"/>
    </row>
    <row r="5" spans="2:5" ht="57.6" x14ac:dyDescent="0.55000000000000004">
      <c r="B5" s="26" t="s">
        <v>22</v>
      </c>
      <c r="D5" s="143"/>
      <c r="E5" s="144"/>
    </row>
    <row r="6" spans="2:5" ht="66" customHeight="1" x14ac:dyDescent="0.55000000000000004">
      <c r="B6" s="9" t="s">
        <v>23</v>
      </c>
      <c r="D6" s="145"/>
      <c r="E6" s="146"/>
    </row>
    <row r="7" spans="2:5" ht="36.75" customHeight="1" x14ac:dyDescent="0.55000000000000004">
      <c r="B7" s="9" t="s">
        <v>24</v>
      </c>
      <c r="D7" s="145"/>
      <c r="E7" s="146"/>
    </row>
    <row r="8" spans="2:5" ht="18.3" x14ac:dyDescent="0.7">
      <c r="B8" s="27" t="s">
        <v>25</v>
      </c>
      <c r="D8" s="145"/>
      <c r="E8" s="146"/>
    </row>
    <row r="9" spans="2:5" ht="28.8" x14ac:dyDescent="0.55000000000000004">
      <c r="B9" s="9" t="s">
        <v>26</v>
      </c>
      <c r="D9" s="145"/>
      <c r="E9" s="146"/>
    </row>
    <row r="10" spans="2:5" ht="75.75" customHeight="1" x14ac:dyDescent="0.55000000000000004">
      <c r="B10" s="9" t="s">
        <v>27</v>
      </c>
      <c r="D10" s="145"/>
      <c r="E10" s="146"/>
    </row>
    <row r="11" spans="2:5" x14ac:dyDescent="0.55000000000000004">
      <c r="B11" s="9" t="s">
        <v>28</v>
      </c>
      <c r="D11" s="145"/>
      <c r="E11" s="146"/>
    </row>
    <row r="12" spans="2:5" x14ac:dyDescent="0.55000000000000004">
      <c r="B12" s="9" t="s">
        <v>29</v>
      </c>
      <c r="D12" s="145"/>
      <c r="E12" s="146"/>
    </row>
    <row r="13" spans="2:5" ht="28.8" x14ac:dyDescent="0.55000000000000004">
      <c r="B13" s="9" t="s">
        <v>30</v>
      </c>
      <c r="D13" s="145"/>
      <c r="E13" s="146"/>
    </row>
    <row r="14" spans="2:5" ht="28.8" x14ac:dyDescent="0.55000000000000004">
      <c r="B14" s="9" t="s">
        <v>31</v>
      </c>
      <c r="D14" s="145"/>
      <c r="E14" s="146"/>
    </row>
    <row r="15" spans="2:5" ht="28.8" x14ac:dyDescent="0.55000000000000004">
      <c r="B15" s="9" t="s">
        <v>32</v>
      </c>
      <c r="D15" s="145"/>
      <c r="E15" s="146"/>
    </row>
    <row r="16" spans="2:5" x14ac:dyDescent="0.55000000000000004">
      <c r="B16" s="9" t="s">
        <v>33</v>
      </c>
      <c r="D16" s="145"/>
      <c r="E16" s="146"/>
    </row>
    <row r="17" spans="2:5" ht="28.8" x14ac:dyDescent="0.55000000000000004">
      <c r="B17" s="9" t="s">
        <v>34</v>
      </c>
      <c r="D17" s="145"/>
      <c r="E17" s="146"/>
    </row>
    <row r="18" spans="2:5" ht="43.2" x14ac:dyDescent="0.55000000000000004">
      <c r="B18" s="28" t="s">
        <v>35</v>
      </c>
      <c r="D18" s="147"/>
      <c r="E18" s="148"/>
    </row>
    <row r="19" spans="2:5" s="33" customFormat="1" ht="18.3" x14ac:dyDescent="0.7">
      <c r="B19" s="29" t="s">
        <v>36</v>
      </c>
      <c r="C19" s="30"/>
      <c r="D19" s="31" t="s">
        <v>37</v>
      </c>
      <c r="E19" s="32"/>
    </row>
    <row r="20" spans="2:5" s="33" customFormat="1" ht="33" customHeight="1" x14ac:dyDescent="0.55000000000000004">
      <c r="B20" s="34" t="s">
        <v>38</v>
      </c>
      <c r="C20" s="35"/>
      <c r="D20" s="149" t="s">
        <v>39</v>
      </c>
      <c r="E20" s="150"/>
    </row>
  </sheetData>
  <sheetProtection algorithmName="SHA-512" hashValue="J2DreTLylwszBhWnzpx/GrosOGV0vC0O2HHKDYMvAi4p6EA77VqJVXSCBbwl9MLyuVMxbGh2dtCkrtceRiRtyA==" saltValue="vxR8OEMfEEL/CMGgSVBqLg==" spinCount="100000" sheet="1" objects="1" scenarios="1"/>
  <mergeCells count="2">
    <mergeCell ref="D5:E18"/>
    <mergeCell ref="D20:E20"/>
  </mergeCells>
  <hyperlinks>
    <hyperlink ref="D20:E20" r:id="rId1" display="For definitions of terms within this document, please refer to the following link: https://sharedassessments.org/glossary" xr:uid="{CC556615-93EF-4787-8038-CB56428D47D7}"/>
  </hyperlinks>
  <pageMargins left="0.25" right="0.25" top="0.75" bottom="0.75" header="0.3" footer="0.3"/>
  <pageSetup scale="62" fitToHeight="0" orientation="landscape" r:id="rId2"/>
  <headerFooter>
    <oddHeader>&amp;L&amp;K756762Shared Assessments Program&amp;C&amp;K756762Standardized Information Gathering (SIG) Questionnaire&amp;R&amp;K756762 Version 2202</oddHeader>
    <oddFooter>&amp;L&amp;K756762&amp;A&amp;C&amp;K756762Page &amp;P of &amp;N Page(s)</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3EC0-ADE7-4DC8-B0B6-BB0ED3CBAEE3}">
  <sheetPr codeName="Sheet04" filterMode="1">
    <pageSetUpPr fitToPage="1"/>
  </sheetPr>
  <dimension ref="B1:H55"/>
  <sheetViews>
    <sheetView showGridLines="0" zoomScaleNormal="100" workbookViewId="0"/>
  </sheetViews>
  <sheetFormatPr defaultColWidth="8.68359375" defaultRowHeight="12.9" x14ac:dyDescent="0.55000000000000004"/>
  <cols>
    <col min="1" max="1" width="0.68359375" style="36" customWidth="1"/>
    <col min="2" max="2" width="58.47265625" style="36" customWidth="1"/>
    <col min="3" max="3" width="18.15625" style="36" customWidth="1"/>
    <col min="4" max="4" width="0.68359375" style="36" customWidth="1"/>
    <col min="5" max="5" width="69.3125" style="36" bestFit="1" customWidth="1"/>
    <col min="6" max="6" width="9.47265625" style="36" customWidth="1"/>
    <col min="7" max="7" width="8.68359375" style="36" hidden="1" customWidth="1"/>
    <col min="8" max="16384" width="8.68359375" style="36"/>
  </cols>
  <sheetData>
    <row r="1" spans="2:7" ht="3.75" customHeight="1" x14ac:dyDescent="0.55000000000000004"/>
    <row r="2" spans="2:7" ht="23.1" x14ac:dyDescent="0.55000000000000004">
      <c r="B2" s="37" t="s">
        <v>40</v>
      </c>
      <c r="C2" s="38"/>
      <c r="D2" s="38"/>
      <c r="E2" s="38"/>
      <c r="F2" s="39"/>
      <c r="G2" s="36">
        <v>1</v>
      </c>
    </row>
    <row r="3" spans="2:7" ht="44.25" customHeight="1" x14ac:dyDescent="0.55000000000000004">
      <c r="B3" s="151" t="s">
        <v>41</v>
      </c>
      <c r="C3" s="152"/>
      <c r="D3" s="152"/>
      <c r="E3" s="152"/>
      <c r="F3" s="153"/>
      <c r="G3" s="36">
        <v>1</v>
      </c>
    </row>
    <row r="4" spans="2:7" ht="14.4" x14ac:dyDescent="0.55000000000000004">
      <c r="B4" s="40" t="s">
        <v>42</v>
      </c>
      <c r="C4" s="41" t="s">
        <v>43</v>
      </c>
      <c r="D4" s="36" t="s">
        <v>44</v>
      </c>
      <c r="E4" s="40" t="s">
        <v>45</v>
      </c>
      <c r="F4" s="41" t="s">
        <v>46</v>
      </c>
      <c r="G4" s="36">
        <v>1</v>
      </c>
    </row>
    <row r="5" spans="2:7" ht="14.4" x14ac:dyDescent="0.55000000000000004">
      <c r="B5" s="42" t="s">
        <v>47</v>
      </c>
      <c r="C5" s="43" t="s">
        <v>48</v>
      </c>
      <c r="E5" s="44" t="s">
        <v>49</v>
      </c>
      <c r="F5" s="45"/>
      <c r="G5" s="36">
        <v>1</v>
      </c>
    </row>
    <row r="6" spans="2:7" ht="14.4" x14ac:dyDescent="0.55000000000000004">
      <c r="B6" s="42" t="s">
        <v>50</v>
      </c>
      <c r="C6" s="43" t="s">
        <v>48</v>
      </c>
      <c r="E6" s="44" t="s">
        <v>51</v>
      </c>
      <c r="F6" s="46" t="s">
        <v>52</v>
      </c>
      <c r="G6" s="36">
        <v>1</v>
      </c>
    </row>
    <row r="7" spans="2:7" ht="14.4" x14ac:dyDescent="0.55000000000000004">
      <c r="B7" s="42" t="s">
        <v>53</v>
      </c>
      <c r="C7" s="47">
        <f>'Business Information'!C2</f>
        <v>1</v>
      </c>
      <c r="E7" s="44" t="s">
        <v>54</v>
      </c>
      <c r="F7" s="46" t="s">
        <v>55</v>
      </c>
      <c r="G7" s="36">
        <v>1</v>
      </c>
    </row>
    <row r="8" spans="2:7" ht="14.4" x14ac:dyDescent="0.55000000000000004">
      <c r="B8" s="42" t="s">
        <v>56</v>
      </c>
      <c r="C8" s="43" t="s">
        <v>48</v>
      </c>
      <c r="E8" s="44" t="s">
        <v>57</v>
      </c>
      <c r="F8" s="46" t="s">
        <v>48</v>
      </c>
      <c r="G8" s="36">
        <v>1</v>
      </c>
    </row>
    <row r="9" spans="2:7" ht="14.4" hidden="1" x14ac:dyDescent="0.55000000000000004">
      <c r="B9" s="42" t="s">
        <v>58</v>
      </c>
      <c r="C9" s="47" t="str">
        <f ca="1">Drops!H3</f>
        <v/>
      </c>
      <c r="E9" s="2"/>
      <c r="F9" s="2"/>
      <c r="G9" s="36">
        <f ca="1">IF(Drops!I3=TRUE,1,0)</f>
        <v>0</v>
      </c>
    </row>
    <row r="10" spans="2:7" ht="14.4" hidden="1" x14ac:dyDescent="0.55000000000000004">
      <c r="B10" s="42" t="s">
        <v>59</v>
      </c>
      <c r="C10" s="47" t="str">
        <f ca="1">Drops!H4</f>
        <v/>
      </c>
      <c r="G10" s="36">
        <f ca="1">IF(Drops!I4=TRUE,1,0)</f>
        <v>0</v>
      </c>
    </row>
    <row r="11" spans="2:7" ht="14.25" hidden="1" customHeight="1" x14ac:dyDescent="0.55000000000000004">
      <c r="B11" s="42" t="s">
        <v>60</v>
      </c>
      <c r="C11" s="47" t="str">
        <f ca="1">Drops!H5</f>
        <v/>
      </c>
      <c r="D11" s="48" t="s">
        <v>61</v>
      </c>
      <c r="G11" s="36">
        <f ca="1">IF(Drops!I5=TRUE,1,0)</f>
        <v>0</v>
      </c>
    </row>
    <row r="12" spans="2:7" ht="14.4" hidden="1" x14ac:dyDescent="0.55000000000000004">
      <c r="B12" s="42" t="s">
        <v>62</v>
      </c>
      <c r="C12" s="47" t="str">
        <f ca="1">Drops!H6</f>
        <v/>
      </c>
      <c r="D12" s="49" t="s">
        <v>63</v>
      </c>
      <c r="G12" s="36">
        <f ca="1">IF(Drops!I6=TRUE,1,0)</f>
        <v>0</v>
      </c>
    </row>
    <row r="13" spans="2:7" ht="14.4" hidden="1" x14ac:dyDescent="0.55000000000000004">
      <c r="B13" s="42" t="s">
        <v>64</v>
      </c>
      <c r="C13" s="47" t="str">
        <f ca="1">Drops!H7</f>
        <v/>
      </c>
      <c r="D13" s="50"/>
      <c r="G13" s="36">
        <f ca="1">IF(Drops!I7=TRUE,1,0)</f>
        <v>0</v>
      </c>
    </row>
    <row r="14" spans="2:7" ht="14.4" hidden="1" x14ac:dyDescent="0.55000000000000004">
      <c r="B14" s="42" t="s">
        <v>65</v>
      </c>
      <c r="C14" s="47" t="str">
        <f ca="1">Drops!H8</f>
        <v/>
      </c>
      <c r="D14" s="50"/>
      <c r="G14" s="36">
        <f ca="1">IF(Drops!I8=TRUE,1,0)</f>
        <v>0</v>
      </c>
    </row>
    <row r="15" spans="2:7" ht="14.4" hidden="1" x14ac:dyDescent="0.55000000000000004">
      <c r="B15" s="51" t="s">
        <v>66</v>
      </c>
      <c r="C15" s="47" t="str">
        <f ca="1">Drops!H9</f>
        <v/>
      </c>
      <c r="D15" s="50"/>
      <c r="E15" s="50"/>
      <c r="G15" s="36">
        <f ca="1">IF(Drops!I9=TRUE,1,0)</f>
        <v>0</v>
      </c>
    </row>
    <row r="16" spans="2:7" ht="14.4" hidden="1" x14ac:dyDescent="0.55000000000000004">
      <c r="B16" s="42" t="s">
        <v>67</v>
      </c>
      <c r="C16" s="47" t="str">
        <f ca="1">Drops!H10</f>
        <v/>
      </c>
      <c r="D16" s="50"/>
      <c r="E16" s="50"/>
      <c r="G16" s="36">
        <f ca="1">IF(Drops!I10=TRUE,1,0)</f>
        <v>0</v>
      </c>
    </row>
    <row r="17" spans="2:8" ht="14.4" hidden="1" x14ac:dyDescent="0.55000000000000004">
      <c r="B17" s="42" t="s">
        <v>68</v>
      </c>
      <c r="C17" s="47" t="str">
        <f ca="1">Drops!H11</f>
        <v/>
      </c>
      <c r="D17" s="50"/>
      <c r="E17" s="50"/>
      <c r="G17" s="36">
        <f ca="1">IF(Drops!I11=TRUE,1,0)</f>
        <v>0</v>
      </c>
    </row>
    <row r="18" spans="2:8" ht="14.4" hidden="1" x14ac:dyDescent="0.55000000000000004">
      <c r="B18" s="42" t="s">
        <v>69</v>
      </c>
      <c r="C18" s="47" t="str">
        <f ca="1">Drops!H12</f>
        <v/>
      </c>
      <c r="D18" s="50"/>
      <c r="E18" s="50"/>
      <c r="G18" s="36">
        <f ca="1">IF(Drops!I12=TRUE,1,0)</f>
        <v>0</v>
      </c>
    </row>
    <row r="19" spans="2:8" ht="14.4" hidden="1" x14ac:dyDescent="0.55000000000000004">
      <c r="B19" s="42" t="s">
        <v>70</v>
      </c>
      <c r="C19" s="47" t="str">
        <f ca="1">Drops!H13</f>
        <v/>
      </c>
      <c r="D19" s="50"/>
      <c r="E19" s="50"/>
      <c r="G19" s="36">
        <f ca="1">IF(Drops!I13=TRUE,1,0)</f>
        <v>0</v>
      </c>
    </row>
    <row r="20" spans="2:8" ht="14.4" hidden="1" x14ac:dyDescent="0.55000000000000004">
      <c r="B20" s="42" t="s">
        <v>71</v>
      </c>
      <c r="C20" s="47" t="str">
        <f ca="1">Drops!H14</f>
        <v/>
      </c>
      <c r="D20" s="50"/>
      <c r="E20" s="50"/>
      <c r="G20" s="36">
        <f ca="1">IF(Drops!I14=TRUE,1,0)</f>
        <v>0</v>
      </c>
    </row>
    <row r="21" spans="2:8" ht="14.4" hidden="1" x14ac:dyDescent="0.55000000000000004">
      <c r="B21" s="42" t="s">
        <v>72</v>
      </c>
      <c r="C21" s="47" t="str">
        <f ca="1">Drops!H15</f>
        <v/>
      </c>
      <c r="D21" s="50"/>
      <c r="E21" s="50"/>
      <c r="G21" s="36">
        <f ca="1">IF(Drops!I15=TRUE,1,0)</f>
        <v>0</v>
      </c>
      <c r="H21" s="2"/>
    </row>
    <row r="22" spans="2:8" ht="14.4" hidden="1" x14ac:dyDescent="0.55000000000000004">
      <c r="B22" s="42" t="s">
        <v>73</v>
      </c>
      <c r="C22" s="47" t="str">
        <f ca="1">Drops!H16</f>
        <v/>
      </c>
      <c r="D22" s="50"/>
      <c r="E22" s="50"/>
      <c r="G22" s="36">
        <f ca="1">IF(Drops!I16=TRUE,1,0)</f>
        <v>0</v>
      </c>
      <c r="H22" s="2"/>
    </row>
    <row r="23" spans="2:8" ht="14.4" hidden="1" x14ac:dyDescent="0.55000000000000004">
      <c r="B23" s="42" t="s">
        <v>74</v>
      </c>
      <c r="C23" s="47" t="str">
        <f ca="1">Drops!H17</f>
        <v/>
      </c>
      <c r="D23" s="50"/>
      <c r="E23" s="50"/>
      <c r="G23" s="36">
        <f ca="1">IF(Drops!I17=TRUE,1,0)</f>
        <v>0</v>
      </c>
      <c r="H23" s="2"/>
    </row>
    <row r="24" spans="2:8" ht="14.4" hidden="1" x14ac:dyDescent="0.55000000000000004">
      <c r="B24" s="42" t="s">
        <v>75</v>
      </c>
      <c r="C24" s="47" t="str">
        <f ca="1">Drops!H18</f>
        <v/>
      </c>
      <c r="D24" s="50"/>
      <c r="E24" s="50"/>
      <c r="G24" s="36">
        <f ca="1">IF(Drops!I18=TRUE,1,0)</f>
        <v>0</v>
      </c>
      <c r="H24" s="2"/>
    </row>
    <row r="25" spans="2:8" ht="14.4" hidden="1" x14ac:dyDescent="0.55000000000000004">
      <c r="B25" s="42" t="s">
        <v>76</v>
      </c>
      <c r="C25" s="47" t="str">
        <f ca="1">Drops!H19</f>
        <v/>
      </c>
      <c r="D25" s="50"/>
      <c r="E25" s="50"/>
      <c r="G25" s="36">
        <f ca="1">IF(Drops!I19=TRUE,1,0)</f>
        <v>0</v>
      </c>
      <c r="H25" s="2"/>
    </row>
    <row r="26" spans="2:8" ht="14.4" hidden="1" x14ac:dyDescent="0.55000000000000004">
      <c r="B26" s="42" t="s">
        <v>77</v>
      </c>
      <c r="C26" s="47" t="str">
        <f ca="1">Drops!H20</f>
        <v/>
      </c>
      <c r="D26" s="50"/>
      <c r="E26" s="50"/>
      <c r="G26" s="36">
        <f ca="1">IF(Drops!I20=TRUE,1,0)</f>
        <v>0</v>
      </c>
      <c r="H26" s="2"/>
    </row>
    <row r="27" spans="2:8" ht="14.4" hidden="1" x14ac:dyDescent="0.55000000000000004">
      <c r="B27" s="42" t="s">
        <v>78</v>
      </c>
      <c r="C27" s="47" t="str">
        <f ca="1">Drops!H21</f>
        <v/>
      </c>
      <c r="D27" s="50"/>
      <c r="E27" s="50"/>
      <c r="G27" s="36">
        <f ca="1">IF(Drops!I21=TRUE,1,0)</f>
        <v>0</v>
      </c>
      <c r="H27" s="2"/>
    </row>
    <row r="28" spans="2:8" ht="14.4" x14ac:dyDescent="0.55000000000000004">
      <c r="B28" s="52" t="s">
        <v>79</v>
      </c>
      <c r="C28" s="47">
        <f ca="1">Drops!H22</f>
        <v>1</v>
      </c>
      <c r="D28" s="50"/>
      <c r="E28" s="50"/>
      <c r="G28" s="36">
        <f ca="1">IF(Drops!I22=TRUE,1,0)</f>
        <v>1</v>
      </c>
      <c r="H28" s="2"/>
    </row>
    <row r="29" spans="2:8" ht="14.4" x14ac:dyDescent="0.55000000000000004">
      <c r="B29" s="42" t="s">
        <v>80</v>
      </c>
      <c r="C29" s="43" t="s">
        <v>48</v>
      </c>
      <c r="D29" s="50"/>
      <c r="E29" s="50"/>
      <c r="G29" s="36">
        <v>1</v>
      </c>
      <c r="H29" s="2"/>
    </row>
    <row r="30" spans="2:8" ht="14.4" x14ac:dyDescent="0.55000000000000004">
      <c r="B30" s="42" t="s">
        <v>81</v>
      </c>
      <c r="C30" s="43" t="s">
        <v>48</v>
      </c>
      <c r="D30" s="50"/>
      <c r="E30" s="50"/>
      <c r="G30" s="36">
        <v>1</v>
      </c>
      <c r="H30" s="2"/>
    </row>
    <row r="31" spans="2:8" ht="14.4" x14ac:dyDescent="0.55000000000000004">
      <c r="B31" s="51" t="s">
        <v>82</v>
      </c>
      <c r="C31" s="43" t="s">
        <v>48</v>
      </c>
      <c r="D31" s="50"/>
      <c r="E31" s="50"/>
      <c r="G31" s="36">
        <f>IF(Drops!I23=TRUE,1,0)</f>
        <v>1</v>
      </c>
      <c r="H31" s="2"/>
    </row>
    <row r="32" spans="2:8" ht="14.4" x14ac:dyDescent="0.5">
      <c r="B32" s="53" t="s">
        <v>83</v>
      </c>
      <c r="C32" s="47">
        <f ca="1">Drops!H24</f>
        <v>1</v>
      </c>
      <c r="D32" s="50"/>
      <c r="E32" s="50"/>
      <c r="G32" s="2">
        <v>1</v>
      </c>
      <c r="H32" s="2"/>
    </row>
    <row r="33" spans="2:8" ht="14.4" x14ac:dyDescent="0.5">
      <c r="B33" s="50"/>
      <c r="C33" s="50"/>
      <c r="D33" s="50"/>
      <c r="E33" s="50"/>
      <c r="G33" s="2"/>
      <c r="H33" s="2"/>
    </row>
    <row r="34" spans="2:8" ht="14.4" x14ac:dyDescent="0.5">
      <c r="B34" s="50"/>
      <c r="C34" s="50"/>
      <c r="D34" s="50"/>
      <c r="E34" s="50"/>
      <c r="G34" s="2"/>
      <c r="H34" s="2"/>
    </row>
    <row r="35" spans="2:8" ht="14.4" x14ac:dyDescent="0.5">
      <c r="B35" s="50"/>
      <c r="C35" s="50"/>
      <c r="D35" s="50"/>
      <c r="E35" s="50"/>
      <c r="G35" s="2"/>
      <c r="H35" s="2"/>
    </row>
    <row r="36" spans="2:8" ht="14.4" x14ac:dyDescent="0.5">
      <c r="B36" s="50"/>
      <c r="C36" s="50"/>
      <c r="D36" s="50"/>
      <c r="E36" s="50"/>
      <c r="G36" s="2"/>
      <c r="H36" s="2"/>
    </row>
    <row r="37" spans="2:8" ht="14.4" x14ac:dyDescent="0.5">
      <c r="B37" s="50"/>
      <c r="C37" s="50"/>
      <c r="D37" s="50"/>
      <c r="E37" s="50"/>
      <c r="G37" s="2"/>
      <c r="H37" s="2"/>
    </row>
    <row r="38" spans="2:8" ht="14.4" x14ac:dyDescent="0.5">
      <c r="B38" s="50"/>
      <c r="C38" s="50"/>
      <c r="D38" s="50"/>
      <c r="E38" s="50"/>
      <c r="G38" s="2"/>
      <c r="H38" s="2"/>
    </row>
    <row r="39" spans="2:8" ht="14.4" x14ac:dyDescent="0.5">
      <c r="B39" s="50"/>
      <c r="C39" s="50"/>
      <c r="D39" s="50"/>
      <c r="E39" s="50"/>
      <c r="G39" s="2"/>
      <c r="H39" s="2"/>
    </row>
    <row r="40" spans="2:8" ht="14.4" x14ac:dyDescent="0.5">
      <c r="B40" s="50"/>
      <c r="C40" s="50"/>
      <c r="E40" s="50"/>
      <c r="G40" s="2"/>
      <c r="H40" s="2"/>
    </row>
    <row r="41" spans="2:8" ht="14.4" x14ac:dyDescent="0.5">
      <c r="B41" s="50"/>
      <c r="C41" s="50"/>
      <c r="E41" s="50"/>
      <c r="G41" s="2"/>
      <c r="H41" s="2"/>
    </row>
    <row r="42" spans="2:8" ht="14.4" x14ac:dyDescent="0.5">
      <c r="B42" s="50"/>
      <c r="C42" s="50"/>
      <c r="E42" s="50"/>
      <c r="G42" s="2"/>
      <c r="H42" s="2"/>
    </row>
    <row r="43" spans="2:8" x14ac:dyDescent="0.5">
      <c r="G43" s="2"/>
      <c r="H43" s="2"/>
    </row>
    <row r="44" spans="2:8" x14ac:dyDescent="0.5">
      <c r="G44" s="2"/>
      <c r="H44" s="2"/>
    </row>
    <row r="45" spans="2:8" x14ac:dyDescent="0.5">
      <c r="G45" s="2"/>
      <c r="H45" s="2"/>
    </row>
    <row r="46" spans="2:8" x14ac:dyDescent="0.5">
      <c r="G46" s="2"/>
      <c r="H46" s="2"/>
    </row>
    <row r="47" spans="2:8" x14ac:dyDescent="0.5">
      <c r="G47" s="2"/>
      <c r="H47" s="2"/>
    </row>
    <row r="48" spans="2:8" x14ac:dyDescent="0.5">
      <c r="G48" s="2"/>
      <c r="H48" s="2"/>
    </row>
    <row r="49" spans="7:8" x14ac:dyDescent="0.5">
      <c r="G49" s="2"/>
      <c r="H49" s="2"/>
    </row>
    <row r="50" spans="7:8" x14ac:dyDescent="0.5">
      <c r="G50" s="2"/>
      <c r="H50" s="2"/>
    </row>
    <row r="51" spans="7:8" x14ac:dyDescent="0.5">
      <c r="G51" s="2"/>
      <c r="H51" s="2"/>
    </row>
    <row r="52" spans="7:8" x14ac:dyDescent="0.5">
      <c r="G52" s="2"/>
      <c r="H52" s="2"/>
    </row>
    <row r="53" spans="7:8" x14ac:dyDescent="0.5">
      <c r="G53" s="2"/>
      <c r="H53" s="2"/>
    </row>
    <row r="54" spans="7:8" x14ac:dyDescent="0.5">
      <c r="G54" s="2"/>
      <c r="H54" s="2"/>
    </row>
    <row r="55" spans="7:8" x14ac:dyDescent="0.5">
      <c r="G55" s="2"/>
      <c r="H55" s="2"/>
    </row>
  </sheetData>
  <sheetProtection algorithmName="SHA-512" hashValue="h12Oh9c+RuXUeO89rjvmpXxUAcNzsd2XphVLF4YjGMfLTx+ZieXQnmRgaq48jZNHjLTDz/PT+FUvwslTUOLVng==" saltValue="fRcTiRS3W6spWIrkSyGaMg==" spinCount="100000" sheet="1" objects="1" scenarios="1"/>
  <autoFilter ref="G1:G32" xr:uid="{59463E4A-F3F9-4CAC-9521-C6590E15F538}">
    <filterColumn colId="0">
      <filters>
        <filter val="1"/>
      </filters>
    </filterColumn>
  </autoFilter>
  <mergeCells count="1">
    <mergeCell ref="B3:F3"/>
  </mergeCells>
  <conditionalFormatting sqref="C9:C28 C32 C7">
    <cfRule type="dataBar" priority="5">
      <dataBar>
        <cfvo type="num" val="0"/>
        <cfvo type="num" val="1"/>
        <color rgb="FFA7A9AC"/>
      </dataBar>
      <extLst>
        <ext xmlns:x14="http://schemas.microsoft.com/office/spreadsheetml/2009/9/main" uri="{B025F937-C7B1-47D3-B67F-A62EFF666E3E}">
          <x14:id>{3D69D729-68D6-429C-BAE0-1E2CBFAF93D7}</x14:id>
        </ext>
      </extLst>
    </cfRule>
  </conditionalFormatting>
  <conditionalFormatting sqref="F6:F8">
    <cfRule type="expression" dxfId="15" priority="1">
      <formula>$M6&gt;0</formula>
    </cfRule>
    <cfRule type="expression" dxfId="14" priority="2">
      <formula>F6="Yes"</formula>
    </cfRule>
    <cfRule type="expression" dxfId="13" priority="3">
      <formula>F6="N/A"</formula>
    </cfRule>
    <cfRule type="expression" dxfId="12" priority="4">
      <formula>F6="No"</formula>
    </cfRule>
  </conditionalFormatting>
  <dataValidations count="1">
    <dataValidation type="list" allowBlank="1" showInputMessage="1" showErrorMessage="1" errorTitle="INVALID ANSWER!!" error="Please answer only Yes, No or N/A in this field.  Any additional information should be provided in the &quot;SP-Additional Information&quot; cell to the right." promptTitle="Select Yes, No or N/A" prompt="If N/A is chosen an explanation MUST be provided in the Additional Information cell." sqref="F5:F8" xr:uid="{E8346C1A-5D05-41EA-8646-513A53C7B80D}">
      <formula1>"Yes,No,N/A"</formula1>
    </dataValidation>
  </dataValidations>
  <hyperlinks>
    <hyperlink ref="B5" location="Copyright!A1" display="Copyright" xr:uid="{CAD80EF8-0AF4-4AA2-9E52-E29E20EB3AEA}"/>
    <hyperlink ref="B6" location="Instructions!A1" display="Instructions" xr:uid="{0ABE1A8E-0003-479C-A16A-90FBE87FA1D6}"/>
    <hyperlink ref="B7" location="'Business Information'!D4" display="Business Information" xr:uid="{0BAF9C0D-BB3E-497A-88CF-8911EA6CC1AB}"/>
    <hyperlink ref="B8" location="Documentation!C3" display="Documentation" xr:uid="{EA24C941-7D61-4DEE-B987-A9EB0DA7BBE3}"/>
    <hyperlink ref="B9" location="'A. Risk Management'!D5" display="'A. Risk Management'!D5" xr:uid="{DF20143C-FC1A-472B-A361-4F3FFA69488B}"/>
    <hyperlink ref="B10" location="'B. Security Policy'!D5" display="'B. Security Policy'!D5" xr:uid="{570B09EB-6977-4A6F-A132-D6A90951CE6A}"/>
    <hyperlink ref="B11" location="'C. Organizational Security'!D5" display="'C. Organizational Security'!D5" xr:uid="{99FE4182-FC07-465F-92B0-D6FAFFF3AE26}"/>
    <hyperlink ref="B13" location="'E. Human Resource Security'!D5" display="'E. Human Resource Security'!D5" xr:uid="{7FBB5809-8848-47FE-A817-C971CA31ECE6}"/>
    <hyperlink ref="B14" location="'F. Physical and Environmental'!D5" display="'F. Physical and Environmental'!D5" xr:uid="{F812D610-C861-4C4D-8BC6-B2CB32E23EA8}"/>
    <hyperlink ref="B15" location="'G. IT Operations Management'!D5" display="G. IT Operations Management" xr:uid="{DB25E34E-B9B8-4169-A943-310FC00BD9B8}"/>
    <hyperlink ref="B16" location="'H. Access Control'!D5" display="'H. Access Control'!D5" xr:uid="{B01570DD-E222-4A76-A6FD-5FC3573FD247}"/>
    <hyperlink ref="B17" location="'I. Application Security'!D5" display="'I. Application Security'!D5" xr:uid="{5E11E39D-3F21-448A-B485-9A20A2CAF9B2}"/>
    <hyperlink ref="B18" location="'J. Incident Event &amp; Comm Mgmt'!D5" display="'J. Incident Event &amp; Comm Mgmt'!D5" xr:uid="{80C02672-91DE-4AE6-AAE3-A0AA7E713250}"/>
    <hyperlink ref="B19" location="'K. Business Resiliency'!D5" display="'K. Business Resiliency'!D5" xr:uid="{AD62A8C1-A237-4149-8051-C62762D71DF3}"/>
    <hyperlink ref="B20" location="'L. Compliance'!D5" display="'L. Compliance'!D5" xr:uid="{EB2CFE0F-4F62-4A57-9856-675618383762}"/>
    <hyperlink ref="B21" location="'M. End User Device Security'!D5" display="'M. End User Device Security'!D5" xr:uid="{531F5652-309A-446B-AF6D-E8A9F0F5F183}"/>
    <hyperlink ref="B22" location="'N. Network Security'!D5" display="'N. Network Security'!D5" xr:uid="{BBF827C3-4FA7-46C1-AC10-2165DCDF2BE7}"/>
    <hyperlink ref="B23" location="'P. Privacy'!D5" display="'P. Privacy'!D5" xr:uid="{E1E5CC7C-E762-4487-82C9-5610E9184C51}"/>
    <hyperlink ref="B24" location="'T. Threat Management'!D5" display="'T. Threat Management'!D5" xr:uid="{4A7CC1D6-7290-42AE-9984-9231E220A9B9}"/>
    <hyperlink ref="B25" location="'U. Server Security'!D5" display="'U. Server Security'!D5" xr:uid="{F6175F52-6CE4-41D1-9AAE-4CC283DDB27B}"/>
    <hyperlink ref="B27" location="'Z. Additional Questions'!A1" display="Z. Additional Questions" xr:uid="{0BA6EE61-954F-4088-9F1E-50B506DCCFF0}"/>
    <hyperlink ref="B29" location="Glossary!A1" display="Glossary" xr:uid="{12E15724-3A2F-45E4-AFD0-C77C2F3DBB69}"/>
    <hyperlink ref="B30" location="'Formula Notes'!A1" display="Formula Notes" xr:uid="{5F5F598D-0D3A-4B48-8DE2-8D5DF0ACA5AE}"/>
    <hyperlink ref="B12" location="'D. Asset and Info Management'!D5" display="'D. Asset and Info Management'!D5" xr:uid="{A73326AB-B698-4F4B-B6BB-94D6275A6E9B}"/>
    <hyperlink ref="B26" location="'V. Cloud Hosting'!D5" display="'V. Cloud Hosting'!D5" xr:uid="{90B8E547-A8A6-4DC8-BB79-171BA935B953}"/>
    <hyperlink ref="B28" location="'SIG 2020'!D5" display="SIG 2020" xr:uid="{9DCF1C31-A6E6-41D1-A27E-0C50AD256E12}"/>
    <hyperlink ref="B31" location="Full!A1" display="Full" xr:uid="{10EE3701-3492-4F12-8AD6-C2351D852BB2}"/>
  </hyperlinks>
  <pageMargins left="0.25" right="0.25" top="0.75" bottom="0.75" header="0.3" footer="0.3"/>
  <pageSetup scale="82" fitToHeight="0" orientation="landscape" r:id="rId1"/>
  <headerFooter>
    <oddHeader>&amp;L&amp;K756762Shared Assessments Program&amp;C&amp;K756762Standardized Information Gathering (SIG) Questionnaire&amp;R &amp;K756762Version 2020</oddHeader>
    <oddFooter>&amp;L&amp;K756762&amp;A&amp;C&amp;K756762Page &amp;P of &amp;N Page(s)</oddFooter>
  </headerFooter>
  <extLst>
    <ext xmlns:x14="http://schemas.microsoft.com/office/spreadsheetml/2009/9/main" uri="{78C0D931-6437-407d-A8EE-F0AAD7539E65}">
      <x14:conditionalFormattings>
        <x14:conditionalFormatting xmlns:xm="http://schemas.microsoft.com/office/excel/2006/main">
          <x14:cfRule type="dataBar" id="{3D69D729-68D6-429C-BAE0-1E2CBFAF93D7}">
            <x14:dataBar minLength="0" maxLength="100" gradient="0">
              <x14:cfvo type="num">
                <xm:f>0</xm:f>
              </x14:cfvo>
              <x14:cfvo type="num">
                <xm:f>1</xm:f>
              </x14:cfvo>
              <x14:negativeFillColor rgb="FFFF0000"/>
              <x14:axisColor rgb="FF000000"/>
            </x14:dataBar>
          </x14:cfRule>
          <xm:sqref>C9:C28 C32 C7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7921-74C3-4054-90BE-E1AED41FB0D8}">
  <sheetPr codeName="Sheet05">
    <pageSetUpPr fitToPage="1"/>
  </sheetPr>
  <dimension ref="A1:E61"/>
  <sheetViews>
    <sheetView showGridLines="0" showZeros="0" topLeftCell="B1" zoomScaleNormal="100" workbookViewId="0">
      <pane ySplit="3" topLeftCell="A4" activePane="bottomLeft" state="frozen"/>
      <selection sqref="A1:XFD1048576"/>
      <selection pane="bottomLeft" activeCell="C25" sqref="C25"/>
    </sheetView>
  </sheetViews>
  <sheetFormatPr defaultColWidth="8.68359375" defaultRowHeight="12.9" x14ac:dyDescent="0.55000000000000004"/>
  <cols>
    <col min="1" max="1" width="8" style="36" hidden="1" customWidth="1"/>
    <col min="2" max="2" width="81.15625" style="36" bestFit="1" customWidth="1"/>
    <col min="3" max="3" width="46.47265625" style="36" customWidth="1"/>
    <col min="4" max="4" width="3" style="36" hidden="1" customWidth="1"/>
    <col min="5" max="5" width="2.3125" style="36" hidden="1" customWidth="1"/>
    <col min="6" max="6" width="16" style="36" customWidth="1"/>
    <col min="7" max="7" width="15.83984375" style="36" customWidth="1"/>
    <col min="8" max="8" width="16.83984375" style="36" customWidth="1"/>
    <col min="9" max="16384" width="8.68359375" style="36"/>
  </cols>
  <sheetData>
    <row r="1" spans="1:5" ht="23.1" x14ac:dyDescent="0.5">
      <c r="A1" s="36" t="s">
        <v>84</v>
      </c>
      <c r="B1" s="37" t="s">
        <v>53</v>
      </c>
      <c r="C1" s="54"/>
      <c r="D1" s="55" t="s">
        <v>85</v>
      </c>
      <c r="E1" s="55" t="s">
        <v>46</v>
      </c>
    </row>
    <row r="2" spans="1:5" x14ac:dyDescent="0.5">
      <c r="B2" s="56" t="s">
        <v>86</v>
      </c>
      <c r="C2" s="57">
        <f>IF(D3=0,"0%",D3/D2)</f>
        <v>1</v>
      </c>
      <c r="D2" s="58">
        <f>COUNTA(D4:D61)</f>
        <v>47</v>
      </c>
    </row>
    <row r="3" spans="1:5" ht="14.4" x14ac:dyDescent="0.55000000000000004">
      <c r="B3" s="59" t="s">
        <v>87</v>
      </c>
      <c r="C3" s="60"/>
      <c r="D3" s="61">
        <f>COUNTIF(D4:D61,1)</f>
        <v>47</v>
      </c>
    </row>
    <row r="4" spans="1:5" ht="14.4" x14ac:dyDescent="0.55000000000000004">
      <c r="A4" s="36">
        <v>2891</v>
      </c>
      <c r="B4" s="62" t="s">
        <v>88</v>
      </c>
      <c r="C4" s="63" t="s">
        <v>89</v>
      </c>
      <c r="D4" s="36">
        <f>COUNTA(C4)</f>
        <v>1</v>
      </c>
      <c r="E4" s="36">
        <f>IF(C4="Yes",1,IF(C4="No",2,IF(C4="N/A",3,0)))</f>
        <v>0</v>
      </c>
    </row>
    <row r="5" spans="1:5" ht="14.4" x14ac:dyDescent="0.55000000000000004">
      <c r="A5" s="36">
        <v>2892</v>
      </c>
      <c r="B5" s="62" t="s">
        <v>90</v>
      </c>
      <c r="C5" s="63" t="s">
        <v>91</v>
      </c>
      <c r="D5" s="36">
        <f>COUNTA(C5)</f>
        <v>1</v>
      </c>
      <c r="E5" s="36">
        <f t="shared" ref="E5:E38" si="0">IF(C5="Yes",1,IF(C5="No",2,IF(C5="N/A",3,0)))</f>
        <v>0</v>
      </c>
    </row>
    <row r="6" spans="1:5" ht="14.4" x14ac:dyDescent="0.55000000000000004">
      <c r="A6" s="36">
        <v>2893</v>
      </c>
      <c r="B6" s="62" t="s">
        <v>92</v>
      </c>
      <c r="C6" s="63" t="s">
        <v>93</v>
      </c>
      <c r="D6" s="36">
        <f>COUNTA(C6)</f>
        <v>1</v>
      </c>
      <c r="E6" s="36">
        <f t="shared" si="0"/>
        <v>0</v>
      </c>
    </row>
    <row r="7" spans="1:5" ht="14.4" x14ac:dyDescent="0.55000000000000004">
      <c r="A7" s="36">
        <v>4616</v>
      </c>
      <c r="B7" s="62" t="s">
        <v>94</v>
      </c>
      <c r="C7" s="63" t="s">
        <v>95</v>
      </c>
      <c r="D7" s="36">
        <f>COUNTA(C7)</f>
        <v>1</v>
      </c>
      <c r="E7" s="36">
        <f t="shared" si="0"/>
        <v>0</v>
      </c>
    </row>
    <row r="8" spans="1:5" ht="14.4" x14ac:dyDescent="0.55000000000000004">
      <c r="A8" s="36">
        <v>2894</v>
      </c>
      <c r="B8" s="62" t="s">
        <v>96</v>
      </c>
      <c r="C8" s="142">
        <v>44454</v>
      </c>
      <c r="D8" s="36">
        <f>COUNTA(C8)</f>
        <v>1</v>
      </c>
      <c r="E8" s="36">
        <f t="shared" si="0"/>
        <v>0</v>
      </c>
    </row>
    <row r="9" spans="1:5" ht="14.4" x14ac:dyDescent="0.55000000000000004">
      <c r="B9" s="40" t="s">
        <v>97</v>
      </c>
      <c r="C9" s="64"/>
      <c r="E9" s="36">
        <f t="shared" si="0"/>
        <v>0</v>
      </c>
    </row>
    <row r="10" spans="1:5" ht="14.4" x14ac:dyDescent="0.55000000000000004">
      <c r="A10" s="36">
        <v>2896</v>
      </c>
      <c r="B10" s="62" t="s">
        <v>98</v>
      </c>
      <c r="C10" s="63" t="s">
        <v>99</v>
      </c>
      <c r="D10" s="36">
        <f t="shared" ref="D10:D21" si="1">COUNTA(C10)</f>
        <v>1</v>
      </c>
      <c r="E10" s="36">
        <f t="shared" si="0"/>
        <v>0</v>
      </c>
    </row>
    <row r="11" spans="1:5" ht="14.4" x14ac:dyDescent="0.55000000000000004">
      <c r="A11" s="36">
        <v>2897</v>
      </c>
      <c r="B11" s="62" t="s">
        <v>100</v>
      </c>
      <c r="C11" s="63" t="s">
        <v>101</v>
      </c>
      <c r="D11" s="36">
        <f t="shared" si="1"/>
        <v>1</v>
      </c>
      <c r="E11" s="36">
        <f t="shared" si="0"/>
        <v>0</v>
      </c>
    </row>
    <row r="12" spans="1:5" ht="14.4" x14ac:dyDescent="0.55000000000000004">
      <c r="A12" s="36">
        <v>2898</v>
      </c>
      <c r="B12" s="62" t="s">
        <v>102</v>
      </c>
      <c r="C12" s="63" t="s">
        <v>103</v>
      </c>
      <c r="D12" s="36">
        <f t="shared" si="1"/>
        <v>1</v>
      </c>
      <c r="E12" s="36">
        <f t="shared" si="0"/>
        <v>0</v>
      </c>
    </row>
    <row r="13" spans="1:5" ht="14.4" x14ac:dyDescent="0.55000000000000004">
      <c r="A13" s="36">
        <v>2899</v>
      </c>
      <c r="B13" s="65" t="s">
        <v>104</v>
      </c>
      <c r="C13" s="63"/>
      <c r="D13" s="36">
        <f>IF(C12="Privately held",1,COUNTA(C13))</f>
        <v>1</v>
      </c>
      <c r="E13" s="36">
        <f t="shared" si="0"/>
        <v>0</v>
      </c>
    </row>
    <row r="14" spans="1:5" ht="14.4" x14ac:dyDescent="0.55000000000000004">
      <c r="A14" s="36">
        <v>2900</v>
      </c>
      <c r="B14" s="65" t="s">
        <v>105</v>
      </c>
      <c r="C14" s="63"/>
      <c r="D14" s="36">
        <f>IF(C12="Privately held",1,COUNTA(C14))</f>
        <v>1</v>
      </c>
      <c r="E14" s="36">
        <f t="shared" si="0"/>
        <v>0</v>
      </c>
    </row>
    <row r="15" spans="1:5" ht="14.4" x14ac:dyDescent="0.55000000000000004">
      <c r="A15" s="36">
        <v>2901</v>
      </c>
      <c r="B15" s="62" t="s">
        <v>106</v>
      </c>
      <c r="C15" s="63" t="s">
        <v>107</v>
      </c>
      <c r="D15" s="36">
        <f t="shared" si="1"/>
        <v>1</v>
      </c>
      <c r="E15" s="36">
        <f t="shared" si="0"/>
        <v>0</v>
      </c>
    </row>
    <row r="16" spans="1:5" ht="14.4" x14ac:dyDescent="0.55000000000000004">
      <c r="A16" s="36">
        <v>2902</v>
      </c>
      <c r="B16" s="62" t="s">
        <v>108</v>
      </c>
      <c r="C16" s="63" t="s">
        <v>109</v>
      </c>
      <c r="D16" s="36">
        <f t="shared" si="1"/>
        <v>1</v>
      </c>
      <c r="E16" s="36">
        <f t="shared" si="0"/>
        <v>0</v>
      </c>
    </row>
    <row r="17" spans="1:5" ht="14.4" x14ac:dyDescent="0.55000000000000004">
      <c r="A17" s="36">
        <v>2903</v>
      </c>
      <c r="B17" s="62" t="s">
        <v>110</v>
      </c>
      <c r="C17" s="63" t="s">
        <v>55</v>
      </c>
      <c r="D17" s="36">
        <f t="shared" si="1"/>
        <v>1</v>
      </c>
      <c r="E17" s="36">
        <f t="shared" si="0"/>
        <v>2</v>
      </c>
    </row>
    <row r="18" spans="1:5" ht="14.4" x14ac:dyDescent="0.55000000000000004">
      <c r="A18" s="36">
        <v>2904</v>
      </c>
      <c r="B18" s="65" t="s">
        <v>111</v>
      </c>
      <c r="C18" s="63"/>
      <c r="D18" s="36">
        <f>IF(C17="No",1,COUNTA(C18))</f>
        <v>1</v>
      </c>
      <c r="E18" s="36">
        <f t="shared" si="0"/>
        <v>0</v>
      </c>
    </row>
    <row r="19" spans="1:5" ht="14.4" x14ac:dyDescent="0.55000000000000004">
      <c r="A19" s="36">
        <v>4000</v>
      </c>
      <c r="B19" s="62" t="s">
        <v>112</v>
      </c>
      <c r="C19" s="63" t="s">
        <v>55</v>
      </c>
      <c r="D19" s="36">
        <f t="shared" si="1"/>
        <v>1</v>
      </c>
      <c r="E19" s="36">
        <f t="shared" si="0"/>
        <v>2</v>
      </c>
    </row>
    <row r="20" spans="1:5" ht="14.4" x14ac:dyDescent="0.55000000000000004">
      <c r="A20" s="36">
        <v>4001</v>
      </c>
      <c r="B20" s="65" t="s">
        <v>113</v>
      </c>
      <c r="C20" s="63"/>
      <c r="D20" s="36">
        <f>IF(C19="No",1,COUNTA(C20))</f>
        <v>1</v>
      </c>
      <c r="E20" s="36">
        <f t="shared" si="0"/>
        <v>0</v>
      </c>
    </row>
    <row r="21" spans="1:5" ht="15" customHeight="1" x14ac:dyDescent="0.55000000000000004">
      <c r="A21" s="36">
        <v>4002</v>
      </c>
      <c r="B21" s="62" t="s">
        <v>114</v>
      </c>
      <c r="C21" s="63" t="s">
        <v>55</v>
      </c>
      <c r="D21" s="36">
        <f t="shared" si="1"/>
        <v>1</v>
      </c>
      <c r="E21" s="36">
        <f t="shared" si="0"/>
        <v>2</v>
      </c>
    </row>
    <row r="22" spans="1:5" ht="14.4" x14ac:dyDescent="0.55000000000000004">
      <c r="A22" s="36">
        <v>4003</v>
      </c>
      <c r="B22" s="65" t="s">
        <v>113</v>
      </c>
      <c r="C22" s="63" t="s">
        <v>115</v>
      </c>
      <c r="D22" s="36">
        <f>IF(C21="No",1,COUNTA(C22))</f>
        <v>1</v>
      </c>
      <c r="E22" s="36">
        <f t="shared" si="0"/>
        <v>0</v>
      </c>
    </row>
    <row r="23" spans="1:5" ht="14.4" x14ac:dyDescent="0.55000000000000004">
      <c r="B23" s="66" t="s">
        <v>116</v>
      </c>
      <c r="C23" s="64"/>
      <c r="E23" s="36">
        <f t="shared" si="0"/>
        <v>0</v>
      </c>
    </row>
    <row r="24" spans="1:5" ht="28.8" x14ac:dyDescent="0.55000000000000004">
      <c r="A24" s="36">
        <v>2911</v>
      </c>
      <c r="B24" s="62" t="s">
        <v>117</v>
      </c>
      <c r="C24" s="63" t="s">
        <v>55</v>
      </c>
      <c r="D24" s="36">
        <f>COUNTA(C24)</f>
        <v>1</v>
      </c>
      <c r="E24" s="36">
        <f t="shared" si="0"/>
        <v>2</v>
      </c>
    </row>
    <row r="25" spans="1:5" ht="14.4" x14ac:dyDescent="0.55000000000000004">
      <c r="A25" s="36">
        <v>2912</v>
      </c>
      <c r="B25" s="62" t="s">
        <v>118</v>
      </c>
      <c r="C25" s="63" t="s">
        <v>119</v>
      </c>
      <c r="D25" s="36">
        <f>COUNTA(C25)</f>
        <v>1</v>
      </c>
      <c r="E25" s="36">
        <f t="shared" si="0"/>
        <v>0</v>
      </c>
    </row>
    <row r="26" spans="1:5" ht="14.4" x14ac:dyDescent="0.55000000000000004">
      <c r="A26" s="36">
        <v>2913</v>
      </c>
      <c r="B26" s="62" t="s">
        <v>120</v>
      </c>
      <c r="C26" s="63" t="s">
        <v>55</v>
      </c>
      <c r="D26" s="36">
        <f>COUNTA(C26)</f>
        <v>1</v>
      </c>
      <c r="E26" s="36">
        <f t="shared" si="0"/>
        <v>2</v>
      </c>
    </row>
    <row r="27" spans="1:5" ht="14.4" x14ac:dyDescent="0.55000000000000004">
      <c r="A27" s="36">
        <v>2914</v>
      </c>
      <c r="B27" s="65" t="s">
        <v>121</v>
      </c>
      <c r="C27" s="63"/>
      <c r="D27" s="36">
        <f>IF(C26="No",1,COUNTA(C27))</f>
        <v>1</v>
      </c>
      <c r="E27" s="36">
        <f t="shared" si="0"/>
        <v>0</v>
      </c>
    </row>
    <row r="28" spans="1:5" ht="14.4" x14ac:dyDescent="0.55000000000000004">
      <c r="A28" s="36">
        <v>2973</v>
      </c>
      <c r="B28" s="62" t="s">
        <v>122</v>
      </c>
      <c r="C28" s="63" t="s">
        <v>123</v>
      </c>
      <c r="D28" s="36">
        <f>COUNTA(C28)</f>
        <v>1</v>
      </c>
      <c r="E28" s="36">
        <f t="shared" si="0"/>
        <v>0</v>
      </c>
    </row>
    <row r="29" spans="1:5" ht="14.4" x14ac:dyDescent="0.55000000000000004">
      <c r="A29" s="36">
        <v>4617</v>
      </c>
      <c r="B29" s="62" t="s">
        <v>124</v>
      </c>
      <c r="C29" s="63" t="s">
        <v>52</v>
      </c>
      <c r="D29" s="36">
        <f>COUNTA(C29)</f>
        <v>1</v>
      </c>
      <c r="E29" s="36">
        <f t="shared" si="0"/>
        <v>1</v>
      </c>
    </row>
    <row r="30" spans="1:5" ht="14.4" x14ac:dyDescent="0.55000000000000004">
      <c r="A30" s="36">
        <v>3992</v>
      </c>
      <c r="B30" s="65" t="s">
        <v>125</v>
      </c>
      <c r="C30" s="63" t="s">
        <v>101</v>
      </c>
      <c r="D30" s="36">
        <f>IF($C$29="No",1,COUNTA(C30))</f>
        <v>1</v>
      </c>
      <c r="E30" s="36">
        <f t="shared" si="0"/>
        <v>0</v>
      </c>
    </row>
    <row r="31" spans="1:5" ht="14.4" x14ac:dyDescent="0.55000000000000004">
      <c r="A31" s="36">
        <v>3993</v>
      </c>
      <c r="B31" s="65" t="s">
        <v>126</v>
      </c>
      <c r="C31" s="63" t="s">
        <v>101</v>
      </c>
      <c r="D31" s="36">
        <f>IF($C$29="No",1,COUNTA(C31))</f>
        <v>1</v>
      </c>
      <c r="E31" s="36">
        <f t="shared" si="0"/>
        <v>0</v>
      </c>
    </row>
    <row r="32" spans="1:5" ht="14.4" x14ac:dyDescent="0.55000000000000004">
      <c r="A32" s="36">
        <v>3994</v>
      </c>
      <c r="B32" s="65" t="s">
        <v>127</v>
      </c>
      <c r="C32" s="67"/>
      <c r="E32" s="36">
        <f t="shared" si="0"/>
        <v>0</v>
      </c>
    </row>
    <row r="33" spans="1:5" ht="14.4" x14ac:dyDescent="0.55000000000000004">
      <c r="A33" s="36">
        <v>3995</v>
      </c>
      <c r="B33" s="68" t="s">
        <v>128</v>
      </c>
      <c r="C33" s="63" t="s">
        <v>55</v>
      </c>
      <c r="D33" s="36">
        <f t="shared" ref="D33:D38" si="2">IF($C$29="No",1,COUNTA(C33))</f>
        <v>1</v>
      </c>
      <c r="E33" s="36">
        <f t="shared" si="0"/>
        <v>2</v>
      </c>
    </row>
    <row r="34" spans="1:5" ht="14.4" x14ac:dyDescent="0.55000000000000004">
      <c r="A34" s="36">
        <v>3996</v>
      </c>
      <c r="B34" s="68" t="s">
        <v>129</v>
      </c>
      <c r="C34" s="63" t="s">
        <v>55</v>
      </c>
      <c r="D34" s="36">
        <f t="shared" si="2"/>
        <v>1</v>
      </c>
      <c r="E34" s="36">
        <f t="shared" si="0"/>
        <v>2</v>
      </c>
    </row>
    <row r="35" spans="1:5" ht="14.4" x14ac:dyDescent="0.55000000000000004">
      <c r="A35" s="36">
        <v>3997</v>
      </c>
      <c r="B35" s="68" t="s">
        <v>130</v>
      </c>
      <c r="C35" s="63" t="s">
        <v>52</v>
      </c>
      <c r="D35" s="36">
        <f t="shared" si="2"/>
        <v>1</v>
      </c>
      <c r="E35" s="36">
        <f t="shared" si="0"/>
        <v>1</v>
      </c>
    </row>
    <row r="36" spans="1:5" ht="14.4" x14ac:dyDescent="0.55000000000000004">
      <c r="A36" s="36">
        <v>3998</v>
      </c>
      <c r="B36" s="68" t="s">
        <v>131</v>
      </c>
      <c r="C36" s="63" t="s">
        <v>55</v>
      </c>
      <c r="D36" s="36">
        <f t="shared" si="2"/>
        <v>1</v>
      </c>
      <c r="E36" s="36">
        <f t="shared" si="0"/>
        <v>2</v>
      </c>
    </row>
    <row r="37" spans="1:5" ht="14.4" x14ac:dyDescent="0.55000000000000004">
      <c r="A37" s="36">
        <v>4004</v>
      </c>
      <c r="B37" s="68" t="s">
        <v>132</v>
      </c>
      <c r="C37" s="63" t="s">
        <v>55</v>
      </c>
      <c r="D37" s="36">
        <f t="shared" si="2"/>
        <v>1</v>
      </c>
      <c r="E37" s="36">
        <f>IF(C37="Yes",1,IF(C37="No",2,IF(C37="N/A",3,0)))</f>
        <v>2</v>
      </c>
    </row>
    <row r="38" spans="1:5" ht="14.4" x14ac:dyDescent="0.55000000000000004">
      <c r="A38" s="36">
        <v>3999</v>
      </c>
      <c r="B38" s="68" t="s">
        <v>133</v>
      </c>
      <c r="C38" s="63" t="s">
        <v>55</v>
      </c>
      <c r="D38" s="36">
        <f t="shared" si="2"/>
        <v>1</v>
      </c>
      <c r="E38" s="36">
        <f t="shared" si="0"/>
        <v>2</v>
      </c>
    </row>
    <row r="39" spans="1:5" ht="28.8" x14ac:dyDescent="0.55000000000000004">
      <c r="A39" s="36">
        <v>4410</v>
      </c>
      <c r="B39" s="62" t="s">
        <v>134</v>
      </c>
      <c r="C39" s="63" t="s">
        <v>55</v>
      </c>
      <c r="D39" s="36">
        <f>COUNTA(C39)</f>
        <v>1</v>
      </c>
    </row>
    <row r="40" spans="1:5" ht="14.4" x14ac:dyDescent="0.55000000000000004">
      <c r="A40" s="36">
        <v>4411</v>
      </c>
      <c r="B40" s="65" t="s">
        <v>135</v>
      </c>
      <c r="C40" s="63"/>
      <c r="D40" s="36">
        <f>IF($C$39="No",1,COUNTA(C40))</f>
        <v>1</v>
      </c>
    </row>
    <row r="41" spans="1:5" ht="14.4" x14ac:dyDescent="0.55000000000000004">
      <c r="A41" s="36">
        <v>4618</v>
      </c>
      <c r="B41" s="62" t="s">
        <v>136</v>
      </c>
      <c r="C41" s="63" t="s">
        <v>52</v>
      </c>
      <c r="D41" s="36">
        <f>COUNTA(C41)</f>
        <v>1</v>
      </c>
    </row>
    <row r="42" spans="1:5" ht="14.4" x14ac:dyDescent="0.55000000000000004">
      <c r="A42" s="36">
        <v>4619</v>
      </c>
      <c r="B42" s="62" t="s">
        <v>137</v>
      </c>
      <c r="C42" s="67"/>
    </row>
    <row r="43" spans="1:5" ht="14.4" x14ac:dyDescent="0.55000000000000004">
      <c r="A43" s="36">
        <v>4620</v>
      </c>
      <c r="B43" s="65" t="s">
        <v>138</v>
      </c>
      <c r="C43" s="63" t="s">
        <v>55</v>
      </c>
      <c r="D43" s="36">
        <f>IF($C$41="No",1,COUNTA(C43))</f>
        <v>1</v>
      </c>
    </row>
    <row r="44" spans="1:5" ht="14.4" x14ac:dyDescent="0.55000000000000004">
      <c r="A44" s="36">
        <v>4621</v>
      </c>
      <c r="B44" s="65" t="s">
        <v>139</v>
      </c>
      <c r="C44" s="63" t="s">
        <v>55</v>
      </c>
      <c r="D44" s="36">
        <f t="shared" ref="D44:D56" si="3">IF($C$41="No",1,COUNTA(C44))</f>
        <v>1</v>
      </c>
    </row>
    <row r="45" spans="1:5" ht="14.4" x14ac:dyDescent="0.55000000000000004">
      <c r="A45" s="36">
        <v>4622</v>
      </c>
      <c r="B45" s="65" t="s">
        <v>140</v>
      </c>
      <c r="C45" s="63" t="s">
        <v>55</v>
      </c>
      <c r="D45" s="36">
        <f t="shared" si="3"/>
        <v>1</v>
      </c>
    </row>
    <row r="46" spans="1:5" ht="14.4" x14ac:dyDescent="0.55000000000000004">
      <c r="A46" s="36">
        <v>4623</v>
      </c>
      <c r="B46" s="65" t="s">
        <v>141</v>
      </c>
      <c r="C46" s="63" t="s">
        <v>55</v>
      </c>
      <c r="D46" s="36">
        <f t="shared" si="3"/>
        <v>1</v>
      </c>
    </row>
    <row r="47" spans="1:5" ht="14.4" x14ac:dyDescent="0.55000000000000004">
      <c r="A47" s="36">
        <v>4624</v>
      </c>
      <c r="B47" s="65" t="s">
        <v>142</v>
      </c>
      <c r="C47" s="63" t="s">
        <v>55</v>
      </c>
      <c r="D47" s="36">
        <f t="shared" si="3"/>
        <v>1</v>
      </c>
    </row>
    <row r="48" spans="1:5" ht="14.4" x14ac:dyDescent="0.55000000000000004">
      <c r="A48" s="36">
        <v>4625</v>
      </c>
      <c r="B48" s="65" t="s">
        <v>143</v>
      </c>
      <c r="C48" s="63" t="s">
        <v>52</v>
      </c>
      <c r="D48" s="36">
        <f t="shared" si="3"/>
        <v>1</v>
      </c>
    </row>
    <row r="49" spans="1:4" ht="14.4" x14ac:dyDescent="0.55000000000000004">
      <c r="A49" s="36">
        <v>4615</v>
      </c>
      <c r="B49" s="62" t="s">
        <v>144</v>
      </c>
      <c r="C49" s="67"/>
    </row>
    <row r="50" spans="1:4" ht="14.4" x14ac:dyDescent="0.55000000000000004">
      <c r="A50" s="36">
        <v>4626</v>
      </c>
      <c r="B50" s="65" t="s">
        <v>145</v>
      </c>
      <c r="C50" s="63" t="s">
        <v>52</v>
      </c>
      <c r="D50" s="36">
        <f t="shared" si="3"/>
        <v>1</v>
      </c>
    </row>
    <row r="51" spans="1:4" ht="14.4" x14ac:dyDescent="0.55000000000000004">
      <c r="A51" s="36">
        <v>4627</v>
      </c>
      <c r="B51" s="65" t="s">
        <v>146</v>
      </c>
      <c r="C51" s="63" t="s">
        <v>55</v>
      </c>
      <c r="D51" s="36">
        <f t="shared" si="3"/>
        <v>1</v>
      </c>
    </row>
    <row r="52" spans="1:4" ht="14.4" x14ac:dyDescent="0.55000000000000004">
      <c r="A52" s="36">
        <v>4628</v>
      </c>
      <c r="B52" s="62" t="s">
        <v>147</v>
      </c>
      <c r="C52" s="67"/>
    </row>
    <row r="53" spans="1:4" ht="14.4" x14ac:dyDescent="0.55000000000000004">
      <c r="A53" s="36">
        <v>4629</v>
      </c>
      <c r="B53" s="65" t="s">
        <v>148</v>
      </c>
      <c r="C53" s="63" t="s">
        <v>52</v>
      </c>
      <c r="D53" s="36">
        <f t="shared" si="3"/>
        <v>1</v>
      </c>
    </row>
    <row r="54" spans="1:4" ht="14.4" x14ac:dyDescent="0.55000000000000004">
      <c r="A54" s="36">
        <v>4630</v>
      </c>
      <c r="B54" s="65" t="s">
        <v>149</v>
      </c>
      <c r="C54" s="63" t="s">
        <v>52</v>
      </c>
      <c r="D54" s="36">
        <f t="shared" si="3"/>
        <v>1</v>
      </c>
    </row>
    <row r="55" spans="1:4" ht="14.4" x14ac:dyDescent="0.55000000000000004">
      <c r="A55" s="36">
        <v>4631</v>
      </c>
      <c r="B55" s="65" t="s">
        <v>150</v>
      </c>
      <c r="C55" s="63" t="s">
        <v>55</v>
      </c>
      <c r="D55" s="36">
        <f t="shared" si="3"/>
        <v>1</v>
      </c>
    </row>
    <row r="56" spans="1:4" ht="14.4" x14ac:dyDescent="0.55000000000000004">
      <c r="A56" s="36">
        <v>4632</v>
      </c>
      <c r="B56" s="65" t="s">
        <v>151</v>
      </c>
      <c r="C56" s="63" t="s">
        <v>55</v>
      </c>
      <c r="D56" s="36">
        <f t="shared" si="3"/>
        <v>1</v>
      </c>
    </row>
    <row r="57" spans="1:4" ht="14.4" x14ac:dyDescent="0.55000000000000004">
      <c r="B57" s="63"/>
      <c r="C57" s="63"/>
    </row>
    <row r="58" spans="1:4" ht="14.4" x14ac:dyDescent="0.55000000000000004">
      <c r="B58" s="63"/>
      <c r="C58" s="63"/>
    </row>
    <row r="59" spans="1:4" ht="14.4" x14ac:dyDescent="0.55000000000000004">
      <c r="B59" s="63"/>
      <c r="C59" s="63"/>
    </row>
    <row r="60" spans="1:4" ht="14.4" x14ac:dyDescent="0.55000000000000004">
      <c r="B60" s="63"/>
      <c r="C60" s="63"/>
    </row>
    <row r="61" spans="1:4" ht="14.4" x14ac:dyDescent="0.55000000000000004">
      <c r="B61" s="63"/>
      <c r="C61" s="63"/>
    </row>
  </sheetData>
  <sheetProtection algorithmName="SHA-512" hashValue="esOtS+Gni+cEtVLY2661mh0vErDxsA5mDjgkZk59kGaGc2Q9sNOg1bNbWFfHT0JEgNDRl0wcek3psufvd1UGiQ==" saltValue="vDKuoMJNeVm3vgS7Lx6zUw==" spinCount="100000" sheet="1" objects="1" scenarios="1"/>
  <conditionalFormatting sqref="A4:A56">
    <cfRule type="expression" dxfId="11" priority="10">
      <formula>A4=""</formula>
    </cfRule>
  </conditionalFormatting>
  <conditionalFormatting sqref="B57:C61">
    <cfRule type="expression" dxfId="10" priority="9">
      <formula>C57=1</formula>
    </cfRule>
  </conditionalFormatting>
  <conditionalFormatting sqref="C2">
    <cfRule type="dataBar" priority="8">
      <dataBar>
        <cfvo type="num" val="0"/>
        <cfvo type="num" val="1"/>
        <color rgb="FFA7A9AC"/>
      </dataBar>
      <extLst>
        <ext xmlns:x14="http://schemas.microsoft.com/office/spreadsheetml/2009/9/main" uri="{B025F937-C7B1-47D3-B67F-A62EFF666E3E}">
          <x14:id>{DDB3B46D-8E9C-4559-ACE0-11CFA17D9E5F}</x14:id>
        </ext>
      </extLst>
    </cfRule>
  </conditionalFormatting>
  <conditionalFormatting sqref="C4:C8 C26:C27 C10:C22 C43:C48 C50:C51 C53:C56 C33:C41 C29:C31">
    <cfRule type="expression" dxfId="9" priority="4">
      <formula>D4=1</formula>
    </cfRule>
  </conditionalFormatting>
  <conditionalFormatting sqref="C24">
    <cfRule type="expression" dxfId="8" priority="3">
      <formula>D24=1</formula>
    </cfRule>
  </conditionalFormatting>
  <conditionalFormatting sqref="C25">
    <cfRule type="expression" dxfId="7" priority="2">
      <formula>D25=1</formula>
    </cfRule>
  </conditionalFormatting>
  <conditionalFormatting sqref="C28">
    <cfRule type="expression" dxfId="6" priority="1">
      <formula>D28=1</formula>
    </cfRule>
  </conditionalFormatting>
  <dataValidations count="2">
    <dataValidation type="list" allowBlank="1" showInputMessage="1" showErrorMessage="1" sqref="C17 C26 C29 C21 C19 C33:C39 C41 C43:C48 C50:C51 C53:C56" xr:uid="{93A13496-32CB-4B32-AE59-F753F9A7A6F5}">
      <formula1>"Yes,No"</formula1>
    </dataValidation>
    <dataValidation type="list" allowBlank="1" showInputMessage="1" showErrorMessage="1" sqref="C12" xr:uid="{8835B82F-E5D4-4F29-906F-D7430E49081D}">
      <formula1>"Publicly held, Privately held"</formula1>
    </dataValidation>
  </dataValidations>
  <pageMargins left="0.25" right="0.25" top="0.75" bottom="0.75" header="0.3" footer="0.3"/>
  <pageSetup fitToHeight="0" orientation="landscape" r:id="rId1"/>
  <headerFooter>
    <oddHeader>&amp;L&amp;K756762Shared Assessments Program&amp;C&amp;K756762Standardized Information Gathering (SIG) Questionnaire&amp;R &amp;K756762Version 2020</oddHeader>
    <oddFooter>&amp;L&amp;K756762&amp;A&amp;C&amp;K756762Page &amp;P of &amp;N Page(s)</oddFooter>
  </headerFooter>
  <extLst>
    <ext xmlns:x14="http://schemas.microsoft.com/office/spreadsheetml/2009/9/main" uri="{78C0D931-6437-407d-A8EE-F0AAD7539E65}">
      <x14:conditionalFormattings>
        <x14:conditionalFormatting xmlns:xm="http://schemas.microsoft.com/office/excel/2006/main">
          <x14:cfRule type="dataBar" id="{DDB3B46D-8E9C-4559-ACE0-11CFA17D9E5F}">
            <x14:dataBar minLength="0" maxLength="100" gradient="0">
              <x14:cfvo type="num">
                <xm:f>0</xm:f>
              </x14:cfvo>
              <x14:cfvo type="num">
                <xm:f>1</xm:f>
              </x14:cfvo>
              <x14:negativeFillColor rgb="FFFF0000"/>
              <x14:axisColor rgb="FF000000"/>
            </x14:dataBar>
          </x14:cfRule>
          <xm:sqref>C2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654D-61FA-4090-BAAE-60A6C06D817D}">
  <sheetPr codeName="Sheet06">
    <pageSetUpPr fitToPage="1"/>
  </sheetPr>
  <dimension ref="A1:F136"/>
  <sheetViews>
    <sheetView showGridLines="0" showZeros="0" topLeftCell="B1" zoomScaleNormal="100" workbookViewId="0">
      <pane ySplit="2" topLeftCell="A3" activePane="bottomLeft" state="frozen"/>
      <selection sqref="A1:XFD1048576"/>
      <selection pane="bottomLeft" activeCell="B46" sqref="B46"/>
    </sheetView>
  </sheetViews>
  <sheetFormatPr defaultColWidth="8.68359375" defaultRowHeight="12.9" x14ac:dyDescent="0.55000000000000004"/>
  <cols>
    <col min="1" max="1" width="5.47265625" style="36" hidden="1" customWidth="1"/>
    <col min="2" max="2" width="80.47265625" style="36" customWidth="1"/>
    <col min="3" max="3" width="34" style="36" customWidth="1"/>
    <col min="4" max="4" width="14.47265625" style="36" customWidth="1"/>
    <col min="5" max="5" width="17.3125" style="36" customWidth="1"/>
    <col min="6" max="6" width="46.47265625" style="36" customWidth="1"/>
    <col min="7" max="16384" width="8.68359375" style="36"/>
  </cols>
  <sheetData>
    <row r="1" spans="1:6" ht="51.9" x14ac:dyDescent="0.5">
      <c r="A1" s="69" t="s">
        <v>84</v>
      </c>
      <c r="B1" s="37" t="s">
        <v>152</v>
      </c>
      <c r="C1" s="70"/>
      <c r="D1" s="71"/>
      <c r="E1" s="71"/>
      <c r="F1" s="54"/>
    </row>
    <row r="2" spans="1:6" ht="30" customHeight="1" x14ac:dyDescent="0.55000000000000004">
      <c r="A2" s="36" t="s">
        <v>153</v>
      </c>
      <c r="B2" s="72" t="s">
        <v>154</v>
      </c>
      <c r="C2" s="73" t="s">
        <v>155</v>
      </c>
      <c r="D2" s="73" t="s">
        <v>156</v>
      </c>
      <c r="E2" s="73" t="s">
        <v>157</v>
      </c>
      <c r="F2" s="74" t="s">
        <v>158</v>
      </c>
    </row>
    <row r="3" spans="1:6" ht="28.8" x14ac:dyDescent="0.55000000000000004">
      <c r="A3" s="36">
        <v>5660</v>
      </c>
      <c r="B3" s="75" t="s">
        <v>159</v>
      </c>
      <c r="C3" s="75" t="s">
        <v>160</v>
      </c>
      <c r="D3" s="75" t="s">
        <v>161</v>
      </c>
      <c r="E3" s="76"/>
      <c r="F3" s="76"/>
    </row>
    <row r="4" spans="1:6" ht="28.8" hidden="1" x14ac:dyDescent="0.55000000000000004">
      <c r="A4" s="36">
        <v>5661</v>
      </c>
      <c r="B4" s="75" t="s">
        <v>162</v>
      </c>
      <c r="C4" s="75" t="s">
        <v>160</v>
      </c>
      <c r="D4" s="75" t="s">
        <v>163</v>
      </c>
      <c r="E4" s="76"/>
      <c r="F4" s="76"/>
    </row>
    <row r="5" spans="1:6" ht="28.8" hidden="1" x14ac:dyDescent="0.55000000000000004">
      <c r="A5" s="36">
        <v>5662</v>
      </c>
      <c r="B5" s="75" t="s">
        <v>164</v>
      </c>
      <c r="C5" s="75" t="s">
        <v>160</v>
      </c>
      <c r="D5" s="75" t="s">
        <v>165</v>
      </c>
      <c r="E5" s="76"/>
      <c r="F5" s="76"/>
    </row>
    <row r="6" spans="1:6" ht="28.8" hidden="1" x14ac:dyDescent="0.55000000000000004">
      <c r="A6" s="36">
        <v>5663</v>
      </c>
      <c r="B6" s="75" t="s">
        <v>166</v>
      </c>
      <c r="C6" s="75" t="s">
        <v>160</v>
      </c>
      <c r="D6" s="75" t="s">
        <v>167</v>
      </c>
      <c r="E6" s="76"/>
      <c r="F6" s="76"/>
    </row>
    <row r="7" spans="1:6" ht="43.2" hidden="1" x14ac:dyDescent="0.55000000000000004">
      <c r="A7" s="36">
        <v>5664</v>
      </c>
      <c r="B7" s="75" t="s">
        <v>168</v>
      </c>
      <c r="C7" s="75" t="s">
        <v>160</v>
      </c>
      <c r="D7" s="75" t="s">
        <v>169</v>
      </c>
      <c r="E7" s="76"/>
      <c r="F7" s="76"/>
    </row>
    <row r="8" spans="1:6" ht="72" hidden="1" x14ac:dyDescent="0.55000000000000004">
      <c r="A8" s="36">
        <v>5665</v>
      </c>
      <c r="B8" s="75" t="s">
        <v>170</v>
      </c>
      <c r="C8" s="75" t="s">
        <v>160</v>
      </c>
      <c r="D8" s="75" t="s">
        <v>171</v>
      </c>
      <c r="E8" s="76"/>
      <c r="F8" s="76"/>
    </row>
    <row r="9" spans="1:6" ht="14.4" hidden="1" x14ac:dyDescent="0.55000000000000004">
      <c r="A9" s="36">
        <v>5666</v>
      </c>
      <c r="B9" s="75" t="s">
        <v>172</v>
      </c>
      <c r="C9" s="75" t="s">
        <v>160</v>
      </c>
      <c r="D9" s="75" t="s">
        <v>173</v>
      </c>
      <c r="E9" s="76"/>
      <c r="F9" s="76"/>
    </row>
    <row r="10" spans="1:6" ht="43.2" hidden="1" x14ac:dyDescent="0.55000000000000004">
      <c r="A10" s="36">
        <v>5667</v>
      </c>
      <c r="B10" s="75" t="s">
        <v>174</v>
      </c>
      <c r="C10" s="75" t="s">
        <v>160</v>
      </c>
      <c r="D10" s="75" t="s">
        <v>175</v>
      </c>
      <c r="E10" s="76"/>
      <c r="F10" s="76"/>
    </row>
    <row r="11" spans="1:6" ht="28.8" hidden="1" x14ac:dyDescent="0.55000000000000004">
      <c r="A11" s="36">
        <v>5668</v>
      </c>
      <c r="B11" s="75" t="s">
        <v>176</v>
      </c>
      <c r="C11" s="75" t="s">
        <v>160</v>
      </c>
      <c r="D11" s="75" t="s">
        <v>177</v>
      </c>
      <c r="E11" s="76"/>
      <c r="F11" s="76"/>
    </row>
    <row r="12" spans="1:6" ht="28.8" hidden="1" x14ac:dyDescent="0.55000000000000004">
      <c r="A12" s="36">
        <v>5669</v>
      </c>
      <c r="B12" s="75" t="s">
        <v>178</v>
      </c>
      <c r="C12" s="75" t="s">
        <v>160</v>
      </c>
      <c r="D12" s="75" t="s">
        <v>179</v>
      </c>
      <c r="E12" s="76"/>
      <c r="F12" s="76"/>
    </row>
    <row r="13" spans="1:6" ht="14.4" hidden="1" x14ac:dyDescent="0.55000000000000004">
      <c r="A13" s="36">
        <v>5670</v>
      </c>
      <c r="B13" s="75" t="s">
        <v>180</v>
      </c>
      <c r="C13" s="75" t="s">
        <v>160</v>
      </c>
      <c r="D13" s="75" t="s">
        <v>181</v>
      </c>
      <c r="E13" s="76"/>
      <c r="F13" s="76"/>
    </row>
    <row r="14" spans="1:6" ht="14.4" x14ac:dyDescent="0.55000000000000004">
      <c r="A14" s="36">
        <v>2922</v>
      </c>
      <c r="B14" s="75" t="s">
        <v>182</v>
      </c>
      <c r="C14" s="75" t="s">
        <v>59</v>
      </c>
      <c r="D14" s="75" t="s">
        <v>183</v>
      </c>
      <c r="E14" s="76"/>
      <c r="F14" s="76"/>
    </row>
    <row r="15" spans="1:6" ht="14.4" hidden="1" x14ac:dyDescent="0.55000000000000004">
      <c r="A15" s="36">
        <v>5671</v>
      </c>
      <c r="B15" s="75" t="s">
        <v>184</v>
      </c>
      <c r="C15" s="75" t="s">
        <v>59</v>
      </c>
      <c r="D15" s="75" t="s">
        <v>185</v>
      </c>
      <c r="E15" s="76"/>
      <c r="F15" s="76"/>
    </row>
    <row r="16" spans="1:6" ht="28.8" x14ac:dyDescent="0.55000000000000004">
      <c r="A16" s="36">
        <v>5672</v>
      </c>
      <c r="B16" s="75" t="s">
        <v>186</v>
      </c>
      <c r="C16" s="75" t="s">
        <v>60</v>
      </c>
      <c r="D16" s="75" t="s">
        <v>187</v>
      </c>
      <c r="E16" s="76"/>
      <c r="F16" s="76"/>
    </row>
    <row r="17" spans="1:6" ht="43.2" x14ac:dyDescent="0.55000000000000004">
      <c r="A17" s="36">
        <v>5673</v>
      </c>
      <c r="B17" s="75" t="s">
        <v>188</v>
      </c>
      <c r="C17" s="75" t="s">
        <v>62</v>
      </c>
      <c r="D17" s="75" t="s">
        <v>189</v>
      </c>
      <c r="E17" s="76"/>
      <c r="F17" s="76"/>
    </row>
    <row r="18" spans="1:6" ht="28.8" hidden="1" x14ac:dyDescent="0.55000000000000004">
      <c r="A18" s="36">
        <v>5674</v>
      </c>
      <c r="B18" s="75" t="s">
        <v>190</v>
      </c>
      <c r="C18" s="75" t="s">
        <v>62</v>
      </c>
      <c r="D18" s="75" t="s">
        <v>191</v>
      </c>
      <c r="E18" s="76"/>
      <c r="F18" s="76"/>
    </row>
    <row r="19" spans="1:6" ht="43.2" hidden="1" x14ac:dyDescent="0.55000000000000004">
      <c r="A19" s="36">
        <v>5675</v>
      </c>
      <c r="B19" s="75" t="s">
        <v>192</v>
      </c>
      <c r="C19" s="75" t="s">
        <v>62</v>
      </c>
      <c r="D19" s="75" t="s">
        <v>193</v>
      </c>
      <c r="E19" s="76"/>
      <c r="F19" s="76"/>
    </row>
    <row r="20" spans="1:6" ht="14.4" x14ac:dyDescent="0.55000000000000004">
      <c r="A20" s="36">
        <v>5676</v>
      </c>
      <c r="B20" s="75" t="s">
        <v>194</v>
      </c>
      <c r="C20" s="75" t="s">
        <v>62</v>
      </c>
      <c r="D20" s="75" t="s">
        <v>195</v>
      </c>
      <c r="E20" s="76"/>
      <c r="F20" s="76"/>
    </row>
    <row r="21" spans="1:6" ht="28.8" x14ac:dyDescent="0.55000000000000004">
      <c r="A21" s="36">
        <v>5677</v>
      </c>
      <c r="B21" s="75" t="s">
        <v>196</v>
      </c>
      <c r="C21" s="75" t="s">
        <v>62</v>
      </c>
      <c r="D21" s="75" t="s">
        <v>197</v>
      </c>
      <c r="E21" s="76"/>
      <c r="F21" s="76"/>
    </row>
    <row r="22" spans="1:6" ht="28.8" x14ac:dyDescent="0.55000000000000004">
      <c r="A22" s="36">
        <v>5678</v>
      </c>
      <c r="B22" s="75" t="s">
        <v>198</v>
      </c>
      <c r="C22" s="75" t="s">
        <v>62</v>
      </c>
      <c r="D22" s="75" t="s">
        <v>199</v>
      </c>
      <c r="E22" s="76"/>
      <c r="F22" s="76"/>
    </row>
    <row r="23" spans="1:6" ht="28.8" x14ac:dyDescent="0.55000000000000004">
      <c r="A23" s="36">
        <v>5679</v>
      </c>
      <c r="B23" s="75" t="s">
        <v>200</v>
      </c>
      <c r="C23" s="75" t="s">
        <v>62</v>
      </c>
      <c r="D23" s="75" t="s">
        <v>201</v>
      </c>
      <c r="E23" s="76"/>
      <c r="F23" s="76"/>
    </row>
    <row r="24" spans="1:6" ht="43.2" x14ac:dyDescent="0.55000000000000004">
      <c r="A24" s="36">
        <v>5680</v>
      </c>
      <c r="B24" s="75" t="s">
        <v>202</v>
      </c>
      <c r="C24" s="75" t="s">
        <v>203</v>
      </c>
      <c r="D24" s="75" t="s">
        <v>204</v>
      </c>
      <c r="E24" s="76"/>
      <c r="F24" s="76"/>
    </row>
    <row r="25" spans="1:6" ht="28.8" hidden="1" x14ac:dyDescent="0.55000000000000004">
      <c r="A25" s="36">
        <v>5681</v>
      </c>
      <c r="B25" s="75" t="s">
        <v>205</v>
      </c>
      <c r="C25" s="75" t="s">
        <v>203</v>
      </c>
      <c r="D25" s="75" t="s">
        <v>206</v>
      </c>
      <c r="E25" s="76"/>
      <c r="F25" s="76"/>
    </row>
    <row r="26" spans="1:6" ht="28.8" hidden="1" x14ac:dyDescent="0.55000000000000004">
      <c r="A26" s="36">
        <v>5682</v>
      </c>
      <c r="B26" s="75" t="s">
        <v>207</v>
      </c>
      <c r="C26" s="75" t="s">
        <v>203</v>
      </c>
      <c r="D26" s="75" t="s">
        <v>208</v>
      </c>
      <c r="E26" s="76"/>
      <c r="F26" s="76"/>
    </row>
    <row r="27" spans="1:6" ht="28.8" hidden="1" x14ac:dyDescent="0.55000000000000004">
      <c r="A27" s="36">
        <v>5683</v>
      </c>
      <c r="B27" s="75" t="s">
        <v>209</v>
      </c>
      <c r="C27" s="75" t="s">
        <v>203</v>
      </c>
      <c r="D27" s="75" t="s">
        <v>210</v>
      </c>
      <c r="E27" s="76"/>
      <c r="F27" s="76"/>
    </row>
    <row r="28" spans="1:6" ht="14.4" hidden="1" x14ac:dyDescent="0.55000000000000004">
      <c r="A28" s="36">
        <v>5684</v>
      </c>
      <c r="B28" s="75" t="s">
        <v>211</v>
      </c>
      <c r="C28" s="75" t="s">
        <v>203</v>
      </c>
      <c r="D28" s="75" t="s">
        <v>212</v>
      </c>
      <c r="E28" s="76"/>
      <c r="F28" s="76"/>
    </row>
    <row r="29" spans="1:6" ht="28.8" x14ac:dyDescent="0.55000000000000004">
      <c r="A29" s="36">
        <v>5685</v>
      </c>
      <c r="B29" s="75" t="s">
        <v>213</v>
      </c>
      <c r="C29" s="75" t="s">
        <v>65</v>
      </c>
      <c r="D29" s="75" t="s">
        <v>214</v>
      </c>
      <c r="E29" s="76"/>
      <c r="F29" s="76"/>
    </row>
    <row r="30" spans="1:6" ht="14.4" hidden="1" x14ac:dyDescent="0.55000000000000004">
      <c r="A30" s="36">
        <v>5686</v>
      </c>
      <c r="B30" s="75" t="s">
        <v>215</v>
      </c>
      <c r="C30" s="75" t="s">
        <v>65</v>
      </c>
      <c r="D30" s="75" t="s">
        <v>216</v>
      </c>
      <c r="E30" s="76"/>
      <c r="F30" s="76"/>
    </row>
    <row r="31" spans="1:6" ht="14.4" hidden="1" x14ac:dyDescent="0.55000000000000004">
      <c r="A31" s="36">
        <v>2925</v>
      </c>
      <c r="B31" s="75" t="s">
        <v>217</v>
      </c>
      <c r="C31" s="75" t="s">
        <v>65</v>
      </c>
      <c r="D31" s="75" t="s">
        <v>218</v>
      </c>
      <c r="E31" s="76"/>
      <c r="F31" s="76"/>
    </row>
    <row r="32" spans="1:6" ht="30" hidden="1" customHeight="1" x14ac:dyDescent="0.55000000000000004">
      <c r="A32" s="36">
        <v>5687</v>
      </c>
      <c r="B32" s="75" t="s">
        <v>219</v>
      </c>
      <c r="C32" s="75" t="s">
        <v>65</v>
      </c>
      <c r="D32" s="75" t="s">
        <v>220</v>
      </c>
      <c r="E32" s="76"/>
      <c r="F32" s="76"/>
    </row>
    <row r="33" spans="1:6" ht="28.8" hidden="1" x14ac:dyDescent="0.55000000000000004">
      <c r="A33" s="36">
        <v>5688</v>
      </c>
      <c r="B33" s="75" t="s">
        <v>221</v>
      </c>
      <c r="C33" s="75" t="s">
        <v>65</v>
      </c>
      <c r="D33" s="75" t="s">
        <v>222</v>
      </c>
      <c r="E33" s="76"/>
      <c r="F33" s="76"/>
    </row>
    <row r="34" spans="1:6" ht="28.8" hidden="1" x14ac:dyDescent="0.55000000000000004">
      <c r="A34" s="36">
        <v>5689</v>
      </c>
      <c r="B34" s="75" t="s">
        <v>223</v>
      </c>
      <c r="C34" s="75" t="s">
        <v>65</v>
      </c>
      <c r="D34" s="75" t="s">
        <v>224</v>
      </c>
      <c r="E34" s="76"/>
      <c r="F34" s="76"/>
    </row>
    <row r="35" spans="1:6" ht="28.8" hidden="1" x14ac:dyDescent="0.55000000000000004">
      <c r="A35" s="36">
        <v>5690</v>
      </c>
      <c r="B35" s="75" t="s">
        <v>225</v>
      </c>
      <c r="C35" s="75" t="s">
        <v>65</v>
      </c>
      <c r="D35" s="75" t="s">
        <v>226</v>
      </c>
      <c r="E35" s="76"/>
      <c r="F35" s="76"/>
    </row>
    <row r="36" spans="1:6" ht="28.8" hidden="1" x14ac:dyDescent="0.55000000000000004">
      <c r="A36" s="36">
        <v>5691</v>
      </c>
      <c r="B36" s="75" t="s">
        <v>227</v>
      </c>
      <c r="C36" s="75" t="s">
        <v>65</v>
      </c>
      <c r="D36" s="75" t="s">
        <v>228</v>
      </c>
      <c r="E36" s="76"/>
      <c r="F36" s="76"/>
    </row>
    <row r="37" spans="1:6" ht="28.8" hidden="1" x14ac:dyDescent="0.55000000000000004">
      <c r="A37" s="36">
        <v>5692</v>
      </c>
      <c r="B37" s="75" t="s">
        <v>229</v>
      </c>
      <c r="C37" s="75" t="s">
        <v>230</v>
      </c>
      <c r="D37" s="75" t="s">
        <v>231</v>
      </c>
      <c r="E37" s="76"/>
      <c r="F37" s="76"/>
    </row>
    <row r="38" spans="1:6" ht="14.4" x14ac:dyDescent="0.55000000000000004">
      <c r="A38" s="36">
        <v>5693</v>
      </c>
      <c r="B38" s="75" t="s">
        <v>232</v>
      </c>
      <c r="C38" s="75" t="s">
        <v>230</v>
      </c>
      <c r="D38" s="75" t="s">
        <v>233</v>
      </c>
      <c r="E38" s="76"/>
      <c r="F38" s="76"/>
    </row>
    <row r="39" spans="1:6" ht="28.8" hidden="1" x14ac:dyDescent="0.55000000000000004">
      <c r="A39" s="36">
        <v>5694</v>
      </c>
      <c r="B39" s="75" t="s">
        <v>234</v>
      </c>
      <c r="C39" s="75" t="s">
        <v>230</v>
      </c>
      <c r="D39" s="75" t="s">
        <v>235</v>
      </c>
      <c r="E39" s="76"/>
      <c r="F39" s="76"/>
    </row>
    <row r="40" spans="1:6" ht="28.8" hidden="1" x14ac:dyDescent="0.55000000000000004">
      <c r="A40" s="36">
        <v>5695</v>
      </c>
      <c r="B40" s="75" t="s">
        <v>236</v>
      </c>
      <c r="C40" s="75" t="s">
        <v>230</v>
      </c>
      <c r="D40" s="75" t="s">
        <v>237</v>
      </c>
      <c r="E40" s="76"/>
      <c r="F40" s="76"/>
    </row>
    <row r="41" spans="1:6" ht="14.4" hidden="1" x14ac:dyDescent="0.55000000000000004">
      <c r="A41" s="36">
        <v>5696</v>
      </c>
      <c r="B41" s="75" t="s">
        <v>238</v>
      </c>
      <c r="C41" s="75" t="s">
        <v>230</v>
      </c>
      <c r="D41" s="75" t="s">
        <v>239</v>
      </c>
      <c r="E41" s="76"/>
      <c r="F41" s="76"/>
    </row>
    <row r="42" spans="1:6" ht="28.8" hidden="1" x14ac:dyDescent="0.55000000000000004">
      <c r="A42" s="36">
        <v>2937</v>
      </c>
      <c r="B42" s="75" t="s">
        <v>240</v>
      </c>
      <c r="C42" s="75" t="s">
        <v>230</v>
      </c>
      <c r="D42" s="75" t="s">
        <v>241</v>
      </c>
      <c r="E42" s="76"/>
      <c r="F42" s="76"/>
    </row>
    <row r="43" spans="1:6" ht="28.8" hidden="1" x14ac:dyDescent="0.55000000000000004">
      <c r="A43" s="36">
        <v>5697</v>
      </c>
      <c r="B43" s="75" t="s">
        <v>242</v>
      </c>
      <c r="C43" s="75" t="s">
        <v>230</v>
      </c>
      <c r="D43" s="75" t="s">
        <v>243</v>
      </c>
      <c r="E43" s="76"/>
      <c r="F43" s="76"/>
    </row>
    <row r="44" spans="1:6" ht="30" hidden="1" customHeight="1" x14ac:dyDescent="0.55000000000000004">
      <c r="A44" s="36">
        <v>5698</v>
      </c>
      <c r="B44" s="75" t="s">
        <v>244</v>
      </c>
      <c r="C44" s="75" t="s">
        <v>230</v>
      </c>
      <c r="D44" s="75" t="s">
        <v>245</v>
      </c>
      <c r="E44" s="76"/>
      <c r="F44" s="76"/>
    </row>
    <row r="45" spans="1:6" ht="14.4" x14ac:dyDescent="0.55000000000000004">
      <c r="A45" s="36">
        <v>5699</v>
      </c>
      <c r="B45" s="75" t="s">
        <v>246</v>
      </c>
      <c r="C45" s="75" t="s">
        <v>67</v>
      </c>
      <c r="D45" s="75" t="s">
        <v>247</v>
      </c>
      <c r="E45" s="76"/>
      <c r="F45" s="76"/>
    </row>
    <row r="46" spans="1:6" ht="14.4" hidden="1" x14ac:dyDescent="0.55000000000000004">
      <c r="A46" s="36">
        <v>5700</v>
      </c>
      <c r="B46" s="75" t="s">
        <v>248</v>
      </c>
      <c r="C46" s="75" t="s">
        <v>67</v>
      </c>
      <c r="D46" s="75" t="s">
        <v>249</v>
      </c>
      <c r="E46" s="76"/>
      <c r="F46" s="76"/>
    </row>
    <row r="47" spans="1:6" ht="14.4" hidden="1" x14ac:dyDescent="0.55000000000000004">
      <c r="A47" s="36">
        <v>5701</v>
      </c>
      <c r="B47" s="75" t="s">
        <v>250</v>
      </c>
      <c r="C47" s="75" t="s">
        <v>67</v>
      </c>
      <c r="D47" s="75" t="s">
        <v>251</v>
      </c>
      <c r="E47" s="76"/>
      <c r="F47" s="76"/>
    </row>
    <row r="48" spans="1:6" ht="14.4" hidden="1" x14ac:dyDescent="0.55000000000000004">
      <c r="A48" s="36">
        <v>5702</v>
      </c>
      <c r="B48" s="75" t="s">
        <v>252</v>
      </c>
      <c r="C48" s="75" t="s">
        <v>67</v>
      </c>
      <c r="D48" s="75" t="s">
        <v>253</v>
      </c>
      <c r="E48" s="76"/>
      <c r="F48" s="76"/>
    </row>
    <row r="49" spans="1:6" ht="28.8" hidden="1" x14ac:dyDescent="0.55000000000000004">
      <c r="A49" s="36">
        <v>5703</v>
      </c>
      <c r="B49" s="75" t="s">
        <v>254</v>
      </c>
      <c r="C49" s="75" t="s">
        <v>67</v>
      </c>
      <c r="D49" s="75" t="s">
        <v>255</v>
      </c>
      <c r="E49" s="76"/>
      <c r="F49" s="76"/>
    </row>
    <row r="50" spans="1:6" ht="28.8" hidden="1" x14ac:dyDescent="0.55000000000000004">
      <c r="A50" s="36">
        <v>5704</v>
      </c>
      <c r="B50" s="75" t="s">
        <v>256</v>
      </c>
      <c r="C50" s="75" t="s">
        <v>67</v>
      </c>
      <c r="D50" s="75" t="s">
        <v>257</v>
      </c>
      <c r="E50" s="76"/>
      <c r="F50" s="76"/>
    </row>
    <row r="51" spans="1:6" ht="14.4" hidden="1" x14ac:dyDescent="0.55000000000000004">
      <c r="A51" s="36">
        <v>5705</v>
      </c>
      <c r="B51" s="75" t="s">
        <v>258</v>
      </c>
      <c r="C51" s="75" t="s">
        <v>67</v>
      </c>
      <c r="D51" s="75" t="s">
        <v>259</v>
      </c>
      <c r="E51" s="76"/>
      <c r="F51" s="76"/>
    </row>
    <row r="52" spans="1:6" ht="14.4" hidden="1" x14ac:dyDescent="0.55000000000000004">
      <c r="A52" s="36">
        <v>5706</v>
      </c>
      <c r="B52" s="75" t="s">
        <v>260</v>
      </c>
      <c r="C52" s="75" t="s">
        <v>67</v>
      </c>
      <c r="D52" s="75" t="s">
        <v>261</v>
      </c>
      <c r="E52" s="76"/>
      <c r="F52" s="76"/>
    </row>
    <row r="53" spans="1:6" ht="14.4" hidden="1" x14ac:dyDescent="0.55000000000000004">
      <c r="A53" s="36">
        <v>5707</v>
      </c>
      <c r="B53" s="75" t="s">
        <v>262</v>
      </c>
      <c r="C53" s="75" t="s">
        <v>67</v>
      </c>
      <c r="D53" s="75" t="s">
        <v>263</v>
      </c>
      <c r="E53" s="76"/>
      <c r="F53" s="76"/>
    </row>
    <row r="54" spans="1:6" ht="14.4" hidden="1" x14ac:dyDescent="0.55000000000000004">
      <c r="A54" s="36">
        <v>5708</v>
      </c>
      <c r="B54" s="75" t="s">
        <v>264</v>
      </c>
      <c r="C54" s="75" t="s">
        <v>67</v>
      </c>
      <c r="D54" s="75" t="s">
        <v>265</v>
      </c>
      <c r="E54" s="76"/>
      <c r="F54" s="76"/>
    </row>
    <row r="55" spans="1:6" ht="14.4" hidden="1" x14ac:dyDescent="0.55000000000000004">
      <c r="A55" s="36">
        <v>5709</v>
      </c>
      <c r="B55" s="75" t="s">
        <v>266</v>
      </c>
      <c r="C55" s="75" t="s">
        <v>67</v>
      </c>
      <c r="D55" s="75" t="s">
        <v>267</v>
      </c>
      <c r="E55" s="76"/>
      <c r="F55" s="76"/>
    </row>
    <row r="56" spans="1:6" ht="14.4" hidden="1" x14ac:dyDescent="0.55000000000000004">
      <c r="A56" s="36">
        <v>5710</v>
      </c>
      <c r="B56" s="75" t="s">
        <v>268</v>
      </c>
      <c r="C56" s="75" t="s">
        <v>67</v>
      </c>
      <c r="D56" s="75" t="s">
        <v>269</v>
      </c>
      <c r="E56" s="76"/>
      <c r="F56" s="76"/>
    </row>
    <row r="57" spans="1:6" ht="14.4" hidden="1" x14ac:dyDescent="0.55000000000000004">
      <c r="A57" s="36">
        <v>5711</v>
      </c>
      <c r="B57" s="75" t="s">
        <v>270</v>
      </c>
      <c r="C57" s="75" t="s">
        <v>67</v>
      </c>
      <c r="D57" s="75" t="s">
        <v>271</v>
      </c>
      <c r="E57" s="76"/>
      <c r="F57" s="76"/>
    </row>
    <row r="58" spans="1:6" ht="43.2" hidden="1" x14ac:dyDescent="0.55000000000000004">
      <c r="A58" s="36">
        <v>5950</v>
      </c>
      <c r="B58" s="75" t="s">
        <v>272</v>
      </c>
      <c r="C58" s="75" t="s">
        <v>67</v>
      </c>
      <c r="D58" s="75" t="s">
        <v>273</v>
      </c>
      <c r="E58" s="76"/>
      <c r="F58" s="76"/>
    </row>
    <row r="59" spans="1:6" ht="14.4" x14ac:dyDescent="0.55000000000000004">
      <c r="A59" s="36">
        <v>5712</v>
      </c>
      <c r="B59" s="75" t="s">
        <v>274</v>
      </c>
      <c r="C59" s="75" t="s">
        <v>68</v>
      </c>
      <c r="D59" s="75" t="s">
        <v>275</v>
      </c>
      <c r="E59" s="76"/>
      <c r="F59" s="76"/>
    </row>
    <row r="60" spans="1:6" ht="14.4" x14ac:dyDescent="0.55000000000000004">
      <c r="A60" s="36">
        <v>2940</v>
      </c>
      <c r="B60" s="75" t="s">
        <v>276</v>
      </c>
      <c r="C60" s="75" t="s">
        <v>68</v>
      </c>
      <c r="D60" s="75" t="s">
        <v>277</v>
      </c>
      <c r="E60" s="76"/>
      <c r="F60" s="76"/>
    </row>
    <row r="61" spans="1:6" ht="28.8" hidden="1" x14ac:dyDescent="0.55000000000000004">
      <c r="A61" s="36">
        <v>5713</v>
      </c>
      <c r="B61" s="75" t="s">
        <v>278</v>
      </c>
      <c r="C61" s="75" t="s">
        <v>68</v>
      </c>
      <c r="D61" s="75" t="s">
        <v>279</v>
      </c>
      <c r="E61" s="76"/>
      <c r="F61" s="76"/>
    </row>
    <row r="62" spans="1:6" ht="28.8" hidden="1" x14ac:dyDescent="0.55000000000000004">
      <c r="A62" s="36">
        <v>5714</v>
      </c>
      <c r="B62" s="75" t="s">
        <v>280</v>
      </c>
      <c r="C62" s="75" t="s">
        <v>68</v>
      </c>
      <c r="D62" s="75" t="s">
        <v>281</v>
      </c>
      <c r="E62" s="76"/>
      <c r="F62" s="76"/>
    </row>
    <row r="63" spans="1:6" ht="28.8" hidden="1" x14ac:dyDescent="0.55000000000000004">
      <c r="A63" s="36">
        <v>5715</v>
      </c>
      <c r="B63" s="75" t="s">
        <v>282</v>
      </c>
      <c r="C63" s="75" t="s">
        <v>68</v>
      </c>
      <c r="D63" s="75" t="s">
        <v>283</v>
      </c>
      <c r="E63" s="76"/>
      <c r="F63" s="76"/>
    </row>
    <row r="64" spans="1:6" ht="14.4" hidden="1" x14ac:dyDescent="0.55000000000000004">
      <c r="A64" s="36">
        <v>5716</v>
      </c>
      <c r="B64" s="75" t="s">
        <v>284</v>
      </c>
      <c r="C64" s="75" t="s">
        <v>68</v>
      </c>
      <c r="D64" s="75" t="s">
        <v>285</v>
      </c>
      <c r="E64" s="76"/>
      <c r="F64" s="76"/>
    </row>
    <row r="65" spans="1:6" ht="30" hidden="1" customHeight="1" x14ac:dyDescent="0.55000000000000004">
      <c r="A65" s="36">
        <v>5717</v>
      </c>
      <c r="B65" s="75" t="s">
        <v>286</v>
      </c>
      <c r="C65" s="75" t="s">
        <v>68</v>
      </c>
      <c r="D65" s="75" t="s">
        <v>287</v>
      </c>
      <c r="E65" s="76"/>
      <c r="F65" s="76"/>
    </row>
    <row r="66" spans="1:6" ht="14.4" hidden="1" x14ac:dyDescent="0.55000000000000004">
      <c r="A66" s="36">
        <v>5718</v>
      </c>
      <c r="B66" s="75" t="s">
        <v>288</v>
      </c>
      <c r="C66" s="75" t="s">
        <v>68</v>
      </c>
      <c r="D66" s="75" t="s">
        <v>289</v>
      </c>
      <c r="E66" s="76"/>
      <c r="F66" s="76"/>
    </row>
    <row r="67" spans="1:6" ht="14.4" hidden="1" x14ac:dyDescent="0.55000000000000004">
      <c r="A67" s="36">
        <v>5719</v>
      </c>
      <c r="B67" s="75" t="s">
        <v>290</v>
      </c>
      <c r="C67" s="75" t="s">
        <v>68</v>
      </c>
      <c r="D67" s="75" t="s">
        <v>291</v>
      </c>
      <c r="E67" s="76"/>
      <c r="F67" s="76"/>
    </row>
    <row r="68" spans="1:6" ht="43.2" hidden="1" x14ac:dyDescent="0.55000000000000004">
      <c r="A68" s="36">
        <v>5720</v>
      </c>
      <c r="B68" s="75" t="s">
        <v>292</v>
      </c>
      <c r="C68" s="75" t="s">
        <v>68</v>
      </c>
      <c r="D68" s="75" t="s">
        <v>293</v>
      </c>
      <c r="E68" s="76"/>
      <c r="F68" s="76"/>
    </row>
    <row r="69" spans="1:6" ht="14.4" hidden="1" x14ac:dyDescent="0.55000000000000004">
      <c r="A69" s="36">
        <v>5721</v>
      </c>
      <c r="B69" s="75" t="s">
        <v>294</v>
      </c>
      <c r="C69" s="75" t="s">
        <v>68</v>
      </c>
      <c r="D69" s="75" t="s">
        <v>295</v>
      </c>
      <c r="E69" s="76"/>
      <c r="F69" s="76"/>
    </row>
    <row r="70" spans="1:6" ht="14.4" hidden="1" x14ac:dyDescent="0.55000000000000004">
      <c r="A70" s="36">
        <v>5722</v>
      </c>
      <c r="B70" s="75" t="s">
        <v>296</v>
      </c>
      <c r="C70" s="75" t="s">
        <v>68</v>
      </c>
      <c r="D70" s="75" t="s">
        <v>297</v>
      </c>
      <c r="E70" s="76"/>
      <c r="F70" s="76"/>
    </row>
    <row r="71" spans="1:6" ht="28.8" hidden="1" x14ac:dyDescent="0.55000000000000004">
      <c r="A71" s="36">
        <v>5723</v>
      </c>
      <c r="B71" s="75" t="s">
        <v>298</v>
      </c>
      <c r="C71" s="75" t="s">
        <v>68</v>
      </c>
      <c r="D71" s="75" t="s">
        <v>299</v>
      </c>
      <c r="E71" s="76"/>
      <c r="F71" s="76"/>
    </row>
    <row r="72" spans="1:6" ht="28.8" hidden="1" x14ac:dyDescent="0.55000000000000004">
      <c r="A72" s="36">
        <v>5724</v>
      </c>
      <c r="B72" s="75" t="s">
        <v>300</v>
      </c>
      <c r="C72" s="75" t="s">
        <v>68</v>
      </c>
      <c r="D72" s="75" t="s">
        <v>301</v>
      </c>
      <c r="E72" s="76"/>
      <c r="F72" s="76"/>
    </row>
    <row r="73" spans="1:6" ht="14.4" hidden="1" x14ac:dyDescent="0.55000000000000004">
      <c r="A73" s="36">
        <v>5725</v>
      </c>
      <c r="B73" s="75" t="s">
        <v>302</v>
      </c>
      <c r="C73" s="75" t="s">
        <v>68</v>
      </c>
      <c r="D73" s="75" t="s">
        <v>303</v>
      </c>
      <c r="E73" s="76"/>
      <c r="F73" s="76"/>
    </row>
    <row r="74" spans="1:6" ht="14.4" hidden="1" x14ac:dyDescent="0.55000000000000004">
      <c r="A74" s="36">
        <v>5726</v>
      </c>
      <c r="B74" s="75" t="s">
        <v>304</v>
      </c>
      <c r="C74" s="75" t="s">
        <v>68</v>
      </c>
      <c r="D74" s="75" t="s">
        <v>305</v>
      </c>
      <c r="E74" s="76"/>
      <c r="F74" s="76"/>
    </row>
    <row r="75" spans="1:6" ht="14.4" hidden="1" x14ac:dyDescent="0.55000000000000004">
      <c r="A75" s="36">
        <v>5727</v>
      </c>
      <c r="B75" s="75" t="s">
        <v>306</v>
      </c>
      <c r="C75" s="75" t="s">
        <v>68</v>
      </c>
      <c r="D75" s="75" t="s">
        <v>307</v>
      </c>
      <c r="E75" s="76"/>
      <c r="F75" s="76"/>
    </row>
    <row r="76" spans="1:6" ht="14.4" hidden="1" x14ac:dyDescent="0.55000000000000004">
      <c r="A76" s="36">
        <v>5728</v>
      </c>
      <c r="B76" s="75" t="s">
        <v>308</v>
      </c>
      <c r="C76" s="75" t="s">
        <v>68</v>
      </c>
      <c r="D76" s="75" t="s">
        <v>309</v>
      </c>
      <c r="E76" s="76"/>
      <c r="F76" s="76"/>
    </row>
    <row r="77" spans="1:6" ht="28.8" hidden="1" x14ac:dyDescent="0.55000000000000004">
      <c r="A77" s="36">
        <v>2928</v>
      </c>
      <c r="B77" s="75" t="s">
        <v>310</v>
      </c>
      <c r="C77" s="75" t="s">
        <v>68</v>
      </c>
      <c r="D77" s="75" t="s">
        <v>311</v>
      </c>
      <c r="E77" s="76"/>
      <c r="F77" s="76"/>
    </row>
    <row r="78" spans="1:6" ht="15" customHeight="1" x14ac:dyDescent="0.55000000000000004">
      <c r="A78" s="36">
        <v>5729</v>
      </c>
      <c r="B78" s="75" t="s">
        <v>312</v>
      </c>
      <c r="C78" s="75" t="s">
        <v>313</v>
      </c>
      <c r="D78" s="75" t="s">
        <v>314</v>
      </c>
      <c r="E78" s="76"/>
      <c r="F78" s="76"/>
    </row>
    <row r="79" spans="1:6" ht="28.8" hidden="1" x14ac:dyDescent="0.55000000000000004">
      <c r="A79" s="36">
        <v>5730</v>
      </c>
      <c r="B79" s="75" t="s">
        <v>315</v>
      </c>
      <c r="C79" s="75" t="s">
        <v>313</v>
      </c>
      <c r="D79" s="75" t="s">
        <v>316</v>
      </c>
      <c r="E79" s="76"/>
      <c r="F79" s="76"/>
    </row>
    <row r="80" spans="1:6" ht="15" hidden="1" customHeight="1" x14ac:dyDescent="0.55000000000000004">
      <c r="A80" s="36">
        <v>5731</v>
      </c>
      <c r="B80" s="75" t="s">
        <v>317</v>
      </c>
      <c r="C80" s="75" t="s">
        <v>313</v>
      </c>
      <c r="D80" s="75" t="s">
        <v>318</v>
      </c>
      <c r="E80" s="76"/>
      <c r="F80" s="76"/>
    </row>
    <row r="81" spans="1:6" ht="43.2" hidden="1" x14ac:dyDescent="0.55000000000000004">
      <c r="A81" s="36">
        <v>5732</v>
      </c>
      <c r="B81" s="75" t="s">
        <v>319</v>
      </c>
      <c r="C81" s="75" t="s">
        <v>313</v>
      </c>
      <c r="D81" s="75" t="s">
        <v>320</v>
      </c>
      <c r="E81" s="76"/>
      <c r="F81" s="76"/>
    </row>
    <row r="82" spans="1:6" ht="28.8" hidden="1" x14ac:dyDescent="0.55000000000000004">
      <c r="A82" s="36">
        <v>5733</v>
      </c>
      <c r="B82" s="75" t="s">
        <v>321</v>
      </c>
      <c r="C82" s="75" t="s">
        <v>313</v>
      </c>
      <c r="D82" s="75" t="s">
        <v>322</v>
      </c>
      <c r="E82" s="76"/>
      <c r="F82" s="76"/>
    </row>
    <row r="83" spans="1:6" ht="15" hidden="1" customHeight="1" x14ac:dyDescent="0.55000000000000004">
      <c r="A83" s="36">
        <v>5734</v>
      </c>
      <c r="B83" s="75" t="s">
        <v>323</v>
      </c>
      <c r="C83" s="75" t="s">
        <v>313</v>
      </c>
      <c r="D83" s="75" t="s">
        <v>324</v>
      </c>
      <c r="E83" s="76"/>
      <c r="F83" s="76"/>
    </row>
    <row r="84" spans="1:6" ht="28.8" hidden="1" x14ac:dyDescent="0.55000000000000004">
      <c r="A84" s="36">
        <v>5735</v>
      </c>
      <c r="B84" s="75" t="s">
        <v>325</v>
      </c>
      <c r="C84" s="75" t="s">
        <v>313</v>
      </c>
      <c r="D84" s="75" t="s">
        <v>326</v>
      </c>
      <c r="E84" s="76"/>
      <c r="F84" s="76"/>
    </row>
    <row r="85" spans="1:6" ht="28.8" hidden="1" x14ac:dyDescent="0.55000000000000004">
      <c r="A85" s="36">
        <v>5736</v>
      </c>
      <c r="B85" s="75" t="s">
        <v>327</v>
      </c>
      <c r="C85" s="75" t="s">
        <v>313</v>
      </c>
      <c r="D85" s="75" t="s">
        <v>328</v>
      </c>
      <c r="E85" s="76"/>
      <c r="F85" s="76"/>
    </row>
    <row r="86" spans="1:6" ht="28.8" hidden="1" x14ac:dyDescent="0.55000000000000004">
      <c r="A86" s="36">
        <v>5737</v>
      </c>
      <c r="B86" s="75" t="s">
        <v>329</v>
      </c>
      <c r="C86" s="75" t="s">
        <v>313</v>
      </c>
      <c r="D86" s="75" t="s">
        <v>330</v>
      </c>
      <c r="E86" s="76"/>
      <c r="F86" s="76"/>
    </row>
    <row r="87" spans="1:6" ht="28.8" hidden="1" x14ac:dyDescent="0.55000000000000004">
      <c r="A87" s="36">
        <v>5738</v>
      </c>
      <c r="B87" s="75" t="s">
        <v>331</v>
      </c>
      <c r="C87" s="75" t="s">
        <v>313</v>
      </c>
      <c r="D87" s="75" t="s">
        <v>332</v>
      </c>
      <c r="E87" s="76"/>
      <c r="F87" s="76"/>
    </row>
    <row r="88" spans="1:6" ht="15" hidden="1" customHeight="1" x14ac:dyDescent="0.55000000000000004">
      <c r="A88" s="36">
        <v>5739</v>
      </c>
      <c r="B88" s="75" t="s">
        <v>333</v>
      </c>
      <c r="C88" s="75" t="s">
        <v>313</v>
      </c>
      <c r="D88" s="75" t="s">
        <v>334</v>
      </c>
      <c r="E88" s="76"/>
      <c r="F88" s="76"/>
    </row>
    <row r="89" spans="1:6" ht="28.8" x14ac:dyDescent="0.55000000000000004">
      <c r="A89" s="36">
        <v>5740</v>
      </c>
      <c r="B89" s="75" t="s">
        <v>335</v>
      </c>
      <c r="C89" s="75" t="s">
        <v>70</v>
      </c>
      <c r="D89" s="75" t="s">
        <v>336</v>
      </c>
      <c r="E89" s="76"/>
      <c r="F89" s="76"/>
    </row>
    <row r="90" spans="1:6" ht="14.4" hidden="1" x14ac:dyDescent="0.55000000000000004">
      <c r="A90" s="36">
        <v>5741</v>
      </c>
      <c r="B90" s="75" t="s">
        <v>337</v>
      </c>
      <c r="C90" s="75" t="s">
        <v>70</v>
      </c>
      <c r="D90" s="75" t="s">
        <v>338</v>
      </c>
      <c r="E90" s="76"/>
      <c r="F90" s="76"/>
    </row>
    <row r="91" spans="1:6" ht="14.4" hidden="1" x14ac:dyDescent="0.55000000000000004">
      <c r="A91" s="36">
        <v>5742</v>
      </c>
      <c r="B91" s="75" t="s">
        <v>339</v>
      </c>
      <c r="C91" s="75" t="s">
        <v>70</v>
      </c>
      <c r="D91" s="75" t="s">
        <v>340</v>
      </c>
      <c r="E91" s="76"/>
      <c r="F91" s="76"/>
    </row>
    <row r="92" spans="1:6" ht="28.8" hidden="1" x14ac:dyDescent="0.55000000000000004">
      <c r="A92" s="36">
        <v>5743</v>
      </c>
      <c r="B92" s="75" t="s">
        <v>341</v>
      </c>
      <c r="C92" s="75" t="s">
        <v>70</v>
      </c>
      <c r="D92" s="75" t="s">
        <v>342</v>
      </c>
      <c r="E92" s="76"/>
      <c r="F92" s="76"/>
    </row>
    <row r="93" spans="1:6" ht="43.2" hidden="1" x14ac:dyDescent="0.55000000000000004">
      <c r="A93" s="36">
        <v>5744</v>
      </c>
      <c r="B93" s="75" t="s">
        <v>343</v>
      </c>
      <c r="C93" s="75" t="s">
        <v>70</v>
      </c>
      <c r="D93" s="75" t="s">
        <v>344</v>
      </c>
      <c r="E93" s="76"/>
      <c r="F93" s="76"/>
    </row>
    <row r="94" spans="1:6" ht="28.8" hidden="1" x14ac:dyDescent="0.55000000000000004">
      <c r="A94" s="36">
        <v>2941</v>
      </c>
      <c r="B94" s="75" t="s">
        <v>345</v>
      </c>
      <c r="C94" s="75" t="s">
        <v>70</v>
      </c>
      <c r="D94" s="75" t="s">
        <v>346</v>
      </c>
      <c r="E94" s="76"/>
      <c r="F94" s="76"/>
    </row>
    <row r="95" spans="1:6" ht="14.4" hidden="1" x14ac:dyDescent="0.55000000000000004">
      <c r="A95" s="36">
        <v>5745</v>
      </c>
      <c r="B95" s="75" t="s">
        <v>347</v>
      </c>
      <c r="C95" s="75" t="s">
        <v>70</v>
      </c>
      <c r="D95" s="75" t="s">
        <v>348</v>
      </c>
      <c r="E95" s="76"/>
      <c r="F95" s="76"/>
    </row>
    <row r="96" spans="1:6" ht="14.4" hidden="1" x14ac:dyDescent="0.55000000000000004">
      <c r="A96" s="36">
        <v>5746</v>
      </c>
      <c r="B96" s="75" t="s">
        <v>349</v>
      </c>
      <c r="C96" s="75" t="s">
        <v>70</v>
      </c>
      <c r="D96" s="75" t="s">
        <v>350</v>
      </c>
      <c r="E96" s="76"/>
      <c r="F96" s="76"/>
    </row>
    <row r="97" spans="1:6" ht="28.8" hidden="1" x14ac:dyDescent="0.55000000000000004">
      <c r="A97" s="36">
        <v>5747</v>
      </c>
      <c r="B97" s="75" t="s">
        <v>351</v>
      </c>
      <c r="C97" s="75" t="s">
        <v>71</v>
      </c>
      <c r="D97" s="75" t="s">
        <v>352</v>
      </c>
      <c r="E97" s="76"/>
      <c r="F97" s="76"/>
    </row>
    <row r="98" spans="1:6" ht="28.8" hidden="1" x14ac:dyDescent="0.55000000000000004">
      <c r="A98" s="36">
        <v>5748</v>
      </c>
      <c r="B98" s="75" t="s">
        <v>353</v>
      </c>
      <c r="C98" s="75" t="s">
        <v>71</v>
      </c>
      <c r="D98" s="75" t="s">
        <v>354</v>
      </c>
      <c r="E98" s="76"/>
      <c r="F98" s="76"/>
    </row>
    <row r="99" spans="1:6" ht="28.8" x14ac:dyDescent="0.55000000000000004">
      <c r="A99" s="36">
        <v>5749</v>
      </c>
      <c r="B99" s="75" t="s">
        <v>355</v>
      </c>
      <c r="C99" s="75" t="s">
        <v>71</v>
      </c>
      <c r="D99" s="75" t="s">
        <v>356</v>
      </c>
      <c r="E99" s="76"/>
      <c r="F99" s="76"/>
    </row>
    <row r="100" spans="1:6" ht="14.4" hidden="1" x14ac:dyDescent="0.55000000000000004">
      <c r="A100" s="36">
        <v>5750</v>
      </c>
      <c r="B100" s="75" t="s">
        <v>357</v>
      </c>
      <c r="C100" s="75" t="s">
        <v>71</v>
      </c>
      <c r="D100" s="75" t="s">
        <v>358</v>
      </c>
      <c r="E100" s="76"/>
      <c r="F100" s="76"/>
    </row>
    <row r="101" spans="1:6" ht="14.4" x14ac:dyDescent="0.55000000000000004">
      <c r="A101" s="36">
        <v>5751</v>
      </c>
      <c r="B101" s="75" t="s">
        <v>359</v>
      </c>
      <c r="C101" s="75" t="s">
        <v>72</v>
      </c>
      <c r="D101" s="75" t="s">
        <v>360</v>
      </c>
      <c r="E101" s="76"/>
      <c r="F101" s="76"/>
    </row>
    <row r="102" spans="1:6" ht="28.8" hidden="1" x14ac:dyDescent="0.55000000000000004">
      <c r="A102" s="36">
        <v>5752</v>
      </c>
      <c r="B102" s="75" t="s">
        <v>361</v>
      </c>
      <c r="C102" s="75" t="s">
        <v>72</v>
      </c>
      <c r="D102" s="75" t="s">
        <v>362</v>
      </c>
      <c r="E102" s="76"/>
      <c r="F102" s="76"/>
    </row>
    <row r="103" spans="1:6" ht="28.8" hidden="1" x14ac:dyDescent="0.55000000000000004">
      <c r="A103" s="36">
        <v>5753</v>
      </c>
      <c r="B103" s="75" t="s">
        <v>363</v>
      </c>
      <c r="C103" s="75" t="s">
        <v>73</v>
      </c>
      <c r="D103" s="75" t="s">
        <v>364</v>
      </c>
      <c r="E103" s="76"/>
      <c r="F103" s="76"/>
    </row>
    <row r="104" spans="1:6" ht="28.8" x14ac:dyDescent="0.55000000000000004">
      <c r="A104" s="36">
        <v>2930</v>
      </c>
      <c r="B104" s="75" t="s">
        <v>365</v>
      </c>
      <c r="C104" s="75" t="s">
        <v>73</v>
      </c>
      <c r="D104" s="75" t="s">
        <v>366</v>
      </c>
      <c r="E104" s="76"/>
      <c r="F104" s="76"/>
    </row>
    <row r="105" spans="1:6" ht="14.4" hidden="1" x14ac:dyDescent="0.55000000000000004">
      <c r="A105" s="36">
        <v>5754</v>
      </c>
      <c r="B105" s="75" t="s">
        <v>367</v>
      </c>
      <c r="C105" s="75" t="s">
        <v>73</v>
      </c>
      <c r="D105" s="75" t="s">
        <v>368</v>
      </c>
      <c r="E105" s="76"/>
      <c r="F105" s="76"/>
    </row>
    <row r="106" spans="1:6" ht="28.8" hidden="1" x14ac:dyDescent="0.55000000000000004">
      <c r="A106" s="36">
        <v>5755</v>
      </c>
      <c r="B106" s="75" t="s">
        <v>369</v>
      </c>
      <c r="C106" s="75" t="s">
        <v>73</v>
      </c>
      <c r="D106" s="75" t="s">
        <v>370</v>
      </c>
      <c r="E106" s="76"/>
      <c r="F106" s="76"/>
    </row>
    <row r="107" spans="1:6" ht="28.8" hidden="1" x14ac:dyDescent="0.55000000000000004">
      <c r="A107" s="36">
        <v>5756</v>
      </c>
      <c r="B107" s="75" t="s">
        <v>371</v>
      </c>
      <c r="C107" s="75" t="s">
        <v>73</v>
      </c>
      <c r="D107" s="75" t="s">
        <v>372</v>
      </c>
      <c r="E107" s="76"/>
      <c r="F107" s="76"/>
    </row>
    <row r="108" spans="1:6" ht="14.4" hidden="1" x14ac:dyDescent="0.55000000000000004">
      <c r="A108" s="36">
        <v>5757</v>
      </c>
      <c r="B108" s="75" t="s">
        <v>373</v>
      </c>
      <c r="C108" s="75" t="s">
        <v>73</v>
      </c>
      <c r="D108" s="75" t="s">
        <v>374</v>
      </c>
      <c r="E108" s="76"/>
      <c r="F108" s="76"/>
    </row>
    <row r="109" spans="1:6" ht="28.8" hidden="1" x14ac:dyDescent="0.55000000000000004">
      <c r="A109" s="36">
        <v>5758</v>
      </c>
      <c r="B109" s="75" t="s">
        <v>375</v>
      </c>
      <c r="C109" s="75" t="s">
        <v>73</v>
      </c>
      <c r="D109" s="75" t="s">
        <v>376</v>
      </c>
      <c r="E109" s="76"/>
      <c r="F109" s="76"/>
    </row>
    <row r="110" spans="1:6" ht="14.4" hidden="1" x14ac:dyDescent="0.55000000000000004">
      <c r="A110" s="36">
        <v>5759</v>
      </c>
      <c r="B110" s="75" t="s">
        <v>377</v>
      </c>
      <c r="C110" s="75" t="s">
        <v>73</v>
      </c>
      <c r="D110" s="75" t="s">
        <v>378</v>
      </c>
      <c r="E110" s="76"/>
      <c r="F110" s="76"/>
    </row>
    <row r="111" spans="1:6" ht="14.4" hidden="1" x14ac:dyDescent="0.55000000000000004">
      <c r="A111" s="36">
        <v>5760</v>
      </c>
      <c r="B111" s="75" t="s">
        <v>379</v>
      </c>
      <c r="C111" s="75" t="s">
        <v>73</v>
      </c>
      <c r="D111" s="75" t="s">
        <v>380</v>
      </c>
      <c r="E111" s="76"/>
      <c r="F111" s="76"/>
    </row>
    <row r="112" spans="1:6" ht="28.8" hidden="1" x14ac:dyDescent="0.55000000000000004">
      <c r="A112" s="36">
        <v>5761</v>
      </c>
      <c r="B112" s="75" t="s">
        <v>381</v>
      </c>
      <c r="C112" s="75" t="s">
        <v>73</v>
      </c>
      <c r="D112" s="75" t="s">
        <v>382</v>
      </c>
      <c r="E112" s="76"/>
      <c r="F112" s="76"/>
    </row>
    <row r="113" spans="1:6" ht="14.4" hidden="1" x14ac:dyDescent="0.55000000000000004">
      <c r="A113" s="36">
        <v>5762</v>
      </c>
      <c r="B113" s="75" t="s">
        <v>383</v>
      </c>
      <c r="C113" s="75" t="s">
        <v>73</v>
      </c>
      <c r="D113" s="75" t="s">
        <v>384</v>
      </c>
      <c r="E113" s="76"/>
      <c r="F113" s="76"/>
    </row>
    <row r="114" spans="1:6" ht="28.8" hidden="1" x14ac:dyDescent="0.55000000000000004">
      <c r="A114" s="36">
        <v>5951</v>
      </c>
      <c r="B114" s="75" t="s">
        <v>385</v>
      </c>
      <c r="C114" s="75" t="s">
        <v>73</v>
      </c>
      <c r="D114" s="75" t="s">
        <v>386</v>
      </c>
      <c r="E114" s="76"/>
      <c r="F114" s="76"/>
    </row>
    <row r="115" spans="1:6" ht="14.4" hidden="1" x14ac:dyDescent="0.55000000000000004">
      <c r="A115" s="36">
        <v>5952</v>
      </c>
      <c r="B115" s="75" t="s">
        <v>387</v>
      </c>
      <c r="C115" s="75" t="s">
        <v>73</v>
      </c>
      <c r="D115" s="75" t="s">
        <v>388</v>
      </c>
      <c r="E115" s="76"/>
      <c r="F115" s="76"/>
    </row>
    <row r="116" spans="1:6" ht="14.4" hidden="1" x14ac:dyDescent="0.55000000000000004">
      <c r="A116" s="36">
        <v>5953</v>
      </c>
      <c r="B116" s="75" t="s">
        <v>389</v>
      </c>
      <c r="C116" s="75" t="s">
        <v>73</v>
      </c>
      <c r="D116" s="75" t="s">
        <v>390</v>
      </c>
      <c r="E116" s="76"/>
      <c r="F116" s="76"/>
    </row>
    <row r="117" spans="1:6" ht="43.2" x14ac:dyDescent="0.55000000000000004">
      <c r="A117" s="36">
        <v>5763</v>
      </c>
      <c r="B117" s="75" t="s">
        <v>391</v>
      </c>
      <c r="C117" s="75" t="s">
        <v>74</v>
      </c>
      <c r="D117" s="75" t="s">
        <v>392</v>
      </c>
      <c r="E117" s="76"/>
      <c r="F117" s="76"/>
    </row>
    <row r="118" spans="1:6" ht="43.2" hidden="1" x14ac:dyDescent="0.55000000000000004">
      <c r="A118" s="36">
        <v>5764</v>
      </c>
      <c r="B118" s="75" t="s">
        <v>393</v>
      </c>
      <c r="C118" s="75" t="s">
        <v>74</v>
      </c>
      <c r="D118" s="75" t="s">
        <v>394</v>
      </c>
      <c r="E118" s="76"/>
      <c r="F118" s="76"/>
    </row>
    <row r="119" spans="1:6" ht="28.8" hidden="1" x14ac:dyDescent="0.55000000000000004">
      <c r="A119" s="36">
        <v>5765</v>
      </c>
      <c r="B119" s="75" t="s">
        <v>395</v>
      </c>
      <c r="C119" s="75" t="s">
        <v>74</v>
      </c>
      <c r="D119" s="75" t="s">
        <v>396</v>
      </c>
      <c r="E119" s="76"/>
      <c r="F119" s="76"/>
    </row>
    <row r="120" spans="1:6" ht="43.2" hidden="1" x14ac:dyDescent="0.55000000000000004">
      <c r="A120" s="36">
        <v>5766</v>
      </c>
      <c r="B120" s="75" t="s">
        <v>397</v>
      </c>
      <c r="C120" s="75" t="s">
        <v>74</v>
      </c>
      <c r="D120" s="75" t="s">
        <v>398</v>
      </c>
      <c r="E120" s="76"/>
      <c r="F120" s="76"/>
    </row>
    <row r="121" spans="1:6" ht="43.2" hidden="1" x14ac:dyDescent="0.55000000000000004">
      <c r="A121" s="36">
        <v>5767</v>
      </c>
      <c r="B121" s="75" t="s">
        <v>399</v>
      </c>
      <c r="C121" s="75" t="s">
        <v>74</v>
      </c>
      <c r="D121" s="75" t="s">
        <v>400</v>
      </c>
      <c r="E121" s="76"/>
      <c r="F121" s="76"/>
    </row>
    <row r="122" spans="1:6" ht="43.2" hidden="1" x14ac:dyDescent="0.55000000000000004">
      <c r="A122" s="36">
        <v>5768</v>
      </c>
      <c r="B122" s="75" t="s">
        <v>401</v>
      </c>
      <c r="C122" s="75" t="s">
        <v>74</v>
      </c>
      <c r="D122" s="75" t="s">
        <v>402</v>
      </c>
      <c r="E122" s="76"/>
      <c r="F122" s="76"/>
    </row>
    <row r="123" spans="1:6" ht="43.2" hidden="1" x14ac:dyDescent="0.55000000000000004">
      <c r="A123" s="36">
        <v>5769</v>
      </c>
      <c r="B123" s="75" t="s">
        <v>403</v>
      </c>
      <c r="C123" s="75" t="s">
        <v>74</v>
      </c>
      <c r="D123" s="75" t="s">
        <v>404</v>
      </c>
      <c r="E123" s="76"/>
      <c r="F123" s="76"/>
    </row>
    <row r="124" spans="1:6" ht="43.2" hidden="1" x14ac:dyDescent="0.55000000000000004">
      <c r="A124" s="36">
        <v>5770</v>
      </c>
      <c r="B124" s="75" t="s">
        <v>403</v>
      </c>
      <c r="C124" s="75" t="s">
        <v>74</v>
      </c>
      <c r="D124" s="75" t="s">
        <v>405</v>
      </c>
      <c r="E124" s="76"/>
      <c r="F124" s="76"/>
    </row>
    <row r="125" spans="1:6" ht="72" x14ac:dyDescent="0.55000000000000004">
      <c r="A125" s="36">
        <v>5771</v>
      </c>
      <c r="B125" s="75" t="s">
        <v>406</v>
      </c>
      <c r="C125" s="75" t="s">
        <v>74</v>
      </c>
      <c r="D125" s="75" t="s">
        <v>407</v>
      </c>
      <c r="E125" s="76"/>
      <c r="F125" s="76"/>
    </row>
    <row r="126" spans="1:6" ht="43.2" hidden="1" x14ac:dyDescent="0.55000000000000004">
      <c r="A126" s="36">
        <v>5772</v>
      </c>
      <c r="B126" s="75" t="s">
        <v>408</v>
      </c>
      <c r="C126" s="75" t="s">
        <v>74</v>
      </c>
      <c r="D126" s="75" t="s">
        <v>409</v>
      </c>
      <c r="E126" s="76"/>
      <c r="F126" s="76"/>
    </row>
    <row r="127" spans="1:6" ht="28.8" x14ac:dyDescent="0.55000000000000004">
      <c r="A127" s="36">
        <v>5773</v>
      </c>
      <c r="B127" s="75" t="s">
        <v>410</v>
      </c>
      <c r="C127" s="75" t="s">
        <v>75</v>
      </c>
      <c r="D127" s="75" t="s">
        <v>411</v>
      </c>
      <c r="E127" s="76"/>
      <c r="F127" s="76"/>
    </row>
    <row r="128" spans="1:6" ht="14.4" hidden="1" x14ac:dyDescent="0.55000000000000004">
      <c r="A128" s="36">
        <v>5774</v>
      </c>
      <c r="B128" s="75" t="s">
        <v>412</v>
      </c>
      <c r="C128" s="75" t="s">
        <v>75</v>
      </c>
      <c r="D128" s="75" t="s">
        <v>413</v>
      </c>
      <c r="E128" s="76"/>
      <c r="F128" s="76"/>
    </row>
    <row r="129" spans="1:6" ht="15" hidden="1" customHeight="1" x14ac:dyDescent="0.55000000000000004">
      <c r="A129" s="36">
        <v>5775</v>
      </c>
      <c r="B129" s="75" t="s">
        <v>414</v>
      </c>
      <c r="C129" s="75" t="s">
        <v>75</v>
      </c>
      <c r="D129" s="75" t="s">
        <v>415</v>
      </c>
      <c r="E129" s="76"/>
      <c r="F129" s="76"/>
    </row>
    <row r="130" spans="1:6" ht="30" hidden="1" customHeight="1" x14ac:dyDescent="0.55000000000000004">
      <c r="A130" s="36">
        <v>2939</v>
      </c>
      <c r="B130" s="75" t="s">
        <v>416</v>
      </c>
      <c r="C130" s="75" t="s">
        <v>75</v>
      </c>
      <c r="D130" s="75" t="s">
        <v>417</v>
      </c>
      <c r="E130" s="76"/>
      <c r="F130" s="76"/>
    </row>
    <row r="131" spans="1:6" ht="43.2" hidden="1" x14ac:dyDescent="0.55000000000000004">
      <c r="A131" s="36">
        <v>2934</v>
      </c>
      <c r="B131" s="75" t="s">
        <v>418</v>
      </c>
      <c r="C131" s="75" t="s">
        <v>75</v>
      </c>
      <c r="D131" s="75" t="s">
        <v>419</v>
      </c>
      <c r="E131" s="76"/>
      <c r="F131" s="76"/>
    </row>
    <row r="132" spans="1:6" ht="28.8" hidden="1" x14ac:dyDescent="0.55000000000000004">
      <c r="A132" s="36">
        <v>5776</v>
      </c>
      <c r="B132" s="75" t="s">
        <v>420</v>
      </c>
      <c r="C132" s="75" t="s">
        <v>75</v>
      </c>
      <c r="D132" s="75" t="s">
        <v>421</v>
      </c>
      <c r="E132" s="76"/>
      <c r="F132" s="76"/>
    </row>
    <row r="133" spans="1:6" ht="57.6" x14ac:dyDescent="0.55000000000000004">
      <c r="A133" s="36">
        <v>2931</v>
      </c>
      <c r="B133" s="75" t="s">
        <v>422</v>
      </c>
      <c r="C133" s="75" t="s">
        <v>76</v>
      </c>
      <c r="D133" s="75" t="s">
        <v>423</v>
      </c>
      <c r="E133" s="76"/>
      <c r="F133" s="76"/>
    </row>
    <row r="134" spans="1:6" ht="43.2" hidden="1" x14ac:dyDescent="0.55000000000000004">
      <c r="A134" s="36">
        <v>5777</v>
      </c>
      <c r="B134" s="75" t="s">
        <v>424</v>
      </c>
      <c r="C134" s="75" t="s">
        <v>77</v>
      </c>
      <c r="D134" s="75" t="s">
        <v>425</v>
      </c>
      <c r="E134" s="76"/>
      <c r="F134" s="76"/>
    </row>
    <row r="135" spans="1:6" ht="57.6" hidden="1" x14ac:dyDescent="0.55000000000000004">
      <c r="A135" s="36">
        <v>5778</v>
      </c>
      <c r="B135" s="75" t="s">
        <v>426</v>
      </c>
      <c r="C135" s="75" t="s">
        <v>77</v>
      </c>
      <c r="D135" s="75" t="s">
        <v>427</v>
      </c>
      <c r="E135" s="76"/>
      <c r="F135" s="76"/>
    </row>
    <row r="136" spans="1:6" ht="45" hidden="1" customHeight="1" x14ac:dyDescent="0.55000000000000004">
      <c r="A136" s="36">
        <v>5779</v>
      </c>
      <c r="B136" s="75" t="s">
        <v>428</v>
      </c>
      <c r="C136" s="75" t="s">
        <v>77</v>
      </c>
      <c r="D136" s="75" t="s">
        <v>429</v>
      </c>
      <c r="E136" s="76"/>
      <c r="F136" s="76"/>
    </row>
  </sheetData>
  <sheetProtection algorithmName="SHA-512" hashValue="4vls6WPWE+cNXGIPquc2xfxH0CfanWtU6YqW8322Qzy7vIN5dSC2hV6u3Hf0wkWHX81GmUaR802AuZOyN2cVJQ==" saltValue="VoHmQ64I50y6+gVb3V5FNw==" spinCount="100000" sheet="1" objects="1" scenarios="1"/>
  <dataValidations count="1">
    <dataValidation type="list" allowBlank="1" showInputMessage="1" showErrorMessage="1" sqref="E3:E136" xr:uid="{E0802025-FD13-4FC3-A762-D5E22F5CD815}">
      <formula1>"Provided,Viewed Onsite"</formula1>
    </dataValidation>
  </dataValidations>
  <pageMargins left="0.25" right="0.25" top="0.75" bottom="0.75" header="0.3" footer="0.3"/>
  <pageSetup scale="92" fitToHeight="0" orientation="landscape" r:id="rId1"/>
  <headerFooter>
    <oddHeader>&amp;L&amp;K756762Shared Assessments Program&amp;C&amp;K756762Standardized Information Gathering (SIG) Questionnaire&amp;R &amp;K756762Version 2020</oddHeader>
    <oddFooter>&amp;L&amp;K756762&amp;A&amp;C&amp;K756762Page &amp;P of &amp;N Page(s)</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1E5C-201F-4DC5-8FDF-64CED9035983}">
  <sheetPr codeName="Sheet26" filterMode="1">
    <tabColor rgb="FFBC6225"/>
    <pageSetUpPr fitToPage="1"/>
  </sheetPr>
  <dimension ref="A1:AO1029"/>
  <sheetViews>
    <sheetView showGridLines="0" tabSelected="1" topLeftCell="B1" zoomScale="135" zoomScaleNormal="135" workbookViewId="0">
      <pane ySplit="4" topLeftCell="A541" activePane="bottomLeft" state="frozen"/>
      <selection activeCell="A3" sqref="A3:XFD3"/>
      <selection pane="bottomLeft" activeCell="E543" sqref="E543"/>
    </sheetView>
  </sheetViews>
  <sheetFormatPr defaultColWidth="8.47265625" defaultRowHeight="12.9" x14ac:dyDescent="0.5"/>
  <cols>
    <col min="1" max="1" width="3.47265625" style="2" hidden="1" customWidth="1"/>
    <col min="2" max="2" width="12.68359375" style="2" customWidth="1"/>
    <col min="3" max="3" width="63.47265625" style="2" customWidth="1"/>
    <col min="4" max="4" width="10.83984375" style="2" customWidth="1"/>
    <col min="5" max="5" width="38.47265625" style="2" customWidth="1"/>
    <col min="6" max="6" width="10.83984375" style="2" hidden="1" customWidth="1"/>
    <col min="7" max="8" width="18.15625" style="2" customWidth="1"/>
    <col min="9" max="10" width="26.47265625" style="2" customWidth="1"/>
    <col min="11" max="11" width="4" style="2" customWidth="1"/>
    <col min="12" max="14" width="3.47265625" style="2" hidden="1" customWidth="1"/>
    <col min="15" max="15" width="4" style="2" hidden="1" customWidth="1"/>
    <col min="16" max="16" width="3.47265625" style="2" hidden="1" customWidth="1"/>
    <col min="17" max="17" width="4.47265625" style="2" hidden="1" customWidth="1"/>
    <col min="18" max="38" width="3.47265625" style="2" hidden="1" customWidth="1"/>
    <col min="39" max="40" width="28.3125" style="2" hidden="1" customWidth="1"/>
    <col min="41" max="41" width="15.47265625" style="2" hidden="1" customWidth="1"/>
    <col min="42" max="16384" width="8.47265625" style="2"/>
  </cols>
  <sheetData>
    <row r="1" spans="1:41" ht="23.1" x14ac:dyDescent="0.5">
      <c r="A1" s="36">
        <f>A1VerVal</f>
        <v>18</v>
      </c>
      <c r="B1" s="77" t="s">
        <v>79</v>
      </c>
      <c r="C1" s="70"/>
      <c r="D1" s="78"/>
      <c r="E1" s="79" t="str">
        <f>" Scoped As: "&amp;Drops!A24</f>
        <v xml:space="preserve"> Scoped As: SIG Core 2021</v>
      </c>
      <c r="F1" s="79"/>
      <c r="G1" s="80"/>
      <c r="H1" s="81" t="s">
        <v>430</v>
      </c>
      <c r="I1" s="82"/>
      <c r="J1" s="79"/>
      <c r="K1" s="83"/>
      <c r="L1" s="84"/>
      <c r="M1" s="84" t="s">
        <v>431</v>
      </c>
      <c r="N1" s="84" t="s">
        <v>432</v>
      </c>
      <c r="O1" s="84" t="s">
        <v>433</v>
      </c>
      <c r="P1" s="84"/>
      <c r="Q1" s="84"/>
      <c r="R1" s="84"/>
      <c r="S1" s="84"/>
      <c r="T1" s="84"/>
      <c r="U1" s="84"/>
      <c r="W1" s="2" t="s">
        <v>52</v>
      </c>
      <c r="X1" s="2" t="s">
        <v>55</v>
      </c>
      <c r="Y1" s="2" t="s">
        <v>48</v>
      </c>
      <c r="AA1" s="2" t="s">
        <v>434</v>
      </c>
      <c r="AB1" s="2" t="s">
        <v>435</v>
      </c>
      <c r="AM1" s="85" t="s">
        <v>436</v>
      </c>
      <c r="AN1" s="86"/>
      <c r="AO1" s="87"/>
    </row>
    <row r="2" spans="1:41" ht="14.4" x14ac:dyDescent="0.55000000000000004">
      <c r="A2" s="36"/>
      <c r="B2" s="88" t="s">
        <v>437</v>
      </c>
      <c r="C2" s="89"/>
      <c r="D2" s="90" t="s">
        <v>86</v>
      </c>
      <c r="E2" s="91">
        <f ca="1">IF(N2=0,"0%",N2/M2)</f>
        <v>1</v>
      </c>
      <c r="F2" s="90"/>
      <c r="G2" s="92"/>
      <c r="H2" s="93" t="s">
        <v>438</v>
      </c>
      <c r="I2" s="94" t="s">
        <v>434</v>
      </c>
      <c r="J2" s="95"/>
      <c r="K2" s="96"/>
      <c r="L2" s="97"/>
      <c r="M2" s="97">
        <f>COUNTIF(L:L,"&gt;0")</f>
        <v>1025</v>
      </c>
      <c r="N2" s="97">
        <f ca="1">COUNTIF(S:S,"&gt;0")</f>
        <v>1025</v>
      </c>
      <c r="O2" s="97"/>
      <c r="P2" s="97"/>
      <c r="Q2" s="97"/>
      <c r="R2" s="97"/>
      <c r="S2" s="97"/>
      <c r="T2" s="97"/>
      <c r="U2" s="97"/>
      <c r="V2" s="98"/>
      <c r="W2" s="98">
        <v>1</v>
      </c>
      <c r="X2" s="98">
        <v>2</v>
      </c>
      <c r="Y2" s="98">
        <v>3</v>
      </c>
      <c r="Z2" s="98">
        <v>4</v>
      </c>
      <c r="AA2" s="98">
        <v>5</v>
      </c>
      <c r="AB2" s="2" t="s">
        <v>48</v>
      </c>
      <c r="AM2" s="99"/>
      <c r="AN2" s="100"/>
      <c r="AO2" s="101"/>
    </row>
    <row r="3" spans="1:41" ht="75.75" customHeight="1" x14ac:dyDescent="0.5">
      <c r="A3" s="69"/>
      <c r="B3" s="154" t="s">
        <v>439</v>
      </c>
      <c r="C3" s="155"/>
      <c r="D3" s="155"/>
      <c r="E3" s="155"/>
      <c r="F3" s="155"/>
      <c r="G3" s="155"/>
      <c r="H3" s="155"/>
      <c r="I3" s="155"/>
      <c r="J3" s="155"/>
      <c r="K3" s="156"/>
      <c r="L3" s="69" t="s">
        <v>440</v>
      </c>
      <c r="M3" s="69" t="s">
        <v>441</v>
      </c>
      <c r="N3" s="69" t="s">
        <v>442</v>
      </c>
      <c r="O3" s="36"/>
      <c r="P3" s="69" t="s">
        <v>443</v>
      </c>
      <c r="Q3" s="69" t="s">
        <v>444</v>
      </c>
      <c r="R3" s="69" t="s">
        <v>445</v>
      </c>
      <c r="S3" s="69" t="s">
        <v>446</v>
      </c>
      <c r="T3" s="69" t="s">
        <v>447</v>
      </c>
      <c r="U3" s="69" t="s">
        <v>448</v>
      </c>
      <c r="V3" s="69" t="s">
        <v>449</v>
      </c>
      <c r="W3" s="69" t="s">
        <v>450</v>
      </c>
      <c r="X3" s="69" t="s">
        <v>451</v>
      </c>
      <c r="Y3" s="69" t="s">
        <v>452</v>
      </c>
      <c r="Z3" s="69" t="s">
        <v>453</v>
      </c>
      <c r="AA3" s="69" t="s">
        <v>454</v>
      </c>
      <c r="AB3" s="102" t="s">
        <v>455</v>
      </c>
      <c r="AC3" s="102" t="s">
        <v>456</v>
      </c>
      <c r="AD3" s="102" t="s">
        <v>457</v>
      </c>
      <c r="AE3" s="102" t="s">
        <v>458</v>
      </c>
      <c r="AF3" s="102" t="s">
        <v>459</v>
      </c>
      <c r="AG3" s="102" t="s">
        <v>460</v>
      </c>
      <c r="AH3" s="102" t="s">
        <v>461</v>
      </c>
      <c r="AI3" s="102" t="s">
        <v>462</v>
      </c>
      <c r="AJ3" s="102" t="s">
        <v>463</v>
      </c>
      <c r="AK3" s="102" t="s">
        <v>464</v>
      </c>
      <c r="AL3" s="102" t="s">
        <v>465</v>
      </c>
      <c r="AM3" s="103" t="s">
        <v>466</v>
      </c>
      <c r="AN3" s="104"/>
      <c r="AO3" s="105"/>
    </row>
    <row r="4" spans="1:41" ht="18" customHeight="1" x14ac:dyDescent="0.55000000000000004">
      <c r="A4" s="69" t="s">
        <v>84</v>
      </c>
      <c r="B4" s="40" t="s">
        <v>467</v>
      </c>
      <c r="C4" s="60" t="s">
        <v>87</v>
      </c>
      <c r="D4" s="60" t="s">
        <v>468</v>
      </c>
      <c r="E4" s="60" t="s">
        <v>469</v>
      </c>
      <c r="F4" s="60" t="s">
        <v>470</v>
      </c>
      <c r="G4" s="60" t="s">
        <v>471</v>
      </c>
      <c r="H4" s="60" t="s">
        <v>472</v>
      </c>
      <c r="I4" s="60" t="s">
        <v>156</v>
      </c>
      <c r="J4" s="106" t="s">
        <v>473</v>
      </c>
      <c r="K4" s="107"/>
      <c r="L4" s="108"/>
      <c r="M4" s="109"/>
      <c r="N4" s="109"/>
      <c r="O4" s="3"/>
      <c r="P4" s="3"/>
      <c r="Q4" s="109"/>
      <c r="R4" s="3"/>
      <c r="S4" s="3"/>
      <c r="T4" s="3"/>
      <c r="U4" s="109" t="str">
        <f>U5</f>
        <v>A</v>
      </c>
      <c r="V4" s="110">
        <v>1</v>
      </c>
      <c r="W4" s="110">
        <v>2</v>
      </c>
      <c r="X4" s="110">
        <v>3</v>
      </c>
      <c r="Y4" s="110">
        <v>4</v>
      </c>
      <c r="Z4" s="110">
        <v>5</v>
      </c>
      <c r="AC4" s="2">
        <v>1</v>
      </c>
      <c r="AD4" s="2">
        <v>2</v>
      </c>
      <c r="AE4" s="2">
        <v>3</v>
      </c>
      <c r="AF4" s="2">
        <v>4</v>
      </c>
      <c r="AG4" s="2">
        <v>5</v>
      </c>
      <c r="AH4" s="2">
        <v>1</v>
      </c>
      <c r="AI4" s="2">
        <v>2</v>
      </c>
      <c r="AJ4" s="2">
        <v>3</v>
      </c>
      <c r="AK4" s="2">
        <v>4</v>
      </c>
      <c r="AL4" s="2">
        <v>5</v>
      </c>
      <c r="AM4" s="111" t="s">
        <v>474</v>
      </c>
      <c r="AN4" s="111" t="s">
        <v>475</v>
      </c>
      <c r="AO4" s="112" t="s">
        <v>476</v>
      </c>
    </row>
    <row r="5" spans="1:41" ht="129.6" x14ac:dyDescent="0.55000000000000004">
      <c r="A5" s="36">
        <v>5643</v>
      </c>
      <c r="B5" s="113" t="s">
        <v>161</v>
      </c>
      <c r="C5" s="113" t="s">
        <v>477</v>
      </c>
      <c r="D5" s="114" t="s">
        <v>52</v>
      </c>
      <c r="E5" s="115" t="s">
        <v>478</v>
      </c>
      <c r="F5" s="116"/>
      <c r="G5" s="113" t="s">
        <v>479</v>
      </c>
      <c r="H5" s="113" t="s">
        <v>480</v>
      </c>
      <c r="I5" s="113" t="s">
        <v>481</v>
      </c>
      <c r="J5" s="117" t="s">
        <v>482</v>
      </c>
      <c r="K5" s="118"/>
      <c r="L5" s="109">
        <v>1</v>
      </c>
      <c r="M5" s="109">
        <v>2</v>
      </c>
      <c r="N5" s="109"/>
      <c r="O5" s="119"/>
      <c r="P5" s="2">
        <f>IF($L5="","",IF($D5="Yes",1,IF($D5="No",2,IF($D5="N/A",3,0))))</f>
        <v>1</v>
      </c>
      <c r="Q5" s="110" t="str">
        <f>IF(AND(Drops!$D$45&gt;1,OR(U5&lt;&gt;U4,AND(ROW()=5,U4=U5))),VLOOKUP(U5,Drops!$D$26:$E$44,2,FALSE),"")</f>
        <v>A. Risk Management</v>
      </c>
      <c r="R5" s="2">
        <f>IF(Q5&lt;&gt;"",ROW(),"")</f>
        <v>5</v>
      </c>
      <c r="S5" s="2">
        <f ca="1">OFFSET(AC5,,L5-1)</f>
        <v>1</v>
      </c>
      <c r="T5" s="2">
        <f>IF(OR(V5&lt;&gt;V4,U5&lt;&gt;U4,AND(V5&lt;&gt;V4,W5&lt;&gt;W4),AND(V5&lt;&gt;V4,W5&lt;&gt;W4,X5&lt;&gt;X4),AND(V5&lt;&gt;V4,W5&lt;&gt;W4,X5&lt;&gt;X4,Y5&lt;&gt;Y4),AND(V5&lt;&gt;V4,W5&lt;&gt;W4,X5&lt;&gt;X4,Y5&lt;&gt;Y4,Z5&lt;&gt;Z4),L5-L4&gt;1),1,0)</f>
        <v>0</v>
      </c>
      <c r="U5" s="110" t="s">
        <v>483</v>
      </c>
      <c r="V5" s="110">
        <v>1</v>
      </c>
      <c r="W5" s="110">
        <v>0</v>
      </c>
      <c r="X5" s="110">
        <v>0</v>
      </c>
      <c r="Y5" s="110">
        <v>0</v>
      </c>
      <c r="Z5" s="110">
        <v>0</v>
      </c>
      <c r="AA5" s="2">
        <f>IF(ROW()=5,1,IF(OR(AH5=1,P5&gt;0,T5=1),1,IF(OR(AND(AH5=2,AI5=1),AND(AI5=2,AJ5=1),AND(AJ5=2,AK5=1),AND(AK5=2,AL5=1)),1,0)))</f>
        <v>1</v>
      </c>
      <c r="AB5" s="2">
        <f>IF(L6&gt;L5,1,0)</f>
        <v>1</v>
      </c>
      <c r="AC5" s="2">
        <f>IF(ROW()=5,P5,IF(AND($P5&gt;1,AC$4=$L5),$P5,IF(AND($U5=$U4,V5=V4),AC4,IF(AND($L5=AC$4,P5=1),P5,0))))</f>
        <v>1</v>
      </c>
      <c r="AD5" s="2">
        <f>IF(AC5&gt;1,AC5,IF(AND($P5&gt;1,AD$4=$L5),$P5,IF(AND($U5=$U4,W5=W4),AD4,IF(AND($L5=AD$4,P5=1),P5,0))))</f>
        <v>0</v>
      </c>
      <c r="AE5" s="2">
        <f>IF(AD5&gt;1,AD5,IF(AND($P5&gt;1,AE$4=$L5),$P5,IF(AND($U5=$U4,X5=X4),AE4,IF(AND($L5=AE$4,P5=1),P5,0))))</f>
        <v>0</v>
      </c>
      <c r="AF5" s="2">
        <f>IF(AE5&gt;1,AE5,IF(AND($P5&gt;1,AF$4=$L5),$P5,IF(AND($U5=$U4,Y5=Y4),AF4,IF(AND($L5=AF$4,P5=1),P5,0))))</f>
        <v>0</v>
      </c>
      <c r="AG5" s="2">
        <f>IF(AF5&gt;1,AF5,IF(AND($P5&gt;1,AG$4=$L5),$P5,IF(AND($U5=$U4,Z5=Z4),AG4,IF(AND($L5=AG$4,P5=1),P5,0))))</f>
        <v>0</v>
      </c>
      <c r="AH5" s="2">
        <f>IF(AND($P5=1,$L5=AH$4),2,IF(AND($L5&lt;&gt;AH$4,AH4=2),AH4,IF($L5&lt;&gt;AH$4,0,1)))</f>
        <v>2</v>
      </c>
      <c r="AI5" s="2">
        <f>IF(OR(ROW()=5,$U4&lt;&gt;$U5),0,IF(AND($P5=1,$L5=AI$4),2,IF(AND($L5&lt;&gt;AI$4,AI4=2),AI4,IF($L5&lt;&gt;AI$4,0,1))))</f>
        <v>0</v>
      </c>
      <c r="AJ5" s="2">
        <f>IF(OR(ROW()=5,$U4&lt;&gt;$U5),0,IF(AND($P5=1,$L5=AJ$4),2,IF(AND($L5&lt;&gt;AJ$4,AJ4=2),AJ4,IF($L5&lt;&gt;AJ$4,0,1))))</f>
        <v>0</v>
      </c>
      <c r="AK5" s="2">
        <f>IF(OR(ROW()=5,$U4&lt;&gt;$U5),0,IF(AND($P5=1,$L5=AK$4),2,IF(AND($L5&lt;&gt;AK$4,AK4=2),AK4,IF($L5&lt;&gt;AK$4,0,1))))</f>
        <v>0</v>
      </c>
      <c r="AL5" s="2">
        <f>IF(OR(ROW()=5,$U4&lt;&gt;$U5),0,IF(AND($P5=1,$L5=AL$4),2,IF(AND($L5&lt;&gt;AL$4,AL4=2),AL4,IF($L5&lt;&gt;AL$4,0,1))))</f>
        <v>0</v>
      </c>
      <c r="AM5" s="115"/>
      <c r="AN5" s="115"/>
      <c r="AO5" s="63"/>
    </row>
    <row r="6" spans="1:41" ht="28.8" x14ac:dyDescent="0.55000000000000004">
      <c r="A6" s="36">
        <v>2325</v>
      </c>
      <c r="B6" s="113" t="s">
        <v>484</v>
      </c>
      <c r="C6" s="138" t="s">
        <v>485</v>
      </c>
      <c r="D6" s="114" t="s">
        <v>52</v>
      </c>
      <c r="E6" s="115"/>
      <c r="F6" s="116"/>
      <c r="G6" s="113" t="s">
        <v>479</v>
      </c>
      <c r="H6" s="113" t="s">
        <v>480</v>
      </c>
      <c r="I6" s="113" t="s">
        <v>481</v>
      </c>
      <c r="J6" s="117"/>
      <c r="K6" s="118"/>
      <c r="L6" s="109">
        <v>2</v>
      </c>
      <c r="M6" s="109">
        <v>2</v>
      </c>
      <c r="N6" s="109"/>
      <c r="O6" s="119"/>
      <c r="P6" s="2">
        <f t="shared" ref="P6:P69" si="0">IF($L6="","",IF($D6="Yes",1,IF($D6="No",2,IF($D6="N/A",3,0))))</f>
        <v>1</v>
      </c>
      <c r="Q6" s="110" t="str">
        <f>IF(AND(Drops!$D$45&gt;1,OR(U6&lt;&gt;U5,AND(ROW()=5,U5=U6))),VLOOKUP(U6,Drops!$D$26:$E$44,2,FALSE),"")</f>
        <v/>
      </c>
      <c r="R6" s="2" t="str">
        <f t="shared" ref="R6:R69" si="1">IF(Q6&lt;&gt;"",ROW(),"")</f>
        <v/>
      </c>
      <c r="S6" s="2">
        <f t="shared" ref="S6:S69" ca="1" si="2">OFFSET(AC6,,L6-1)</f>
        <v>1</v>
      </c>
      <c r="T6" s="2">
        <f t="shared" ref="T6:T69" si="3">IF(OR(V6&lt;&gt;V5,U6&lt;&gt;U5,AND(V6&lt;&gt;V5,W6&lt;&gt;W5),AND(V6&lt;&gt;V5,W6&lt;&gt;W5,X6&lt;&gt;X5),AND(V6&lt;&gt;V5,W6&lt;&gt;W5,X6&lt;&gt;X5,Y6&lt;&gt;Y5),AND(V6&lt;&gt;V5,W6&lt;&gt;W5,X6&lt;&gt;X5,Y6&lt;&gt;Y5,Z6&lt;&gt;Z5),L6-L5&gt;1),1,0)</f>
        <v>0</v>
      </c>
      <c r="U6" s="110" t="s">
        <v>483</v>
      </c>
      <c r="V6" s="110">
        <v>1</v>
      </c>
      <c r="W6" s="110">
        <v>1</v>
      </c>
      <c r="X6" s="110">
        <v>0</v>
      </c>
      <c r="Y6" s="110">
        <v>0</v>
      </c>
      <c r="Z6" s="110">
        <v>0</v>
      </c>
      <c r="AA6" s="2">
        <f t="shared" ref="AA6:AA69" si="4">IF(ROW()=5,1,IF(OR(AH6=1,P6&gt;0,T6=1),1,IF(OR(AND(AH6=2,AI6=1),AND(AI6=2,AJ6=1),AND(AJ6=2,AK6=1),AND(AK6=2,AL6=1)),1,0)))</f>
        <v>1</v>
      </c>
      <c r="AB6" s="2">
        <f t="shared" ref="AB6:AB69" si="5">IF(L7&gt;L6,1,0)</f>
        <v>0</v>
      </c>
      <c r="AC6" s="2">
        <f t="shared" ref="AC6:AC69" si="6">IF(ROW()=5,P6,IF(AND($P6&gt;1,AC$4=$L6),$P6,IF(AND($U6=$U5,V6=V5),AC5,IF(AND($L6=AC$4,P6=1),P6,0))))</f>
        <v>1</v>
      </c>
      <c r="AD6" s="2">
        <f t="shared" ref="AD6:AD69" si="7">IF(AC6&gt;1,AC6,IF(AND($P6&gt;1,AD$4=$L6),$P6,IF(AND($U6=$U5,W6=W5),AD5,IF(AND($L6=AD$4,P6=1),P6,0))))</f>
        <v>1</v>
      </c>
      <c r="AE6" s="2">
        <f t="shared" ref="AE6:AE69" si="8">IF(AD6&gt;1,AD6,IF(AND($P6&gt;1,AE$4=$L6),$P6,IF(AND($U6=$U5,X6=X5),AE5,IF(AND($L6=AE$4,P6=1),P6,0))))</f>
        <v>0</v>
      </c>
      <c r="AF6" s="2">
        <f t="shared" ref="AF6:AF69" si="9">IF(AE6&gt;1,AE6,IF(AND($P6&gt;1,AF$4=$L6),$P6,IF(AND($U6=$U5,Y6=Y5),AF5,IF(AND($L6=AF$4,P6=1),P6,0))))</f>
        <v>0</v>
      </c>
      <c r="AG6" s="2">
        <f t="shared" ref="AG6:AG69" si="10">IF(AF6&gt;1,AF6,IF(AND($P6&gt;1,AG$4=$L6),$P6,IF(AND($U6=$U5,Z6=Z5),AG5,IF(AND($L6=AG$4,P6=1),P6,0))))</f>
        <v>0</v>
      </c>
      <c r="AH6" s="2">
        <f t="shared" ref="AH6:AH69" si="11">IF(AND($P6=1,$L6=AH$4),2,IF(AND($L6&lt;&gt;AH$4,AH5=2),AH5,IF($L6&lt;&gt;AH$4,0,1)))</f>
        <v>2</v>
      </c>
      <c r="AI6" s="2">
        <f t="shared" ref="AI6:AI69" si="12">IF(OR(ROW()=5,$U5&lt;&gt;$U6),0,IF(AND($P6=1,$L6=AI$4),2,IF(AND($L6&lt;&gt;AI$4,AI5=2),AI5,IF($L6&lt;&gt;AI$4,0,1))))</f>
        <v>2</v>
      </c>
      <c r="AJ6" s="2">
        <f t="shared" ref="AJ6:AJ69" si="13">IF(OR(ROW()=5,$U5&lt;&gt;$U6),0,IF(AND($P6=1,$L6=AJ$4),2,IF(AND($L6&lt;&gt;AJ$4,AJ5=2),AJ5,IF($L6&lt;&gt;AJ$4,0,1))))</f>
        <v>0</v>
      </c>
      <c r="AK6" s="2">
        <f t="shared" ref="AK6:AK69" si="14">IF(OR(ROW()=5,$U5&lt;&gt;$U6),0,IF(AND($P6=1,$L6=AK$4),2,IF(AND($L6&lt;&gt;AK$4,AK5=2),AK5,IF($L6&lt;&gt;AK$4,0,1))))</f>
        <v>0</v>
      </c>
      <c r="AL6" s="2">
        <f t="shared" ref="AL6:AL69" si="15">IF(OR(ROW()=5,$U5&lt;&gt;$U6),0,IF(AND($P6=1,$L6=AL$4),2,IF(AND($L6&lt;&gt;AL$4,AL5=2),AL5,IF($L6&lt;&gt;AL$4,0,1))))</f>
        <v>0</v>
      </c>
      <c r="AM6" s="115"/>
      <c r="AN6" s="115"/>
      <c r="AO6" s="63"/>
    </row>
    <row r="7" spans="1:41" ht="28.8" x14ac:dyDescent="0.55000000000000004">
      <c r="A7" s="36">
        <v>2326</v>
      </c>
      <c r="B7" s="113" t="s">
        <v>486</v>
      </c>
      <c r="C7" s="138" t="s">
        <v>487</v>
      </c>
      <c r="D7" s="114" t="s">
        <v>52</v>
      </c>
      <c r="E7" s="115"/>
      <c r="F7" s="116"/>
      <c r="G7" s="113" t="s">
        <v>479</v>
      </c>
      <c r="H7" s="113" t="s">
        <v>480</v>
      </c>
      <c r="I7" s="113" t="s">
        <v>481</v>
      </c>
      <c r="J7" s="117"/>
      <c r="K7" s="118"/>
      <c r="L7" s="109">
        <v>2</v>
      </c>
      <c r="M7" s="109">
        <v>2</v>
      </c>
      <c r="N7" s="109"/>
      <c r="O7" s="119"/>
      <c r="P7" s="2">
        <f t="shared" si="0"/>
        <v>1</v>
      </c>
      <c r="Q7" s="110" t="str">
        <f>IF(AND(Drops!$D$45&gt;1,OR(U7&lt;&gt;U6,AND(ROW()=5,U6=U7))),VLOOKUP(U7,Drops!$D$26:$E$44,2,FALSE),"")</f>
        <v/>
      </c>
      <c r="R7" s="2" t="str">
        <f t="shared" si="1"/>
        <v/>
      </c>
      <c r="S7" s="2">
        <f t="shared" ca="1" si="2"/>
        <v>1</v>
      </c>
      <c r="T7" s="2">
        <f t="shared" si="3"/>
        <v>0</v>
      </c>
      <c r="U7" s="110" t="s">
        <v>483</v>
      </c>
      <c r="V7" s="110">
        <v>1</v>
      </c>
      <c r="W7" s="110">
        <v>2</v>
      </c>
      <c r="X7" s="110">
        <v>0</v>
      </c>
      <c r="Y7" s="110">
        <v>0</v>
      </c>
      <c r="Z7" s="110">
        <v>0</v>
      </c>
      <c r="AA7" s="2">
        <f t="shared" si="4"/>
        <v>1</v>
      </c>
      <c r="AB7" s="2">
        <f t="shared" si="5"/>
        <v>0</v>
      </c>
      <c r="AC7" s="2">
        <f t="shared" si="6"/>
        <v>1</v>
      </c>
      <c r="AD7" s="2">
        <f t="shared" si="7"/>
        <v>1</v>
      </c>
      <c r="AE7" s="2">
        <f t="shared" si="8"/>
        <v>0</v>
      </c>
      <c r="AF7" s="2">
        <f t="shared" si="9"/>
        <v>0</v>
      </c>
      <c r="AG7" s="2">
        <f t="shared" si="10"/>
        <v>0</v>
      </c>
      <c r="AH7" s="2">
        <f t="shared" si="11"/>
        <v>2</v>
      </c>
      <c r="AI7" s="2">
        <f t="shared" si="12"/>
        <v>2</v>
      </c>
      <c r="AJ7" s="2">
        <f t="shared" si="13"/>
        <v>0</v>
      </c>
      <c r="AK7" s="2">
        <f t="shared" si="14"/>
        <v>0</v>
      </c>
      <c r="AL7" s="2">
        <f t="shared" si="15"/>
        <v>0</v>
      </c>
      <c r="AM7" s="115"/>
      <c r="AN7" s="115"/>
      <c r="AO7" s="63"/>
    </row>
    <row r="8" spans="1:41" ht="43.2" x14ac:dyDescent="0.55000000000000004">
      <c r="A8" s="36">
        <v>2420</v>
      </c>
      <c r="B8" s="113" t="s">
        <v>488</v>
      </c>
      <c r="C8" s="138" t="s">
        <v>489</v>
      </c>
      <c r="D8" s="114" t="s">
        <v>52</v>
      </c>
      <c r="E8" s="115"/>
      <c r="F8" s="116"/>
      <c r="G8" s="113" t="s">
        <v>479</v>
      </c>
      <c r="H8" s="113" t="s">
        <v>480</v>
      </c>
      <c r="I8" s="113" t="s">
        <v>481</v>
      </c>
      <c r="J8" s="117"/>
      <c r="K8" s="118"/>
      <c r="L8" s="109">
        <v>2</v>
      </c>
      <c r="M8" s="109">
        <v>3</v>
      </c>
      <c r="N8" s="109"/>
      <c r="O8" s="119"/>
      <c r="P8" s="2">
        <f t="shared" si="0"/>
        <v>1</v>
      </c>
      <c r="Q8" s="110" t="str">
        <f>IF(AND(Drops!$D$45&gt;1,OR(U8&lt;&gt;U7,AND(ROW()=5,U7=U8))),VLOOKUP(U8,Drops!$D$26:$E$44,2,FALSE),"")</f>
        <v/>
      </c>
      <c r="R8" s="2" t="str">
        <f t="shared" si="1"/>
        <v/>
      </c>
      <c r="S8" s="2">
        <f t="shared" ca="1" si="2"/>
        <v>1</v>
      </c>
      <c r="T8" s="2">
        <f t="shared" si="3"/>
        <v>0</v>
      </c>
      <c r="U8" s="110" t="s">
        <v>483</v>
      </c>
      <c r="V8" s="110">
        <v>1</v>
      </c>
      <c r="W8" s="110">
        <v>3</v>
      </c>
      <c r="X8" s="110">
        <v>0</v>
      </c>
      <c r="Y8" s="110">
        <v>0</v>
      </c>
      <c r="Z8" s="110">
        <v>0</v>
      </c>
      <c r="AA8" s="2">
        <f t="shared" si="4"/>
        <v>1</v>
      </c>
      <c r="AB8" s="2">
        <f t="shared" si="5"/>
        <v>0</v>
      </c>
      <c r="AC8" s="2">
        <f t="shared" si="6"/>
        <v>1</v>
      </c>
      <c r="AD8" s="2">
        <f t="shared" si="7"/>
        <v>1</v>
      </c>
      <c r="AE8" s="2">
        <f t="shared" si="8"/>
        <v>0</v>
      </c>
      <c r="AF8" s="2">
        <f t="shared" si="9"/>
        <v>0</v>
      </c>
      <c r="AG8" s="2">
        <f t="shared" si="10"/>
        <v>0</v>
      </c>
      <c r="AH8" s="2">
        <f t="shared" si="11"/>
        <v>2</v>
      </c>
      <c r="AI8" s="2">
        <f t="shared" si="12"/>
        <v>2</v>
      </c>
      <c r="AJ8" s="2">
        <f t="shared" si="13"/>
        <v>0</v>
      </c>
      <c r="AK8" s="2">
        <f t="shared" si="14"/>
        <v>0</v>
      </c>
      <c r="AL8" s="2">
        <f t="shared" si="15"/>
        <v>0</v>
      </c>
      <c r="AM8" s="115"/>
      <c r="AN8" s="115"/>
      <c r="AO8" s="63"/>
    </row>
    <row r="9" spans="1:41" ht="43.2" x14ac:dyDescent="0.55000000000000004">
      <c r="A9" s="36">
        <v>2429</v>
      </c>
      <c r="B9" s="113" t="s">
        <v>490</v>
      </c>
      <c r="C9" s="138" t="s">
        <v>491</v>
      </c>
      <c r="D9" s="114" t="s">
        <v>52</v>
      </c>
      <c r="E9" s="115"/>
      <c r="F9" s="116"/>
      <c r="G9" s="113" t="s">
        <v>479</v>
      </c>
      <c r="H9" s="113" t="s">
        <v>480</v>
      </c>
      <c r="I9" s="113" t="s">
        <v>481</v>
      </c>
      <c r="J9" s="117"/>
      <c r="K9" s="118"/>
      <c r="L9" s="109">
        <v>2</v>
      </c>
      <c r="M9" s="109">
        <v>3</v>
      </c>
      <c r="N9" s="109"/>
      <c r="O9" s="119"/>
      <c r="P9" s="2">
        <f t="shared" si="0"/>
        <v>1</v>
      </c>
      <c r="Q9" s="110" t="str">
        <f>IF(AND(Drops!$D$45&gt;1,OR(U9&lt;&gt;U8,AND(ROW()=5,U8=U9))),VLOOKUP(U9,Drops!$D$26:$E$44,2,FALSE),"")</f>
        <v/>
      </c>
      <c r="R9" s="2" t="str">
        <f t="shared" si="1"/>
        <v/>
      </c>
      <c r="S9" s="2">
        <f t="shared" ca="1" si="2"/>
        <v>1</v>
      </c>
      <c r="T9" s="2">
        <f t="shared" si="3"/>
        <v>0</v>
      </c>
      <c r="U9" s="110" t="s">
        <v>483</v>
      </c>
      <c r="V9" s="110">
        <v>1</v>
      </c>
      <c r="W9" s="110">
        <v>4</v>
      </c>
      <c r="X9" s="110">
        <v>0</v>
      </c>
      <c r="Y9" s="110">
        <v>0</v>
      </c>
      <c r="Z9" s="110">
        <v>0</v>
      </c>
      <c r="AA9" s="2">
        <f t="shared" si="4"/>
        <v>1</v>
      </c>
      <c r="AB9" s="2">
        <f t="shared" si="5"/>
        <v>0</v>
      </c>
      <c r="AC9" s="2">
        <f t="shared" si="6"/>
        <v>1</v>
      </c>
      <c r="AD9" s="2">
        <f t="shared" si="7"/>
        <v>1</v>
      </c>
      <c r="AE9" s="2">
        <f t="shared" si="8"/>
        <v>0</v>
      </c>
      <c r="AF9" s="2">
        <f t="shared" si="9"/>
        <v>0</v>
      </c>
      <c r="AG9" s="2">
        <f t="shared" si="10"/>
        <v>0</v>
      </c>
      <c r="AH9" s="2">
        <f t="shared" si="11"/>
        <v>2</v>
      </c>
      <c r="AI9" s="2">
        <f t="shared" si="12"/>
        <v>2</v>
      </c>
      <c r="AJ9" s="2">
        <f t="shared" si="13"/>
        <v>0</v>
      </c>
      <c r="AK9" s="2">
        <f t="shared" si="14"/>
        <v>0</v>
      </c>
      <c r="AL9" s="2">
        <f t="shared" si="15"/>
        <v>0</v>
      </c>
      <c r="AM9" s="115"/>
      <c r="AN9" s="115"/>
      <c r="AO9" s="63"/>
    </row>
    <row r="10" spans="1:41" ht="28.8" x14ac:dyDescent="0.55000000000000004">
      <c r="A10" s="36">
        <v>4633</v>
      </c>
      <c r="B10" s="113" t="s">
        <v>492</v>
      </c>
      <c r="C10" s="138" t="s">
        <v>493</v>
      </c>
      <c r="D10" s="114" t="s">
        <v>52</v>
      </c>
      <c r="E10" s="115"/>
      <c r="F10" s="116"/>
      <c r="G10" s="113" t="s">
        <v>479</v>
      </c>
      <c r="H10" s="113" t="s">
        <v>480</v>
      </c>
      <c r="I10" s="113" t="s">
        <v>481</v>
      </c>
      <c r="J10" s="117"/>
      <c r="K10" s="118"/>
      <c r="L10" s="109">
        <v>2</v>
      </c>
      <c r="M10" s="109">
        <v>3</v>
      </c>
      <c r="N10" s="109"/>
      <c r="O10" s="119"/>
      <c r="P10" s="2">
        <f t="shared" si="0"/>
        <v>1</v>
      </c>
      <c r="Q10" s="110" t="str">
        <f>IF(AND(Drops!$D$45&gt;1,OR(U10&lt;&gt;U9,AND(ROW()=5,U9=U10))),VLOOKUP(U10,Drops!$D$26:$E$44,2,FALSE),"")</f>
        <v/>
      </c>
      <c r="R10" s="2" t="str">
        <f t="shared" si="1"/>
        <v/>
      </c>
      <c r="S10" s="2">
        <f t="shared" ca="1" si="2"/>
        <v>1</v>
      </c>
      <c r="T10" s="2">
        <f t="shared" si="3"/>
        <v>0</v>
      </c>
      <c r="U10" s="110" t="s">
        <v>483</v>
      </c>
      <c r="V10" s="110">
        <v>1</v>
      </c>
      <c r="W10" s="110">
        <v>5</v>
      </c>
      <c r="X10" s="110">
        <v>0</v>
      </c>
      <c r="Y10" s="110">
        <v>0</v>
      </c>
      <c r="Z10" s="110">
        <v>0</v>
      </c>
      <c r="AA10" s="2">
        <f t="shared" si="4"/>
        <v>1</v>
      </c>
      <c r="AB10" s="2">
        <f t="shared" si="5"/>
        <v>0</v>
      </c>
      <c r="AC10" s="2">
        <f t="shared" si="6"/>
        <v>1</v>
      </c>
      <c r="AD10" s="2">
        <f t="shared" si="7"/>
        <v>1</v>
      </c>
      <c r="AE10" s="2">
        <f t="shared" si="8"/>
        <v>0</v>
      </c>
      <c r="AF10" s="2">
        <f t="shared" si="9"/>
        <v>0</v>
      </c>
      <c r="AG10" s="2">
        <f t="shared" si="10"/>
        <v>0</v>
      </c>
      <c r="AH10" s="2">
        <f t="shared" si="11"/>
        <v>2</v>
      </c>
      <c r="AI10" s="2">
        <f t="shared" si="12"/>
        <v>2</v>
      </c>
      <c r="AJ10" s="2">
        <f t="shared" si="13"/>
        <v>0</v>
      </c>
      <c r="AK10" s="2">
        <f t="shared" si="14"/>
        <v>0</v>
      </c>
      <c r="AL10" s="2">
        <f t="shared" si="15"/>
        <v>0</v>
      </c>
      <c r="AM10" s="115"/>
      <c r="AN10" s="115"/>
      <c r="AO10" s="63"/>
    </row>
    <row r="11" spans="1:41" ht="28.8" x14ac:dyDescent="0.55000000000000004">
      <c r="A11" s="36">
        <v>4635</v>
      </c>
      <c r="B11" s="113" t="s">
        <v>494</v>
      </c>
      <c r="C11" s="138" t="s">
        <v>495</v>
      </c>
      <c r="D11" s="114" t="s">
        <v>52</v>
      </c>
      <c r="E11" s="115"/>
      <c r="F11" s="116"/>
      <c r="G11" s="113" t="s">
        <v>479</v>
      </c>
      <c r="H11" s="113" t="s">
        <v>480</v>
      </c>
      <c r="I11" s="113" t="s">
        <v>481</v>
      </c>
      <c r="J11" s="117"/>
      <c r="K11" s="118"/>
      <c r="L11" s="109">
        <v>2</v>
      </c>
      <c r="M11" s="109">
        <v>3</v>
      </c>
      <c r="N11" s="109"/>
      <c r="O11" s="119"/>
      <c r="P11" s="2">
        <f t="shared" si="0"/>
        <v>1</v>
      </c>
      <c r="Q11" s="110" t="str">
        <f>IF(AND(Drops!$D$45&gt;1,OR(U11&lt;&gt;U10,AND(ROW()=5,U10=U11))),VLOOKUP(U11,Drops!$D$26:$E$44,2,FALSE),"")</f>
        <v/>
      </c>
      <c r="R11" s="2" t="str">
        <f t="shared" si="1"/>
        <v/>
      </c>
      <c r="S11" s="2">
        <f t="shared" ca="1" si="2"/>
        <v>1</v>
      </c>
      <c r="T11" s="2">
        <f t="shared" si="3"/>
        <v>0</v>
      </c>
      <c r="U11" s="110" t="s">
        <v>483</v>
      </c>
      <c r="V11" s="110">
        <v>1</v>
      </c>
      <c r="W11" s="110">
        <v>7</v>
      </c>
      <c r="X11" s="110">
        <v>0</v>
      </c>
      <c r="Y11" s="110">
        <v>0</v>
      </c>
      <c r="Z11" s="110">
        <v>0</v>
      </c>
      <c r="AA11" s="2">
        <f t="shared" si="4"/>
        <v>1</v>
      </c>
      <c r="AB11" s="2">
        <f t="shared" si="5"/>
        <v>0</v>
      </c>
      <c r="AC11" s="2">
        <f t="shared" si="6"/>
        <v>1</v>
      </c>
      <c r="AD11" s="2">
        <f t="shared" si="7"/>
        <v>1</v>
      </c>
      <c r="AE11" s="2">
        <f t="shared" si="8"/>
        <v>0</v>
      </c>
      <c r="AF11" s="2">
        <f t="shared" si="9"/>
        <v>0</v>
      </c>
      <c r="AG11" s="2">
        <f t="shared" si="10"/>
        <v>0</v>
      </c>
      <c r="AH11" s="2">
        <f t="shared" si="11"/>
        <v>2</v>
      </c>
      <c r="AI11" s="2">
        <f t="shared" si="12"/>
        <v>2</v>
      </c>
      <c r="AJ11" s="2">
        <f t="shared" si="13"/>
        <v>0</v>
      </c>
      <c r="AK11" s="2">
        <f t="shared" si="14"/>
        <v>0</v>
      </c>
      <c r="AL11" s="2">
        <f t="shared" si="15"/>
        <v>0</v>
      </c>
      <c r="AM11" s="115"/>
      <c r="AN11" s="115"/>
      <c r="AO11" s="63"/>
    </row>
    <row r="12" spans="1:41" ht="28.8" x14ac:dyDescent="0.55000000000000004">
      <c r="A12" s="36">
        <v>4636</v>
      </c>
      <c r="B12" s="113" t="s">
        <v>496</v>
      </c>
      <c r="C12" s="138" t="s">
        <v>497</v>
      </c>
      <c r="D12" s="114" t="s">
        <v>52</v>
      </c>
      <c r="E12" s="115"/>
      <c r="F12" s="116"/>
      <c r="G12" s="113" t="s">
        <v>479</v>
      </c>
      <c r="H12" s="113" t="s">
        <v>480</v>
      </c>
      <c r="I12" s="113" t="s">
        <v>481</v>
      </c>
      <c r="J12" s="117"/>
      <c r="K12" s="118"/>
      <c r="L12" s="109">
        <v>2</v>
      </c>
      <c r="M12" s="109">
        <v>3</v>
      </c>
      <c r="N12" s="109"/>
      <c r="O12" s="119"/>
      <c r="P12" s="2">
        <f t="shared" si="0"/>
        <v>1</v>
      </c>
      <c r="Q12" s="110" t="str">
        <f>IF(AND(Drops!$D$45&gt;1,OR(U12&lt;&gt;U11,AND(ROW()=5,U11=U12))),VLOOKUP(U12,Drops!$D$26:$E$44,2,FALSE),"")</f>
        <v/>
      </c>
      <c r="R12" s="2" t="str">
        <f t="shared" si="1"/>
        <v/>
      </c>
      <c r="S12" s="2">
        <f t="shared" ca="1" si="2"/>
        <v>1</v>
      </c>
      <c r="T12" s="2">
        <f t="shared" si="3"/>
        <v>0</v>
      </c>
      <c r="U12" s="110" t="s">
        <v>483</v>
      </c>
      <c r="V12" s="110">
        <v>1</v>
      </c>
      <c r="W12" s="110">
        <v>8</v>
      </c>
      <c r="X12" s="110">
        <v>0</v>
      </c>
      <c r="Y12" s="110">
        <v>0</v>
      </c>
      <c r="Z12" s="110">
        <v>0</v>
      </c>
      <c r="AA12" s="2">
        <f t="shared" si="4"/>
        <v>1</v>
      </c>
      <c r="AB12" s="2">
        <f t="shared" si="5"/>
        <v>0</v>
      </c>
      <c r="AC12" s="2">
        <f t="shared" si="6"/>
        <v>1</v>
      </c>
      <c r="AD12" s="2">
        <f t="shared" si="7"/>
        <v>1</v>
      </c>
      <c r="AE12" s="2">
        <f t="shared" si="8"/>
        <v>0</v>
      </c>
      <c r="AF12" s="2">
        <f t="shared" si="9"/>
        <v>0</v>
      </c>
      <c r="AG12" s="2">
        <f t="shared" si="10"/>
        <v>0</v>
      </c>
      <c r="AH12" s="2">
        <f t="shared" si="11"/>
        <v>2</v>
      </c>
      <c r="AI12" s="2">
        <f t="shared" si="12"/>
        <v>2</v>
      </c>
      <c r="AJ12" s="2">
        <f t="shared" si="13"/>
        <v>0</v>
      </c>
      <c r="AK12" s="2">
        <f t="shared" si="14"/>
        <v>0</v>
      </c>
      <c r="AL12" s="2">
        <f t="shared" si="15"/>
        <v>0</v>
      </c>
      <c r="AM12" s="115"/>
      <c r="AN12" s="115"/>
      <c r="AO12" s="63"/>
    </row>
    <row r="13" spans="1:41" ht="28.8" x14ac:dyDescent="0.55000000000000004">
      <c r="A13" s="36">
        <v>5837</v>
      </c>
      <c r="B13" s="113" t="s">
        <v>498</v>
      </c>
      <c r="C13" s="138" t="s">
        <v>499</v>
      </c>
      <c r="D13" s="114" t="s">
        <v>52</v>
      </c>
      <c r="E13" s="115"/>
      <c r="F13" s="116"/>
      <c r="G13" s="113" t="s">
        <v>479</v>
      </c>
      <c r="H13" s="113" t="s">
        <v>480</v>
      </c>
      <c r="I13" s="113"/>
      <c r="J13" s="117"/>
      <c r="K13" s="118"/>
      <c r="L13" s="109">
        <v>2</v>
      </c>
      <c r="M13" s="109">
        <v>3</v>
      </c>
      <c r="N13" s="109"/>
      <c r="O13" s="119"/>
      <c r="P13" s="2">
        <f t="shared" si="0"/>
        <v>1</v>
      </c>
      <c r="Q13" s="110" t="str">
        <f>IF(AND(Drops!$D$45&gt;1,OR(U13&lt;&gt;U12,AND(ROW()=5,U12=U13))),VLOOKUP(U13,Drops!$D$26:$E$44,2,FALSE),"")</f>
        <v/>
      </c>
      <c r="R13" s="2" t="str">
        <f t="shared" si="1"/>
        <v/>
      </c>
      <c r="S13" s="2">
        <f t="shared" ca="1" si="2"/>
        <v>1</v>
      </c>
      <c r="T13" s="2">
        <f t="shared" si="3"/>
        <v>0</v>
      </c>
      <c r="U13" s="110" t="s">
        <v>483</v>
      </c>
      <c r="V13" s="110">
        <v>1</v>
      </c>
      <c r="W13" s="110">
        <v>9</v>
      </c>
      <c r="X13" s="110">
        <v>0</v>
      </c>
      <c r="Y13" s="110">
        <v>0</v>
      </c>
      <c r="Z13" s="110">
        <v>0</v>
      </c>
      <c r="AA13" s="2">
        <f t="shared" si="4"/>
        <v>1</v>
      </c>
      <c r="AB13" s="2">
        <f t="shared" si="5"/>
        <v>0</v>
      </c>
      <c r="AC13" s="2">
        <f t="shared" si="6"/>
        <v>1</v>
      </c>
      <c r="AD13" s="2">
        <f t="shared" si="7"/>
        <v>1</v>
      </c>
      <c r="AE13" s="2">
        <f t="shared" si="8"/>
        <v>0</v>
      </c>
      <c r="AF13" s="2">
        <f t="shared" si="9"/>
        <v>0</v>
      </c>
      <c r="AG13" s="2">
        <f t="shared" si="10"/>
        <v>0</v>
      </c>
      <c r="AH13" s="2">
        <f t="shared" si="11"/>
        <v>2</v>
      </c>
      <c r="AI13" s="2">
        <f t="shared" si="12"/>
        <v>2</v>
      </c>
      <c r="AJ13" s="2">
        <f t="shared" si="13"/>
        <v>0</v>
      </c>
      <c r="AK13" s="2">
        <f t="shared" si="14"/>
        <v>0</v>
      </c>
      <c r="AL13" s="2">
        <f t="shared" si="15"/>
        <v>0</v>
      </c>
      <c r="AM13" s="115"/>
      <c r="AN13" s="115"/>
      <c r="AO13" s="63"/>
    </row>
    <row r="14" spans="1:41" ht="43.2" x14ac:dyDescent="0.55000000000000004">
      <c r="A14" s="36">
        <v>5838</v>
      </c>
      <c r="B14" s="113" t="s">
        <v>500</v>
      </c>
      <c r="C14" s="138" t="s">
        <v>501</v>
      </c>
      <c r="D14" s="114" t="s">
        <v>52</v>
      </c>
      <c r="E14" s="115"/>
      <c r="F14" s="116"/>
      <c r="G14" s="113" t="s">
        <v>479</v>
      </c>
      <c r="H14" s="113" t="s">
        <v>480</v>
      </c>
      <c r="I14" s="113"/>
      <c r="J14" s="117"/>
      <c r="K14" s="118"/>
      <c r="L14" s="109">
        <v>2</v>
      </c>
      <c r="M14" s="109">
        <v>3</v>
      </c>
      <c r="N14" s="109"/>
      <c r="O14" s="119"/>
      <c r="P14" s="2">
        <f t="shared" si="0"/>
        <v>1</v>
      </c>
      <c r="Q14" s="110" t="str">
        <f>IF(AND(Drops!$D$45&gt;1,OR(U14&lt;&gt;U13,AND(ROW()=5,U13=U14))),VLOOKUP(U14,Drops!$D$26:$E$44,2,FALSE),"")</f>
        <v/>
      </c>
      <c r="R14" s="2" t="str">
        <f t="shared" si="1"/>
        <v/>
      </c>
      <c r="S14" s="2">
        <f t="shared" ca="1" si="2"/>
        <v>1</v>
      </c>
      <c r="T14" s="2">
        <f t="shared" si="3"/>
        <v>0</v>
      </c>
      <c r="U14" s="110" t="s">
        <v>483</v>
      </c>
      <c r="V14" s="110">
        <v>1</v>
      </c>
      <c r="W14" s="110">
        <v>10</v>
      </c>
      <c r="X14" s="110">
        <v>0</v>
      </c>
      <c r="Y14" s="110">
        <v>0</v>
      </c>
      <c r="Z14" s="110">
        <v>0</v>
      </c>
      <c r="AA14" s="2">
        <f t="shared" si="4"/>
        <v>1</v>
      </c>
      <c r="AB14" s="2">
        <f t="shared" si="5"/>
        <v>0</v>
      </c>
      <c r="AC14" s="2">
        <f t="shared" si="6"/>
        <v>1</v>
      </c>
      <c r="AD14" s="2">
        <f t="shared" si="7"/>
        <v>1</v>
      </c>
      <c r="AE14" s="2">
        <f t="shared" si="8"/>
        <v>0</v>
      </c>
      <c r="AF14" s="2">
        <f t="shared" si="9"/>
        <v>0</v>
      </c>
      <c r="AG14" s="2">
        <f t="shared" si="10"/>
        <v>0</v>
      </c>
      <c r="AH14" s="2">
        <f t="shared" si="11"/>
        <v>2</v>
      </c>
      <c r="AI14" s="2">
        <f t="shared" si="12"/>
        <v>2</v>
      </c>
      <c r="AJ14" s="2">
        <f t="shared" si="13"/>
        <v>0</v>
      </c>
      <c r="AK14" s="2">
        <f t="shared" si="14"/>
        <v>0</v>
      </c>
      <c r="AL14" s="2">
        <f t="shared" si="15"/>
        <v>0</v>
      </c>
      <c r="AM14" s="115"/>
      <c r="AN14" s="115"/>
      <c r="AO14" s="63"/>
    </row>
    <row r="15" spans="1:41" ht="28.8" x14ac:dyDescent="0.55000000000000004">
      <c r="A15" s="36">
        <v>5839</v>
      </c>
      <c r="B15" s="113" t="s">
        <v>502</v>
      </c>
      <c r="C15" s="138" t="s">
        <v>503</v>
      </c>
      <c r="D15" s="114" t="s">
        <v>52</v>
      </c>
      <c r="E15" s="115"/>
      <c r="F15" s="116"/>
      <c r="G15" s="113" t="s">
        <v>479</v>
      </c>
      <c r="H15" s="113" t="s">
        <v>480</v>
      </c>
      <c r="I15" s="113"/>
      <c r="J15" s="117"/>
      <c r="K15" s="118"/>
      <c r="L15" s="109">
        <v>2</v>
      </c>
      <c r="M15" s="109">
        <v>3</v>
      </c>
      <c r="N15" s="109"/>
      <c r="O15" s="119"/>
      <c r="P15" s="2">
        <f t="shared" si="0"/>
        <v>1</v>
      </c>
      <c r="Q15" s="110" t="str">
        <f>IF(AND(Drops!$D$45&gt;1,OR(U15&lt;&gt;U14,AND(ROW()=5,U14=U15))),VLOOKUP(U15,Drops!$D$26:$E$44,2,FALSE),"")</f>
        <v/>
      </c>
      <c r="R15" s="2" t="str">
        <f t="shared" si="1"/>
        <v/>
      </c>
      <c r="S15" s="2">
        <f t="shared" ca="1" si="2"/>
        <v>1</v>
      </c>
      <c r="T15" s="2">
        <f t="shared" si="3"/>
        <v>0</v>
      </c>
      <c r="U15" s="110" t="s">
        <v>483</v>
      </c>
      <c r="V15" s="110">
        <v>1</v>
      </c>
      <c r="W15" s="110">
        <v>11</v>
      </c>
      <c r="X15" s="110">
        <v>0</v>
      </c>
      <c r="Y15" s="110">
        <v>0</v>
      </c>
      <c r="Z15" s="110">
        <v>0</v>
      </c>
      <c r="AA15" s="2">
        <f t="shared" si="4"/>
        <v>1</v>
      </c>
      <c r="AB15" s="2">
        <f t="shared" si="5"/>
        <v>0</v>
      </c>
      <c r="AC15" s="2">
        <f t="shared" si="6"/>
        <v>1</v>
      </c>
      <c r="AD15" s="2">
        <f t="shared" si="7"/>
        <v>1</v>
      </c>
      <c r="AE15" s="2">
        <f t="shared" si="8"/>
        <v>0</v>
      </c>
      <c r="AF15" s="2">
        <f t="shared" si="9"/>
        <v>0</v>
      </c>
      <c r="AG15" s="2">
        <f t="shared" si="10"/>
        <v>0</v>
      </c>
      <c r="AH15" s="2">
        <f t="shared" si="11"/>
        <v>2</v>
      </c>
      <c r="AI15" s="2">
        <f t="shared" si="12"/>
        <v>2</v>
      </c>
      <c r="AJ15" s="2">
        <f t="shared" si="13"/>
        <v>0</v>
      </c>
      <c r="AK15" s="2">
        <f t="shared" si="14"/>
        <v>0</v>
      </c>
      <c r="AL15" s="2">
        <f t="shared" si="15"/>
        <v>0</v>
      </c>
      <c r="AM15" s="115"/>
      <c r="AN15" s="115"/>
      <c r="AO15" s="63"/>
    </row>
    <row r="16" spans="1:41" ht="57.6" x14ac:dyDescent="0.55000000000000004">
      <c r="A16" s="36">
        <v>4412</v>
      </c>
      <c r="B16" s="113" t="s">
        <v>163</v>
      </c>
      <c r="C16" s="113" t="s">
        <v>504</v>
      </c>
      <c r="D16" s="114" t="s">
        <v>52</v>
      </c>
      <c r="E16" s="115"/>
      <c r="F16" s="116"/>
      <c r="G16" s="113" t="s">
        <v>479</v>
      </c>
      <c r="H16" s="113" t="s">
        <v>505</v>
      </c>
      <c r="I16" s="113" t="s">
        <v>481</v>
      </c>
      <c r="J16" s="117" t="s">
        <v>506</v>
      </c>
      <c r="K16" s="118"/>
      <c r="L16" s="109">
        <v>1</v>
      </c>
      <c r="M16" s="109">
        <v>3</v>
      </c>
      <c r="N16" s="109"/>
      <c r="O16" s="119"/>
      <c r="P16" s="2">
        <f t="shared" si="0"/>
        <v>1</v>
      </c>
      <c r="Q16" s="110" t="str">
        <f>IF(AND(Drops!$D$45&gt;1,OR(U16&lt;&gt;U15,AND(ROW()=5,U15=U16))),VLOOKUP(U16,Drops!$D$26:$E$44,2,FALSE),"")</f>
        <v/>
      </c>
      <c r="R16" s="2" t="str">
        <f t="shared" si="1"/>
        <v/>
      </c>
      <c r="S16" s="2">
        <f t="shared" ca="1" si="2"/>
        <v>1</v>
      </c>
      <c r="T16" s="2">
        <f t="shared" si="3"/>
        <v>1</v>
      </c>
      <c r="U16" s="110" t="s">
        <v>483</v>
      </c>
      <c r="V16" s="110">
        <v>2</v>
      </c>
      <c r="W16" s="110">
        <v>0</v>
      </c>
      <c r="X16" s="110">
        <v>0</v>
      </c>
      <c r="Y16" s="110">
        <v>0</v>
      </c>
      <c r="Z16" s="110">
        <v>0</v>
      </c>
      <c r="AA16" s="2">
        <f t="shared" si="4"/>
        <v>1</v>
      </c>
      <c r="AB16" s="2">
        <f t="shared" si="5"/>
        <v>1</v>
      </c>
      <c r="AC16" s="2">
        <f t="shared" si="6"/>
        <v>1</v>
      </c>
      <c r="AD16" s="2">
        <f t="shared" si="7"/>
        <v>0</v>
      </c>
      <c r="AE16" s="2">
        <f t="shared" si="8"/>
        <v>0</v>
      </c>
      <c r="AF16" s="2">
        <f t="shared" si="9"/>
        <v>0</v>
      </c>
      <c r="AG16" s="2">
        <f t="shared" si="10"/>
        <v>0</v>
      </c>
      <c r="AH16" s="2">
        <f t="shared" si="11"/>
        <v>2</v>
      </c>
      <c r="AI16" s="2">
        <f t="shared" si="12"/>
        <v>2</v>
      </c>
      <c r="AJ16" s="2">
        <f t="shared" si="13"/>
        <v>0</v>
      </c>
      <c r="AK16" s="2">
        <f t="shared" si="14"/>
        <v>0</v>
      </c>
      <c r="AL16" s="2">
        <f t="shared" si="15"/>
        <v>0</v>
      </c>
      <c r="AM16" s="115"/>
      <c r="AN16" s="115"/>
      <c r="AO16" s="63"/>
    </row>
    <row r="17" spans="1:41" ht="28.8" x14ac:dyDescent="0.55000000000000004">
      <c r="A17" s="36">
        <v>4637</v>
      </c>
      <c r="B17" s="113" t="s">
        <v>507</v>
      </c>
      <c r="C17" s="138" t="s">
        <v>508</v>
      </c>
      <c r="D17" s="114" t="s">
        <v>52</v>
      </c>
      <c r="E17" s="115"/>
      <c r="F17" s="116"/>
      <c r="G17" s="113" t="s">
        <v>479</v>
      </c>
      <c r="H17" s="113" t="s">
        <v>505</v>
      </c>
      <c r="I17" s="113"/>
      <c r="J17" s="117"/>
      <c r="K17" s="118"/>
      <c r="L17" s="109">
        <v>2</v>
      </c>
      <c r="M17" s="109">
        <v>3</v>
      </c>
      <c r="N17" s="109"/>
      <c r="O17" s="119"/>
      <c r="P17" s="2">
        <f t="shared" si="0"/>
        <v>1</v>
      </c>
      <c r="Q17" s="110" t="str">
        <f>IF(AND(Drops!$D$45&gt;1,OR(U17&lt;&gt;U16,AND(ROW()=5,U16=U17))),VLOOKUP(U17,Drops!$D$26:$E$44,2,FALSE),"")</f>
        <v/>
      </c>
      <c r="R17" s="2" t="str">
        <f t="shared" si="1"/>
        <v/>
      </c>
      <c r="S17" s="2">
        <f t="shared" ca="1" si="2"/>
        <v>1</v>
      </c>
      <c r="T17" s="2">
        <f t="shared" si="3"/>
        <v>0</v>
      </c>
      <c r="U17" s="110" t="s">
        <v>483</v>
      </c>
      <c r="V17" s="110">
        <v>2</v>
      </c>
      <c r="W17" s="110">
        <v>1</v>
      </c>
      <c r="X17" s="110">
        <v>0</v>
      </c>
      <c r="Y17" s="110">
        <v>0</v>
      </c>
      <c r="Z17" s="110">
        <v>0</v>
      </c>
      <c r="AA17" s="2">
        <f t="shared" si="4"/>
        <v>1</v>
      </c>
      <c r="AB17" s="2">
        <f t="shared" si="5"/>
        <v>0</v>
      </c>
      <c r="AC17" s="2">
        <f t="shared" si="6"/>
        <v>1</v>
      </c>
      <c r="AD17" s="2">
        <f t="shared" si="7"/>
        <v>1</v>
      </c>
      <c r="AE17" s="2">
        <f t="shared" si="8"/>
        <v>0</v>
      </c>
      <c r="AF17" s="2">
        <f t="shared" si="9"/>
        <v>0</v>
      </c>
      <c r="AG17" s="2">
        <f t="shared" si="10"/>
        <v>0</v>
      </c>
      <c r="AH17" s="2">
        <f t="shared" si="11"/>
        <v>2</v>
      </c>
      <c r="AI17" s="2">
        <f t="shared" si="12"/>
        <v>2</v>
      </c>
      <c r="AJ17" s="2">
        <f t="shared" si="13"/>
        <v>0</v>
      </c>
      <c r="AK17" s="2">
        <f t="shared" si="14"/>
        <v>0</v>
      </c>
      <c r="AL17" s="2">
        <f t="shared" si="15"/>
        <v>0</v>
      </c>
      <c r="AM17" s="115"/>
      <c r="AN17" s="115"/>
      <c r="AO17" s="63"/>
    </row>
    <row r="18" spans="1:41" ht="28.8" x14ac:dyDescent="0.55000000000000004">
      <c r="A18" s="36">
        <v>4638</v>
      </c>
      <c r="B18" s="113" t="s">
        <v>509</v>
      </c>
      <c r="C18" s="138" t="s">
        <v>510</v>
      </c>
      <c r="D18" s="114" t="s">
        <v>52</v>
      </c>
      <c r="E18" s="115"/>
      <c r="F18" s="116"/>
      <c r="G18" s="113" t="s">
        <v>479</v>
      </c>
      <c r="H18" s="113" t="s">
        <v>505</v>
      </c>
      <c r="I18" s="113"/>
      <c r="J18" s="117"/>
      <c r="K18" s="118"/>
      <c r="L18" s="109">
        <v>2</v>
      </c>
      <c r="M18" s="109">
        <v>3</v>
      </c>
      <c r="N18" s="109"/>
      <c r="O18" s="119"/>
      <c r="P18" s="2">
        <f t="shared" si="0"/>
        <v>1</v>
      </c>
      <c r="Q18" s="110" t="str">
        <f>IF(AND(Drops!$D$45&gt;1,OR(U18&lt;&gt;U17,AND(ROW()=5,U17=U18))),VLOOKUP(U18,Drops!$D$26:$E$44,2,FALSE),"")</f>
        <v/>
      </c>
      <c r="R18" s="2" t="str">
        <f t="shared" si="1"/>
        <v/>
      </c>
      <c r="S18" s="2">
        <f t="shared" ca="1" si="2"/>
        <v>1</v>
      </c>
      <c r="T18" s="2">
        <f t="shared" si="3"/>
        <v>0</v>
      </c>
      <c r="U18" s="110" t="s">
        <v>483</v>
      </c>
      <c r="V18" s="110">
        <v>2</v>
      </c>
      <c r="W18" s="110">
        <v>2</v>
      </c>
      <c r="X18" s="110">
        <v>0</v>
      </c>
      <c r="Y18" s="110">
        <v>0</v>
      </c>
      <c r="Z18" s="110">
        <v>0</v>
      </c>
      <c r="AA18" s="2">
        <f t="shared" si="4"/>
        <v>1</v>
      </c>
      <c r="AB18" s="2">
        <f t="shared" si="5"/>
        <v>0</v>
      </c>
      <c r="AC18" s="2">
        <f t="shared" si="6"/>
        <v>1</v>
      </c>
      <c r="AD18" s="2">
        <f t="shared" si="7"/>
        <v>1</v>
      </c>
      <c r="AE18" s="2">
        <f t="shared" si="8"/>
        <v>0</v>
      </c>
      <c r="AF18" s="2">
        <f t="shared" si="9"/>
        <v>0</v>
      </c>
      <c r="AG18" s="2">
        <f t="shared" si="10"/>
        <v>0</v>
      </c>
      <c r="AH18" s="2">
        <f t="shared" si="11"/>
        <v>2</v>
      </c>
      <c r="AI18" s="2">
        <f t="shared" si="12"/>
        <v>2</v>
      </c>
      <c r="AJ18" s="2">
        <f t="shared" si="13"/>
        <v>0</v>
      </c>
      <c r="AK18" s="2">
        <f t="shared" si="14"/>
        <v>0</v>
      </c>
      <c r="AL18" s="2">
        <f t="shared" si="15"/>
        <v>0</v>
      </c>
      <c r="AM18" s="115"/>
      <c r="AN18" s="115"/>
      <c r="AO18" s="63"/>
    </row>
    <row r="19" spans="1:41" ht="28.8" x14ac:dyDescent="0.55000000000000004">
      <c r="A19" s="36">
        <v>4639</v>
      </c>
      <c r="B19" s="113" t="s">
        <v>511</v>
      </c>
      <c r="C19" s="138" t="s">
        <v>512</v>
      </c>
      <c r="D19" s="114" t="s">
        <v>52</v>
      </c>
      <c r="E19" s="115"/>
      <c r="F19" s="116"/>
      <c r="G19" s="113" t="s">
        <v>479</v>
      </c>
      <c r="H19" s="113" t="s">
        <v>505</v>
      </c>
      <c r="I19" s="113"/>
      <c r="J19" s="117"/>
      <c r="K19" s="118"/>
      <c r="L19" s="109">
        <v>2</v>
      </c>
      <c r="M19" s="109">
        <v>3</v>
      </c>
      <c r="N19" s="109"/>
      <c r="O19" s="119"/>
      <c r="P19" s="2">
        <f t="shared" si="0"/>
        <v>1</v>
      </c>
      <c r="Q19" s="110" t="str">
        <f>IF(AND(Drops!$D$45&gt;1,OR(U19&lt;&gt;U18,AND(ROW()=5,U18=U19))),VLOOKUP(U19,Drops!$D$26:$E$44,2,FALSE),"")</f>
        <v/>
      </c>
      <c r="R19" s="2" t="str">
        <f t="shared" si="1"/>
        <v/>
      </c>
      <c r="S19" s="2">
        <f t="shared" ca="1" si="2"/>
        <v>1</v>
      </c>
      <c r="T19" s="2">
        <f t="shared" si="3"/>
        <v>0</v>
      </c>
      <c r="U19" s="110" t="s">
        <v>483</v>
      </c>
      <c r="V19" s="110">
        <v>2</v>
      </c>
      <c r="W19" s="110">
        <v>3</v>
      </c>
      <c r="X19" s="110">
        <v>0</v>
      </c>
      <c r="Y19" s="110">
        <v>0</v>
      </c>
      <c r="Z19" s="110">
        <v>0</v>
      </c>
      <c r="AA19" s="2">
        <f t="shared" si="4"/>
        <v>1</v>
      </c>
      <c r="AB19" s="2">
        <f t="shared" si="5"/>
        <v>0</v>
      </c>
      <c r="AC19" s="2">
        <f t="shared" si="6"/>
        <v>1</v>
      </c>
      <c r="AD19" s="2">
        <f t="shared" si="7"/>
        <v>1</v>
      </c>
      <c r="AE19" s="2">
        <f t="shared" si="8"/>
        <v>0</v>
      </c>
      <c r="AF19" s="2">
        <f t="shared" si="9"/>
        <v>0</v>
      </c>
      <c r="AG19" s="2">
        <f t="shared" si="10"/>
        <v>0</v>
      </c>
      <c r="AH19" s="2">
        <f t="shared" si="11"/>
        <v>2</v>
      </c>
      <c r="AI19" s="2">
        <f t="shared" si="12"/>
        <v>2</v>
      </c>
      <c r="AJ19" s="2">
        <f t="shared" si="13"/>
        <v>0</v>
      </c>
      <c r="AK19" s="2">
        <f t="shared" si="14"/>
        <v>0</v>
      </c>
      <c r="AL19" s="2">
        <f t="shared" si="15"/>
        <v>0</v>
      </c>
      <c r="AM19" s="115"/>
      <c r="AN19" s="115"/>
      <c r="AO19" s="63"/>
    </row>
    <row r="20" spans="1:41" ht="43.2" x14ac:dyDescent="0.55000000000000004">
      <c r="A20" s="36">
        <v>4413</v>
      </c>
      <c r="B20" s="113" t="s">
        <v>513</v>
      </c>
      <c r="C20" s="138" t="s">
        <v>514</v>
      </c>
      <c r="D20" s="114" t="s">
        <v>52</v>
      </c>
      <c r="E20" s="115" t="s">
        <v>515</v>
      </c>
      <c r="F20" s="116"/>
      <c r="G20" s="113" t="s">
        <v>479</v>
      </c>
      <c r="H20" s="113" t="s">
        <v>505</v>
      </c>
      <c r="I20" s="113"/>
      <c r="J20" s="117" t="s">
        <v>506</v>
      </c>
      <c r="K20" s="118"/>
      <c r="L20" s="109">
        <v>2</v>
      </c>
      <c r="M20" s="109">
        <v>3</v>
      </c>
      <c r="N20" s="109"/>
      <c r="O20" s="119"/>
      <c r="P20" s="2">
        <f t="shared" si="0"/>
        <v>1</v>
      </c>
      <c r="Q20" s="110" t="str">
        <f>IF(AND(Drops!$D$45&gt;1,OR(U20&lt;&gt;U19,AND(ROW()=5,U19=U20))),VLOOKUP(U20,Drops!$D$26:$E$44,2,FALSE),"")</f>
        <v/>
      </c>
      <c r="R20" s="2" t="str">
        <f t="shared" si="1"/>
        <v/>
      </c>
      <c r="S20" s="2">
        <f t="shared" ca="1" si="2"/>
        <v>1</v>
      </c>
      <c r="T20" s="2">
        <f t="shared" si="3"/>
        <v>0</v>
      </c>
      <c r="U20" s="110" t="s">
        <v>483</v>
      </c>
      <c r="V20" s="110">
        <v>2</v>
      </c>
      <c r="W20" s="110">
        <v>5</v>
      </c>
      <c r="X20" s="110">
        <v>0</v>
      </c>
      <c r="Y20" s="110">
        <v>0</v>
      </c>
      <c r="Z20" s="110">
        <v>0</v>
      </c>
      <c r="AA20" s="2">
        <f t="shared" si="4"/>
        <v>1</v>
      </c>
      <c r="AB20" s="2">
        <f t="shared" si="5"/>
        <v>0</v>
      </c>
      <c r="AC20" s="2">
        <f t="shared" si="6"/>
        <v>1</v>
      </c>
      <c r="AD20" s="2">
        <f t="shared" si="7"/>
        <v>1</v>
      </c>
      <c r="AE20" s="2">
        <f t="shared" si="8"/>
        <v>0</v>
      </c>
      <c r="AF20" s="2">
        <f t="shared" si="9"/>
        <v>0</v>
      </c>
      <c r="AG20" s="2">
        <f t="shared" si="10"/>
        <v>0</v>
      </c>
      <c r="AH20" s="2">
        <f t="shared" si="11"/>
        <v>2</v>
      </c>
      <c r="AI20" s="2">
        <f t="shared" si="12"/>
        <v>2</v>
      </c>
      <c r="AJ20" s="2">
        <f t="shared" si="13"/>
        <v>0</v>
      </c>
      <c r="AK20" s="2">
        <f t="shared" si="14"/>
        <v>0</v>
      </c>
      <c r="AL20" s="2">
        <f t="shared" si="15"/>
        <v>0</v>
      </c>
      <c r="AM20" s="115"/>
      <c r="AN20" s="115"/>
      <c r="AO20" s="63"/>
    </row>
    <row r="21" spans="1:41" ht="43.2" x14ac:dyDescent="0.55000000000000004">
      <c r="A21" s="36">
        <v>4640</v>
      </c>
      <c r="B21" s="113" t="s">
        <v>165</v>
      </c>
      <c r="C21" s="113" t="s">
        <v>516</v>
      </c>
      <c r="D21" s="114" t="s">
        <v>52</v>
      </c>
      <c r="E21" s="115"/>
      <c r="F21" s="116"/>
      <c r="G21" s="113" t="s">
        <v>479</v>
      </c>
      <c r="H21" s="113" t="s">
        <v>517</v>
      </c>
      <c r="I21" s="113" t="s">
        <v>518</v>
      </c>
      <c r="J21" s="117" t="s">
        <v>506</v>
      </c>
      <c r="K21" s="118"/>
      <c r="L21" s="109">
        <v>1</v>
      </c>
      <c r="M21" s="109">
        <v>2</v>
      </c>
      <c r="N21" s="109"/>
      <c r="O21" s="119"/>
      <c r="P21" s="2">
        <f t="shared" si="0"/>
        <v>1</v>
      </c>
      <c r="Q21" s="110" t="str">
        <f>IF(AND(Drops!$D$45&gt;1,OR(U21&lt;&gt;U20,AND(ROW()=5,U20=U21))),VLOOKUP(U21,Drops!$D$26:$E$44,2,FALSE),"")</f>
        <v/>
      </c>
      <c r="R21" s="2" t="str">
        <f t="shared" si="1"/>
        <v/>
      </c>
      <c r="S21" s="2">
        <f t="shared" ca="1" si="2"/>
        <v>1</v>
      </c>
      <c r="T21" s="2">
        <f t="shared" si="3"/>
        <v>1</v>
      </c>
      <c r="U21" s="110" t="s">
        <v>483</v>
      </c>
      <c r="V21" s="110">
        <v>3</v>
      </c>
      <c r="W21" s="110">
        <v>0</v>
      </c>
      <c r="X21" s="110">
        <v>0</v>
      </c>
      <c r="Y21" s="110">
        <v>0</v>
      </c>
      <c r="Z21" s="110">
        <v>0</v>
      </c>
      <c r="AA21" s="2">
        <f t="shared" si="4"/>
        <v>1</v>
      </c>
      <c r="AB21" s="2">
        <f t="shared" si="5"/>
        <v>1</v>
      </c>
      <c r="AC21" s="2">
        <f t="shared" si="6"/>
        <v>1</v>
      </c>
      <c r="AD21" s="2">
        <f t="shared" si="7"/>
        <v>0</v>
      </c>
      <c r="AE21" s="2">
        <f t="shared" si="8"/>
        <v>0</v>
      </c>
      <c r="AF21" s="2">
        <f t="shared" si="9"/>
        <v>0</v>
      </c>
      <c r="AG21" s="2">
        <f t="shared" si="10"/>
        <v>0</v>
      </c>
      <c r="AH21" s="2">
        <f t="shared" si="11"/>
        <v>2</v>
      </c>
      <c r="AI21" s="2">
        <f t="shared" si="12"/>
        <v>2</v>
      </c>
      <c r="AJ21" s="2">
        <f t="shared" si="13"/>
        <v>0</v>
      </c>
      <c r="AK21" s="2">
        <f t="shared" si="14"/>
        <v>0</v>
      </c>
      <c r="AL21" s="2">
        <f t="shared" si="15"/>
        <v>0</v>
      </c>
      <c r="AM21" s="115"/>
      <c r="AN21" s="115"/>
      <c r="AO21" s="63"/>
    </row>
    <row r="22" spans="1:41" ht="28.8" x14ac:dyDescent="0.55000000000000004">
      <c r="A22" s="36">
        <v>4641</v>
      </c>
      <c r="B22" s="113" t="s">
        <v>519</v>
      </c>
      <c r="C22" s="138" t="s">
        <v>520</v>
      </c>
      <c r="D22" s="114" t="s">
        <v>52</v>
      </c>
      <c r="E22" s="115"/>
      <c r="F22" s="116"/>
      <c r="G22" s="113" t="s">
        <v>479</v>
      </c>
      <c r="H22" s="113" t="s">
        <v>517</v>
      </c>
      <c r="I22" s="113" t="s">
        <v>521</v>
      </c>
      <c r="J22" s="117" t="s">
        <v>522</v>
      </c>
      <c r="K22" s="118"/>
      <c r="L22" s="109">
        <v>2</v>
      </c>
      <c r="M22" s="109">
        <v>3</v>
      </c>
      <c r="N22" s="109"/>
      <c r="O22" s="119"/>
      <c r="P22" s="2">
        <f t="shared" si="0"/>
        <v>1</v>
      </c>
      <c r="Q22" s="110" t="str">
        <f>IF(AND(Drops!$D$45&gt;1,OR(U22&lt;&gt;U21,AND(ROW()=5,U21=U22))),VLOOKUP(U22,Drops!$D$26:$E$44,2,FALSE),"")</f>
        <v/>
      </c>
      <c r="R22" s="2" t="str">
        <f t="shared" si="1"/>
        <v/>
      </c>
      <c r="S22" s="2">
        <f t="shared" ca="1" si="2"/>
        <v>1</v>
      </c>
      <c r="T22" s="2">
        <f t="shared" si="3"/>
        <v>0</v>
      </c>
      <c r="U22" s="110" t="s">
        <v>483</v>
      </c>
      <c r="V22" s="110">
        <v>3</v>
      </c>
      <c r="W22" s="110">
        <v>1</v>
      </c>
      <c r="X22" s="110">
        <v>0</v>
      </c>
      <c r="Y22" s="110">
        <v>0</v>
      </c>
      <c r="Z22" s="110">
        <v>0</v>
      </c>
      <c r="AA22" s="2">
        <f t="shared" si="4"/>
        <v>1</v>
      </c>
      <c r="AB22" s="2">
        <f t="shared" si="5"/>
        <v>0</v>
      </c>
      <c r="AC22" s="2">
        <f t="shared" si="6"/>
        <v>1</v>
      </c>
      <c r="AD22" s="2">
        <f t="shared" si="7"/>
        <v>1</v>
      </c>
      <c r="AE22" s="2">
        <f t="shared" si="8"/>
        <v>0</v>
      </c>
      <c r="AF22" s="2">
        <f t="shared" si="9"/>
        <v>0</v>
      </c>
      <c r="AG22" s="2">
        <f t="shared" si="10"/>
        <v>0</v>
      </c>
      <c r="AH22" s="2">
        <f t="shared" si="11"/>
        <v>2</v>
      </c>
      <c r="AI22" s="2">
        <f t="shared" si="12"/>
        <v>2</v>
      </c>
      <c r="AJ22" s="2">
        <f t="shared" si="13"/>
        <v>0</v>
      </c>
      <c r="AK22" s="2">
        <f t="shared" si="14"/>
        <v>0</v>
      </c>
      <c r="AL22" s="2">
        <f t="shared" si="15"/>
        <v>0</v>
      </c>
      <c r="AM22" s="115"/>
      <c r="AN22" s="115"/>
      <c r="AO22" s="63"/>
    </row>
    <row r="23" spans="1:41" ht="28.8" x14ac:dyDescent="0.55000000000000004">
      <c r="A23" s="36">
        <v>2409</v>
      </c>
      <c r="B23" s="113" t="s">
        <v>523</v>
      </c>
      <c r="C23" s="138" t="s">
        <v>524</v>
      </c>
      <c r="D23" s="114" t="s">
        <v>52</v>
      </c>
      <c r="E23" s="115"/>
      <c r="F23" s="116"/>
      <c r="G23" s="113" t="s">
        <v>479</v>
      </c>
      <c r="H23" s="113" t="s">
        <v>517</v>
      </c>
      <c r="I23" s="113" t="s">
        <v>518</v>
      </c>
      <c r="J23" s="117" t="s">
        <v>522</v>
      </c>
      <c r="K23" s="118"/>
      <c r="L23" s="109">
        <v>2</v>
      </c>
      <c r="M23" s="109">
        <v>3</v>
      </c>
      <c r="N23" s="109"/>
      <c r="O23" s="119"/>
      <c r="P23" s="2">
        <f t="shared" si="0"/>
        <v>1</v>
      </c>
      <c r="Q23" s="110" t="str">
        <f>IF(AND(Drops!$D$45&gt;1,OR(U23&lt;&gt;U22,AND(ROW()=5,U22=U23))),VLOOKUP(U23,Drops!$D$26:$E$44,2,FALSE),"")</f>
        <v/>
      </c>
      <c r="R23" s="2" t="str">
        <f t="shared" si="1"/>
        <v/>
      </c>
      <c r="S23" s="2">
        <f t="shared" ca="1" si="2"/>
        <v>1</v>
      </c>
      <c r="T23" s="2">
        <f t="shared" si="3"/>
        <v>0</v>
      </c>
      <c r="U23" s="110" t="s">
        <v>483</v>
      </c>
      <c r="V23" s="110">
        <v>3</v>
      </c>
      <c r="W23" s="110">
        <v>6</v>
      </c>
      <c r="X23" s="110">
        <v>0</v>
      </c>
      <c r="Y23" s="110">
        <v>0</v>
      </c>
      <c r="Z23" s="110">
        <v>0</v>
      </c>
      <c r="AA23" s="2">
        <f t="shared" si="4"/>
        <v>1</v>
      </c>
      <c r="AB23" s="2">
        <f t="shared" si="5"/>
        <v>0</v>
      </c>
      <c r="AC23" s="2">
        <f t="shared" si="6"/>
        <v>1</v>
      </c>
      <c r="AD23" s="2">
        <f t="shared" si="7"/>
        <v>1</v>
      </c>
      <c r="AE23" s="2">
        <f t="shared" si="8"/>
        <v>0</v>
      </c>
      <c r="AF23" s="2">
        <f t="shared" si="9"/>
        <v>0</v>
      </c>
      <c r="AG23" s="2">
        <f t="shared" si="10"/>
        <v>0</v>
      </c>
      <c r="AH23" s="2">
        <f t="shared" si="11"/>
        <v>2</v>
      </c>
      <c r="AI23" s="2">
        <f t="shared" si="12"/>
        <v>2</v>
      </c>
      <c r="AJ23" s="2">
        <f t="shared" si="13"/>
        <v>0</v>
      </c>
      <c r="AK23" s="2">
        <f t="shared" si="14"/>
        <v>0</v>
      </c>
      <c r="AL23" s="2">
        <f t="shared" si="15"/>
        <v>0</v>
      </c>
      <c r="AM23" s="115"/>
      <c r="AN23" s="115"/>
      <c r="AO23" s="63"/>
    </row>
    <row r="24" spans="1:41" ht="43.2" x14ac:dyDescent="0.55000000000000004">
      <c r="A24" s="36">
        <v>5843</v>
      </c>
      <c r="B24" s="113" t="s">
        <v>525</v>
      </c>
      <c r="C24" s="138" t="s">
        <v>526</v>
      </c>
      <c r="D24" s="114" t="s">
        <v>52</v>
      </c>
      <c r="E24" s="115"/>
      <c r="F24" s="116"/>
      <c r="G24" s="113" t="s">
        <v>479</v>
      </c>
      <c r="H24" s="113" t="s">
        <v>517</v>
      </c>
      <c r="I24" s="113"/>
      <c r="J24" s="117" t="s">
        <v>527</v>
      </c>
      <c r="K24" s="118"/>
      <c r="L24" s="109">
        <v>2</v>
      </c>
      <c r="M24" s="109">
        <v>3</v>
      </c>
      <c r="N24" s="109"/>
      <c r="O24" s="119"/>
      <c r="P24" s="2">
        <f t="shared" si="0"/>
        <v>1</v>
      </c>
      <c r="Q24" s="110" t="str">
        <f>IF(AND(Drops!$D$45&gt;1,OR(U24&lt;&gt;U23,AND(ROW()=5,U23=U24))),VLOOKUP(U24,Drops!$D$26:$E$44,2,FALSE),"")</f>
        <v/>
      </c>
      <c r="R24" s="2" t="str">
        <f t="shared" si="1"/>
        <v/>
      </c>
      <c r="S24" s="2">
        <f t="shared" ca="1" si="2"/>
        <v>1</v>
      </c>
      <c r="T24" s="2">
        <f t="shared" si="3"/>
        <v>0</v>
      </c>
      <c r="U24" s="110" t="s">
        <v>483</v>
      </c>
      <c r="V24" s="110">
        <v>3</v>
      </c>
      <c r="W24" s="110">
        <v>7</v>
      </c>
      <c r="X24" s="110">
        <v>0</v>
      </c>
      <c r="Y24" s="110">
        <v>0</v>
      </c>
      <c r="Z24" s="110">
        <v>0</v>
      </c>
      <c r="AA24" s="2">
        <f t="shared" si="4"/>
        <v>1</v>
      </c>
      <c r="AB24" s="2">
        <f t="shared" si="5"/>
        <v>0</v>
      </c>
      <c r="AC24" s="2">
        <f t="shared" si="6"/>
        <v>1</v>
      </c>
      <c r="AD24" s="2">
        <f t="shared" si="7"/>
        <v>1</v>
      </c>
      <c r="AE24" s="2">
        <f t="shared" si="8"/>
        <v>0</v>
      </c>
      <c r="AF24" s="2">
        <f t="shared" si="9"/>
        <v>0</v>
      </c>
      <c r="AG24" s="2">
        <f t="shared" si="10"/>
        <v>0</v>
      </c>
      <c r="AH24" s="2">
        <f t="shared" si="11"/>
        <v>2</v>
      </c>
      <c r="AI24" s="2">
        <f t="shared" si="12"/>
        <v>2</v>
      </c>
      <c r="AJ24" s="2">
        <f t="shared" si="13"/>
        <v>0</v>
      </c>
      <c r="AK24" s="2">
        <f t="shared" si="14"/>
        <v>0</v>
      </c>
      <c r="AL24" s="2">
        <f t="shared" si="15"/>
        <v>0</v>
      </c>
      <c r="AM24" s="115"/>
      <c r="AN24" s="115"/>
      <c r="AO24" s="63"/>
    </row>
    <row r="25" spans="1:41" ht="158.4" x14ac:dyDescent="0.55000000000000004">
      <c r="A25" s="36">
        <v>3286</v>
      </c>
      <c r="B25" s="113" t="s">
        <v>528</v>
      </c>
      <c r="C25" s="138" t="s">
        <v>529</v>
      </c>
      <c r="D25" s="114" t="s">
        <v>52</v>
      </c>
      <c r="E25" s="115" t="s">
        <v>530</v>
      </c>
      <c r="F25" s="116"/>
      <c r="G25" s="113" t="s">
        <v>479</v>
      </c>
      <c r="H25" s="113" t="s">
        <v>531</v>
      </c>
      <c r="I25" s="113" t="s">
        <v>518</v>
      </c>
      <c r="J25" s="117" t="s">
        <v>532</v>
      </c>
      <c r="K25" s="118"/>
      <c r="L25" s="109">
        <v>2</v>
      </c>
      <c r="M25" s="109">
        <v>2</v>
      </c>
      <c r="N25" s="109"/>
      <c r="O25" s="119"/>
      <c r="P25" s="2">
        <f t="shared" si="0"/>
        <v>1</v>
      </c>
      <c r="Q25" s="110" t="str">
        <f>IF(AND(Drops!$D$45&gt;1,OR(U25&lt;&gt;U24,AND(ROW()=5,U24=U25))),VLOOKUP(U25,Drops!$D$26:$E$44,2,FALSE),"")</f>
        <v/>
      </c>
      <c r="R25" s="2" t="str">
        <f t="shared" si="1"/>
        <v/>
      </c>
      <c r="S25" s="2">
        <f t="shared" ca="1" si="2"/>
        <v>1</v>
      </c>
      <c r="T25" s="2">
        <f t="shared" si="3"/>
        <v>0</v>
      </c>
      <c r="U25" s="110" t="s">
        <v>483</v>
      </c>
      <c r="V25" s="110">
        <v>3</v>
      </c>
      <c r="W25" s="110">
        <v>8</v>
      </c>
      <c r="X25" s="110">
        <v>0</v>
      </c>
      <c r="Y25" s="110">
        <v>0</v>
      </c>
      <c r="Z25" s="110">
        <v>0</v>
      </c>
      <c r="AA25" s="2">
        <f t="shared" si="4"/>
        <v>1</v>
      </c>
      <c r="AB25" s="2">
        <f t="shared" si="5"/>
        <v>0</v>
      </c>
      <c r="AC25" s="2">
        <f t="shared" si="6"/>
        <v>1</v>
      </c>
      <c r="AD25" s="2">
        <f t="shared" si="7"/>
        <v>1</v>
      </c>
      <c r="AE25" s="2">
        <f t="shared" si="8"/>
        <v>0</v>
      </c>
      <c r="AF25" s="2">
        <f t="shared" si="9"/>
        <v>0</v>
      </c>
      <c r="AG25" s="2">
        <f t="shared" si="10"/>
        <v>0</v>
      </c>
      <c r="AH25" s="2">
        <f t="shared" si="11"/>
        <v>2</v>
      </c>
      <c r="AI25" s="2">
        <f t="shared" si="12"/>
        <v>2</v>
      </c>
      <c r="AJ25" s="2">
        <f t="shared" si="13"/>
        <v>0</v>
      </c>
      <c r="AK25" s="2">
        <f t="shared" si="14"/>
        <v>0</v>
      </c>
      <c r="AL25" s="2">
        <f t="shared" si="15"/>
        <v>0</v>
      </c>
      <c r="AM25" s="115"/>
      <c r="AN25" s="115"/>
      <c r="AO25" s="63"/>
    </row>
    <row r="26" spans="1:41" ht="57.6" x14ac:dyDescent="0.55000000000000004">
      <c r="A26" s="36">
        <v>4158</v>
      </c>
      <c r="B26" s="113" t="s">
        <v>533</v>
      </c>
      <c r="C26" s="138" t="s">
        <v>534</v>
      </c>
      <c r="D26" s="114" t="s">
        <v>52</v>
      </c>
      <c r="E26" s="115"/>
      <c r="F26" s="116"/>
      <c r="G26" s="113" t="s">
        <v>479</v>
      </c>
      <c r="H26" s="113" t="s">
        <v>531</v>
      </c>
      <c r="I26" s="113" t="s">
        <v>481</v>
      </c>
      <c r="J26" s="117" t="s">
        <v>535</v>
      </c>
      <c r="K26" s="118"/>
      <c r="L26" s="109">
        <v>2</v>
      </c>
      <c r="M26" s="109">
        <v>3</v>
      </c>
      <c r="N26" s="109"/>
      <c r="O26" s="119"/>
      <c r="P26" s="2">
        <f t="shared" si="0"/>
        <v>1</v>
      </c>
      <c r="Q26" s="110" t="str">
        <f>IF(AND(Drops!$D$45&gt;1,OR(U26&lt;&gt;U25,AND(ROW()=5,U25=U26))),VLOOKUP(U26,Drops!$D$26:$E$44,2,FALSE),"")</f>
        <v/>
      </c>
      <c r="R26" s="2" t="str">
        <f t="shared" si="1"/>
        <v/>
      </c>
      <c r="S26" s="2">
        <f t="shared" ca="1" si="2"/>
        <v>1</v>
      </c>
      <c r="T26" s="2">
        <f t="shared" si="3"/>
        <v>0</v>
      </c>
      <c r="U26" s="110" t="s">
        <v>483</v>
      </c>
      <c r="V26" s="110">
        <v>3</v>
      </c>
      <c r="W26" s="110">
        <v>9</v>
      </c>
      <c r="X26" s="110">
        <v>0</v>
      </c>
      <c r="Y26" s="110">
        <v>0</v>
      </c>
      <c r="Z26" s="110">
        <v>0</v>
      </c>
      <c r="AA26" s="2">
        <f t="shared" si="4"/>
        <v>1</v>
      </c>
      <c r="AB26" s="2">
        <f t="shared" si="5"/>
        <v>0</v>
      </c>
      <c r="AC26" s="2">
        <f t="shared" si="6"/>
        <v>1</v>
      </c>
      <c r="AD26" s="2">
        <f t="shared" si="7"/>
        <v>1</v>
      </c>
      <c r="AE26" s="2">
        <f t="shared" si="8"/>
        <v>0</v>
      </c>
      <c r="AF26" s="2">
        <f t="shared" si="9"/>
        <v>0</v>
      </c>
      <c r="AG26" s="2">
        <f t="shared" si="10"/>
        <v>0</v>
      </c>
      <c r="AH26" s="2">
        <f t="shared" si="11"/>
        <v>2</v>
      </c>
      <c r="AI26" s="2">
        <f t="shared" si="12"/>
        <v>2</v>
      </c>
      <c r="AJ26" s="2">
        <f t="shared" si="13"/>
        <v>0</v>
      </c>
      <c r="AK26" s="2">
        <f t="shared" si="14"/>
        <v>0</v>
      </c>
      <c r="AL26" s="2">
        <f t="shared" si="15"/>
        <v>0</v>
      </c>
      <c r="AM26" s="115"/>
      <c r="AN26" s="115"/>
      <c r="AO26" s="63"/>
    </row>
    <row r="27" spans="1:41" ht="57.6" x14ac:dyDescent="0.55000000000000004">
      <c r="A27" s="36">
        <v>4159</v>
      </c>
      <c r="B27" s="113" t="s">
        <v>536</v>
      </c>
      <c r="C27" s="138" t="s">
        <v>537</v>
      </c>
      <c r="D27" s="114" t="s">
        <v>52</v>
      </c>
      <c r="E27" s="115"/>
      <c r="F27" s="116"/>
      <c r="G27" s="113" t="s">
        <v>479</v>
      </c>
      <c r="H27" s="113" t="s">
        <v>531</v>
      </c>
      <c r="I27" s="113" t="s">
        <v>521</v>
      </c>
      <c r="J27" s="117" t="s">
        <v>535</v>
      </c>
      <c r="K27" s="118"/>
      <c r="L27" s="109">
        <v>2</v>
      </c>
      <c r="M27" s="109">
        <v>3</v>
      </c>
      <c r="N27" s="109"/>
      <c r="O27" s="119"/>
      <c r="P27" s="2">
        <f t="shared" si="0"/>
        <v>1</v>
      </c>
      <c r="Q27" s="110" t="str">
        <f>IF(AND(Drops!$D$45&gt;1,OR(U27&lt;&gt;U26,AND(ROW()=5,U26=U27))),VLOOKUP(U27,Drops!$D$26:$E$44,2,FALSE),"")</f>
        <v/>
      </c>
      <c r="R27" s="2" t="str">
        <f t="shared" si="1"/>
        <v/>
      </c>
      <c r="S27" s="2">
        <f t="shared" ca="1" si="2"/>
        <v>1</v>
      </c>
      <c r="T27" s="2">
        <f t="shared" si="3"/>
        <v>0</v>
      </c>
      <c r="U27" s="110" t="s">
        <v>483</v>
      </c>
      <c r="V27" s="110">
        <v>3</v>
      </c>
      <c r="W27" s="110">
        <v>10</v>
      </c>
      <c r="X27" s="110">
        <v>0</v>
      </c>
      <c r="Y27" s="110">
        <v>0</v>
      </c>
      <c r="Z27" s="110">
        <v>0</v>
      </c>
      <c r="AA27" s="2">
        <f t="shared" si="4"/>
        <v>1</v>
      </c>
      <c r="AB27" s="2">
        <f t="shared" si="5"/>
        <v>0</v>
      </c>
      <c r="AC27" s="2">
        <f t="shared" si="6"/>
        <v>1</v>
      </c>
      <c r="AD27" s="2">
        <f t="shared" si="7"/>
        <v>1</v>
      </c>
      <c r="AE27" s="2">
        <f t="shared" si="8"/>
        <v>0</v>
      </c>
      <c r="AF27" s="2">
        <f t="shared" si="9"/>
        <v>0</v>
      </c>
      <c r="AG27" s="2">
        <f t="shared" si="10"/>
        <v>0</v>
      </c>
      <c r="AH27" s="2">
        <f t="shared" si="11"/>
        <v>2</v>
      </c>
      <c r="AI27" s="2">
        <f t="shared" si="12"/>
        <v>2</v>
      </c>
      <c r="AJ27" s="2">
        <f t="shared" si="13"/>
        <v>0</v>
      </c>
      <c r="AK27" s="2">
        <f t="shared" si="14"/>
        <v>0</v>
      </c>
      <c r="AL27" s="2">
        <f t="shared" si="15"/>
        <v>0</v>
      </c>
      <c r="AM27" s="115"/>
      <c r="AN27" s="115"/>
      <c r="AO27" s="63"/>
    </row>
    <row r="28" spans="1:41" ht="72" x14ac:dyDescent="0.55000000000000004">
      <c r="A28" s="36">
        <v>4160</v>
      </c>
      <c r="B28" s="113" t="s">
        <v>538</v>
      </c>
      <c r="C28" s="138" t="s">
        <v>539</v>
      </c>
      <c r="D28" s="114" t="s">
        <v>52</v>
      </c>
      <c r="E28" s="115"/>
      <c r="F28" s="116"/>
      <c r="G28" s="113" t="s">
        <v>479</v>
      </c>
      <c r="H28" s="113" t="s">
        <v>531</v>
      </c>
      <c r="I28" s="113" t="s">
        <v>481</v>
      </c>
      <c r="J28" s="117" t="s">
        <v>532</v>
      </c>
      <c r="K28" s="118"/>
      <c r="L28" s="109">
        <v>2</v>
      </c>
      <c r="M28" s="109">
        <v>3</v>
      </c>
      <c r="N28" s="109"/>
      <c r="O28" s="119"/>
      <c r="P28" s="2">
        <f t="shared" si="0"/>
        <v>1</v>
      </c>
      <c r="Q28" s="110" t="str">
        <f>IF(AND(Drops!$D$45&gt;1,OR(U28&lt;&gt;U27,AND(ROW()=5,U27=U28))),VLOOKUP(U28,Drops!$D$26:$E$44,2,FALSE),"")</f>
        <v/>
      </c>
      <c r="R28" s="2" t="str">
        <f t="shared" si="1"/>
        <v/>
      </c>
      <c r="S28" s="2">
        <f t="shared" ca="1" si="2"/>
        <v>1</v>
      </c>
      <c r="T28" s="2">
        <f t="shared" si="3"/>
        <v>0</v>
      </c>
      <c r="U28" s="110" t="s">
        <v>483</v>
      </c>
      <c r="V28" s="110">
        <v>3</v>
      </c>
      <c r="W28" s="110">
        <v>11</v>
      </c>
      <c r="X28" s="110">
        <v>0</v>
      </c>
      <c r="Y28" s="110">
        <v>0</v>
      </c>
      <c r="Z28" s="110">
        <v>0</v>
      </c>
      <c r="AA28" s="2">
        <f t="shared" si="4"/>
        <v>1</v>
      </c>
      <c r="AB28" s="2">
        <f t="shared" si="5"/>
        <v>0</v>
      </c>
      <c r="AC28" s="2">
        <f t="shared" si="6"/>
        <v>1</v>
      </c>
      <c r="AD28" s="2">
        <f t="shared" si="7"/>
        <v>1</v>
      </c>
      <c r="AE28" s="2">
        <f t="shared" si="8"/>
        <v>0</v>
      </c>
      <c r="AF28" s="2">
        <f t="shared" si="9"/>
        <v>0</v>
      </c>
      <c r="AG28" s="2">
        <f t="shared" si="10"/>
        <v>0</v>
      </c>
      <c r="AH28" s="2">
        <f t="shared" si="11"/>
        <v>2</v>
      </c>
      <c r="AI28" s="2">
        <f t="shared" si="12"/>
        <v>2</v>
      </c>
      <c r="AJ28" s="2">
        <f t="shared" si="13"/>
        <v>0</v>
      </c>
      <c r="AK28" s="2">
        <f t="shared" si="14"/>
        <v>0</v>
      </c>
      <c r="AL28" s="2">
        <f t="shared" si="15"/>
        <v>0</v>
      </c>
      <c r="AM28" s="115"/>
      <c r="AN28" s="115"/>
      <c r="AO28" s="63"/>
    </row>
    <row r="29" spans="1:41" ht="57.6" x14ac:dyDescent="0.55000000000000004">
      <c r="A29" s="36">
        <v>4161</v>
      </c>
      <c r="B29" s="113" t="s">
        <v>540</v>
      </c>
      <c r="C29" s="138" t="s">
        <v>541</v>
      </c>
      <c r="D29" s="114" t="s">
        <v>52</v>
      </c>
      <c r="E29" s="115"/>
      <c r="F29" s="116"/>
      <c r="G29" s="113" t="s">
        <v>479</v>
      </c>
      <c r="H29" s="113" t="s">
        <v>531</v>
      </c>
      <c r="I29" s="113"/>
      <c r="J29" s="117" t="s">
        <v>535</v>
      </c>
      <c r="K29" s="118"/>
      <c r="L29" s="109">
        <v>2</v>
      </c>
      <c r="M29" s="109">
        <v>3</v>
      </c>
      <c r="N29" s="109"/>
      <c r="O29" s="119"/>
      <c r="P29" s="2">
        <f t="shared" si="0"/>
        <v>1</v>
      </c>
      <c r="Q29" s="110" t="str">
        <f>IF(AND(Drops!$D$45&gt;1,OR(U29&lt;&gt;U28,AND(ROW()=5,U28=U29))),VLOOKUP(U29,Drops!$D$26:$E$44,2,FALSE),"")</f>
        <v/>
      </c>
      <c r="R29" s="2" t="str">
        <f t="shared" si="1"/>
        <v/>
      </c>
      <c r="S29" s="2">
        <f t="shared" ca="1" si="2"/>
        <v>1</v>
      </c>
      <c r="T29" s="2">
        <f t="shared" si="3"/>
        <v>0</v>
      </c>
      <c r="U29" s="110" t="s">
        <v>483</v>
      </c>
      <c r="V29" s="110">
        <v>3</v>
      </c>
      <c r="W29" s="110">
        <v>12</v>
      </c>
      <c r="X29" s="110">
        <v>0</v>
      </c>
      <c r="Y29" s="110">
        <v>0</v>
      </c>
      <c r="Z29" s="110">
        <v>0</v>
      </c>
      <c r="AA29" s="2">
        <f t="shared" si="4"/>
        <v>1</v>
      </c>
      <c r="AB29" s="2">
        <f t="shared" si="5"/>
        <v>0</v>
      </c>
      <c r="AC29" s="2">
        <f t="shared" si="6"/>
        <v>1</v>
      </c>
      <c r="AD29" s="2">
        <f t="shared" si="7"/>
        <v>1</v>
      </c>
      <c r="AE29" s="2">
        <f t="shared" si="8"/>
        <v>0</v>
      </c>
      <c r="AF29" s="2">
        <f t="shared" si="9"/>
        <v>0</v>
      </c>
      <c r="AG29" s="2">
        <f t="shared" si="10"/>
        <v>0</v>
      </c>
      <c r="AH29" s="2">
        <f t="shared" si="11"/>
        <v>2</v>
      </c>
      <c r="AI29" s="2">
        <f t="shared" si="12"/>
        <v>2</v>
      </c>
      <c r="AJ29" s="2">
        <f t="shared" si="13"/>
        <v>0</v>
      </c>
      <c r="AK29" s="2">
        <f t="shared" si="14"/>
        <v>0</v>
      </c>
      <c r="AL29" s="2">
        <f t="shared" si="15"/>
        <v>0</v>
      </c>
      <c r="AM29" s="115"/>
      <c r="AN29" s="115"/>
      <c r="AO29" s="63"/>
    </row>
    <row r="30" spans="1:41" ht="28.8" x14ac:dyDescent="0.55000000000000004">
      <c r="A30" s="36">
        <v>4162</v>
      </c>
      <c r="B30" s="113" t="s">
        <v>167</v>
      </c>
      <c r="C30" s="113" t="s">
        <v>542</v>
      </c>
      <c r="D30" s="114" t="s">
        <v>52</v>
      </c>
      <c r="E30" s="115"/>
      <c r="F30" s="116"/>
      <c r="G30" s="113" t="s">
        <v>479</v>
      </c>
      <c r="H30" s="113" t="s">
        <v>543</v>
      </c>
      <c r="I30" s="113" t="s">
        <v>481</v>
      </c>
      <c r="J30" s="117" t="s">
        <v>544</v>
      </c>
      <c r="K30" s="118"/>
      <c r="L30" s="109">
        <v>1</v>
      </c>
      <c r="M30" s="109">
        <v>3</v>
      </c>
      <c r="N30" s="109"/>
      <c r="O30" s="119"/>
      <c r="P30" s="2">
        <f t="shared" si="0"/>
        <v>1</v>
      </c>
      <c r="Q30" s="110" t="str">
        <f>IF(AND(Drops!$D$45&gt;1,OR(U30&lt;&gt;U29,AND(ROW()=5,U29=U30))),VLOOKUP(U30,Drops!$D$26:$E$44,2,FALSE),"")</f>
        <v/>
      </c>
      <c r="R30" s="2" t="str">
        <f t="shared" si="1"/>
        <v/>
      </c>
      <c r="S30" s="2">
        <f t="shared" ca="1" si="2"/>
        <v>1</v>
      </c>
      <c r="T30" s="2">
        <f t="shared" si="3"/>
        <v>1</v>
      </c>
      <c r="U30" s="110" t="s">
        <v>483</v>
      </c>
      <c r="V30" s="110">
        <v>4</v>
      </c>
      <c r="W30" s="110">
        <v>0</v>
      </c>
      <c r="X30" s="110">
        <v>0</v>
      </c>
      <c r="Y30" s="110">
        <v>0</v>
      </c>
      <c r="Z30" s="110">
        <v>0</v>
      </c>
      <c r="AA30" s="2">
        <f t="shared" si="4"/>
        <v>1</v>
      </c>
      <c r="AB30" s="2">
        <f t="shared" si="5"/>
        <v>0</v>
      </c>
      <c r="AC30" s="2">
        <f t="shared" si="6"/>
        <v>1</v>
      </c>
      <c r="AD30" s="2">
        <f t="shared" si="7"/>
        <v>0</v>
      </c>
      <c r="AE30" s="2">
        <f t="shared" si="8"/>
        <v>0</v>
      </c>
      <c r="AF30" s="2">
        <f t="shared" si="9"/>
        <v>0</v>
      </c>
      <c r="AG30" s="2">
        <f t="shared" si="10"/>
        <v>0</v>
      </c>
      <c r="AH30" s="2">
        <f t="shared" si="11"/>
        <v>2</v>
      </c>
      <c r="AI30" s="2">
        <f t="shared" si="12"/>
        <v>2</v>
      </c>
      <c r="AJ30" s="2">
        <f t="shared" si="13"/>
        <v>0</v>
      </c>
      <c r="AK30" s="2">
        <f t="shared" si="14"/>
        <v>0</v>
      </c>
      <c r="AL30" s="2">
        <f t="shared" si="15"/>
        <v>0</v>
      </c>
      <c r="AM30" s="115"/>
      <c r="AN30" s="115"/>
      <c r="AO30" s="63"/>
    </row>
    <row r="31" spans="1:41" ht="57.6" x14ac:dyDescent="0.55000000000000004">
      <c r="A31" s="36">
        <v>71</v>
      </c>
      <c r="B31" s="113" t="s">
        <v>169</v>
      </c>
      <c r="C31" s="113" t="s">
        <v>545</v>
      </c>
      <c r="D31" s="114" t="s">
        <v>52</v>
      </c>
      <c r="E31" s="115" t="s">
        <v>546</v>
      </c>
      <c r="F31" s="116"/>
      <c r="G31" s="113" t="s">
        <v>547</v>
      </c>
      <c r="H31" s="113" t="s">
        <v>548</v>
      </c>
      <c r="I31" s="113"/>
      <c r="J31" s="117"/>
      <c r="K31" s="118"/>
      <c r="L31" s="109">
        <v>1</v>
      </c>
      <c r="M31" s="109">
        <v>1</v>
      </c>
      <c r="N31" s="109"/>
      <c r="O31" s="119"/>
      <c r="P31" s="2">
        <f t="shared" si="0"/>
        <v>1</v>
      </c>
      <c r="Q31" s="110" t="str">
        <f>IF(AND(Drops!$D$45&gt;1,OR(U31&lt;&gt;U30,AND(ROW()=5,U30=U31))),VLOOKUP(U31,Drops!$D$26:$E$44,2,FALSE),"")</f>
        <v/>
      </c>
      <c r="R31" s="2" t="str">
        <f t="shared" si="1"/>
        <v/>
      </c>
      <c r="S31" s="2">
        <f t="shared" ca="1" si="2"/>
        <v>1</v>
      </c>
      <c r="T31" s="2">
        <f t="shared" si="3"/>
        <v>1</v>
      </c>
      <c r="U31" s="110" t="s">
        <v>483</v>
      </c>
      <c r="V31" s="110">
        <v>5</v>
      </c>
      <c r="W31" s="110">
        <v>0</v>
      </c>
      <c r="X31" s="110">
        <v>0</v>
      </c>
      <c r="Y31" s="110">
        <v>0</v>
      </c>
      <c r="Z31" s="110">
        <v>0</v>
      </c>
      <c r="AA31" s="2">
        <f t="shared" si="4"/>
        <v>1</v>
      </c>
      <c r="AB31" s="2">
        <f t="shared" si="5"/>
        <v>1</v>
      </c>
      <c r="AC31" s="2">
        <f t="shared" si="6"/>
        <v>1</v>
      </c>
      <c r="AD31" s="2">
        <f t="shared" si="7"/>
        <v>0</v>
      </c>
      <c r="AE31" s="2">
        <f t="shared" si="8"/>
        <v>0</v>
      </c>
      <c r="AF31" s="2">
        <f t="shared" si="9"/>
        <v>0</v>
      </c>
      <c r="AG31" s="2">
        <f t="shared" si="10"/>
        <v>0</v>
      </c>
      <c r="AH31" s="2">
        <f t="shared" si="11"/>
        <v>2</v>
      </c>
      <c r="AI31" s="2">
        <f t="shared" si="12"/>
        <v>2</v>
      </c>
      <c r="AJ31" s="2">
        <f t="shared" si="13"/>
        <v>0</v>
      </c>
      <c r="AK31" s="2">
        <f t="shared" si="14"/>
        <v>0</v>
      </c>
      <c r="AL31" s="2">
        <f t="shared" si="15"/>
        <v>0</v>
      </c>
      <c r="AM31" s="115"/>
      <c r="AN31" s="115"/>
      <c r="AO31" s="63"/>
    </row>
    <row r="32" spans="1:41" ht="86.4" x14ac:dyDescent="0.55000000000000004">
      <c r="A32" s="36">
        <v>3897</v>
      </c>
      <c r="B32" s="113" t="s">
        <v>549</v>
      </c>
      <c r="C32" s="138" t="s">
        <v>550</v>
      </c>
      <c r="D32" s="114" t="s">
        <v>52</v>
      </c>
      <c r="E32" s="115"/>
      <c r="F32" s="116"/>
      <c r="G32" s="113" t="s">
        <v>547</v>
      </c>
      <c r="H32" s="113" t="s">
        <v>548</v>
      </c>
      <c r="I32" s="113" t="s">
        <v>551</v>
      </c>
      <c r="J32" s="117" t="s">
        <v>552</v>
      </c>
      <c r="K32" s="118"/>
      <c r="L32" s="109">
        <v>2</v>
      </c>
      <c r="M32" s="109">
        <v>2</v>
      </c>
      <c r="N32" s="109"/>
      <c r="O32" s="119"/>
      <c r="P32" s="2">
        <f t="shared" si="0"/>
        <v>1</v>
      </c>
      <c r="Q32" s="110" t="str">
        <f>IF(AND(Drops!$D$45&gt;1,OR(U32&lt;&gt;U31,AND(ROW()=5,U31=U32))),VLOOKUP(U32,Drops!$D$26:$E$44,2,FALSE),"")</f>
        <v/>
      </c>
      <c r="R32" s="2" t="str">
        <f t="shared" si="1"/>
        <v/>
      </c>
      <c r="S32" s="2">
        <f t="shared" ca="1" si="2"/>
        <v>1</v>
      </c>
      <c r="T32" s="2">
        <f t="shared" si="3"/>
        <v>0</v>
      </c>
      <c r="U32" s="110" t="s">
        <v>483</v>
      </c>
      <c r="V32" s="110">
        <v>5</v>
      </c>
      <c r="W32" s="110">
        <v>1</v>
      </c>
      <c r="X32" s="110">
        <v>0</v>
      </c>
      <c r="Y32" s="110">
        <v>0</v>
      </c>
      <c r="Z32" s="110">
        <v>0</v>
      </c>
      <c r="AA32" s="2">
        <f t="shared" si="4"/>
        <v>1</v>
      </c>
      <c r="AB32" s="2">
        <f t="shared" si="5"/>
        <v>1</v>
      </c>
      <c r="AC32" s="2">
        <f t="shared" si="6"/>
        <v>1</v>
      </c>
      <c r="AD32" s="2">
        <f t="shared" si="7"/>
        <v>1</v>
      </c>
      <c r="AE32" s="2">
        <f t="shared" si="8"/>
        <v>0</v>
      </c>
      <c r="AF32" s="2">
        <f t="shared" si="9"/>
        <v>0</v>
      </c>
      <c r="AG32" s="2">
        <f t="shared" si="10"/>
        <v>0</v>
      </c>
      <c r="AH32" s="2">
        <f t="shared" si="11"/>
        <v>2</v>
      </c>
      <c r="AI32" s="2">
        <f t="shared" si="12"/>
        <v>2</v>
      </c>
      <c r="AJ32" s="2">
        <f t="shared" si="13"/>
        <v>0</v>
      </c>
      <c r="AK32" s="2">
        <f t="shared" si="14"/>
        <v>0</v>
      </c>
      <c r="AL32" s="2">
        <f t="shared" si="15"/>
        <v>0</v>
      </c>
      <c r="AM32" s="115"/>
      <c r="AN32" s="115"/>
      <c r="AO32" s="63"/>
    </row>
    <row r="33" spans="1:41" ht="43.2" x14ac:dyDescent="0.55000000000000004">
      <c r="A33" s="36">
        <v>4647</v>
      </c>
      <c r="B33" s="113" t="s">
        <v>553</v>
      </c>
      <c r="C33" s="139" t="s">
        <v>554</v>
      </c>
      <c r="D33" s="114" t="s">
        <v>52</v>
      </c>
      <c r="E33" s="115"/>
      <c r="F33" s="116"/>
      <c r="G33" s="113" t="s">
        <v>547</v>
      </c>
      <c r="H33" s="113" t="s">
        <v>548</v>
      </c>
      <c r="I33" s="113" t="s">
        <v>551</v>
      </c>
      <c r="J33" s="117"/>
      <c r="K33" s="118"/>
      <c r="L33" s="109">
        <v>3</v>
      </c>
      <c r="M33" s="109">
        <v>3</v>
      </c>
      <c r="N33" s="109"/>
      <c r="O33" s="119"/>
      <c r="P33" s="2">
        <f t="shared" si="0"/>
        <v>1</v>
      </c>
      <c r="Q33" s="110" t="str">
        <f>IF(AND(Drops!$D$45&gt;1,OR(U33&lt;&gt;U32,AND(ROW()=5,U32=U33))),VLOOKUP(U33,Drops!$D$26:$E$44,2,FALSE),"")</f>
        <v/>
      </c>
      <c r="R33" s="2" t="str">
        <f t="shared" si="1"/>
        <v/>
      </c>
      <c r="S33" s="2">
        <f t="shared" ca="1" si="2"/>
        <v>1</v>
      </c>
      <c r="T33" s="2">
        <f t="shared" si="3"/>
        <v>0</v>
      </c>
      <c r="U33" s="110" t="s">
        <v>483</v>
      </c>
      <c r="V33" s="110">
        <v>5</v>
      </c>
      <c r="W33" s="110">
        <v>1</v>
      </c>
      <c r="X33" s="110">
        <v>1</v>
      </c>
      <c r="Y33" s="110">
        <v>0</v>
      </c>
      <c r="Z33" s="110">
        <v>0</v>
      </c>
      <c r="AA33" s="2">
        <f t="shared" si="4"/>
        <v>1</v>
      </c>
      <c r="AB33" s="2">
        <f t="shared" si="5"/>
        <v>0</v>
      </c>
      <c r="AC33" s="2">
        <f t="shared" si="6"/>
        <v>1</v>
      </c>
      <c r="AD33" s="2">
        <f t="shared" si="7"/>
        <v>1</v>
      </c>
      <c r="AE33" s="2">
        <f t="shared" si="8"/>
        <v>1</v>
      </c>
      <c r="AF33" s="2">
        <f t="shared" si="9"/>
        <v>0</v>
      </c>
      <c r="AG33" s="2">
        <f t="shared" si="10"/>
        <v>0</v>
      </c>
      <c r="AH33" s="2">
        <f t="shared" si="11"/>
        <v>2</v>
      </c>
      <c r="AI33" s="2">
        <f t="shared" si="12"/>
        <v>2</v>
      </c>
      <c r="AJ33" s="2">
        <f t="shared" si="13"/>
        <v>2</v>
      </c>
      <c r="AK33" s="2">
        <f t="shared" si="14"/>
        <v>0</v>
      </c>
      <c r="AL33" s="2">
        <f t="shared" si="15"/>
        <v>0</v>
      </c>
      <c r="AM33" s="115"/>
      <c r="AN33" s="115"/>
      <c r="AO33" s="63"/>
    </row>
    <row r="34" spans="1:41" ht="43.2" x14ac:dyDescent="0.55000000000000004">
      <c r="A34" s="36">
        <v>4648</v>
      </c>
      <c r="B34" s="113" t="s">
        <v>555</v>
      </c>
      <c r="C34" s="139" t="s">
        <v>556</v>
      </c>
      <c r="D34" s="114" t="s">
        <v>52</v>
      </c>
      <c r="E34" s="115"/>
      <c r="F34" s="116"/>
      <c r="G34" s="113" t="s">
        <v>547</v>
      </c>
      <c r="H34" s="113" t="s">
        <v>548</v>
      </c>
      <c r="I34" s="113" t="s">
        <v>551</v>
      </c>
      <c r="J34" s="117"/>
      <c r="K34" s="118"/>
      <c r="L34" s="109">
        <v>3</v>
      </c>
      <c r="M34" s="109">
        <v>3</v>
      </c>
      <c r="N34" s="109"/>
      <c r="O34" s="119"/>
      <c r="P34" s="2">
        <f t="shared" si="0"/>
        <v>1</v>
      </c>
      <c r="Q34" s="110" t="str">
        <f>IF(AND(Drops!$D$45&gt;1,OR(U34&lt;&gt;U33,AND(ROW()=5,U33=U34))),VLOOKUP(U34,Drops!$D$26:$E$44,2,FALSE),"")</f>
        <v/>
      </c>
      <c r="R34" s="2" t="str">
        <f t="shared" si="1"/>
        <v/>
      </c>
      <c r="S34" s="2">
        <f t="shared" ca="1" si="2"/>
        <v>1</v>
      </c>
      <c r="T34" s="2">
        <f t="shared" si="3"/>
        <v>0</v>
      </c>
      <c r="U34" s="110" t="s">
        <v>483</v>
      </c>
      <c r="V34" s="110">
        <v>5</v>
      </c>
      <c r="W34" s="110">
        <v>1</v>
      </c>
      <c r="X34" s="110">
        <v>2</v>
      </c>
      <c r="Y34" s="110">
        <v>0</v>
      </c>
      <c r="Z34" s="110">
        <v>0</v>
      </c>
      <c r="AA34" s="2">
        <f t="shared" si="4"/>
        <v>1</v>
      </c>
      <c r="AB34" s="2">
        <f t="shared" si="5"/>
        <v>0</v>
      </c>
      <c r="AC34" s="2">
        <f t="shared" si="6"/>
        <v>1</v>
      </c>
      <c r="AD34" s="2">
        <f t="shared" si="7"/>
        <v>1</v>
      </c>
      <c r="AE34" s="2">
        <f t="shared" si="8"/>
        <v>1</v>
      </c>
      <c r="AF34" s="2">
        <f t="shared" si="9"/>
        <v>0</v>
      </c>
      <c r="AG34" s="2">
        <f t="shared" si="10"/>
        <v>0</v>
      </c>
      <c r="AH34" s="2">
        <f t="shared" si="11"/>
        <v>2</v>
      </c>
      <c r="AI34" s="2">
        <f t="shared" si="12"/>
        <v>2</v>
      </c>
      <c r="AJ34" s="2">
        <f t="shared" si="13"/>
        <v>2</v>
      </c>
      <c r="AK34" s="2">
        <f t="shared" si="14"/>
        <v>0</v>
      </c>
      <c r="AL34" s="2">
        <f t="shared" si="15"/>
        <v>0</v>
      </c>
      <c r="AM34" s="115"/>
      <c r="AN34" s="115"/>
      <c r="AO34" s="63"/>
    </row>
    <row r="35" spans="1:41" ht="43.2" x14ac:dyDescent="0.55000000000000004">
      <c r="A35" s="36">
        <v>4649</v>
      </c>
      <c r="B35" s="113" t="s">
        <v>557</v>
      </c>
      <c r="C35" s="139" t="s">
        <v>558</v>
      </c>
      <c r="D35" s="114" t="s">
        <v>52</v>
      </c>
      <c r="E35" s="115"/>
      <c r="F35" s="116"/>
      <c r="G35" s="113" t="s">
        <v>547</v>
      </c>
      <c r="H35" s="113" t="s">
        <v>548</v>
      </c>
      <c r="I35" s="113" t="s">
        <v>551</v>
      </c>
      <c r="J35" s="117"/>
      <c r="K35" s="118"/>
      <c r="L35" s="109">
        <v>3</v>
      </c>
      <c r="M35" s="109">
        <v>3</v>
      </c>
      <c r="N35" s="109"/>
      <c r="O35" s="119"/>
      <c r="P35" s="2">
        <f t="shared" si="0"/>
        <v>1</v>
      </c>
      <c r="Q35" s="110" t="str">
        <f>IF(AND(Drops!$D$45&gt;1,OR(U35&lt;&gt;U34,AND(ROW()=5,U34=U35))),VLOOKUP(U35,Drops!$D$26:$E$44,2,FALSE),"")</f>
        <v/>
      </c>
      <c r="R35" s="2" t="str">
        <f t="shared" si="1"/>
        <v/>
      </c>
      <c r="S35" s="2">
        <f t="shared" ca="1" si="2"/>
        <v>1</v>
      </c>
      <c r="T35" s="2">
        <f t="shared" si="3"/>
        <v>0</v>
      </c>
      <c r="U35" s="110" t="s">
        <v>483</v>
      </c>
      <c r="V35" s="110">
        <v>5</v>
      </c>
      <c r="W35" s="110">
        <v>1</v>
      </c>
      <c r="X35" s="110">
        <v>3</v>
      </c>
      <c r="Y35" s="110">
        <v>0</v>
      </c>
      <c r="Z35" s="110">
        <v>0</v>
      </c>
      <c r="AA35" s="2">
        <f t="shared" si="4"/>
        <v>1</v>
      </c>
      <c r="AB35" s="2">
        <f t="shared" si="5"/>
        <v>0</v>
      </c>
      <c r="AC35" s="2">
        <f t="shared" si="6"/>
        <v>1</v>
      </c>
      <c r="AD35" s="2">
        <f t="shared" si="7"/>
        <v>1</v>
      </c>
      <c r="AE35" s="2">
        <f t="shared" si="8"/>
        <v>1</v>
      </c>
      <c r="AF35" s="2">
        <f t="shared" si="9"/>
        <v>0</v>
      </c>
      <c r="AG35" s="2">
        <f t="shared" si="10"/>
        <v>0</v>
      </c>
      <c r="AH35" s="2">
        <f t="shared" si="11"/>
        <v>2</v>
      </c>
      <c r="AI35" s="2">
        <f t="shared" si="12"/>
        <v>2</v>
      </c>
      <c r="AJ35" s="2">
        <f t="shared" si="13"/>
        <v>2</v>
      </c>
      <c r="AK35" s="2">
        <f t="shared" si="14"/>
        <v>0</v>
      </c>
      <c r="AL35" s="2">
        <f t="shared" si="15"/>
        <v>0</v>
      </c>
      <c r="AM35" s="115"/>
      <c r="AN35" s="115"/>
      <c r="AO35" s="63"/>
    </row>
    <row r="36" spans="1:41" ht="43.2" x14ac:dyDescent="0.55000000000000004">
      <c r="A36" s="36">
        <v>4650</v>
      </c>
      <c r="B36" s="113" t="s">
        <v>559</v>
      </c>
      <c r="C36" s="139" t="s">
        <v>560</v>
      </c>
      <c r="D36" s="114" t="s">
        <v>52</v>
      </c>
      <c r="E36" s="115"/>
      <c r="F36" s="116"/>
      <c r="G36" s="113" t="s">
        <v>547</v>
      </c>
      <c r="H36" s="113" t="s">
        <v>548</v>
      </c>
      <c r="I36" s="113" t="s">
        <v>551</v>
      </c>
      <c r="J36" s="117"/>
      <c r="K36" s="118"/>
      <c r="L36" s="109">
        <v>3</v>
      </c>
      <c r="M36" s="109">
        <v>3</v>
      </c>
      <c r="N36" s="109"/>
      <c r="O36" s="119"/>
      <c r="P36" s="2">
        <f t="shared" si="0"/>
        <v>1</v>
      </c>
      <c r="Q36" s="110" t="str">
        <f>IF(AND(Drops!$D$45&gt;1,OR(U36&lt;&gt;U35,AND(ROW()=5,U35=U36))),VLOOKUP(U36,Drops!$D$26:$E$44,2,FALSE),"")</f>
        <v/>
      </c>
      <c r="R36" s="2" t="str">
        <f t="shared" si="1"/>
        <v/>
      </c>
      <c r="S36" s="2">
        <f t="shared" ca="1" si="2"/>
        <v>1</v>
      </c>
      <c r="T36" s="2">
        <f t="shared" si="3"/>
        <v>0</v>
      </c>
      <c r="U36" s="110" t="s">
        <v>483</v>
      </c>
      <c r="V36" s="110">
        <v>5</v>
      </c>
      <c r="W36" s="110">
        <v>1</v>
      </c>
      <c r="X36" s="110">
        <v>4</v>
      </c>
      <c r="Y36" s="110">
        <v>0</v>
      </c>
      <c r="Z36" s="110">
        <v>0</v>
      </c>
      <c r="AA36" s="2">
        <f t="shared" si="4"/>
        <v>1</v>
      </c>
      <c r="AB36" s="2">
        <f t="shared" si="5"/>
        <v>0</v>
      </c>
      <c r="AC36" s="2">
        <f t="shared" si="6"/>
        <v>1</v>
      </c>
      <c r="AD36" s="2">
        <f t="shared" si="7"/>
        <v>1</v>
      </c>
      <c r="AE36" s="2">
        <f t="shared" si="8"/>
        <v>1</v>
      </c>
      <c r="AF36" s="2">
        <f t="shared" si="9"/>
        <v>0</v>
      </c>
      <c r="AG36" s="2">
        <f t="shared" si="10"/>
        <v>0</v>
      </c>
      <c r="AH36" s="2">
        <f t="shared" si="11"/>
        <v>2</v>
      </c>
      <c r="AI36" s="2">
        <f t="shared" si="12"/>
        <v>2</v>
      </c>
      <c r="AJ36" s="2">
        <f t="shared" si="13"/>
        <v>2</v>
      </c>
      <c r="AK36" s="2">
        <f t="shared" si="14"/>
        <v>0</v>
      </c>
      <c r="AL36" s="2">
        <f t="shared" si="15"/>
        <v>0</v>
      </c>
      <c r="AM36" s="115"/>
      <c r="AN36" s="115"/>
      <c r="AO36" s="63"/>
    </row>
    <row r="37" spans="1:41" ht="43.2" x14ac:dyDescent="0.55000000000000004">
      <c r="A37" s="36">
        <v>4651</v>
      </c>
      <c r="B37" s="113" t="s">
        <v>561</v>
      </c>
      <c r="C37" s="139" t="s">
        <v>562</v>
      </c>
      <c r="D37" s="114" t="s">
        <v>52</v>
      </c>
      <c r="E37" s="115"/>
      <c r="F37" s="116"/>
      <c r="G37" s="113" t="s">
        <v>547</v>
      </c>
      <c r="H37" s="113" t="s">
        <v>548</v>
      </c>
      <c r="I37" s="113" t="s">
        <v>551</v>
      </c>
      <c r="J37" s="117"/>
      <c r="K37" s="118"/>
      <c r="L37" s="109">
        <v>3</v>
      </c>
      <c r="M37" s="109">
        <v>3</v>
      </c>
      <c r="N37" s="109"/>
      <c r="O37" s="119"/>
      <c r="P37" s="2">
        <f t="shared" si="0"/>
        <v>1</v>
      </c>
      <c r="Q37" s="110" t="str">
        <f>IF(AND(Drops!$D$45&gt;1,OR(U37&lt;&gt;U36,AND(ROW()=5,U36=U37))),VLOOKUP(U37,Drops!$D$26:$E$44,2,FALSE),"")</f>
        <v/>
      </c>
      <c r="R37" s="2" t="str">
        <f t="shared" si="1"/>
        <v/>
      </c>
      <c r="S37" s="2">
        <f t="shared" ca="1" si="2"/>
        <v>1</v>
      </c>
      <c r="T37" s="2">
        <f t="shared" si="3"/>
        <v>0</v>
      </c>
      <c r="U37" s="110" t="s">
        <v>483</v>
      </c>
      <c r="V37" s="110">
        <v>5</v>
      </c>
      <c r="W37" s="110">
        <v>1</v>
      </c>
      <c r="X37" s="110">
        <v>5</v>
      </c>
      <c r="Y37" s="110">
        <v>0</v>
      </c>
      <c r="Z37" s="110">
        <v>0</v>
      </c>
      <c r="AA37" s="2">
        <f t="shared" si="4"/>
        <v>1</v>
      </c>
      <c r="AB37" s="2">
        <f t="shared" si="5"/>
        <v>0</v>
      </c>
      <c r="AC37" s="2">
        <f t="shared" si="6"/>
        <v>1</v>
      </c>
      <c r="AD37" s="2">
        <f t="shared" si="7"/>
        <v>1</v>
      </c>
      <c r="AE37" s="2">
        <f t="shared" si="8"/>
        <v>1</v>
      </c>
      <c r="AF37" s="2">
        <f t="shared" si="9"/>
        <v>0</v>
      </c>
      <c r="AG37" s="2">
        <f t="shared" si="10"/>
        <v>0</v>
      </c>
      <c r="AH37" s="2">
        <f t="shared" si="11"/>
        <v>2</v>
      </c>
      <c r="AI37" s="2">
        <f t="shared" si="12"/>
        <v>2</v>
      </c>
      <c r="AJ37" s="2">
        <f t="shared" si="13"/>
        <v>2</v>
      </c>
      <c r="AK37" s="2">
        <f t="shared" si="14"/>
        <v>0</v>
      </c>
      <c r="AL37" s="2">
        <f t="shared" si="15"/>
        <v>0</v>
      </c>
      <c r="AM37" s="115"/>
      <c r="AN37" s="115"/>
      <c r="AO37" s="63"/>
    </row>
    <row r="38" spans="1:41" ht="43.2" x14ac:dyDescent="0.55000000000000004">
      <c r="A38" s="36">
        <v>4652</v>
      </c>
      <c r="B38" s="113" t="s">
        <v>563</v>
      </c>
      <c r="C38" s="139" t="s">
        <v>564</v>
      </c>
      <c r="D38" s="114" t="s">
        <v>52</v>
      </c>
      <c r="E38" s="115"/>
      <c r="F38" s="116"/>
      <c r="G38" s="113" t="s">
        <v>547</v>
      </c>
      <c r="H38" s="113" t="s">
        <v>548</v>
      </c>
      <c r="I38" s="113"/>
      <c r="J38" s="117"/>
      <c r="K38" s="118"/>
      <c r="L38" s="109">
        <v>3</v>
      </c>
      <c r="M38" s="109">
        <v>3</v>
      </c>
      <c r="N38" s="109"/>
      <c r="O38" s="119"/>
      <c r="P38" s="2">
        <f t="shared" si="0"/>
        <v>1</v>
      </c>
      <c r="Q38" s="110" t="str">
        <f>IF(AND(Drops!$D$45&gt;1,OR(U38&lt;&gt;U37,AND(ROW()=5,U37=U38))),VLOOKUP(U38,Drops!$D$26:$E$44,2,FALSE),"")</f>
        <v/>
      </c>
      <c r="R38" s="2" t="str">
        <f t="shared" si="1"/>
        <v/>
      </c>
      <c r="S38" s="2">
        <f t="shared" ca="1" si="2"/>
        <v>1</v>
      </c>
      <c r="T38" s="2">
        <f t="shared" si="3"/>
        <v>0</v>
      </c>
      <c r="U38" s="110" t="s">
        <v>483</v>
      </c>
      <c r="V38" s="110">
        <v>5</v>
      </c>
      <c r="W38" s="110">
        <v>1</v>
      </c>
      <c r="X38" s="110">
        <v>6</v>
      </c>
      <c r="Y38" s="110">
        <v>0</v>
      </c>
      <c r="Z38" s="110">
        <v>0</v>
      </c>
      <c r="AA38" s="2">
        <f t="shared" si="4"/>
        <v>1</v>
      </c>
      <c r="AB38" s="2">
        <f t="shared" si="5"/>
        <v>0</v>
      </c>
      <c r="AC38" s="2">
        <f t="shared" si="6"/>
        <v>1</v>
      </c>
      <c r="AD38" s="2">
        <f t="shared" si="7"/>
        <v>1</v>
      </c>
      <c r="AE38" s="2">
        <f t="shared" si="8"/>
        <v>1</v>
      </c>
      <c r="AF38" s="2">
        <f t="shared" si="9"/>
        <v>0</v>
      </c>
      <c r="AG38" s="2">
        <f t="shared" si="10"/>
        <v>0</v>
      </c>
      <c r="AH38" s="2">
        <f t="shared" si="11"/>
        <v>2</v>
      </c>
      <c r="AI38" s="2">
        <f t="shared" si="12"/>
        <v>2</v>
      </c>
      <c r="AJ38" s="2">
        <f t="shared" si="13"/>
        <v>2</v>
      </c>
      <c r="AK38" s="2">
        <f t="shared" si="14"/>
        <v>0</v>
      </c>
      <c r="AL38" s="2">
        <f t="shared" si="15"/>
        <v>0</v>
      </c>
      <c r="AM38" s="115"/>
      <c r="AN38" s="115"/>
      <c r="AO38" s="63"/>
    </row>
    <row r="39" spans="1:41" ht="43.2" x14ac:dyDescent="0.55000000000000004">
      <c r="A39" s="36">
        <v>4653</v>
      </c>
      <c r="B39" s="113" t="s">
        <v>565</v>
      </c>
      <c r="C39" s="139" t="s">
        <v>566</v>
      </c>
      <c r="D39" s="114" t="s">
        <v>52</v>
      </c>
      <c r="E39" s="115"/>
      <c r="F39" s="116"/>
      <c r="G39" s="113" t="s">
        <v>547</v>
      </c>
      <c r="H39" s="113" t="s">
        <v>548</v>
      </c>
      <c r="I39" s="113" t="s">
        <v>551</v>
      </c>
      <c r="J39" s="117"/>
      <c r="K39" s="118"/>
      <c r="L39" s="109">
        <v>3</v>
      </c>
      <c r="M39" s="109">
        <v>3</v>
      </c>
      <c r="N39" s="109"/>
      <c r="O39" s="119"/>
      <c r="P39" s="2">
        <f t="shared" si="0"/>
        <v>1</v>
      </c>
      <c r="Q39" s="110" t="str">
        <f>IF(AND(Drops!$D$45&gt;1,OR(U39&lt;&gt;U38,AND(ROW()=5,U38=U39))),VLOOKUP(U39,Drops!$D$26:$E$44,2,FALSE),"")</f>
        <v/>
      </c>
      <c r="R39" s="2" t="str">
        <f t="shared" si="1"/>
        <v/>
      </c>
      <c r="S39" s="2">
        <f t="shared" ca="1" si="2"/>
        <v>1</v>
      </c>
      <c r="T39" s="2">
        <f t="shared" si="3"/>
        <v>0</v>
      </c>
      <c r="U39" s="110" t="s">
        <v>483</v>
      </c>
      <c r="V39" s="110">
        <v>5</v>
      </c>
      <c r="W39" s="110">
        <v>1</v>
      </c>
      <c r="X39" s="110">
        <v>7</v>
      </c>
      <c r="Y39" s="110">
        <v>0</v>
      </c>
      <c r="Z39" s="110">
        <v>0</v>
      </c>
      <c r="AA39" s="2">
        <f t="shared" si="4"/>
        <v>1</v>
      </c>
      <c r="AB39" s="2">
        <f t="shared" si="5"/>
        <v>0</v>
      </c>
      <c r="AC39" s="2">
        <f t="shared" si="6"/>
        <v>1</v>
      </c>
      <c r="AD39" s="2">
        <f t="shared" si="7"/>
        <v>1</v>
      </c>
      <c r="AE39" s="2">
        <f t="shared" si="8"/>
        <v>1</v>
      </c>
      <c r="AF39" s="2">
        <f t="shared" si="9"/>
        <v>0</v>
      </c>
      <c r="AG39" s="2">
        <f t="shared" si="10"/>
        <v>0</v>
      </c>
      <c r="AH39" s="2">
        <f t="shared" si="11"/>
        <v>2</v>
      </c>
      <c r="AI39" s="2">
        <f t="shared" si="12"/>
        <v>2</v>
      </c>
      <c r="AJ39" s="2">
        <f t="shared" si="13"/>
        <v>2</v>
      </c>
      <c r="AK39" s="2">
        <f t="shared" si="14"/>
        <v>0</v>
      </c>
      <c r="AL39" s="2">
        <f t="shared" si="15"/>
        <v>0</v>
      </c>
      <c r="AM39" s="115"/>
      <c r="AN39" s="115"/>
      <c r="AO39" s="63"/>
    </row>
    <row r="40" spans="1:41" ht="129.6" x14ac:dyDescent="0.55000000000000004">
      <c r="A40" s="36">
        <v>2514</v>
      </c>
      <c r="B40" s="113" t="s">
        <v>567</v>
      </c>
      <c r="C40" s="139" t="s">
        <v>568</v>
      </c>
      <c r="D40" s="114" t="s">
        <v>52</v>
      </c>
      <c r="E40" s="115" t="s">
        <v>569</v>
      </c>
      <c r="F40" s="116"/>
      <c r="G40" s="113" t="s">
        <v>547</v>
      </c>
      <c r="H40" s="113" t="s">
        <v>548</v>
      </c>
      <c r="I40" s="113" t="s">
        <v>570</v>
      </c>
      <c r="J40" s="117"/>
      <c r="K40" s="118"/>
      <c r="L40" s="109">
        <v>3</v>
      </c>
      <c r="M40" s="109">
        <v>3</v>
      </c>
      <c r="N40" s="109"/>
      <c r="O40" s="119"/>
      <c r="P40" s="2">
        <f t="shared" si="0"/>
        <v>1</v>
      </c>
      <c r="Q40" s="110" t="str">
        <f>IF(AND(Drops!$D$45&gt;1,OR(U40&lt;&gt;U39,AND(ROW()=5,U39=U40))),VLOOKUP(U40,Drops!$D$26:$E$44,2,FALSE),"")</f>
        <v/>
      </c>
      <c r="R40" s="2" t="str">
        <f t="shared" si="1"/>
        <v/>
      </c>
      <c r="S40" s="2">
        <f t="shared" ca="1" si="2"/>
        <v>1</v>
      </c>
      <c r="T40" s="2">
        <f t="shared" si="3"/>
        <v>0</v>
      </c>
      <c r="U40" s="110" t="s">
        <v>483</v>
      </c>
      <c r="V40" s="110">
        <v>5</v>
      </c>
      <c r="W40" s="110">
        <v>1</v>
      </c>
      <c r="X40" s="110">
        <v>8</v>
      </c>
      <c r="Y40" s="110">
        <v>0</v>
      </c>
      <c r="Z40" s="110">
        <v>0</v>
      </c>
      <c r="AA40" s="2">
        <f t="shared" si="4"/>
        <v>1</v>
      </c>
      <c r="AB40" s="2">
        <f t="shared" si="5"/>
        <v>1</v>
      </c>
      <c r="AC40" s="2">
        <f t="shared" si="6"/>
        <v>1</v>
      </c>
      <c r="AD40" s="2">
        <f t="shared" si="7"/>
        <v>1</v>
      </c>
      <c r="AE40" s="2">
        <f t="shared" si="8"/>
        <v>1</v>
      </c>
      <c r="AF40" s="2">
        <f t="shared" si="9"/>
        <v>0</v>
      </c>
      <c r="AG40" s="2">
        <f t="shared" si="10"/>
        <v>0</v>
      </c>
      <c r="AH40" s="2">
        <f t="shared" si="11"/>
        <v>2</v>
      </c>
      <c r="AI40" s="2">
        <f t="shared" si="12"/>
        <v>2</v>
      </c>
      <c r="AJ40" s="2">
        <f t="shared" si="13"/>
        <v>2</v>
      </c>
      <c r="AK40" s="2">
        <f t="shared" si="14"/>
        <v>0</v>
      </c>
      <c r="AL40" s="2">
        <f t="shared" si="15"/>
        <v>0</v>
      </c>
      <c r="AM40" s="115"/>
      <c r="AN40" s="115"/>
      <c r="AO40" s="63"/>
    </row>
    <row r="41" spans="1:41" ht="43.2" x14ac:dyDescent="0.55000000000000004">
      <c r="A41" s="36">
        <v>4168</v>
      </c>
      <c r="B41" s="113" t="s">
        <v>571</v>
      </c>
      <c r="C41" s="140" t="s">
        <v>572</v>
      </c>
      <c r="D41" s="114" t="s">
        <v>52</v>
      </c>
      <c r="E41" s="115"/>
      <c r="F41" s="116"/>
      <c r="G41" s="113" t="s">
        <v>547</v>
      </c>
      <c r="H41" s="113" t="s">
        <v>548</v>
      </c>
      <c r="I41" s="113"/>
      <c r="J41" s="117" t="s">
        <v>573</v>
      </c>
      <c r="K41" s="118"/>
      <c r="L41" s="109">
        <v>4</v>
      </c>
      <c r="M41" s="109">
        <v>3</v>
      </c>
      <c r="N41" s="109"/>
      <c r="O41" s="119"/>
      <c r="P41" s="2">
        <f t="shared" si="0"/>
        <v>1</v>
      </c>
      <c r="Q41" s="110" t="str">
        <f>IF(AND(Drops!$D$45&gt;1,OR(U41&lt;&gt;U40,AND(ROW()=5,U40=U41))),VLOOKUP(U41,Drops!$D$26:$E$44,2,FALSE),"")</f>
        <v/>
      </c>
      <c r="R41" s="2" t="str">
        <f t="shared" si="1"/>
        <v/>
      </c>
      <c r="S41" s="2">
        <f t="shared" ca="1" si="2"/>
        <v>1</v>
      </c>
      <c r="T41" s="2">
        <f t="shared" si="3"/>
        <v>0</v>
      </c>
      <c r="U41" s="110" t="s">
        <v>483</v>
      </c>
      <c r="V41" s="110">
        <v>5</v>
      </c>
      <c r="W41" s="110">
        <v>1</v>
      </c>
      <c r="X41" s="110">
        <v>8</v>
      </c>
      <c r="Y41" s="110">
        <v>1</v>
      </c>
      <c r="Z41" s="110">
        <v>0</v>
      </c>
      <c r="AA41" s="2">
        <f t="shared" si="4"/>
        <v>1</v>
      </c>
      <c r="AB41" s="2">
        <f t="shared" si="5"/>
        <v>0</v>
      </c>
      <c r="AC41" s="2">
        <f t="shared" si="6"/>
        <v>1</v>
      </c>
      <c r="AD41" s="2">
        <f t="shared" si="7"/>
        <v>1</v>
      </c>
      <c r="AE41" s="2">
        <f t="shared" si="8"/>
        <v>1</v>
      </c>
      <c r="AF41" s="2">
        <f t="shared" si="9"/>
        <v>1</v>
      </c>
      <c r="AG41" s="2">
        <f t="shared" si="10"/>
        <v>0</v>
      </c>
      <c r="AH41" s="2">
        <f t="shared" si="11"/>
        <v>2</v>
      </c>
      <c r="AI41" s="2">
        <f t="shared" si="12"/>
        <v>2</v>
      </c>
      <c r="AJ41" s="2">
        <f t="shared" si="13"/>
        <v>2</v>
      </c>
      <c r="AK41" s="2">
        <f t="shared" si="14"/>
        <v>2</v>
      </c>
      <c r="AL41" s="2">
        <f t="shared" si="15"/>
        <v>0</v>
      </c>
      <c r="AM41" s="115"/>
      <c r="AN41" s="115"/>
      <c r="AO41" s="63"/>
    </row>
    <row r="42" spans="1:41" ht="43.2" x14ac:dyDescent="0.55000000000000004">
      <c r="A42" s="36">
        <v>3909</v>
      </c>
      <c r="B42" s="113" t="s">
        <v>574</v>
      </c>
      <c r="C42" s="139" t="s">
        <v>575</v>
      </c>
      <c r="D42" s="114" t="s">
        <v>52</v>
      </c>
      <c r="E42" s="115"/>
      <c r="F42" s="116"/>
      <c r="G42" s="113" t="s">
        <v>547</v>
      </c>
      <c r="H42" s="113" t="s">
        <v>548</v>
      </c>
      <c r="I42" s="113" t="s">
        <v>570</v>
      </c>
      <c r="J42" s="117" t="s">
        <v>573</v>
      </c>
      <c r="K42" s="118"/>
      <c r="L42" s="109">
        <v>3</v>
      </c>
      <c r="M42" s="109">
        <v>2</v>
      </c>
      <c r="N42" s="109"/>
      <c r="O42" s="119"/>
      <c r="P42" s="2">
        <f t="shared" si="0"/>
        <v>1</v>
      </c>
      <c r="Q42" s="110" t="str">
        <f>IF(AND(Drops!$D$45&gt;1,OR(U42&lt;&gt;U41,AND(ROW()=5,U41=U42))),VLOOKUP(U42,Drops!$D$26:$E$44,2,FALSE),"")</f>
        <v/>
      </c>
      <c r="R42" s="2" t="str">
        <f t="shared" si="1"/>
        <v/>
      </c>
      <c r="S42" s="2">
        <f t="shared" ca="1" si="2"/>
        <v>1</v>
      </c>
      <c r="T42" s="2">
        <f t="shared" si="3"/>
        <v>0</v>
      </c>
      <c r="U42" s="110" t="s">
        <v>483</v>
      </c>
      <c r="V42" s="110">
        <v>5</v>
      </c>
      <c r="W42" s="110">
        <v>1</v>
      </c>
      <c r="X42" s="110">
        <v>13</v>
      </c>
      <c r="Y42" s="110">
        <v>0</v>
      </c>
      <c r="Z42" s="110">
        <v>0</v>
      </c>
      <c r="AA42" s="2">
        <f t="shared" si="4"/>
        <v>1</v>
      </c>
      <c r="AB42" s="2">
        <f t="shared" si="5"/>
        <v>0</v>
      </c>
      <c r="AC42" s="2">
        <f t="shared" si="6"/>
        <v>1</v>
      </c>
      <c r="AD42" s="2">
        <f t="shared" si="7"/>
        <v>1</v>
      </c>
      <c r="AE42" s="2">
        <f t="shared" si="8"/>
        <v>1</v>
      </c>
      <c r="AF42" s="2">
        <f t="shared" si="9"/>
        <v>0</v>
      </c>
      <c r="AG42" s="2">
        <f t="shared" si="10"/>
        <v>0</v>
      </c>
      <c r="AH42" s="2">
        <f t="shared" si="11"/>
        <v>2</v>
      </c>
      <c r="AI42" s="2">
        <f t="shared" si="12"/>
        <v>2</v>
      </c>
      <c r="AJ42" s="2">
        <f t="shared" si="13"/>
        <v>2</v>
      </c>
      <c r="AK42" s="2">
        <f t="shared" si="14"/>
        <v>2</v>
      </c>
      <c r="AL42" s="2">
        <f t="shared" si="15"/>
        <v>0</v>
      </c>
      <c r="AM42" s="115"/>
      <c r="AN42" s="115"/>
      <c r="AO42" s="63"/>
    </row>
    <row r="43" spans="1:41" ht="43.2" x14ac:dyDescent="0.55000000000000004">
      <c r="A43" s="36">
        <v>3910</v>
      </c>
      <c r="B43" s="113" t="s">
        <v>576</v>
      </c>
      <c r="C43" s="139" t="s">
        <v>577</v>
      </c>
      <c r="D43" s="114" t="s">
        <v>52</v>
      </c>
      <c r="E43" s="115"/>
      <c r="F43" s="116"/>
      <c r="G43" s="113" t="s">
        <v>547</v>
      </c>
      <c r="H43" s="113" t="s">
        <v>548</v>
      </c>
      <c r="I43" s="113" t="s">
        <v>570</v>
      </c>
      <c r="J43" s="117" t="s">
        <v>578</v>
      </c>
      <c r="K43" s="118"/>
      <c r="L43" s="109">
        <v>3</v>
      </c>
      <c r="M43" s="109">
        <v>3</v>
      </c>
      <c r="N43" s="109"/>
      <c r="O43" s="119"/>
      <c r="P43" s="2">
        <f t="shared" si="0"/>
        <v>1</v>
      </c>
      <c r="Q43" s="110" t="str">
        <f>IF(AND(Drops!$D$45&gt;1,OR(U43&lt;&gt;U42,AND(ROW()=5,U42=U43))),VLOOKUP(U43,Drops!$D$26:$E$44,2,FALSE),"")</f>
        <v/>
      </c>
      <c r="R43" s="2" t="str">
        <f t="shared" si="1"/>
        <v/>
      </c>
      <c r="S43" s="2">
        <f t="shared" ca="1" si="2"/>
        <v>1</v>
      </c>
      <c r="T43" s="2">
        <f t="shared" si="3"/>
        <v>0</v>
      </c>
      <c r="U43" s="110" t="s">
        <v>483</v>
      </c>
      <c r="V43" s="110">
        <v>5</v>
      </c>
      <c r="W43" s="110">
        <v>1</v>
      </c>
      <c r="X43" s="110">
        <v>15</v>
      </c>
      <c r="Y43" s="110">
        <v>0</v>
      </c>
      <c r="Z43" s="110">
        <v>0</v>
      </c>
      <c r="AA43" s="2">
        <f t="shared" si="4"/>
        <v>1</v>
      </c>
      <c r="AB43" s="2">
        <f t="shared" si="5"/>
        <v>1</v>
      </c>
      <c r="AC43" s="2">
        <f t="shared" si="6"/>
        <v>1</v>
      </c>
      <c r="AD43" s="2">
        <f t="shared" si="7"/>
        <v>1</v>
      </c>
      <c r="AE43" s="2">
        <f t="shared" si="8"/>
        <v>1</v>
      </c>
      <c r="AF43" s="2">
        <f t="shared" si="9"/>
        <v>0</v>
      </c>
      <c r="AG43" s="2">
        <f t="shared" si="10"/>
        <v>0</v>
      </c>
      <c r="AH43" s="2">
        <f t="shared" si="11"/>
        <v>2</v>
      </c>
      <c r="AI43" s="2">
        <f t="shared" si="12"/>
        <v>2</v>
      </c>
      <c r="AJ43" s="2">
        <f t="shared" si="13"/>
        <v>2</v>
      </c>
      <c r="AK43" s="2">
        <f t="shared" si="14"/>
        <v>2</v>
      </c>
      <c r="AL43" s="2">
        <f t="shared" si="15"/>
        <v>0</v>
      </c>
      <c r="AM43" s="115"/>
      <c r="AN43" s="115"/>
      <c r="AO43" s="63"/>
    </row>
    <row r="44" spans="1:41" ht="43.2" x14ac:dyDescent="0.55000000000000004">
      <c r="A44" s="36">
        <v>3900</v>
      </c>
      <c r="B44" s="113" t="s">
        <v>579</v>
      </c>
      <c r="C44" s="140" t="s">
        <v>580</v>
      </c>
      <c r="D44" s="114" t="s">
        <v>52</v>
      </c>
      <c r="E44" s="115"/>
      <c r="F44" s="116"/>
      <c r="G44" s="113" t="s">
        <v>547</v>
      </c>
      <c r="H44" s="113" t="s">
        <v>581</v>
      </c>
      <c r="I44" s="113" t="s">
        <v>582</v>
      </c>
      <c r="J44" s="117" t="s">
        <v>583</v>
      </c>
      <c r="K44" s="118"/>
      <c r="L44" s="109">
        <v>4</v>
      </c>
      <c r="M44" s="109">
        <v>3</v>
      </c>
      <c r="N44" s="109"/>
      <c r="O44" s="119"/>
      <c r="P44" s="2">
        <f t="shared" si="0"/>
        <v>1</v>
      </c>
      <c r="Q44" s="110" t="str">
        <f>IF(AND(Drops!$D$45&gt;1,OR(U44&lt;&gt;U43,AND(ROW()=5,U43=U44))),VLOOKUP(U44,Drops!$D$26:$E$44,2,FALSE),"")</f>
        <v/>
      </c>
      <c r="R44" s="2" t="str">
        <f t="shared" si="1"/>
        <v/>
      </c>
      <c r="S44" s="2">
        <f t="shared" ca="1" si="2"/>
        <v>1</v>
      </c>
      <c r="T44" s="2">
        <f t="shared" si="3"/>
        <v>0</v>
      </c>
      <c r="U44" s="110" t="s">
        <v>483</v>
      </c>
      <c r="V44" s="110">
        <v>5</v>
      </c>
      <c r="W44" s="110">
        <v>1</v>
      </c>
      <c r="X44" s="110">
        <v>15</v>
      </c>
      <c r="Y44" s="110">
        <v>1</v>
      </c>
      <c r="Z44" s="110">
        <v>0</v>
      </c>
      <c r="AA44" s="2">
        <f t="shared" si="4"/>
        <v>1</v>
      </c>
      <c r="AB44" s="2">
        <f t="shared" si="5"/>
        <v>0</v>
      </c>
      <c r="AC44" s="2">
        <f t="shared" si="6"/>
        <v>1</v>
      </c>
      <c r="AD44" s="2">
        <f t="shared" si="7"/>
        <v>1</v>
      </c>
      <c r="AE44" s="2">
        <f t="shared" si="8"/>
        <v>1</v>
      </c>
      <c r="AF44" s="2">
        <f t="shared" si="9"/>
        <v>1</v>
      </c>
      <c r="AG44" s="2">
        <f t="shared" si="10"/>
        <v>0</v>
      </c>
      <c r="AH44" s="2">
        <f t="shared" si="11"/>
        <v>2</v>
      </c>
      <c r="AI44" s="2">
        <f t="shared" si="12"/>
        <v>2</v>
      </c>
      <c r="AJ44" s="2">
        <f t="shared" si="13"/>
        <v>2</v>
      </c>
      <c r="AK44" s="2">
        <f t="shared" si="14"/>
        <v>2</v>
      </c>
      <c r="AL44" s="2">
        <f t="shared" si="15"/>
        <v>0</v>
      </c>
      <c r="AM44" s="115"/>
      <c r="AN44" s="115"/>
      <c r="AO44" s="63"/>
    </row>
    <row r="45" spans="1:41" ht="43.2" x14ac:dyDescent="0.55000000000000004">
      <c r="A45" s="36">
        <v>5644</v>
      </c>
      <c r="B45" s="113" t="s">
        <v>584</v>
      </c>
      <c r="C45" s="140" t="s">
        <v>585</v>
      </c>
      <c r="D45" s="114" t="s">
        <v>52</v>
      </c>
      <c r="E45" s="115"/>
      <c r="F45" s="116"/>
      <c r="G45" s="113" t="s">
        <v>547</v>
      </c>
      <c r="H45" s="113" t="s">
        <v>581</v>
      </c>
      <c r="I45" s="113" t="s">
        <v>582</v>
      </c>
      <c r="J45" s="117"/>
      <c r="K45" s="118"/>
      <c r="L45" s="109">
        <v>4</v>
      </c>
      <c r="M45" s="109">
        <v>3</v>
      </c>
      <c r="N45" s="109"/>
      <c r="O45" s="119"/>
      <c r="P45" s="2">
        <f t="shared" si="0"/>
        <v>1</v>
      </c>
      <c r="Q45" s="110" t="str">
        <f>IF(AND(Drops!$D$45&gt;1,OR(U45&lt;&gt;U44,AND(ROW()=5,U44=U45))),VLOOKUP(U45,Drops!$D$26:$E$44,2,FALSE),"")</f>
        <v/>
      </c>
      <c r="R45" s="2" t="str">
        <f t="shared" si="1"/>
        <v/>
      </c>
      <c r="S45" s="2">
        <f t="shared" ca="1" si="2"/>
        <v>1</v>
      </c>
      <c r="T45" s="2">
        <f t="shared" si="3"/>
        <v>0</v>
      </c>
      <c r="U45" s="110" t="s">
        <v>483</v>
      </c>
      <c r="V45" s="110">
        <v>5</v>
      </c>
      <c r="W45" s="110">
        <v>1</v>
      </c>
      <c r="X45" s="110">
        <v>15</v>
      </c>
      <c r="Y45" s="110">
        <v>2</v>
      </c>
      <c r="Z45" s="110">
        <v>0</v>
      </c>
      <c r="AA45" s="2">
        <f t="shared" si="4"/>
        <v>1</v>
      </c>
      <c r="AB45" s="2">
        <f t="shared" si="5"/>
        <v>0</v>
      </c>
      <c r="AC45" s="2">
        <f t="shared" si="6"/>
        <v>1</v>
      </c>
      <c r="AD45" s="2">
        <f t="shared" si="7"/>
        <v>1</v>
      </c>
      <c r="AE45" s="2">
        <f t="shared" si="8"/>
        <v>1</v>
      </c>
      <c r="AF45" s="2">
        <f t="shared" si="9"/>
        <v>1</v>
      </c>
      <c r="AG45" s="2">
        <f t="shared" si="10"/>
        <v>0</v>
      </c>
      <c r="AH45" s="2">
        <f t="shared" si="11"/>
        <v>2</v>
      </c>
      <c r="AI45" s="2">
        <f t="shared" si="12"/>
        <v>2</v>
      </c>
      <c r="AJ45" s="2">
        <f t="shared" si="13"/>
        <v>2</v>
      </c>
      <c r="AK45" s="2">
        <f t="shared" si="14"/>
        <v>2</v>
      </c>
      <c r="AL45" s="2">
        <f t="shared" si="15"/>
        <v>0</v>
      </c>
      <c r="AM45" s="115"/>
      <c r="AN45" s="115"/>
      <c r="AO45" s="63"/>
    </row>
    <row r="46" spans="1:41" ht="57.6" x14ac:dyDescent="0.55000000000000004">
      <c r="A46" s="36">
        <v>5647</v>
      </c>
      <c r="B46" s="113" t="s">
        <v>586</v>
      </c>
      <c r="C46" s="140" t="s">
        <v>587</v>
      </c>
      <c r="D46" s="114" t="s">
        <v>52</v>
      </c>
      <c r="E46" s="115"/>
      <c r="F46" s="116"/>
      <c r="G46" s="113" t="s">
        <v>547</v>
      </c>
      <c r="H46" s="113" t="s">
        <v>581</v>
      </c>
      <c r="I46" s="113" t="s">
        <v>588</v>
      </c>
      <c r="J46" s="117" t="s">
        <v>589</v>
      </c>
      <c r="K46" s="118"/>
      <c r="L46" s="109">
        <v>4</v>
      </c>
      <c r="M46" s="109">
        <v>2</v>
      </c>
      <c r="N46" s="109"/>
      <c r="O46" s="119"/>
      <c r="P46" s="2">
        <f t="shared" si="0"/>
        <v>1</v>
      </c>
      <c r="Q46" s="110" t="str">
        <f>IF(AND(Drops!$D$45&gt;1,OR(U46&lt;&gt;U45,AND(ROW()=5,U45=U46))),VLOOKUP(U46,Drops!$D$26:$E$44,2,FALSE),"")</f>
        <v/>
      </c>
      <c r="R46" s="2" t="str">
        <f t="shared" si="1"/>
        <v/>
      </c>
      <c r="S46" s="2">
        <f t="shared" ca="1" si="2"/>
        <v>1</v>
      </c>
      <c r="T46" s="2">
        <f t="shared" si="3"/>
        <v>0</v>
      </c>
      <c r="U46" s="110" t="s">
        <v>483</v>
      </c>
      <c r="V46" s="110">
        <v>5</v>
      </c>
      <c r="W46" s="110">
        <v>1</v>
      </c>
      <c r="X46" s="110">
        <v>15</v>
      </c>
      <c r="Y46" s="110">
        <v>5</v>
      </c>
      <c r="Z46" s="110">
        <v>0</v>
      </c>
      <c r="AA46" s="2">
        <f t="shared" si="4"/>
        <v>1</v>
      </c>
      <c r="AB46" s="2">
        <f t="shared" si="5"/>
        <v>0</v>
      </c>
      <c r="AC46" s="2">
        <f t="shared" si="6"/>
        <v>1</v>
      </c>
      <c r="AD46" s="2">
        <f t="shared" si="7"/>
        <v>1</v>
      </c>
      <c r="AE46" s="2">
        <f t="shared" si="8"/>
        <v>1</v>
      </c>
      <c r="AF46" s="2">
        <f t="shared" si="9"/>
        <v>1</v>
      </c>
      <c r="AG46" s="2">
        <f t="shared" si="10"/>
        <v>0</v>
      </c>
      <c r="AH46" s="2">
        <f t="shared" si="11"/>
        <v>2</v>
      </c>
      <c r="AI46" s="2">
        <f t="shared" si="12"/>
        <v>2</v>
      </c>
      <c r="AJ46" s="2">
        <f t="shared" si="13"/>
        <v>2</v>
      </c>
      <c r="AK46" s="2">
        <f t="shared" si="14"/>
        <v>2</v>
      </c>
      <c r="AL46" s="2">
        <f t="shared" si="15"/>
        <v>0</v>
      </c>
      <c r="AM46" s="115"/>
      <c r="AN46" s="115"/>
      <c r="AO46" s="63"/>
    </row>
    <row r="47" spans="1:41" ht="43.2" x14ac:dyDescent="0.55000000000000004">
      <c r="A47" s="36">
        <v>5648</v>
      </c>
      <c r="B47" s="113" t="s">
        <v>590</v>
      </c>
      <c r="C47" s="140" t="s">
        <v>591</v>
      </c>
      <c r="D47" s="114" t="s">
        <v>52</v>
      </c>
      <c r="E47" s="115"/>
      <c r="F47" s="116"/>
      <c r="G47" s="113" t="s">
        <v>547</v>
      </c>
      <c r="H47" s="113" t="s">
        <v>581</v>
      </c>
      <c r="I47" s="113"/>
      <c r="J47" s="117"/>
      <c r="K47" s="118"/>
      <c r="L47" s="109">
        <v>4</v>
      </c>
      <c r="M47" s="109">
        <v>2</v>
      </c>
      <c r="N47" s="109"/>
      <c r="O47" s="119"/>
      <c r="P47" s="2">
        <f t="shared" si="0"/>
        <v>1</v>
      </c>
      <c r="Q47" s="110" t="str">
        <f>IF(AND(Drops!$D$45&gt;1,OR(U47&lt;&gt;U46,AND(ROW()=5,U46=U47))),VLOOKUP(U47,Drops!$D$26:$E$44,2,FALSE),"")</f>
        <v/>
      </c>
      <c r="R47" s="2" t="str">
        <f t="shared" si="1"/>
        <v/>
      </c>
      <c r="S47" s="2">
        <f t="shared" ca="1" si="2"/>
        <v>1</v>
      </c>
      <c r="T47" s="2">
        <f t="shared" si="3"/>
        <v>0</v>
      </c>
      <c r="U47" s="110" t="s">
        <v>483</v>
      </c>
      <c r="V47" s="110">
        <v>5</v>
      </c>
      <c r="W47" s="110">
        <v>1</v>
      </c>
      <c r="X47" s="110">
        <v>15</v>
      </c>
      <c r="Y47" s="110">
        <v>6</v>
      </c>
      <c r="Z47" s="110">
        <v>0</v>
      </c>
      <c r="AA47" s="2">
        <f t="shared" si="4"/>
        <v>1</v>
      </c>
      <c r="AB47" s="2">
        <f t="shared" si="5"/>
        <v>0</v>
      </c>
      <c r="AC47" s="2">
        <f t="shared" si="6"/>
        <v>1</v>
      </c>
      <c r="AD47" s="2">
        <f t="shared" si="7"/>
        <v>1</v>
      </c>
      <c r="AE47" s="2">
        <f t="shared" si="8"/>
        <v>1</v>
      </c>
      <c r="AF47" s="2">
        <f t="shared" si="9"/>
        <v>1</v>
      </c>
      <c r="AG47" s="2">
        <f t="shared" si="10"/>
        <v>0</v>
      </c>
      <c r="AH47" s="2">
        <f t="shared" si="11"/>
        <v>2</v>
      </c>
      <c r="AI47" s="2">
        <f t="shared" si="12"/>
        <v>2</v>
      </c>
      <c r="AJ47" s="2">
        <f t="shared" si="13"/>
        <v>2</v>
      </c>
      <c r="AK47" s="2">
        <f t="shared" si="14"/>
        <v>2</v>
      </c>
      <c r="AL47" s="2">
        <f t="shared" si="15"/>
        <v>0</v>
      </c>
      <c r="AM47" s="115"/>
      <c r="AN47" s="115"/>
      <c r="AO47" s="63"/>
    </row>
    <row r="48" spans="1:41" ht="28.8" x14ac:dyDescent="0.55000000000000004">
      <c r="A48" s="36">
        <v>5649</v>
      </c>
      <c r="B48" s="113" t="s">
        <v>592</v>
      </c>
      <c r="C48" s="140" t="s">
        <v>593</v>
      </c>
      <c r="D48" s="114" t="s">
        <v>52</v>
      </c>
      <c r="E48" s="115"/>
      <c r="F48" s="116"/>
      <c r="G48" s="113" t="s">
        <v>547</v>
      </c>
      <c r="H48" s="113" t="s">
        <v>594</v>
      </c>
      <c r="I48" s="113"/>
      <c r="J48" s="117" t="s">
        <v>595</v>
      </c>
      <c r="K48" s="118"/>
      <c r="L48" s="109">
        <v>4</v>
      </c>
      <c r="M48" s="109">
        <v>2</v>
      </c>
      <c r="N48" s="109"/>
      <c r="O48" s="119"/>
      <c r="P48" s="2">
        <f t="shared" si="0"/>
        <v>1</v>
      </c>
      <c r="Q48" s="110" t="str">
        <f>IF(AND(Drops!$D$45&gt;1,OR(U48&lt;&gt;U47,AND(ROW()=5,U47=U48))),VLOOKUP(U48,Drops!$D$26:$E$44,2,FALSE),"")</f>
        <v/>
      </c>
      <c r="R48" s="2" t="str">
        <f t="shared" si="1"/>
        <v/>
      </c>
      <c r="S48" s="2">
        <f t="shared" ca="1" si="2"/>
        <v>1</v>
      </c>
      <c r="T48" s="2">
        <f t="shared" si="3"/>
        <v>0</v>
      </c>
      <c r="U48" s="110" t="s">
        <v>483</v>
      </c>
      <c r="V48" s="110">
        <v>5</v>
      </c>
      <c r="W48" s="110">
        <v>1</v>
      </c>
      <c r="X48" s="110">
        <v>15</v>
      </c>
      <c r="Y48" s="110">
        <v>7</v>
      </c>
      <c r="Z48" s="110">
        <v>0</v>
      </c>
      <c r="AA48" s="2">
        <f t="shared" si="4"/>
        <v>1</v>
      </c>
      <c r="AB48" s="2">
        <f t="shared" si="5"/>
        <v>1</v>
      </c>
      <c r="AC48" s="2">
        <f t="shared" si="6"/>
        <v>1</v>
      </c>
      <c r="AD48" s="2">
        <f t="shared" si="7"/>
        <v>1</v>
      </c>
      <c r="AE48" s="2">
        <f t="shared" si="8"/>
        <v>1</v>
      </c>
      <c r="AF48" s="2">
        <f t="shared" si="9"/>
        <v>1</v>
      </c>
      <c r="AG48" s="2">
        <f t="shared" si="10"/>
        <v>0</v>
      </c>
      <c r="AH48" s="2">
        <f t="shared" si="11"/>
        <v>2</v>
      </c>
      <c r="AI48" s="2">
        <f t="shared" si="12"/>
        <v>2</v>
      </c>
      <c r="AJ48" s="2">
        <f t="shared" si="13"/>
        <v>2</v>
      </c>
      <c r="AK48" s="2">
        <f t="shared" si="14"/>
        <v>2</v>
      </c>
      <c r="AL48" s="2">
        <f t="shared" si="15"/>
        <v>0</v>
      </c>
      <c r="AM48" s="115"/>
      <c r="AN48" s="115"/>
      <c r="AO48" s="63"/>
    </row>
    <row r="49" spans="1:41" ht="28.8" x14ac:dyDescent="0.55000000000000004">
      <c r="A49" s="36">
        <v>3522</v>
      </c>
      <c r="B49" s="113" t="s">
        <v>596</v>
      </c>
      <c r="C49" s="141" t="s">
        <v>597</v>
      </c>
      <c r="D49" s="114" t="s">
        <v>52</v>
      </c>
      <c r="E49" s="115"/>
      <c r="F49" s="116"/>
      <c r="G49" s="113" t="s">
        <v>547</v>
      </c>
      <c r="H49" s="113" t="s">
        <v>594</v>
      </c>
      <c r="I49" s="113"/>
      <c r="J49" s="117" t="s">
        <v>595</v>
      </c>
      <c r="K49" s="118"/>
      <c r="L49" s="109">
        <v>5</v>
      </c>
      <c r="M49" s="109">
        <v>3</v>
      </c>
      <c r="N49" s="109"/>
      <c r="O49" s="119"/>
      <c r="P49" s="2">
        <f t="shared" si="0"/>
        <v>1</v>
      </c>
      <c r="Q49" s="110" t="str">
        <f>IF(AND(Drops!$D$45&gt;1,OR(U49&lt;&gt;U48,AND(ROW()=5,U48=U49))),VLOOKUP(U49,Drops!$D$26:$E$44,2,FALSE),"")</f>
        <v/>
      </c>
      <c r="R49" s="2" t="str">
        <f t="shared" si="1"/>
        <v/>
      </c>
      <c r="S49" s="2">
        <f t="shared" ca="1" si="2"/>
        <v>1</v>
      </c>
      <c r="T49" s="2">
        <f t="shared" si="3"/>
        <v>0</v>
      </c>
      <c r="U49" s="110" t="s">
        <v>483</v>
      </c>
      <c r="V49" s="110">
        <v>5</v>
      </c>
      <c r="W49" s="110">
        <v>1</v>
      </c>
      <c r="X49" s="110">
        <v>15</v>
      </c>
      <c r="Y49" s="110">
        <v>7</v>
      </c>
      <c r="Z49" s="110">
        <v>1</v>
      </c>
      <c r="AA49" s="2">
        <f t="shared" si="4"/>
        <v>1</v>
      </c>
      <c r="AB49" s="2">
        <f t="shared" si="5"/>
        <v>0</v>
      </c>
      <c r="AC49" s="2">
        <f t="shared" si="6"/>
        <v>1</v>
      </c>
      <c r="AD49" s="2">
        <f t="shared" si="7"/>
        <v>1</v>
      </c>
      <c r="AE49" s="2">
        <f t="shared" si="8"/>
        <v>1</v>
      </c>
      <c r="AF49" s="2">
        <f t="shared" si="9"/>
        <v>1</v>
      </c>
      <c r="AG49" s="2">
        <f t="shared" si="10"/>
        <v>1</v>
      </c>
      <c r="AH49" s="2">
        <f t="shared" si="11"/>
        <v>2</v>
      </c>
      <c r="AI49" s="2">
        <f t="shared" si="12"/>
        <v>2</v>
      </c>
      <c r="AJ49" s="2">
        <f t="shared" si="13"/>
        <v>2</v>
      </c>
      <c r="AK49" s="2">
        <f t="shared" si="14"/>
        <v>2</v>
      </c>
      <c r="AL49" s="2">
        <f t="shared" si="15"/>
        <v>2</v>
      </c>
      <c r="AM49" s="115"/>
      <c r="AN49" s="115"/>
      <c r="AO49" s="63"/>
    </row>
    <row r="50" spans="1:41" ht="28.8" x14ac:dyDescent="0.55000000000000004">
      <c r="A50" s="36">
        <v>3525</v>
      </c>
      <c r="B50" s="113" t="s">
        <v>598</v>
      </c>
      <c r="C50" s="141" t="s">
        <v>599</v>
      </c>
      <c r="D50" s="114" t="s">
        <v>48</v>
      </c>
      <c r="E50" s="115" t="s">
        <v>600</v>
      </c>
      <c r="F50" s="116"/>
      <c r="G50" s="113" t="s">
        <v>547</v>
      </c>
      <c r="H50" s="113" t="s">
        <v>594</v>
      </c>
      <c r="I50" s="113"/>
      <c r="J50" s="117" t="s">
        <v>595</v>
      </c>
      <c r="K50" s="118"/>
      <c r="L50" s="109">
        <v>5</v>
      </c>
      <c r="M50" s="109">
        <v>3</v>
      </c>
      <c r="N50" s="109"/>
      <c r="O50" s="119"/>
      <c r="P50" s="2">
        <f t="shared" si="0"/>
        <v>3</v>
      </c>
      <c r="Q50" s="110" t="str">
        <f>IF(AND(Drops!$D$45&gt;1,OR(U50&lt;&gt;U49,AND(ROW()=5,U49=U50))),VLOOKUP(U50,Drops!$D$26:$E$44,2,FALSE),"")</f>
        <v/>
      </c>
      <c r="R50" s="2" t="str">
        <f t="shared" si="1"/>
        <v/>
      </c>
      <c r="S50" s="2">
        <f t="shared" ca="1" si="2"/>
        <v>3</v>
      </c>
      <c r="T50" s="2">
        <f t="shared" si="3"/>
        <v>0</v>
      </c>
      <c r="U50" s="110" t="s">
        <v>483</v>
      </c>
      <c r="V50" s="110">
        <v>5</v>
      </c>
      <c r="W50" s="110">
        <v>1</v>
      </c>
      <c r="X50" s="110">
        <v>15</v>
      </c>
      <c r="Y50" s="110">
        <v>7</v>
      </c>
      <c r="Z50" s="110">
        <v>2</v>
      </c>
      <c r="AA50" s="2">
        <f t="shared" si="4"/>
        <v>1</v>
      </c>
      <c r="AB50" s="2">
        <f t="shared" si="5"/>
        <v>0</v>
      </c>
      <c r="AC50" s="2">
        <f t="shared" si="6"/>
        <v>1</v>
      </c>
      <c r="AD50" s="2">
        <f t="shared" si="7"/>
        <v>1</v>
      </c>
      <c r="AE50" s="2">
        <f t="shared" si="8"/>
        <v>1</v>
      </c>
      <c r="AF50" s="2">
        <f t="shared" si="9"/>
        <v>1</v>
      </c>
      <c r="AG50" s="2">
        <f t="shared" si="10"/>
        <v>3</v>
      </c>
      <c r="AH50" s="2">
        <f t="shared" si="11"/>
        <v>2</v>
      </c>
      <c r="AI50" s="2">
        <f t="shared" si="12"/>
        <v>2</v>
      </c>
      <c r="AJ50" s="2">
        <f t="shared" si="13"/>
        <v>2</v>
      </c>
      <c r="AK50" s="2">
        <f t="shared" si="14"/>
        <v>2</v>
      </c>
      <c r="AL50" s="2">
        <f t="shared" si="15"/>
        <v>1</v>
      </c>
      <c r="AM50" s="115"/>
      <c r="AN50" s="115"/>
      <c r="AO50" s="63"/>
    </row>
    <row r="51" spans="1:41" ht="144" x14ac:dyDescent="0.55000000000000004">
      <c r="A51" s="36">
        <v>72</v>
      </c>
      <c r="B51" s="113" t="s">
        <v>601</v>
      </c>
      <c r="C51" s="138" t="s">
        <v>602</v>
      </c>
      <c r="D51" s="114" t="s">
        <v>52</v>
      </c>
      <c r="E51" s="115" t="s">
        <v>546</v>
      </c>
      <c r="F51" s="116"/>
      <c r="G51" s="113" t="s">
        <v>547</v>
      </c>
      <c r="H51" s="113" t="s">
        <v>603</v>
      </c>
      <c r="I51" s="113" t="s">
        <v>604</v>
      </c>
      <c r="J51" s="117" t="s">
        <v>605</v>
      </c>
      <c r="K51" s="118"/>
      <c r="L51" s="109">
        <v>2</v>
      </c>
      <c r="M51" s="109">
        <v>2</v>
      </c>
      <c r="N51" s="109"/>
      <c r="O51" s="119"/>
      <c r="P51" s="2">
        <f t="shared" si="0"/>
        <v>1</v>
      </c>
      <c r="Q51" s="110" t="str">
        <f>IF(AND(Drops!$D$45&gt;1,OR(U51&lt;&gt;U50,AND(ROW()=5,U50=U51))),VLOOKUP(U51,Drops!$D$26:$E$44,2,FALSE),"")</f>
        <v/>
      </c>
      <c r="R51" s="2" t="str">
        <f t="shared" si="1"/>
        <v/>
      </c>
      <c r="S51" s="2">
        <f t="shared" ca="1" si="2"/>
        <v>1</v>
      </c>
      <c r="T51" s="2">
        <f t="shared" si="3"/>
        <v>0</v>
      </c>
      <c r="U51" s="110" t="s">
        <v>483</v>
      </c>
      <c r="V51" s="110">
        <v>5</v>
      </c>
      <c r="W51" s="110">
        <v>2</v>
      </c>
      <c r="X51" s="110">
        <v>0</v>
      </c>
      <c r="Y51" s="110">
        <v>0</v>
      </c>
      <c r="Z51" s="110">
        <v>0</v>
      </c>
      <c r="AA51" s="2">
        <f t="shared" si="4"/>
        <v>1</v>
      </c>
      <c r="AB51" s="2">
        <f t="shared" si="5"/>
        <v>1</v>
      </c>
      <c r="AC51" s="2">
        <f t="shared" si="6"/>
        <v>1</v>
      </c>
      <c r="AD51" s="2">
        <f t="shared" si="7"/>
        <v>1</v>
      </c>
      <c r="AE51" s="2">
        <f t="shared" si="8"/>
        <v>0</v>
      </c>
      <c r="AF51" s="2">
        <f t="shared" si="9"/>
        <v>0</v>
      </c>
      <c r="AG51" s="2">
        <f t="shared" si="10"/>
        <v>0</v>
      </c>
      <c r="AH51" s="2">
        <f t="shared" si="11"/>
        <v>2</v>
      </c>
      <c r="AI51" s="2">
        <f t="shared" si="12"/>
        <v>2</v>
      </c>
      <c r="AJ51" s="2">
        <f t="shared" si="13"/>
        <v>2</v>
      </c>
      <c r="AK51" s="2">
        <f t="shared" si="14"/>
        <v>2</v>
      </c>
      <c r="AL51" s="2">
        <f t="shared" si="15"/>
        <v>0</v>
      </c>
      <c r="AM51" s="115"/>
      <c r="AN51" s="115"/>
      <c r="AO51" s="63"/>
    </row>
    <row r="52" spans="1:41" ht="144" x14ac:dyDescent="0.55000000000000004">
      <c r="A52" s="36">
        <v>74</v>
      </c>
      <c r="B52" s="113" t="s">
        <v>606</v>
      </c>
      <c r="C52" s="139" t="s">
        <v>607</v>
      </c>
      <c r="D52" s="114" t="s">
        <v>52</v>
      </c>
      <c r="E52" s="115"/>
      <c r="F52" s="116"/>
      <c r="G52" s="113" t="s">
        <v>547</v>
      </c>
      <c r="H52" s="113" t="s">
        <v>603</v>
      </c>
      <c r="I52" s="113" t="s">
        <v>604</v>
      </c>
      <c r="J52" s="117" t="s">
        <v>608</v>
      </c>
      <c r="K52" s="118"/>
      <c r="L52" s="109">
        <v>3</v>
      </c>
      <c r="M52" s="109">
        <v>2</v>
      </c>
      <c r="N52" s="109"/>
      <c r="O52" s="119"/>
      <c r="P52" s="2">
        <f t="shared" si="0"/>
        <v>1</v>
      </c>
      <c r="Q52" s="110" t="str">
        <f>IF(AND(Drops!$D$45&gt;1,OR(U52&lt;&gt;U51,AND(ROW()=5,U51=U52))),VLOOKUP(U52,Drops!$D$26:$E$44,2,FALSE),"")</f>
        <v/>
      </c>
      <c r="R52" s="2" t="str">
        <f t="shared" si="1"/>
        <v/>
      </c>
      <c r="S52" s="2">
        <f t="shared" ca="1" si="2"/>
        <v>1</v>
      </c>
      <c r="T52" s="2">
        <f t="shared" si="3"/>
        <v>0</v>
      </c>
      <c r="U52" s="110" t="s">
        <v>483</v>
      </c>
      <c r="V52" s="110">
        <v>5</v>
      </c>
      <c r="W52" s="110">
        <v>2</v>
      </c>
      <c r="X52" s="110">
        <v>1</v>
      </c>
      <c r="Y52" s="110">
        <v>0</v>
      </c>
      <c r="Z52" s="110">
        <v>0</v>
      </c>
      <c r="AA52" s="2">
        <f t="shared" si="4"/>
        <v>1</v>
      </c>
      <c r="AB52" s="2">
        <f t="shared" si="5"/>
        <v>0</v>
      </c>
      <c r="AC52" s="2">
        <f t="shared" si="6"/>
        <v>1</v>
      </c>
      <c r="AD52" s="2">
        <f t="shared" si="7"/>
        <v>1</v>
      </c>
      <c r="AE52" s="2">
        <f t="shared" si="8"/>
        <v>1</v>
      </c>
      <c r="AF52" s="2">
        <f t="shared" si="9"/>
        <v>0</v>
      </c>
      <c r="AG52" s="2">
        <f t="shared" si="10"/>
        <v>0</v>
      </c>
      <c r="AH52" s="2">
        <f t="shared" si="11"/>
        <v>2</v>
      </c>
      <c r="AI52" s="2">
        <f t="shared" si="12"/>
        <v>2</v>
      </c>
      <c r="AJ52" s="2">
        <f t="shared" si="13"/>
        <v>2</v>
      </c>
      <c r="AK52" s="2">
        <f t="shared" si="14"/>
        <v>2</v>
      </c>
      <c r="AL52" s="2">
        <f t="shared" si="15"/>
        <v>0</v>
      </c>
      <c r="AM52" s="115"/>
      <c r="AN52" s="115"/>
      <c r="AO52" s="63"/>
    </row>
    <row r="53" spans="1:41" ht="172.8" x14ac:dyDescent="0.55000000000000004">
      <c r="A53" s="36">
        <v>2506</v>
      </c>
      <c r="B53" s="113" t="s">
        <v>609</v>
      </c>
      <c r="C53" s="139" t="s">
        <v>610</v>
      </c>
      <c r="D53" s="114" t="s">
        <v>52</v>
      </c>
      <c r="E53" s="115"/>
      <c r="F53" s="116"/>
      <c r="G53" s="113" t="s">
        <v>547</v>
      </c>
      <c r="H53" s="113" t="s">
        <v>603</v>
      </c>
      <c r="I53" s="113" t="s">
        <v>604</v>
      </c>
      <c r="J53" s="117" t="s">
        <v>611</v>
      </c>
      <c r="K53" s="118"/>
      <c r="L53" s="109">
        <v>3</v>
      </c>
      <c r="M53" s="109">
        <v>2</v>
      </c>
      <c r="N53" s="109"/>
      <c r="O53" s="119"/>
      <c r="P53" s="2">
        <f t="shared" si="0"/>
        <v>1</v>
      </c>
      <c r="Q53" s="110" t="str">
        <f>IF(AND(Drops!$D$45&gt;1,OR(U53&lt;&gt;U52,AND(ROW()=5,U52=U53))),VLOOKUP(U53,Drops!$D$26:$E$44,2,FALSE),"")</f>
        <v/>
      </c>
      <c r="R53" s="2" t="str">
        <f t="shared" si="1"/>
        <v/>
      </c>
      <c r="S53" s="2">
        <f t="shared" ca="1" si="2"/>
        <v>1</v>
      </c>
      <c r="T53" s="2">
        <f t="shared" si="3"/>
        <v>0</v>
      </c>
      <c r="U53" s="110" t="s">
        <v>483</v>
      </c>
      <c r="V53" s="110">
        <v>5</v>
      </c>
      <c r="W53" s="110">
        <v>2</v>
      </c>
      <c r="X53" s="110">
        <v>2</v>
      </c>
      <c r="Y53" s="110">
        <v>0</v>
      </c>
      <c r="Z53" s="110">
        <v>0</v>
      </c>
      <c r="AA53" s="2">
        <f t="shared" si="4"/>
        <v>1</v>
      </c>
      <c r="AB53" s="2">
        <f t="shared" si="5"/>
        <v>0</v>
      </c>
      <c r="AC53" s="2">
        <f t="shared" si="6"/>
        <v>1</v>
      </c>
      <c r="AD53" s="2">
        <f t="shared" si="7"/>
        <v>1</v>
      </c>
      <c r="AE53" s="2">
        <f t="shared" si="8"/>
        <v>1</v>
      </c>
      <c r="AF53" s="2">
        <f t="shared" si="9"/>
        <v>0</v>
      </c>
      <c r="AG53" s="2">
        <f t="shared" si="10"/>
        <v>0</v>
      </c>
      <c r="AH53" s="2">
        <f t="shared" si="11"/>
        <v>2</v>
      </c>
      <c r="AI53" s="2">
        <f t="shared" si="12"/>
        <v>2</v>
      </c>
      <c r="AJ53" s="2">
        <f t="shared" si="13"/>
        <v>2</v>
      </c>
      <c r="AK53" s="2">
        <f t="shared" si="14"/>
        <v>2</v>
      </c>
      <c r="AL53" s="2">
        <f t="shared" si="15"/>
        <v>0</v>
      </c>
      <c r="AM53" s="115"/>
      <c r="AN53" s="115"/>
      <c r="AO53" s="63"/>
    </row>
    <row r="54" spans="1:41" ht="158.4" x14ac:dyDescent="0.55000000000000004">
      <c r="A54" s="36">
        <v>4170</v>
      </c>
      <c r="B54" s="113" t="s">
        <v>612</v>
      </c>
      <c r="C54" s="139" t="s">
        <v>613</v>
      </c>
      <c r="D54" s="114" t="s">
        <v>52</v>
      </c>
      <c r="E54" s="115"/>
      <c r="F54" s="116"/>
      <c r="G54" s="113" t="s">
        <v>547</v>
      </c>
      <c r="H54" s="113" t="s">
        <v>603</v>
      </c>
      <c r="I54" s="113" t="s">
        <v>604</v>
      </c>
      <c r="J54" s="117" t="s">
        <v>614</v>
      </c>
      <c r="K54" s="118"/>
      <c r="L54" s="109">
        <v>3</v>
      </c>
      <c r="M54" s="109">
        <v>3</v>
      </c>
      <c r="N54" s="109"/>
      <c r="O54" s="119"/>
      <c r="P54" s="2">
        <f t="shared" si="0"/>
        <v>1</v>
      </c>
      <c r="Q54" s="110" t="str">
        <f>IF(AND(Drops!$D$45&gt;1,OR(U54&lt;&gt;U53,AND(ROW()=5,U53=U54))),VLOOKUP(U54,Drops!$D$26:$E$44,2,FALSE),"")</f>
        <v/>
      </c>
      <c r="R54" s="2" t="str">
        <f t="shared" si="1"/>
        <v/>
      </c>
      <c r="S54" s="2">
        <f t="shared" ca="1" si="2"/>
        <v>1</v>
      </c>
      <c r="T54" s="2">
        <f t="shared" si="3"/>
        <v>0</v>
      </c>
      <c r="U54" s="110" t="s">
        <v>483</v>
      </c>
      <c r="V54" s="110">
        <v>5</v>
      </c>
      <c r="W54" s="110">
        <v>2</v>
      </c>
      <c r="X54" s="110">
        <v>3</v>
      </c>
      <c r="Y54" s="110">
        <v>0</v>
      </c>
      <c r="Z54" s="110">
        <v>0</v>
      </c>
      <c r="AA54" s="2">
        <f t="shared" si="4"/>
        <v>1</v>
      </c>
      <c r="AB54" s="2">
        <f t="shared" si="5"/>
        <v>0</v>
      </c>
      <c r="AC54" s="2">
        <f t="shared" si="6"/>
        <v>1</v>
      </c>
      <c r="AD54" s="2">
        <f t="shared" si="7"/>
        <v>1</v>
      </c>
      <c r="AE54" s="2">
        <f t="shared" si="8"/>
        <v>1</v>
      </c>
      <c r="AF54" s="2">
        <f t="shared" si="9"/>
        <v>0</v>
      </c>
      <c r="AG54" s="2">
        <f t="shared" si="10"/>
        <v>0</v>
      </c>
      <c r="AH54" s="2">
        <f t="shared" si="11"/>
        <v>2</v>
      </c>
      <c r="AI54" s="2">
        <f t="shared" si="12"/>
        <v>2</v>
      </c>
      <c r="AJ54" s="2">
        <f t="shared" si="13"/>
        <v>2</v>
      </c>
      <c r="AK54" s="2">
        <f t="shared" si="14"/>
        <v>2</v>
      </c>
      <c r="AL54" s="2">
        <f t="shared" si="15"/>
        <v>0</v>
      </c>
      <c r="AM54" s="115"/>
      <c r="AN54" s="115"/>
      <c r="AO54" s="63"/>
    </row>
    <row r="55" spans="1:41" ht="172.8" x14ac:dyDescent="0.55000000000000004">
      <c r="A55" s="36">
        <v>4171</v>
      </c>
      <c r="B55" s="113" t="s">
        <v>615</v>
      </c>
      <c r="C55" s="139" t="s">
        <v>616</v>
      </c>
      <c r="D55" s="114" t="s">
        <v>52</v>
      </c>
      <c r="E55" s="115"/>
      <c r="F55" s="116"/>
      <c r="G55" s="113" t="s">
        <v>547</v>
      </c>
      <c r="H55" s="113" t="s">
        <v>603</v>
      </c>
      <c r="I55" s="113"/>
      <c r="J55" s="117" t="s">
        <v>611</v>
      </c>
      <c r="K55" s="118"/>
      <c r="L55" s="109">
        <v>3</v>
      </c>
      <c r="M55" s="109">
        <v>2</v>
      </c>
      <c r="N55" s="109"/>
      <c r="O55" s="119"/>
      <c r="P55" s="2">
        <f t="shared" si="0"/>
        <v>1</v>
      </c>
      <c r="Q55" s="110" t="str">
        <f>IF(AND(Drops!$D$45&gt;1,OR(U55&lt;&gt;U54,AND(ROW()=5,U54=U55))),VLOOKUP(U55,Drops!$D$26:$E$44,2,FALSE),"")</f>
        <v/>
      </c>
      <c r="R55" s="2" t="str">
        <f t="shared" si="1"/>
        <v/>
      </c>
      <c r="S55" s="2">
        <f t="shared" ca="1" si="2"/>
        <v>1</v>
      </c>
      <c r="T55" s="2">
        <f t="shared" si="3"/>
        <v>0</v>
      </c>
      <c r="U55" s="110" t="s">
        <v>483</v>
      </c>
      <c r="V55" s="110">
        <v>5</v>
      </c>
      <c r="W55" s="110">
        <v>2</v>
      </c>
      <c r="X55" s="110">
        <v>4</v>
      </c>
      <c r="Y55" s="110">
        <v>0</v>
      </c>
      <c r="Z55" s="110">
        <v>0</v>
      </c>
      <c r="AA55" s="2">
        <f t="shared" si="4"/>
        <v>1</v>
      </c>
      <c r="AB55" s="2">
        <f t="shared" si="5"/>
        <v>0</v>
      </c>
      <c r="AC55" s="2">
        <f t="shared" si="6"/>
        <v>1</v>
      </c>
      <c r="AD55" s="2">
        <f t="shared" si="7"/>
        <v>1</v>
      </c>
      <c r="AE55" s="2">
        <f t="shared" si="8"/>
        <v>1</v>
      </c>
      <c r="AF55" s="2">
        <f t="shared" si="9"/>
        <v>0</v>
      </c>
      <c r="AG55" s="2">
        <f t="shared" si="10"/>
        <v>0</v>
      </c>
      <c r="AH55" s="2">
        <f t="shared" si="11"/>
        <v>2</v>
      </c>
      <c r="AI55" s="2">
        <f t="shared" si="12"/>
        <v>2</v>
      </c>
      <c r="AJ55" s="2">
        <f t="shared" si="13"/>
        <v>2</v>
      </c>
      <c r="AK55" s="2">
        <f t="shared" si="14"/>
        <v>2</v>
      </c>
      <c r="AL55" s="2">
        <f t="shared" si="15"/>
        <v>0</v>
      </c>
      <c r="AM55" s="115"/>
      <c r="AN55" s="115"/>
      <c r="AO55" s="63"/>
    </row>
    <row r="56" spans="1:41" ht="144" x14ac:dyDescent="0.55000000000000004">
      <c r="A56" s="36">
        <v>81</v>
      </c>
      <c r="B56" s="113" t="s">
        <v>617</v>
      </c>
      <c r="C56" s="139" t="s">
        <v>618</v>
      </c>
      <c r="D56" s="114" t="s">
        <v>52</v>
      </c>
      <c r="E56" s="115"/>
      <c r="F56" s="116"/>
      <c r="G56" s="113" t="s">
        <v>547</v>
      </c>
      <c r="H56" s="113" t="s">
        <v>603</v>
      </c>
      <c r="I56" s="113" t="s">
        <v>604</v>
      </c>
      <c r="J56" s="117" t="s">
        <v>619</v>
      </c>
      <c r="K56" s="118"/>
      <c r="L56" s="109">
        <v>3</v>
      </c>
      <c r="M56" s="109">
        <v>2</v>
      </c>
      <c r="N56" s="109"/>
      <c r="O56" s="119"/>
      <c r="P56" s="2">
        <f t="shared" si="0"/>
        <v>1</v>
      </c>
      <c r="Q56" s="110" t="str">
        <f>IF(AND(Drops!$D$45&gt;1,OR(U56&lt;&gt;U55,AND(ROW()=5,U55=U56))),VLOOKUP(U56,Drops!$D$26:$E$44,2,FALSE),"")</f>
        <v/>
      </c>
      <c r="R56" s="2" t="str">
        <f t="shared" si="1"/>
        <v/>
      </c>
      <c r="S56" s="2">
        <f t="shared" ca="1" si="2"/>
        <v>1</v>
      </c>
      <c r="T56" s="2">
        <f t="shared" si="3"/>
        <v>0</v>
      </c>
      <c r="U56" s="110" t="s">
        <v>483</v>
      </c>
      <c r="V56" s="110">
        <v>5</v>
      </c>
      <c r="W56" s="110">
        <v>2</v>
      </c>
      <c r="X56" s="110">
        <v>5</v>
      </c>
      <c r="Y56" s="110">
        <v>0</v>
      </c>
      <c r="Z56" s="110">
        <v>0</v>
      </c>
      <c r="AA56" s="2">
        <f t="shared" si="4"/>
        <v>1</v>
      </c>
      <c r="AB56" s="2">
        <f t="shared" si="5"/>
        <v>0</v>
      </c>
      <c r="AC56" s="2">
        <f t="shared" si="6"/>
        <v>1</v>
      </c>
      <c r="AD56" s="2">
        <f t="shared" si="7"/>
        <v>1</v>
      </c>
      <c r="AE56" s="2">
        <f t="shared" si="8"/>
        <v>1</v>
      </c>
      <c r="AF56" s="2">
        <f t="shared" si="9"/>
        <v>0</v>
      </c>
      <c r="AG56" s="2">
        <f t="shared" si="10"/>
        <v>0</v>
      </c>
      <c r="AH56" s="2">
        <f t="shared" si="11"/>
        <v>2</v>
      </c>
      <c r="AI56" s="2">
        <f t="shared" si="12"/>
        <v>2</v>
      </c>
      <c r="AJ56" s="2">
        <f t="shared" si="13"/>
        <v>2</v>
      </c>
      <c r="AK56" s="2">
        <f t="shared" si="14"/>
        <v>2</v>
      </c>
      <c r="AL56" s="2">
        <f t="shared" si="15"/>
        <v>0</v>
      </c>
      <c r="AM56" s="115"/>
      <c r="AN56" s="115"/>
      <c r="AO56" s="63"/>
    </row>
    <row r="57" spans="1:41" ht="86.4" x14ac:dyDescent="0.55000000000000004">
      <c r="A57" s="36">
        <v>78</v>
      </c>
      <c r="B57" s="113" t="s">
        <v>620</v>
      </c>
      <c r="C57" s="139" t="s">
        <v>621</v>
      </c>
      <c r="D57" s="114" t="s">
        <v>52</v>
      </c>
      <c r="E57" s="115"/>
      <c r="F57" s="116"/>
      <c r="G57" s="113" t="s">
        <v>547</v>
      </c>
      <c r="H57" s="113" t="s">
        <v>603</v>
      </c>
      <c r="I57" s="113" t="s">
        <v>604</v>
      </c>
      <c r="J57" s="117" t="s">
        <v>622</v>
      </c>
      <c r="K57" s="118"/>
      <c r="L57" s="109">
        <v>3</v>
      </c>
      <c r="M57" s="109">
        <v>3</v>
      </c>
      <c r="N57" s="109"/>
      <c r="O57" s="119"/>
      <c r="P57" s="2">
        <f t="shared" si="0"/>
        <v>1</v>
      </c>
      <c r="Q57" s="110" t="str">
        <f>IF(AND(Drops!$D$45&gt;1,OR(U57&lt;&gt;U56,AND(ROW()=5,U56=U57))),VLOOKUP(U57,Drops!$D$26:$E$44,2,FALSE),"")</f>
        <v/>
      </c>
      <c r="R57" s="2" t="str">
        <f t="shared" si="1"/>
        <v/>
      </c>
      <c r="S57" s="2">
        <f t="shared" ca="1" si="2"/>
        <v>1</v>
      </c>
      <c r="T57" s="2">
        <f t="shared" si="3"/>
        <v>0</v>
      </c>
      <c r="U57" s="110" t="s">
        <v>483</v>
      </c>
      <c r="V57" s="110">
        <v>5</v>
      </c>
      <c r="W57" s="110">
        <v>2</v>
      </c>
      <c r="X57" s="110">
        <v>7</v>
      </c>
      <c r="Y57" s="110">
        <v>0</v>
      </c>
      <c r="Z57" s="110">
        <v>0</v>
      </c>
      <c r="AA57" s="2">
        <f t="shared" si="4"/>
        <v>1</v>
      </c>
      <c r="AB57" s="2">
        <f t="shared" si="5"/>
        <v>0</v>
      </c>
      <c r="AC57" s="2">
        <f t="shared" si="6"/>
        <v>1</v>
      </c>
      <c r="AD57" s="2">
        <f t="shared" si="7"/>
        <v>1</v>
      </c>
      <c r="AE57" s="2">
        <f t="shared" si="8"/>
        <v>1</v>
      </c>
      <c r="AF57" s="2">
        <f t="shared" si="9"/>
        <v>0</v>
      </c>
      <c r="AG57" s="2">
        <f t="shared" si="10"/>
        <v>0</v>
      </c>
      <c r="AH57" s="2">
        <f t="shared" si="11"/>
        <v>2</v>
      </c>
      <c r="AI57" s="2">
        <f t="shared" si="12"/>
        <v>2</v>
      </c>
      <c r="AJ57" s="2">
        <f t="shared" si="13"/>
        <v>2</v>
      </c>
      <c r="AK57" s="2">
        <f t="shared" si="14"/>
        <v>2</v>
      </c>
      <c r="AL57" s="2">
        <f t="shared" si="15"/>
        <v>0</v>
      </c>
      <c r="AM57" s="115"/>
      <c r="AN57" s="115"/>
      <c r="AO57" s="63"/>
    </row>
    <row r="58" spans="1:41" ht="57.6" x14ac:dyDescent="0.55000000000000004">
      <c r="A58" s="36">
        <v>82</v>
      </c>
      <c r="B58" s="113" t="s">
        <v>623</v>
      </c>
      <c r="C58" s="139" t="s">
        <v>624</v>
      </c>
      <c r="D58" s="114" t="s">
        <v>52</v>
      </c>
      <c r="E58" s="115"/>
      <c r="F58" s="116"/>
      <c r="G58" s="113" t="s">
        <v>547</v>
      </c>
      <c r="H58" s="113" t="s">
        <v>603</v>
      </c>
      <c r="I58" s="113" t="s">
        <v>604</v>
      </c>
      <c r="J58" s="117" t="s">
        <v>625</v>
      </c>
      <c r="K58" s="118"/>
      <c r="L58" s="109">
        <v>3</v>
      </c>
      <c r="M58" s="109">
        <v>3</v>
      </c>
      <c r="N58" s="109"/>
      <c r="O58" s="119"/>
      <c r="P58" s="2">
        <f t="shared" si="0"/>
        <v>1</v>
      </c>
      <c r="Q58" s="110" t="str">
        <f>IF(AND(Drops!$D$45&gt;1,OR(U58&lt;&gt;U57,AND(ROW()=5,U57=U58))),VLOOKUP(U58,Drops!$D$26:$E$44,2,FALSE),"")</f>
        <v/>
      </c>
      <c r="R58" s="2" t="str">
        <f t="shared" si="1"/>
        <v/>
      </c>
      <c r="S58" s="2">
        <f t="shared" ca="1" si="2"/>
        <v>1</v>
      </c>
      <c r="T58" s="2">
        <f t="shared" si="3"/>
        <v>0</v>
      </c>
      <c r="U58" s="110" t="s">
        <v>483</v>
      </c>
      <c r="V58" s="110">
        <v>5</v>
      </c>
      <c r="W58" s="110">
        <v>2</v>
      </c>
      <c r="X58" s="110">
        <v>8</v>
      </c>
      <c r="Y58" s="110">
        <v>0</v>
      </c>
      <c r="Z58" s="110">
        <v>0</v>
      </c>
      <c r="AA58" s="2">
        <f t="shared" si="4"/>
        <v>1</v>
      </c>
      <c r="AB58" s="2">
        <f t="shared" si="5"/>
        <v>0</v>
      </c>
      <c r="AC58" s="2">
        <f t="shared" si="6"/>
        <v>1</v>
      </c>
      <c r="AD58" s="2">
        <f t="shared" si="7"/>
        <v>1</v>
      </c>
      <c r="AE58" s="2">
        <f t="shared" si="8"/>
        <v>1</v>
      </c>
      <c r="AF58" s="2">
        <f t="shared" si="9"/>
        <v>0</v>
      </c>
      <c r="AG58" s="2">
        <f t="shared" si="10"/>
        <v>0</v>
      </c>
      <c r="AH58" s="2">
        <f t="shared" si="11"/>
        <v>2</v>
      </c>
      <c r="AI58" s="2">
        <f t="shared" si="12"/>
        <v>2</v>
      </c>
      <c r="AJ58" s="2">
        <f t="shared" si="13"/>
        <v>2</v>
      </c>
      <c r="AK58" s="2">
        <f t="shared" si="14"/>
        <v>2</v>
      </c>
      <c r="AL58" s="2">
        <f t="shared" si="15"/>
        <v>0</v>
      </c>
      <c r="AM58" s="115"/>
      <c r="AN58" s="115"/>
      <c r="AO58" s="63"/>
    </row>
    <row r="59" spans="1:41" ht="72" x14ac:dyDescent="0.55000000000000004">
      <c r="A59" s="36">
        <v>85</v>
      </c>
      <c r="B59" s="113" t="s">
        <v>626</v>
      </c>
      <c r="C59" s="139" t="s">
        <v>627</v>
      </c>
      <c r="D59" s="114" t="s">
        <v>52</v>
      </c>
      <c r="E59" s="115"/>
      <c r="F59" s="116"/>
      <c r="G59" s="113" t="s">
        <v>547</v>
      </c>
      <c r="H59" s="113" t="s">
        <v>603</v>
      </c>
      <c r="I59" s="113"/>
      <c r="J59" s="117" t="s">
        <v>628</v>
      </c>
      <c r="K59" s="118"/>
      <c r="L59" s="109">
        <v>3</v>
      </c>
      <c r="M59" s="109">
        <v>2</v>
      </c>
      <c r="N59" s="109"/>
      <c r="O59" s="119"/>
      <c r="P59" s="2">
        <f t="shared" si="0"/>
        <v>1</v>
      </c>
      <c r="Q59" s="110" t="str">
        <f>IF(AND(Drops!$D$45&gt;1,OR(U59&lt;&gt;U58,AND(ROW()=5,U58=U59))),VLOOKUP(U59,Drops!$D$26:$E$44,2,FALSE),"")</f>
        <v/>
      </c>
      <c r="R59" s="2" t="str">
        <f t="shared" si="1"/>
        <v/>
      </c>
      <c r="S59" s="2">
        <f t="shared" ca="1" si="2"/>
        <v>1</v>
      </c>
      <c r="T59" s="2">
        <f t="shared" si="3"/>
        <v>0</v>
      </c>
      <c r="U59" s="110" t="s">
        <v>483</v>
      </c>
      <c r="V59" s="110">
        <v>5</v>
      </c>
      <c r="W59" s="110">
        <v>2</v>
      </c>
      <c r="X59" s="110">
        <v>9</v>
      </c>
      <c r="Y59" s="110">
        <v>0</v>
      </c>
      <c r="Z59" s="110">
        <v>0</v>
      </c>
      <c r="AA59" s="2">
        <f t="shared" si="4"/>
        <v>1</v>
      </c>
      <c r="AB59" s="2">
        <f t="shared" si="5"/>
        <v>0</v>
      </c>
      <c r="AC59" s="2">
        <f t="shared" si="6"/>
        <v>1</v>
      </c>
      <c r="AD59" s="2">
        <f t="shared" si="7"/>
        <v>1</v>
      </c>
      <c r="AE59" s="2">
        <f t="shared" si="8"/>
        <v>1</v>
      </c>
      <c r="AF59" s="2">
        <f t="shared" si="9"/>
        <v>0</v>
      </c>
      <c r="AG59" s="2">
        <f t="shared" si="10"/>
        <v>0</v>
      </c>
      <c r="AH59" s="2">
        <f t="shared" si="11"/>
        <v>2</v>
      </c>
      <c r="AI59" s="2">
        <f t="shared" si="12"/>
        <v>2</v>
      </c>
      <c r="AJ59" s="2">
        <f t="shared" si="13"/>
        <v>2</v>
      </c>
      <c r="AK59" s="2">
        <f t="shared" si="14"/>
        <v>2</v>
      </c>
      <c r="AL59" s="2">
        <f t="shared" si="15"/>
        <v>0</v>
      </c>
      <c r="AM59" s="115"/>
      <c r="AN59" s="115"/>
      <c r="AO59" s="63"/>
    </row>
    <row r="60" spans="1:41" ht="72" x14ac:dyDescent="0.55000000000000004">
      <c r="A60" s="36">
        <v>86</v>
      </c>
      <c r="B60" s="113" t="s">
        <v>629</v>
      </c>
      <c r="C60" s="139" t="s">
        <v>630</v>
      </c>
      <c r="D60" s="114" t="s">
        <v>52</v>
      </c>
      <c r="E60" s="115"/>
      <c r="F60" s="116"/>
      <c r="G60" s="113" t="s">
        <v>547</v>
      </c>
      <c r="H60" s="113" t="s">
        <v>603</v>
      </c>
      <c r="I60" s="113" t="s">
        <v>588</v>
      </c>
      <c r="J60" s="117" t="s">
        <v>631</v>
      </c>
      <c r="K60" s="118"/>
      <c r="L60" s="109">
        <v>3</v>
      </c>
      <c r="M60" s="109">
        <v>2</v>
      </c>
      <c r="N60" s="109"/>
      <c r="O60" s="119"/>
      <c r="P60" s="2">
        <f t="shared" si="0"/>
        <v>1</v>
      </c>
      <c r="Q60" s="110" t="str">
        <f>IF(AND(Drops!$D$45&gt;1,OR(U60&lt;&gt;U59,AND(ROW()=5,U59=U60))),VLOOKUP(U60,Drops!$D$26:$E$44,2,FALSE),"")</f>
        <v/>
      </c>
      <c r="R60" s="2" t="str">
        <f t="shared" si="1"/>
        <v/>
      </c>
      <c r="S60" s="2">
        <f t="shared" ca="1" si="2"/>
        <v>1</v>
      </c>
      <c r="T60" s="2">
        <f t="shared" si="3"/>
        <v>0</v>
      </c>
      <c r="U60" s="110" t="s">
        <v>483</v>
      </c>
      <c r="V60" s="110">
        <v>5</v>
      </c>
      <c r="W60" s="110">
        <v>2</v>
      </c>
      <c r="X60" s="110">
        <v>10</v>
      </c>
      <c r="Y60" s="110">
        <v>0</v>
      </c>
      <c r="Z60" s="110">
        <v>0</v>
      </c>
      <c r="AA60" s="2">
        <f t="shared" si="4"/>
        <v>1</v>
      </c>
      <c r="AB60" s="2">
        <f t="shared" si="5"/>
        <v>0</v>
      </c>
      <c r="AC60" s="2">
        <f t="shared" si="6"/>
        <v>1</v>
      </c>
      <c r="AD60" s="2">
        <f t="shared" si="7"/>
        <v>1</v>
      </c>
      <c r="AE60" s="2">
        <f t="shared" si="8"/>
        <v>1</v>
      </c>
      <c r="AF60" s="2">
        <f t="shared" si="9"/>
        <v>0</v>
      </c>
      <c r="AG60" s="2">
        <f t="shared" si="10"/>
        <v>0</v>
      </c>
      <c r="AH60" s="2">
        <f t="shared" si="11"/>
        <v>2</v>
      </c>
      <c r="AI60" s="2">
        <f t="shared" si="12"/>
        <v>2</v>
      </c>
      <c r="AJ60" s="2">
        <f t="shared" si="13"/>
        <v>2</v>
      </c>
      <c r="AK60" s="2">
        <f t="shared" si="14"/>
        <v>2</v>
      </c>
      <c r="AL60" s="2">
        <f t="shared" si="15"/>
        <v>0</v>
      </c>
      <c r="AM60" s="115"/>
      <c r="AN60" s="115"/>
      <c r="AO60" s="63"/>
    </row>
    <row r="61" spans="1:41" ht="72" x14ac:dyDescent="0.55000000000000004">
      <c r="A61" s="36">
        <v>4172</v>
      </c>
      <c r="B61" s="113" t="s">
        <v>632</v>
      </c>
      <c r="C61" s="139" t="s">
        <v>633</v>
      </c>
      <c r="D61" s="114" t="s">
        <v>52</v>
      </c>
      <c r="E61" s="115"/>
      <c r="F61" s="116"/>
      <c r="G61" s="113" t="s">
        <v>547</v>
      </c>
      <c r="H61" s="113" t="s">
        <v>603</v>
      </c>
      <c r="I61" s="113"/>
      <c r="J61" s="117" t="s">
        <v>628</v>
      </c>
      <c r="K61" s="118"/>
      <c r="L61" s="109">
        <v>3</v>
      </c>
      <c r="M61" s="109">
        <v>2</v>
      </c>
      <c r="N61" s="109"/>
      <c r="O61" s="119"/>
      <c r="P61" s="2">
        <f t="shared" si="0"/>
        <v>1</v>
      </c>
      <c r="Q61" s="110" t="str">
        <f>IF(AND(Drops!$D$45&gt;1,OR(U61&lt;&gt;U60,AND(ROW()=5,U60=U61))),VLOOKUP(U61,Drops!$D$26:$E$44,2,FALSE),"")</f>
        <v/>
      </c>
      <c r="R61" s="2" t="str">
        <f t="shared" si="1"/>
        <v/>
      </c>
      <c r="S61" s="2">
        <f t="shared" ca="1" si="2"/>
        <v>1</v>
      </c>
      <c r="T61" s="2">
        <f t="shared" si="3"/>
        <v>0</v>
      </c>
      <c r="U61" s="110" t="s">
        <v>483</v>
      </c>
      <c r="V61" s="110">
        <v>5</v>
      </c>
      <c r="W61" s="110">
        <v>2</v>
      </c>
      <c r="X61" s="110">
        <v>11</v>
      </c>
      <c r="Y61" s="110">
        <v>0</v>
      </c>
      <c r="Z61" s="110">
        <v>0</v>
      </c>
      <c r="AA61" s="2">
        <f t="shared" si="4"/>
        <v>1</v>
      </c>
      <c r="AB61" s="2">
        <f t="shared" si="5"/>
        <v>0</v>
      </c>
      <c r="AC61" s="2">
        <f t="shared" si="6"/>
        <v>1</v>
      </c>
      <c r="AD61" s="2">
        <f t="shared" si="7"/>
        <v>1</v>
      </c>
      <c r="AE61" s="2">
        <f t="shared" si="8"/>
        <v>1</v>
      </c>
      <c r="AF61" s="2">
        <f t="shared" si="9"/>
        <v>0</v>
      </c>
      <c r="AG61" s="2">
        <f t="shared" si="10"/>
        <v>0</v>
      </c>
      <c r="AH61" s="2">
        <f t="shared" si="11"/>
        <v>2</v>
      </c>
      <c r="AI61" s="2">
        <f t="shared" si="12"/>
        <v>2</v>
      </c>
      <c r="AJ61" s="2">
        <f t="shared" si="13"/>
        <v>2</v>
      </c>
      <c r="AK61" s="2">
        <f t="shared" si="14"/>
        <v>2</v>
      </c>
      <c r="AL61" s="2">
        <f t="shared" si="15"/>
        <v>0</v>
      </c>
      <c r="AM61" s="115"/>
      <c r="AN61" s="115"/>
      <c r="AO61" s="63"/>
    </row>
    <row r="62" spans="1:41" ht="129.6" x14ac:dyDescent="0.55000000000000004">
      <c r="A62" s="36">
        <v>2524</v>
      </c>
      <c r="B62" s="113" t="s">
        <v>634</v>
      </c>
      <c r="C62" s="139" t="s">
        <v>635</v>
      </c>
      <c r="D62" s="114" t="s">
        <v>52</v>
      </c>
      <c r="E62" s="115"/>
      <c r="F62" s="116"/>
      <c r="G62" s="113" t="s">
        <v>547</v>
      </c>
      <c r="H62" s="113" t="s">
        <v>603</v>
      </c>
      <c r="I62" s="113"/>
      <c r="J62" s="117" t="s">
        <v>636</v>
      </c>
      <c r="K62" s="118"/>
      <c r="L62" s="109">
        <v>3</v>
      </c>
      <c r="M62" s="109">
        <v>3</v>
      </c>
      <c r="N62" s="109"/>
      <c r="O62" s="119"/>
      <c r="P62" s="2">
        <f t="shared" si="0"/>
        <v>1</v>
      </c>
      <c r="Q62" s="110" t="str">
        <f>IF(AND(Drops!$D$45&gt;1,OR(U62&lt;&gt;U61,AND(ROW()=5,U61=U62))),VLOOKUP(U62,Drops!$D$26:$E$44,2,FALSE),"")</f>
        <v/>
      </c>
      <c r="R62" s="2" t="str">
        <f t="shared" si="1"/>
        <v/>
      </c>
      <c r="S62" s="2">
        <f t="shared" ca="1" si="2"/>
        <v>1</v>
      </c>
      <c r="T62" s="2">
        <f t="shared" si="3"/>
        <v>0</v>
      </c>
      <c r="U62" s="110" t="s">
        <v>483</v>
      </c>
      <c r="V62" s="110">
        <v>5</v>
      </c>
      <c r="W62" s="110">
        <v>2</v>
      </c>
      <c r="X62" s="110">
        <v>13</v>
      </c>
      <c r="Y62" s="110">
        <v>0</v>
      </c>
      <c r="Z62" s="110">
        <v>0</v>
      </c>
      <c r="AA62" s="2">
        <f t="shared" si="4"/>
        <v>1</v>
      </c>
      <c r="AB62" s="2">
        <f t="shared" si="5"/>
        <v>0</v>
      </c>
      <c r="AC62" s="2">
        <f t="shared" si="6"/>
        <v>1</v>
      </c>
      <c r="AD62" s="2">
        <f t="shared" si="7"/>
        <v>1</v>
      </c>
      <c r="AE62" s="2">
        <f t="shared" si="8"/>
        <v>1</v>
      </c>
      <c r="AF62" s="2">
        <f t="shared" si="9"/>
        <v>0</v>
      </c>
      <c r="AG62" s="2">
        <f t="shared" si="10"/>
        <v>0</v>
      </c>
      <c r="AH62" s="2">
        <f t="shared" si="11"/>
        <v>2</v>
      </c>
      <c r="AI62" s="2">
        <f t="shared" si="12"/>
        <v>2</v>
      </c>
      <c r="AJ62" s="2">
        <f t="shared" si="13"/>
        <v>2</v>
      </c>
      <c r="AK62" s="2">
        <f t="shared" si="14"/>
        <v>2</v>
      </c>
      <c r="AL62" s="2">
        <f t="shared" si="15"/>
        <v>0</v>
      </c>
      <c r="AM62" s="115"/>
      <c r="AN62" s="115"/>
      <c r="AO62" s="63"/>
    </row>
    <row r="63" spans="1:41" ht="28.8" x14ac:dyDescent="0.55000000000000004">
      <c r="A63" s="36">
        <v>4655</v>
      </c>
      <c r="B63" s="113" t="s">
        <v>637</v>
      </c>
      <c r="C63" s="139" t="s">
        <v>638</v>
      </c>
      <c r="D63" s="114" t="s">
        <v>52</v>
      </c>
      <c r="E63" s="115"/>
      <c r="F63" s="116"/>
      <c r="G63" s="113" t="s">
        <v>547</v>
      </c>
      <c r="H63" s="113" t="s">
        <v>603</v>
      </c>
      <c r="I63" s="113"/>
      <c r="J63" s="117" t="s">
        <v>639</v>
      </c>
      <c r="K63" s="118"/>
      <c r="L63" s="109">
        <v>3</v>
      </c>
      <c r="M63" s="109">
        <v>3</v>
      </c>
      <c r="N63" s="109"/>
      <c r="O63" s="119"/>
      <c r="P63" s="2">
        <f t="shared" si="0"/>
        <v>1</v>
      </c>
      <c r="Q63" s="110" t="str">
        <f>IF(AND(Drops!$D$45&gt;1,OR(U63&lt;&gt;U62,AND(ROW()=5,U62=U63))),VLOOKUP(U63,Drops!$D$26:$E$44,2,FALSE),"")</f>
        <v/>
      </c>
      <c r="R63" s="2" t="str">
        <f t="shared" si="1"/>
        <v/>
      </c>
      <c r="S63" s="2">
        <f t="shared" ca="1" si="2"/>
        <v>1</v>
      </c>
      <c r="T63" s="2">
        <f t="shared" si="3"/>
        <v>0</v>
      </c>
      <c r="U63" s="110" t="s">
        <v>483</v>
      </c>
      <c r="V63" s="110">
        <v>5</v>
      </c>
      <c r="W63" s="110">
        <v>2</v>
      </c>
      <c r="X63" s="110">
        <v>14</v>
      </c>
      <c r="Y63" s="110">
        <v>0</v>
      </c>
      <c r="Z63" s="110">
        <v>0</v>
      </c>
      <c r="AA63" s="2">
        <f t="shared" si="4"/>
        <v>1</v>
      </c>
      <c r="AB63" s="2">
        <f t="shared" si="5"/>
        <v>0</v>
      </c>
      <c r="AC63" s="2">
        <f t="shared" si="6"/>
        <v>1</v>
      </c>
      <c r="AD63" s="2">
        <f t="shared" si="7"/>
        <v>1</v>
      </c>
      <c r="AE63" s="2">
        <f t="shared" si="8"/>
        <v>1</v>
      </c>
      <c r="AF63" s="2">
        <f t="shared" si="9"/>
        <v>0</v>
      </c>
      <c r="AG63" s="2">
        <f t="shared" si="10"/>
        <v>0</v>
      </c>
      <c r="AH63" s="2">
        <f t="shared" si="11"/>
        <v>2</v>
      </c>
      <c r="AI63" s="2">
        <f t="shared" si="12"/>
        <v>2</v>
      </c>
      <c r="AJ63" s="2">
        <f t="shared" si="13"/>
        <v>2</v>
      </c>
      <c r="AK63" s="2">
        <f t="shared" si="14"/>
        <v>2</v>
      </c>
      <c r="AL63" s="2">
        <f t="shared" si="15"/>
        <v>0</v>
      </c>
      <c r="AM63" s="115"/>
      <c r="AN63" s="115"/>
      <c r="AO63" s="63"/>
    </row>
    <row r="64" spans="1:41" ht="43.2" x14ac:dyDescent="0.55000000000000004">
      <c r="A64" s="36">
        <v>3887</v>
      </c>
      <c r="B64" s="113" t="s">
        <v>640</v>
      </c>
      <c r="C64" s="138" t="s">
        <v>641</v>
      </c>
      <c r="D64" s="114" t="s">
        <v>52</v>
      </c>
      <c r="E64" s="115"/>
      <c r="F64" s="116"/>
      <c r="G64" s="113" t="s">
        <v>547</v>
      </c>
      <c r="H64" s="113" t="s">
        <v>642</v>
      </c>
      <c r="I64" s="113" t="s">
        <v>551</v>
      </c>
      <c r="J64" s="117"/>
      <c r="K64" s="118"/>
      <c r="L64" s="109">
        <v>2</v>
      </c>
      <c r="M64" s="109">
        <v>2</v>
      </c>
      <c r="N64" s="109"/>
      <c r="O64" s="119"/>
      <c r="P64" s="2">
        <f t="shared" si="0"/>
        <v>1</v>
      </c>
      <c r="Q64" s="110" t="str">
        <f>IF(AND(Drops!$D$45&gt;1,OR(U64&lt;&gt;U63,AND(ROW()=5,U63=U64))),VLOOKUP(U64,Drops!$D$26:$E$44,2,FALSE),"")</f>
        <v/>
      </c>
      <c r="R64" s="2" t="str">
        <f t="shared" si="1"/>
        <v/>
      </c>
      <c r="S64" s="2">
        <f t="shared" ca="1" si="2"/>
        <v>1</v>
      </c>
      <c r="T64" s="2">
        <f t="shared" si="3"/>
        <v>0</v>
      </c>
      <c r="U64" s="110" t="s">
        <v>483</v>
      </c>
      <c r="V64" s="110">
        <v>5</v>
      </c>
      <c r="W64" s="110">
        <v>3</v>
      </c>
      <c r="X64" s="110">
        <v>0</v>
      </c>
      <c r="Y64" s="110">
        <v>0</v>
      </c>
      <c r="Z64" s="110">
        <v>0</v>
      </c>
      <c r="AA64" s="2">
        <f t="shared" si="4"/>
        <v>1</v>
      </c>
      <c r="AB64" s="2">
        <f t="shared" si="5"/>
        <v>1</v>
      </c>
      <c r="AC64" s="2">
        <f t="shared" si="6"/>
        <v>1</v>
      </c>
      <c r="AD64" s="2">
        <f t="shared" si="7"/>
        <v>1</v>
      </c>
      <c r="AE64" s="2">
        <f t="shared" si="8"/>
        <v>0</v>
      </c>
      <c r="AF64" s="2">
        <f t="shared" si="9"/>
        <v>0</v>
      </c>
      <c r="AG64" s="2">
        <f t="shared" si="10"/>
        <v>0</v>
      </c>
      <c r="AH64" s="2">
        <f t="shared" si="11"/>
        <v>2</v>
      </c>
      <c r="AI64" s="2">
        <f t="shared" si="12"/>
        <v>2</v>
      </c>
      <c r="AJ64" s="2">
        <f t="shared" si="13"/>
        <v>2</v>
      </c>
      <c r="AK64" s="2">
        <f t="shared" si="14"/>
        <v>2</v>
      </c>
      <c r="AL64" s="2">
        <f t="shared" si="15"/>
        <v>0</v>
      </c>
      <c r="AM64" s="115"/>
      <c r="AN64" s="115"/>
      <c r="AO64" s="63"/>
    </row>
    <row r="65" spans="1:41" ht="43.2" x14ac:dyDescent="0.55000000000000004">
      <c r="A65" s="36">
        <v>3901</v>
      </c>
      <c r="B65" s="113" t="s">
        <v>643</v>
      </c>
      <c r="C65" s="140" t="s">
        <v>644</v>
      </c>
      <c r="D65" s="114" t="s">
        <v>52</v>
      </c>
      <c r="E65" s="115"/>
      <c r="F65" s="116"/>
      <c r="G65" s="113" t="s">
        <v>547</v>
      </c>
      <c r="H65" s="113" t="s">
        <v>642</v>
      </c>
      <c r="I65" s="113" t="s">
        <v>645</v>
      </c>
      <c r="J65" s="117" t="s">
        <v>646</v>
      </c>
      <c r="K65" s="118"/>
      <c r="L65" s="109">
        <v>4</v>
      </c>
      <c r="M65" s="109">
        <v>2</v>
      </c>
      <c r="N65" s="109"/>
      <c r="O65" s="119"/>
      <c r="P65" s="2">
        <f t="shared" si="0"/>
        <v>1</v>
      </c>
      <c r="Q65" s="110" t="str">
        <f>IF(AND(Drops!$D$45&gt;1,OR(U65&lt;&gt;U64,AND(ROW()=5,U64=U65))),VLOOKUP(U65,Drops!$D$26:$E$44,2,FALSE),"")</f>
        <v/>
      </c>
      <c r="R65" s="2" t="str">
        <f t="shared" si="1"/>
        <v/>
      </c>
      <c r="S65" s="2">
        <f t="shared" ca="1" si="2"/>
        <v>1</v>
      </c>
      <c r="T65" s="2">
        <f t="shared" si="3"/>
        <v>1</v>
      </c>
      <c r="U65" s="110" t="s">
        <v>483</v>
      </c>
      <c r="V65" s="110">
        <v>5</v>
      </c>
      <c r="W65" s="110">
        <v>3</v>
      </c>
      <c r="X65" s="110">
        <v>4</v>
      </c>
      <c r="Y65" s="110">
        <v>3</v>
      </c>
      <c r="Z65" s="110">
        <v>0</v>
      </c>
      <c r="AA65" s="2">
        <f t="shared" si="4"/>
        <v>1</v>
      </c>
      <c r="AB65" s="2">
        <f t="shared" si="5"/>
        <v>0</v>
      </c>
      <c r="AC65" s="2">
        <f t="shared" si="6"/>
        <v>1</v>
      </c>
      <c r="AD65" s="2">
        <f t="shared" si="7"/>
        <v>1</v>
      </c>
      <c r="AE65" s="2">
        <f t="shared" si="8"/>
        <v>0</v>
      </c>
      <c r="AF65" s="2">
        <f t="shared" si="9"/>
        <v>1</v>
      </c>
      <c r="AG65" s="2">
        <f t="shared" si="10"/>
        <v>0</v>
      </c>
      <c r="AH65" s="2">
        <f t="shared" si="11"/>
        <v>2</v>
      </c>
      <c r="AI65" s="2">
        <f t="shared" si="12"/>
        <v>2</v>
      </c>
      <c r="AJ65" s="2">
        <f t="shared" si="13"/>
        <v>2</v>
      </c>
      <c r="AK65" s="2">
        <f t="shared" si="14"/>
        <v>2</v>
      </c>
      <c r="AL65" s="2">
        <f t="shared" si="15"/>
        <v>0</v>
      </c>
      <c r="AM65" s="115"/>
      <c r="AN65" s="115"/>
      <c r="AO65" s="63"/>
    </row>
    <row r="66" spans="1:41" ht="216" x14ac:dyDescent="0.55000000000000004">
      <c r="A66" s="36">
        <v>3199</v>
      </c>
      <c r="B66" s="113" t="s">
        <v>183</v>
      </c>
      <c r="C66" s="113" t="s">
        <v>647</v>
      </c>
      <c r="D66" s="114" t="s">
        <v>52</v>
      </c>
      <c r="E66" s="115" t="s">
        <v>648</v>
      </c>
      <c r="F66" s="116"/>
      <c r="G66" s="113" t="s">
        <v>649</v>
      </c>
      <c r="H66" s="113" t="s">
        <v>649</v>
      </c>
      <c r="I66" s="113" t="s">
        <v>650</v>
      </c>
      <c r="J66" s="117" t="s">
        <v>651</v>
      </c>
      <c r="K66" s="118"/>
      <c r="L66" s="109">
        <v>1</v>
      </c>
      <c r="M66" s="109">
        <v>2</v>
      </c>
      <c r="N66" s="109"/>
      <c r="O66" s="119"/>
      <c r="P66" s="2">
        <f t="shared" si="0"/>
        <v>1</v>
      </c>
      <c r="Q66" s="110" t="str">
        <f>IF(AND(Drops!$D$45&gt;1,OR(U66&lt;&gt;U65,AND(ROW()=5,U65=U66))),VLOOKUP(U66,Drops!$D$26:$E$44,2,FALSE),"")</f>
        <v>B. Security Policy</v>
      </c>
      <c r="R66" s="2">
        <f t="shared" si="1"/>
        <v>66</v>
      </c>
      <c r="S66" s="2">
        <f t="shared" ca="1" si="2"/>
        <v>1</v>
      </c>
      <c r="T66" s="2">
        <f t="shared" si="3"/>
        <v>1</v>
      </c>
      <c r="U66" s="110" t="s">
        <v>652</v>
      </c>
      <c r="V66" s="110">
        <v>1</v>
      </c>
      <c r="W66" s="110">
        <v>0</v>
      </c>
      <c r="X66" s="110">
        <v>0</v>
      </c>
      <c r="Y66" s="110">
        <v>0</v>
      </c>
      <c r="Z66" s="110">
        <v>0</v>
      </c>
      <c r="AA66" s="2">
        <f t="shared" si="4"/>
        <v>1</v>
      </c>
      <c r="AB66" s="2">
        <f t="shared" si="5"/>
        <v>1</v>
      </c>
      <c r="AC66" s="2">
        <f t="shared" si="6"/>
        <v>1</v>
      </c>
      <c r="AD66" s="2">
        <f t="shared" si="7"/>
        <v>0</v>
      </c>
      <c r="AE66" s="2">
        <f t="shared" si="8"/>
        <v>0</v>
      </c>
      <c r="AF66" s="2">
        <f t="shared" si="9"/>
        <v>0</v>
      </c>
      <c r="AG66" s="2">
        <f t="shared" si="10"/>
        <v>0</v>
      </c>
      <c r="AH66" s="2">
        <f t="shared" si="11"/>
        <v>2</v>
      </c>
      <c r="AI66" s="2">
        <f t="shared" si="12"/>
        <v>0</v>
      </c>
      <c r="AJ66" s="2">
        <f t="shared" si="13"/>
        <v>0</v>
      </c>
      <c r="AK66" s="2">
        <f t="shared" si="14"/>
        <v>0</v>
      </c>
      <c r="AL66" s="2">
        <f t="shared" si="15"/>
        <v>0</v>
      </c>
      <c r="AM66" s="115"/>
      <c r="AN66" s="115"/>
      <c r="AO66" s="63"/>
    </row>
    <row r="67" spans="1:41" ht="43.2" x14ac:dyDescent="0.55000000000000004">
      <c r="A67" s="36">
        <v>2482</v>
      </c>
      <c r="B67" s="113" t="s">
        <v>653</v>
      </c>
      <c r="C67" s="138" t="s">
        <v>654</v>
      </c>
      <c r="D67" s="114" t="s">
        <v>52</v>
      </c>
      <c r="E67" s="115" t="s">
        <v>655</v>
      </c>
      <c r="F67" s="116"/>
      <c r="G67" s="113" t="s">
        <v>649</v>
      </c>
      <c r="H67" s="113" t="s">
        <v>649</v>
      </c>
      <c r="I67" s="113"/>
      <c r="J67" s="117" t="s">
        <v>656</v>
      </c>
      <c r="K67" s="118"/>
      <c r="L67" s="109">
        <v>2</v>
      </c>
      <c r="M67" s="109">
        <v>3</v>
      </c>
      <c r="N67" s="109"/>
      <c r="O67" s="119"/>
      <c r="P67" s="2">
        <f t="shared" si="0"/>
        <v>1</v>
      </c>
      <c r="Q67" s="110" t="str">
        <f>IF(AND(Drops!$D$45&gt;1,OR(U67&lt;&gt;U66,AND(ROW()=5,U66=U67))),VLOOKUP(U67,Drops!$D$26:$E$44,2,FALSE),"")</f>
        <v/>
      </c>
      <c r="R67" s="2" t="str">
        <f t="shared" si="1"/>
        <v/>
      </c>
      <c r="S67" s="2">
        <f t="shared" ca="1" si="2"/>
        <v>1</v>
      </c>
      <c r="T67" s="2">
        <f t="shared" si="3"/>
        <v>0</v>
      </c>
      <c r="U67" s="110" t="s">
        <v>652</v>
      </c>
      <c r="V67" s="110">
        <v>1</v>
      </c>
      <c r="W67" s="110">
        <v>1</v>
      </c>
      <c r="X67" s="110">
        <v>0</v>
      </c>
      <c r="Y67" s="110">
        <v>0</v>
      </c>
      <c r="Z67" s="110">
        <v>0</v>
      </c>
      <c r="AA67" s="2">
        <f t="shared" si="4"/>
        <v>1</v>
      </c>
      <c r="AB67" s="2">
        <f t="shared" si="5"/>
        <v>0</v>
      </c>
      <c r="AC67" s="2">
        <f t="shared" si="6"/>
        <v>1</v>
      </c>
      <c r="AD67" s="2">
        <f t="shared" si="7"/>
        <v>1</v>
      </c>
      <c r="AE67" s="2">
        <f t="shared" si="8"/>
        <v>0</v>
      </c>
      <c r="AF67" s="2">
        <f t="shared" si="9"/>
        <v>0</v>
      </c>
      <c r="AG67" s="2">
        <f t="shared" si="10"/>
        <v>0</v>
      </c>
      <c r="AH67" s="2">
        <f t="shared" si="11"/>
        <v>2</v>
      </c>
      <c r="AI67" s="2">
        <f t="shared" si="12"/>
        <v>2</v>
      </c>
      <c r="AJ67" s="2">
        <f t="shared" si="13"/>
        <v>0</v>
      </c>
      <c r="AK67" s="2">
        <f t="shared" si="14"/>
        <v>0</v>
      </c>
      <c r="AL67" s="2">
        <f t="shared" si="15"/>
        <v>0</v>
      </c>
      <c r="AM67" s="115"/>
      <c r="AN67" s="115"/>
      <c r="AO67" s="63"/>
    </row>
    <row r="68" spans="1:41" ht="43.2" x14ac:dyDescent="0.55000000000000004">
      <c r="A68" s="36">
        <v>4414</v>
      </c>
      <c r="B68" s="113" t="s">
        <v>657</v>
      </c>
      <c r="C68" s="138" t="s">
        <v>658</v>
      </c>
      <c r="D68" s="114" t="s">
        <v>52</v>
      </c>
      <c r="E68" s="115"/>
      <c r="F68" s="116"/>
      <c r="G68" s="113" t="s">
        <v>649</v>
      </c>
      <c r="H68" s="113" t="s">
        <v>649</v>
      </c>
      <c r="I68" s="113" t="s">
        <v>650</v>
      </c>
      <c r="J68" s="117" t="s">
        <v>656</v>
      </c>
      <c r="K68" s="118"/>
      <c r="L68" s="109">
        <v>2</v>
      </c>
      <c r="M68" s="109">
        <v>3</v>
      </c>
      <c r="N68" s="109"/>
      <c r="O68" s="119"/>
      <c r="P68" s="2">
        <f t="shared" si="0"/>
        <v>1</v>
      </c>
      <c r="Q68" s="110" t="str">
        <f>IF(AND(Drops!$D$45&gt;1,OR(U68&lt;&gt;U67,AND(ROW()=5,U67=U68))),VLOOKUP(U68,Drops!$D$26:$E$44,2,FALSE),"")</f>
        <v/>
      </c>
      <c r="R68" s="2" t="str">
        <f t="shared" si="1"/>
        <v/>
      </c>
      <c r="S68" s="2">
        <f t="shared" ca="1" si="2"/>
        <v>1</v>
      </c>
      <c r="T68" s="2">
        <f t="shared" si="3"/>
        <v>0</v>
      </c>
      <c r="U68" s="110" t="s">
        <v>652</v>
      </c>
      <c r="V68" s="110">
        <v>1</v>
      </c>
      <c r="W68" s="110">
        <v>2</v>
      </c>
      <c r="X68" s="110">
        <v>0</v>
      </c>
      <c r="Y68" s="110">
        <v>0</v>
      </c>
      <c r="Z68" s="110">
        <v>0</v>
      </c>
      <c r="AA68" s="2">
        <f t="shared" si="4"/>
        <v>1</v>
      </c>
      <c r="AB68" s="2">
        <f t="shared" si="5"/>
        <v>0</v>
      </c>
      <c r="AC68" s="2">
        <f t="shared" si="6"/>
        <v>1</v>
      </c>
      <c r="AD68" s="2">
        <f t="shared" si="7"/>
        <v>1</v>
      </c>
      <c r="AE68" s="2">
        <f t="shared" si="8"/>
        <v>0</v>
      </c>
      <c r="AF68" s="2">
        <f t="shared" si="9"/>
        <v>0</v>
      </c>
      <c r="AG68" s="2">
        <f t="shared" si="10"/>
        <v>0</v>
      </c>
      <c r="AH68" s="2">
        <f t="shared" si="11"/>
        <v>2</v>
      </c>
      <c r="AI68" s="2">
        <f t="shared" si="12"/>
        <v>2</v>
      </c>
      <c r="AJ68" s="2">
        <f t="shared" si="13"/>
        <v>0</v>
      </c>
      <c r="AK68" s="2">
        <f t="shared" si="14"/>
        <v>0</v>
      </c>
      <c r="AL68" s="2">
        <f t="shared" si="15"/>
        <v>0</v>
      </c>
      <c r="AM68" s="115"/>
      <c r="AN68" s="115"/>
      <c r="AO68" s="63"/>
    </row>
    <row r="69" spans="1:41" ht="100.8" x14ac:dyDescent="0.55000000000000004">
      <c r="A69" s="36">
        <v>4415</v>
      </c>
      <c r="B69" s="113" t="s">
        <v>659</v>
      </c>
      <c r="C69" s="138" t="s">
        <v>660</v>
      </c>
      <c r="D69" s="114" t="s">
        <v>52</v>
      </c>
      <c r="E69" s="115"/>
      <c r="F69" s="116"/>
      <c r="G69" s="113" t="s">
        <v>649</v>
      </c>
      <c r="H69" s="113" t="s">
        <v>649</v>
      </c>
      <c r="I69" s="113"/>
      <c r="J69" s="117" t="s">
        <v>661</v>
      </c>
      <c r="K69" s="118"/>
      <c r="L69" s="109">
        <v>2</v>
      </c>
      <c r="M69" s="109">
        <v>3</v>
      </c>
      <c r="N69" s="109"/>
      <c r="O69" s="119"/>
      <c r="P69" s="2">
        <f t="shared" si="0"/>
        <v>1</v>
      </c>
      <c r="Q69" s="110" t="str">
        <f>IF(AND(Drops!$D$45&gt;1,OR(U69&lt;&gt;U68,AND(ROW()=5,U68=U69))),VLOOKUP(U69,Drops!$D$26:$E$44,2,FALSE),"")</f>
        <v/>
      </c>
      <c r="R69" s="2" t="str">
        <f t="shared" si="1"/>
        <v/>
      </c>
      <c r="S69" s="2">
        <f t="shared" ca="1" si="2"/>
        <v>1</v>
      </c>
      <c r="T69" s="2">
        <f t="shared" si="3"/>
        <v>0</v>
      </c>
      <c r="U69" s="110" t="s">
        <v>652</v>
      </c>
      <c r="V69" s="110">
        <v>1</v>
      </c>
      <c r="W69" s="110">
        <v>3</v>
      </c>
      <c r="X69" s="110">
        <v>0</v>
      </c>
      <c r="Y69" s="110">
        <v>0</v>
      </c>
      <c r="Z69" s="110">
        <v>0</v>
      </c>
      <c r="AA69" s="2">
        <f t="shared" si="4"/>
        <v>1</v>
      </c>
      <c r="AB69" s="2">
        <f t="shared" si="5"/>
        <v>0</v>
      </c>
      <c r="AC69" s="2">
        <f t="shared" si="6"/>
        <v>1</v>
      </c>
      <c r="AD69" s="2">
        <f t="shared" si="7"/>
        <v>1</v>
      </c>
      <c r="AE69" s="2">
        <f t="shared" si="8"/>
        <v>0</v>
      </c>
      <c r="AF69" s="2">
        <f t="shared" si="9"/>
        <v>0</v>
      </c>
      <c r="AG69" s="2">
        <f t="shared" si="10"/>
        <v>0</v>
      </c>
      <c r="AH69" s="2">
        <f t="shared" si="11"/>
        <v>2</v>
      </c>
      <c r="AI69" s="2">
        <f t="shared" si="12"/>
        <v>2</v>
      </c>
      <c r="AJ69" s="2">
        <f t="shared" si="13"/>
        <v>0</v>
      </c>
      <c r="AK69" s="2">
        <f t="shared" si="14"/>
        <v>0</v>
      </c>
      <c r="AL69" s="2">
        <f t="shared" si="15"/>
        <v>0</v>
      </c>
      <c r="AM69" s="115"/>
      <c r="AN69" s="115"/>
      <c r="AO69" s="63"/>
    </row>
    <row r="70" spans="1:41" ht="144" x14ac:dyDescent="0.55000000000000004">
      <c r="A70" s="36">
        <v>4173</v>
      </c>
      <c r="B70" s="113" t="s">
        <v>662</v>
      </c>
      <c r="C70" s="138" t="s">
        <v>663</v>
      </c>
      <c r="D70" s="114" t="s">
        <v>52</v>
      </c>
      <c r="E70" s="115" t="s">
        <v>664</v>
      </c>
      <c r="F70" s="116"/>
      <c r="G70" s="113" t="s">
        <v>649</v>
      </c>
      <c r="H70" s="113" t="s">
        <v>649</v>
      </c>
      <c r="I70" s="113"/>
      <c r="J70" s="117" t="s">
        <v>665</v>
      </c>
      <c r="K70" s="118"/>
      <c r="L70" s="109">
        <v>2</v>
      </c>
      <c r="M70" s="109">
        <v>2</v>
      </c>
      <c r="N70" s="109"/>
      <c r="O70" s="119"/>
      <c r="P70" s="2">
        <f t="shared" ref="P70:P133" si="16">IF($L70="","",IF($D70="Yes",1,IF($D70="No",2,IF($D70="N/A",3,0))))</f>
        <v>1</v>
      </c>
      <c r="Q70" s="110" t="str">
        <f>IF(AND(Drops!$D$45&gt;1,OR(U70&lt;&gt;U69,AND(ROW()=5,U69=U70))),VLOOKUP(U70,Drops!$D$26:$E$44,2,FALSE),"")</f>
        <v/>
      </c>
      <c r="R70" s="2" t="str">
        <f t="shared" ref="R70:R133" si="17">IF(Q70&lt;&gt;"",ROW(),"")</f>
        <v/>
      </c>
      <c r="S70" s="2">
        <f t="shared" ref="S70:S133" ca="1" si="18">OFFSET(AC70,,L70-1)</f>
        <v>1</v>
      </c>
      <c r="T70" s="2">
        <f t="shared" ref="T70:T133" si="19">IF(OR(V70&lt;&gt;V69,U70&lt;&gt;U69,AND(V70&lt;&gt;V69,W70&lt;&gt;W69),AND(V70&lt;&gt;V69,W70&lt;&gt;W69,X70&lt;&gt;X69),AND(V70&lt;&gt;V69,W70&lt;&gt;W69,X70&lt;&gt;X69,Y70&lt;&gt;Y69),AND(V70&lt;&gt;V69,W70&lt;&gt;W69,X70&lt;&gt;X69,Y70&lt;&gt;Y69,Z70&lt;&gt;Z69),L70-L69&gt;1),1,0)</f>
        <v>0</v>
      </c>
      <c r="U70" s="110" t="s">
        <v>652</v>
      </c>
      <c r="V70" s="110">
        <v>1</v>
      </c>
      <c r="W70" s="110">
        <v>5</v>
      </c>
      <c r="X70" s="110">
        <v>0</v>
      </c>
      <c r="Y70" s="110">
        <v>0</v>
      </c>
      <c r="Z70" s="110">
        <v>0</v>
      </c>
      <c r="AA70" s="2">
        <f t="shared" ref="AA70:AA133" si="20">IF(ROW()=5,1,IF(OR(AH70=1,P70&gt;0,T70=1),1,IF(OR(AND(AH70=2,AI70=1),AND(AI70=2,AJ70=1),AND(AJ70=2,AK70=1),AND(AK70=2,AL70=1)),1,0)))</f>
        <v>1</v>
      </c>
      <c r="AB70" s="2">
        <f t="shared" ref="AB70:AB133" si="21">IF(L71&gt;L70,1,0)</f>
        <v>1</v>
      </c>
      <c r="AC70" s="2">
        <f t="shared" ref="AC70:AC133" si="22">IF(ROW()=5,P70,IF(AND($P70&gt;1,AC$4=$L70),$P70,IF(AND($U70=$U69,V70=V69),AC69,IF(AND($L70=AC$4,P70=1),P70,0))))</f>
        <v>1</v>
      </c>
      <c r="AD70" s="2">
        <f t="shared" ref="AD70:AD133" si="23">IF(AC70&gt;1,AC70,IF(AND($P70&gt;1,AD$4=$L70),$P70,IF(AND($U70=$U69,W70=W69),AD69,IF(AND($L70=AD$4,P70=1),P70,0))))</f>
        <v>1</v>
      </c>
      <c r="AE70" s="2">
        <f t="shared" ref="AE70:AE133" si="24">IF(AD70&gt;1,AD70,IF(AND($P70&gt;1,AE$4=$L70),$P70,IF(AND($U70=$U69,X70=X69),AE69,IF(AND($L70=AE$4,P70=1),P70,0))))</f>
        <v>0</v>
      </c>
      <c r="AF70" s="2">
        <f t="shared" ref="AF70:AF133" si="25">IF(AE70&gt;1,AE70,IF(AND($P70&gt;1,AF$4=$L70),$P70,IF(AND($U70=$U69,Y70=Y69),AF69,IF(AND($L70=AF$4,P70=1),P70,0))))</f>
        <v>0</v>
      </c>
      <c r="AG70" s="2">
        <f t="shared" ref="AG70:AG133" si="26">IF(AF70&gt;1,AF70,IF(AND($P70&gt;1,AG$4=$L70),$P70,IF(AND($U70=$U69,Z70=Z69),AG69,IF(AND($L70=AG$4,P70=1),P70,0))))</f>
        <v>0</v>
      </c>
      <c r="AH70" s="2">
        <f t="shared" ref="AH70:AH133" si="27">IF(AND($P70=1,$L70=AH$4),2,IF(AND($L70&lt;&gt;AH$4,AH69=2),AH69,IF($L70&lt;&gt;AH$4,0,1)))</f>
        <v>2</v>
      </c>
      <c r="AI70" s="2">
        <f t="shared" ref="AI70:AI133" si="28">IF(OR(ROW()=5,$U69&lt;&gt;$U70),0,IF(AND($P70=1,$L70=AI$4),2,IF(AND($L70&lt;&gt;AI$4,AI69=2),AI69,IF($L70&lt;&gt;AI$4,0,1))))</f>
        <v>2</v>
      </c>
      <c r="AJ70" s="2">
        <f t="shared" ref="AJ70:AJ133" si="29">IF(OR(ROW()=5,$U69&lt;&gt;$U70),0,IF(AND($P70=1,$L70=AJ$4),2,IF(AND($L70&lt;&gt;AJ$4,AJ69=2),AJ69,IF($L70&lt;&gt;AJ$4,0,1))))</f>
        <v>0</v>
      </c>
      <c r="AK70" s="2">
        <f t="shared" ref="AK70:AK133" si="30">IF(OR(ROW()=5,$U69&lt;&gt;$U70),0,IF(AND($P70=1,$L70=AK$4),2,IF(AND($L70&lt;&gt;AK$4,AK69=2),AK69,IF($L70&lt;&gt;AK$4,0,1))))</f>
        <v>0</v>
      </c>
      <c r="AL70" s="2">
        <f t="shared" ref="AL70:AL133" si="31">IF(OR(ROW()=5,$U69&lt;&gt;$U70),0,IF(AND($P70=1,$L70=AL$4),2,IF(AND($L70&lt;&gt;AL$4,AL69=2),AL69,IF($L70&lt;&gt;AL$4,0,1))))</f>
        <v>0</v>
      </c>
      <c r="AM70" s="115"/>
      <c r="AN70" s="115"/>
      <c r="AO70" s="63"/>
    </row>
    <row r="71" spans="1:41" ht="144" x14ac:dyDescent="0.55000000000000004">
      <c r="A71" s="36">
        <v>4174</v>
      </c>
      <c r="B71" s="113" t="s">
        <v>666</v>
      </c>
      <c r="C71" s="139" t="s">
        <v>667</v>
      </c>
      <c r="D71" s="114" t="s">
        <v>52</v>
      </c>
      <c r="E71" s="115"/>
      <c r="F71" s="116"/>
      <c r="G71" s="113" t="s">
        <v>649</v>
      </c>
      <c r="H71" s="113" t="s">
        <v>649</v>
      </c>
      <c r="I71" s="113"/>
      <c r="J71" s="117" t="s">
        <v>668</v>
      </c>
      <c r="K71" s="118"/>
      <c r="L71" s="109">
        <v>3</v>
      </c>
      <c r="M71" s="109">
        <v>3</v>
      </c>
      <c r="N71" s="109"/>
      <c r="O71" s="119"/>
      <c r="P71" s="2">
        <f t="shared" si="16"/>
        <v>1</v>
      </c>
      <c r="Q71" s="110" t="str">
        <f>IF(AND(Drops!$D$45&gt;1,OR(U71&lt;&gt;U70,AND(ROW()=5,U70=U71))),VLOOKUP(U71,Drops!$D$26:$E$44,2,FALSE),"")</f>
        <v/>
      </c>
      <c r="R71" s="2" t="str">
        <f t="shared" si="17"/>
        <v/>
      </c>
      <c r="S71" s="2">
        <f t="shared" ca="1" si="18"/>
        <v>1</v>
      </c>
      <c r="T71" s="2">
        <f t="shared" si="19"/>
        <v>0</v>
      </c>
      <c r="U71" s="110" t="s">
        <v>652</v>
      </c>
      <c r="V71" s="110">
        <v>1</v>
      </c>
      <c r="W71" s="110">
        <v>5</v>
      </c>
      <c r="X71" s="110">
        <v>1</v>
      </c>
      <c r="Y71" s="110">
        <v>0</v>
      </c>
      <c r="Z71" s="110">
        <v>0</v>
      </c>
      <c r="AA71" s="2">
        <f t="shared" si="20"/>
        <v>1</v>
      </c>
      <c r="AB71" s="2">
        <f t="shared" si="21"/>
        <v>0</v>
      </c>
      <c r="AC71" s="2">
        <f t="shared" si="22"/>
        <v>1</v>
      </c>
      <c r="AD71" s="2">
        <f t="shared" si="23"/>
        <v>1</v>
      </c>
      <c r="AE71" s="2">
        <f t="shared" si="24"/>
        <v>1</v>
      </c>
      <c r="AF71" s="2">
        <f t="shared" si="25"/>
        <v>0</v>
      </c>
      <c r="AG71" s="2">
        <f t="shared" si="26"/>
        <v>0</v>
      </c>
      <c r="AH71" s="2">
        <f t="shared" si="27"/>
        <v>2</v>
      </c>
      <c r="AI71" s="2">
        <f t="shared" si="28"/>
        <v>2</v>
      </c>
      <c r="AJ71" s="2">
        <f t="shared" si="29"/>
        <v>2</v>
      </c>
      <c r="AK71" s="2">
        <f t="shared" si="30"/>
        <v>0</v>
      </c>
      <c r="AL71" s="2">
        <f t="shared" si="31"/>
        <v>0</v>
      </c>
      <c r="AM71" s="115"/>
      <c r="AN71" s="115"/>
      <c r="AO71" s="63"/>
    </row>
    <row r="72" spans="1:41" ht="158.4" x14ac:dyDescent="0.55000000000000004">
      <c r="A72" s="36">
        <v>2471</v>
      </c>
      <c r="B72" s="113" t="s">
        <v>669</v>
      </c>
      <c r="C72" s="138" t="s">
        <v>670</v>
      </c>
      <c r="D72" s="114" t="s">
        <v>52</v>
      </c>
      <c r="E72" s="115"/>
      <c r="F72" s="116"/>
      <c r="G72" s="113" t="s">
        <v>649</v>
      </c>
      <c r="H72" s="113" t="s">
        <v>649</v>
      </c>
      <c r="I72" s="113" t="s">
        <v>671</v>
      </c>
      <c r="J72" s="117" t="s">
        <v>672</v>
      </c>
      <c r="K72" s="118"/>
      <c r="L72" s="109">
        <v>2</v>
      </c>
      <c r="M72" s="109">
        <v>2</v>
      </c>
      <c r="N72" s="109"/>
      <c r="O72" s="119"/>
      <c r="P72" s="2">
        <f t="shared" si="16"/>
        <v>1</v>
      </c>
      <c r="Q72" s="110" t="str">
        <f>IF(AND(Drops!$D$45&gt;1,OR(U72&lt;&gt;U71,AND(ROW()=5,U71=U72))),VLOOKUP(U72,Drops!$D$26:$E$44,2,FALSE),"")</f>
        <v/>
      </c>
      <c r="R72" s="2" t="str">
        <f t="shared" si="17"/>
        <v/>
      </c>
      <c r="S72" s="2">
        <f t="shared" ca="1" si="18"/>
        <v>1</v>
      </c>
      <c r="T72" s="2">
        <f t="shared" si="19"/>
        <v>0</v>
      </c>
      <c r="U72" s="110" t="s">
        <v>652</v>
      </c>
      <c r="V72" s="110">
        <v>1</v>
      </c>
      <c r="W72" s="110">
        <v>6</v>
      </c>
      <c r="X72" s="110">
        <v>0</v>
      </c>
      <c r="Y72" s="110">
        <v>0</v>
      </c>
      <c r="Z72" s="110">
        <v>0</v>
      </c>
      <c r="AA72" s="2">
        <f t="shared" si="20"/>
        <v>1</v>
      </c>
      <c r="AB72" s="2">
        <f t="shared" si="21"/>
        <v>0</v>
      </c>
      <c r="AC72" s="2">
        <f t="shared" si="22"/>
        <v>1</v>
      </c>
      <c r="AD72" s="2">
        <f t="shared" si="23"/>
        <v>1</v>
      </c>
      <c r="AE72" s="2">
        <f t="shared" si="24"/>
        <v>0</v>
      </c>
      <c r="AF72" s="2">
        <f t="shared" si="25"/>
        <v>0</v>
      </c>
      <c r="AG72" s="2">
        <f t="shared" si="26"/>
        <v>0</v>
      </c>
      <c r="AH72" s="2">
        <f t="shared" si="27"/>
        <v>2</v>
      </c>
      <c r="AI72" s="2">
        <f t="shared" si="28"/>
        <v>2</v>
      </c>
      <c r="AJ72" s="2">
        <f t="shared" si="29"/>
        <v>2</v>
      </c>
      <c r="AK72" s="2">
        <f t="shared" si="30"/>
        <v>0</v>
      </c>
      <c r="AL72" s="2">
        <f t="shared" si="31"/>
        <v>0</v>
      </c>
      <c r="AM72" s="115"/>
      <c r="AN72" s="115"/>
      <c r="AO72" s="63"/>
    </row>
    <row r="73" spans="1:41" ht="100.8" x14ac:dyDescent="0.55000000000000004">
      <c r="A73" s="36">
        <v>4417</v>
      </c>
      <c r="B73" s="113" t="s">
        <v>187</v>
      </c>
      <c r="C73" s="113" t="s">
        <v>673</v>
      </c>
      <c r="D73" s="114" t="s">
        <v>52</v>
      </c>
      <c r="E73" s="115" t="s">
        <v>674</v>
      </c>
      <c r="F73" s="116"/>
      <c r="G73" s="113" t="s">
        <v>675</v>
      </c>
      <c r="H73" s="113" t="s">
        <v>676</v>
      </c>
      <c r="I73" s="113" t="s">
        <v>677</v>
      </c>
      <c r="J73" s="117" t="s">
        <v>678</v>
      </c>
      <c r="K73" s="118"/>
      <c r="L73" s="109">
        <v>1</v>
      </c>
      <c r="M73" s="109">
        <v>2</v>
      </c>
      <c r="N73" s="109"/>
      <c r="O73" s="119"/>
      <c r="P73" s="2">
        <f t="shared" si="16"/>
        <v>1</v>
      </c>
      <c r="Q73" s="110" t="str">
        <f>IF(AND(Drops!$D$45&gt;1,OR(U73&lt;&gt;U72,AND(ROW()=5,U72=U73))),VLOOKUP(U73,Drops!$D$26:$E$44,2,FALSE),"")</f>
        <v>C. Organizational Security</v>
      </c>
      <c r="R73" s="2">
        <f t="shared" si="17"/>
        <v>73</v>
      </c>
      <c r="S73" s="2">
        <f t="shared" ca="1" si="18"/>
        <v>1</v>
      </c>
      <c r="T73" s="2">
        <f t="shared" si="19"/>
        <v>1</v>
      </c>
      <c r="U73" s="110" t="s">
        <v>679</v>
      </c>
      <c r="V73" s="110">
        <v>1</v>
      </c>
      <c r="W73" s="110">
        <v>6</v>
      </c>
      <c r="X73" s="110">
        <v>0</v>
      </c>
      <c r="Y73" s="110">
        <v>0</v>
      </c>
      <c r="Z73" s="110">
        <v>0</v>
      </c>
      <c r="AA73" s="2">
        <f t="shared" si="20"/>
        <v>1</v>
      </c>
      <c r="AB73" s="2">
        <f t="shared" si="21"/>
        <v>1</v>
      </c>
      <c r="AC73" s="2">
        <f t="shared" si="22"/>
        <v>1</v>
      </c>
      <c r="AD73" s="2">
        <f t="shared" si="23"/>
        <v>0</v>
      </c>
      <c r="AE73" s="2">
        <f t="shared" si="24"/>
        <v>0</v>
      </c>
      <c r="AF73" s="2">
        <f t="shared" si="25"/>
        <v>0</v>
      </c>
      <c r="AG73" s="2">
        <f t="shared" si="26"/>
        <v>0</v>
      </c>
      <c r="AH73" s="2">
        <f t="shared" si="27"/>
        <v>2</v>
      </c>
      <c r="AI73" s="2">
        <f t="shared" si="28"/>
        <v>0</v>
      </c>
      <c r="AJ73" s="2">
        <f t="shared" si="29"/>
        <v>0</v>
      </c>
      <c r="AK73" s="2">
        <f t="shared" si="30"/>
        <v>0</v>
      </c>
      <c r="AL73" s="2">
        <f t="shared" si="31"/>
        <v>0</v>
      </c>
      <c r="AM73" s="115"/>
      <c r="AN73" s="115"/>
      <c r="AO73" s="63"/>
    </row>
    <row r="74" spans="1:41" ht="43.2" x14ac:dyDescent="0.55000000000000004">
      <c r="A74" s="36">
        <v>4418</v>
      </c>
      <c r="B74" s="113" t="s">
        <v>680</v>
      </c>
      <c r="C74" s="138" t="s">
        <v>681</v>
      </c>
      <c r="D74" s="114" t="s">
        <v>52</v>
      </c>
      <c r="E74" s="115"/>
      <c r="F74" s="116"/>
      <c r="G74" s="113" t="s">
        <v>675</v>
      </c>
      <c r="H74" s="113" t="s">
        <v>676</v>
      </c>
      <c r="I74" s="113"/>
      <c r="J74" s="117" t="s">
        <v>682</v>
      </c>
      <c r="K74" s="118"/>
      <c r="L74" s="109">
        <v>2</v>
      </c>
      <c r="M74" s="109">
        <v>3</v>
      </c>
      <c r="N74" s="109"/>
      <c r="O74" s="119"/>
      <c r="P74" s="2">
        <f t="shared" si="16"/>
        <v>1</v>
      </c>
      <c r="Q74" s="110" t="str">
        <f>IF(AND(Drops!$D$45&gt;1,OR(U74&lt;&gt;U73,AND(ROW()=5,U73=U74))),VLOOKUP(U74,Drops!$D$26:$E$44,2,FALSE),"")</f>
        <v/>
      </c>
      <c r="R74" s="2" t="str">
        <f t="shared" si="17"/>
        <v/>
      </c>
      <c r="S74" s="2">
        <f t="shared" ca="1" si="18"/>
        <v>1</v>
      </c>
      <c r="T74" s="2">
        <f t="shared" si="19"/>
        <v>0</v>
      </c>
      <c r="U74" s="110" t="s">
        <v>679</v>
      </c>
      <c r="V74" s="110">
        <v>1</v>
      </c>
      <c r="W74" s="110">
        <v>7</v>
      </c>
      <c r="X74" s="110">
        <v>0</v>
      </c>
      <c r="Y74" s="110">
        <v>0</v>
      </c>
      <c r="Z74" s="110">
        <v>0</v>
      </c>
      <c r="AA74" s="2">
        <f t="shared" si="20"/>
        <v>1</v>
      </c>
      <c r="AB74" s="2">
        <f t="shared" si="21"/>
        <v>0</v>
      </c>
      <c r="AC74" s="2">
        <f t="shared" si="22"/>
        <v>1</v>
      </c>
      <c r="AD74" s="2">
        <f t="shared" si="23"/>
        <v>1</v>
      </c>
      <c r="AE74" s="2">
        <f t="shared" si="24"/>
        <v>0</v>
      </c>
      <c r="AF74" s="2">
        <f t="shared" si="25"/>
        <v>0</v>
      </c>
      <c r="AG74" s="2">
        <f t="shared" si="26"/>
        <v>0</v>
      </c>
      <c r="AH74" s="2">
        <f t="shared" si="27"/>
        <v>2</v>
      </c>
      <c r="AI74" s="2">
        <f t="shared" si="28"/>
        <v>2</v>
      </c>
      <c r="AJ74" s="2">
        <f t="shared" si="29"/>
        <v>0</v>
      </c>
      <c r="AK74" s="2">
        <f t="shared" si="30"/>
        <v>0</v>
      </c>
      <c r="AL74" s="2">
        <f t="shared" si="31"/>
        <v>0</v>
      </c>
      <c r="AM74" s="115"/>
      <c r="AN74" s="115"/>
      <c r="AO74" s="63"/>
    </row>
    <row r="75" spans="1:41" ht="158.4" x14ac:dyDescent="0.55000000000000004">
      <c r="A75" s="36">
        <v>4656</v>
      </c>
      <c r="B75" s="113" t="s">
        <v>683</v>
      </c>
      <c r="C75" s="113" t="s">
        <v>684</v>
      </c>
      <c r="D75" s="114" t="s">
        <v>52</v>
      </c>
      <c r="E75" s="115" t="s">
        <v>685</v>
      </c>
      <c r="F75" s="116"/>
      <c r="G75" s="113" t="s">
        <v>675</v>
      </c>
      <c r="H75" s="113" t="s">
        <v>686</v>
      </c>
      <c r="I75" s="113"/>
      <c r="J75" s="117" t="s">
        <v>687</v>
      </c>
      <c r="K75" s="118"/>
      <c r="L75" s="109">
        <v>1</v>
      </c>
      <c r="M75" s="109">
        <v>3</v>
      </c>
      <c r="N75" s="109"/>
      <c r="O75" s="119"/>
      <c r="P75" s="2">
        <f t="shared" si="16"/>
        <v>1</v>
      </c>
      <c r="Q75" s="110" t="str">
        <f>IF(AND(Drops!$D$45&gt;1,OR(U75&lt;&gt;U74,AND(ROW()=5,U74=U75))),VLOOKUP(U75,Drops!$D$26:$E$44,2,FALSE),"")</f>
        <v/>
      </c>
      <c r="R75" s="2" t="str">
        <f t="shared" si="17"/>
        <v/>
      </c>
      <c r="S75" s="2">
        <f t="shared" ca="1" si="18"/>
        <v>1</v>
      </c>
      <c r="T75" s="2">
        <f t="shared" si="19"/>
        <v>1</v>
      </c>
      <c r="U75" s="110" t="s">
        <v>679</v>
      </c>
      <c r="V75" s="110">
        <v>2</v>
      </c>
      <c r="W75" s="110">
        <v>0</v>
      </c>
      <c r="X75" s="110">
        <v>0</v>
      </c>
      <c r="Y75" s="110">
        <v>0</v>
      </c>
      <c r="Z75" s="110">
        <v>0</v>
      </c>
      <c r="AA75" s="2">
        <f t="shared" si="20"/>
        <v>1</v>
      </c>
      <c r="AB75" s="2">
        <f t="shared" si="21"/>
        <v>1</v>
      </c>
      <c r="AC75" s="2">
        <f t="shared" si="22"/>
        <v>1</v>
      </c>
      <c r="AD75" s="2">
        <f t="shared" si="23"/>
        <v>0</v>
      </c>
      <c r="AE75" s="2">
        <f t="shared" si="24"/>
        <v>0</v>
      </c>
      <c r="AF75" s="2">
        <f t="shared" si="25"/>
        <v>0</v>
      </c>
      <c r="AG75" s="2">
        <f t="shared" si="26"/>
        <v>0</v>
      </c>
      <c r="AH75" s="2">
        <f t="shared" si="27"/>
        <v>2</v>
      </c>
      <c r="AI75" s="2">
        <f t="shared" si="28"/>
        <v>2</v>
      </c>
      <c r="AJ75" s="2">
        <f t="shared" si="29"/>
        <v>0</v>
      </c>
      <c r="AK75" s="2">
        <f t="shared" si="30"/>
        <v>0</v>
      </c>
      <c r="AL75" s="2">
        <f t="shared" si="31"/>
        <v>0</v>
      </c>
      <c r="AM75" s="115"/>
      <c r="AN75" s="115"/>
      <c r="AO75" s="63"/>
    </row>
    <row r="76" spans="1:41" ht="86.4" x14ac:dyDescent="0.55000000000000004">
      <c r="A76" s="36">
        <v>4657</v>
      </c>
      <c r="B76" s="113" t="s">
        <v>688</v>
      </c>
      <c r="C76" s="138" t="s">
        <v>689</v>
      </c>
      <c r="D76" s="114" t="s">
        <v>52</v>
      </c>
      <c r="E76" s="115"/>
      <c r="F76" s="116"/>
      <c r="G76" s="113" t="s">
        <v>675</v>
      </c>
      <c r="H76" s="113" t="s">
        <v>686</v>
      </c>
      <c r="I76" s="113"/>
      <c r="J76" s="117" t="s">
        <v>690</v>
      </c>
      <c r="K76" s="118"/>
      <c r="L76" s="109">
        <v>2</v>
      </c>
      <c r="M76" s="109">
        <v>3</v>
      </c>
      <c r="N76" s="109"/>
      <c r="O76" s="119"/>
      <c r="P76" s="2">
        <f t="shared" si="16"/>
        <v>1</v>
      </c>
      <c r="Q76" s="110" t="str">
        <f>IF(AND(Drops!$D$45&gt;1,OR(U76&lt;&gt;U75,AND(ROW()=5,U75=U76))),VLOOKUP(U76,Drops!$D$26:$E$44,2,FALSE),"")</f>
        <v/>
      </c>
      <c r="R76" s="2" t="str">
        <f t="shared" si="17"/>
        <v/>
      </c>
      <c r="S76" s="2">
        <f t="shared" ca="1" si="18"/>
        <v>1</v>
      </c>
      <c r="T76" s="2">
        <f t="shared" si="19"/>
        <v>0</v>
      </c>
      <c r="U76" s="110" t="s">
        <v>679</v>
      </c>
      <c r="V76" s="110">
        <v>2</v>
      </c>
      <c r="W76" s="110">
        <v>1</v>
      </c>
      <c r="X76" s="110">
        <v>0</v>
      </c>
      <c r="Y76" s="110">
        <v>0</v>
      </c>
      <c r="Z76" s="110">
        <v>0</v>
      </c>
      <c r="AA76" s="2">
        <f t="shared" si="20"/>
        <v>1</v>
      </c>
      <c r="AB76" s="2">
        <f t="shared" si="21"/>
        <v>0</v>
      </c>
      <c r="AC76" s="2">
        <f t="shared" si="22"/>
        <v>1</v>
      </c>
      <c r="AD76" s="2">
        <f t="shared" si="23"/>
        <v>1</v>
      </c>
      <c r="AE76" s="2">
        <f t="shared" si="24"/>
        <v>0</v>
      </c>
      <c r="AF76" s="2">
        <f t="shared" si="25"/>
        <v>0</v>
      </c>
      <c r="AG76" s="2">
        <f t="shared" si="26"/>
        <v>0</v>
      </c>
      <c r="AH76" s="2">
        <f t="shared" si="27"/>
        <v>2</v>
      </c>
      <c r="AI76" s="2">
        <f t="shared" si="28"/>
        <v>2</v>
      </c>
      <c r="AJ76" s="2">
        <f t="shared" si="29"/>
        <v>0</v>
      </c>
      <c r="AK76" s="2">
        <f t="shared" si="30"/>
        <v>0</v>
      </c>
      <c r="AL76" s="2">
        <f t="shared" si="31"/>
        <v>0</v>
      </c>
      <c r="AM76" s="115"/>
      <c r="AN76" s="115"/>
      <c r="AO76" s="63"/>
    </row>
    <row r="77" spans="1:41" ht="100.8" x14ac:dyDescent="0.55000000000000004">
      <c r="A77" s="36">
        <v>4658</v>
      </c>
      <c r="B77" s="113" t="s">
        <v>691</v>
      </c>
      <c r="C77" s="138" t="s">
        <v>692</v>
      </c>
      <c r="D77" s="114" t="s">
        <v>52</v>
      </c>
      <c r="E77" s="115"/>
      <c r="F77" s="116"/>
      <c r="G77" s="113" t="s">
        <v>675</v>
      </c>
      <c r="H77" s="113" t="s">
        <v>686</v>
      </c>
      <c r="I77" s="113"/>
      <c r="J77" s="117" t="s">
        <v>693</v>
      </c>
      <c r="K77" s="118"/>
      <c r="L77" s="109">
        <v>2</v>
      </c>
      <c r="M77" s="109">
        <v>3</v>
      </c>
      <c r="N77" s="109"/>
      <c r="O77" s="119"/>
      <c r="P77" s="2">
        <f t="shared" si="16"/>
        <v>1</v>
      </c>
      <c r="Q77" s="110" t="str">
        <f>IF(AND(Drops!$D$45&gt;1,OR(U77&lt;&gt;U76,AND(ROW()=5,U76=U77))),VLOOKUP(U77,Drops!$D$26:$E$44,2,FALSE),"")</f>
        <v/>
      </c>
      <c r="R77" s="2" t="str">
        <f t="shared" si="17"/>
        <v/>
      </c>
      <c r="S77" s="2">
        <f t="shared" ca="1" si="18"/>
        <v>1</v>
      </c>
      <c r="T77" s="2">
        <f t="shared" si="19"/>
        <v>0</v>
      </c>
      <c r="U77" s="110" t="s">
        <v>679</v>
      </c>
      <c r="V77" s="110">
        <v>2</v>
      </c>
      <c r="W77" s="110">
        <v>2</v>
      </c>
      <c r="X77" s="110">
        <v>0</v>
      </c>
      <c r="Y77" s="110">
        <v>0</v>
      </c>
      <c r="Z77" s="110">
        <v>0</v>
      </c>
      <c r="AA77" s="2">
        <f t="shared" si="20"/>
        <v>1</v>
      </c>
      <c r="AB77" s="2">
        <f t="shared" si="21"/>
        <v>0</v>
      </c>
      <c r="AC77" s="2">
        <f t="shared" si="22"/>
        <v>1</v>
      </c>
      <c r="AD77" s="2">
        <f t="shared" si="23"/>
        <v>1</v>
      </c>
      <c r="AE77" s="2">
        <f t="shared" si="24"/>
        <v>0</v>
      </c>
      <c r="AF77" s="2">
        <f t="shared" si="25"/>
        <v>0</v>
      </c>
      <c r="AG77" s="2">
        <f t="shared" si="26"/>
        <v>0</v>
      </c>
      <c r="AH77" s="2">
        <f t="shared" si="27"/>
        <v>2</v>
      </c>
      <c r="AI77" s="2">
        <f t="shared" si="28"/>
        <v>2</v>
      </c>
      <c r="AJ77" s="2">
        <f t="shared" si="29"/>
        <v>0</v>
      </c>
      <c r="AK77" s="2">
        <f t="shared" si="30"/>
        <v>0</v>
      </c>
      <c r="AL77" s="2">
        <f t="shared" si="31"/>
        <v>0</v>
      </c>
      <c r="AM77" s="115"/>
      <c r="AN77" s="115"/>
      <c r="AO77" s="63"/>
    </row>
    <row r="78" spans="1:41" ht="244.8" x14ac:dyDescent="0.55000000000000004">
      <c r="A78" s="36">
        <v>4659</v>
      </c>
      <c r="B78" s="113" t="s">
        <v>694</v>
      </c>
      <c r="C78" s="138" t="s">
        <v>695</v>
      </c>
      <c r="D78" s="114" t="s">
        <v>52</v>
      </c>
      <c r="E78" s="115"/>
      <c r="F78" s="116"/>
      <c r="G78" s="113" t="s">
        <v>675</v>
      </c>
      <c r="H78" s="113" t="s">
        <v>686</v>
      </c>
      <c r="I78" s="113"/>
      <c r="J78" s="117" t="s">
        <v>696</v>
      </c>
      <c r="K78" s="118"/>
      <c r="L78" s="109">
        <v>2</v>
      </c>
      <c r="M78" s="109">
        <v>3</v>
      </c>
      <c r="N78" s="109"/>
      <c r="O78" s="119"/>
      <c r="P78" s="2">
        <f t="shared" si="16"/>
        <v>1</v>
      </c>
      <c r="Q78" s="110" t="str">
        <f>IF(AND(Drops!$D$45&gt;1,OR(U78&lt;&gt;U77,AND(ROW()=5,U77=U78))),VLOOKUP(U78,Drops!$D$26:$E$44,2,FALSE),"")</f>
        <v/>
      </c>
      <c r="R78" s="2" t="str">
        <f t="shared" si="17"/>
        <v/>
      </c>
      <c r="S78" s="2">
        <f t="shared" ca="1" si="18"/>
        <v>1</v>
      </c>
      <c r="T78" s="2">
        <f t="shared" si="19"/>
        <v>0</v>
      </c>
      <c r="U78" s="110" t="s">
        <v>679</v>
      </c>
      <c r="V78" s="110">
        <v>2</v>
      </c>
      <c r="W78" s="110">
        <v>3</v>
      </c>
      <c r="X78" s="110">
        <v>0</v>
      </c>
      <c r="Y78" s="110">
        <v>0</v>
      </c>
      <c r="Z78" s="110">
        <v>0</v>
      </c>
      <c r="AA78" s="2">
        <f t="shared" si="20"/>
        <v>1</v>
      </c>
      <c r="AB78" s="2">
        <f t="shared" si="21"/>
        <v>0</v>
      </c>
      <c r="AC78" s="2">
        <f t="shared" si="22"/>
        <v>1</v>
      </c>
      <c r="AD78" s="2">
        <f t="shared" si="23"/>
        <v>1</v>
      </c>
      <c r="AE78" s="2">
        <f t="shared" si="24"/>
        <v>0</v>
      </c>
      <c r="AF78" s="2">
        <f t="shared" si="25"/>
        <v>0</v>
      </c>
      <c r="AG78" s="2">
        <f t="shared" si="26"/>
        <v>0</v>
      </c>
      <c r="AH78" s="2">
        <f t="shared" si="27"/>
        <v>2</v>
      </c>
      <c r="AI78" s="2">
        <f t="shared" si="28"/>
        <v>2</v>
      </c>
      <c r="AJ78" s="2">
        <f t="shared" si="29"/>
        <v>0</v>
      </c>
      <c r="AK78" s="2">
        <f t="shared" si="30"/>
        <v>0</v>
      </c>
      <c r="AL78" s="2">
        <f t="shared" si="31"/>
        <v>0</v>
      </c>
      <c r="AM78" s="115"/>
      <c r="AN78" s="115"/>
      <c r="AO78" s="63"/>
    </row>
    <row r="79" spans="1:41" ht="57.6" x14ac:dyDescent="0.55000000000000004">
      <c r="A79" s="36">
        <v>4551</v>
      </c>
      <c r="B79" s="113" t="s">
        <v>697</v>
      </c>
      <c r="C79" s="113" t="s">
        <v>698</v>
      </c>
      <c r="D79" s="114" t="s">
        <v>55</v>
      </c>
      <c r="E79" s="115" t="s">
        <v>699</v>
      </c>
      <c r="F79" s="116"/>
      <c r="G79" s="113" t="s">
        <v>675</v>
      </c>
      <c r="H79" s="113" t="s">
        <v>700</v>
      </c>
      <c r="I79" s="113"/>
      <c r="J79" s="117" t="s">
        <v>701</v>
      </c>
      <c r="K79" s="118"/>
      <c r="L79" s="109">
        <v>1</v>
      </c>
      <c r="M79" s="109">
        <v>3</v>
      </c>
      <c r="N79" s="109"/>
      <c r="O79" s="119"/>
      <c r="P79" s="2">
        <f t="shared" si="16"/>
        <v>2</v>
      </c>
      <c r="Q79" s="110" t="str">
        <f>IF(AND(Drops!$D$45&gt;1,OR(U79&lt;&gt;U78,AND(ROW()=5,U78=U79))),VLOOKUP(U79,Drops!$D$26:$E$44,2,FALSE),"")</f>
        <v/>
      </c>
      <c r="R79" s="2" t="str">
        <f t="shared" si="17"/>
        <v/>
      </c>
      <c r="S79" s="2">
        <f t="shared" ca="1" si="18"/>
        <v>2</v>
      </c>
      <c r="T79" s="2">
        <f t="shared" si="19"/>
        <v>1</v>
      </c>
      <c r="U79" s="110" t="s">
        <v>679</v>
      </c>
      <c r="V79" s="110">
        <v>3</v>
      </c>
      <c r="W79" s="110">
        <v>0</v>
      </c>
      <c r="X79" s="110">
        <v>0</v>
      </c>
      <c r="Y79" s="110">
        <v>0</v>
      </c>
      <c r="Z79" s="110">
        <v>0</v>
      </c>
      <c r="AA79" s="2">
        <f t="shared" si="20"/>
        <v>1</v>
      </c>
      <c r="AB79" s="2">
        <f t="shared" si="21"/>
        <v>1</v>
      </c>
      <c r="AC79" s="2">
        <f t="shared" si="22"/>
        <v>2</v>
      </c>
      <c r="AD79" s="2">
        <f t="shared" si="23"/>
        <v>2</v>
      </c>
      <c r="AE79" s="2">
        <f t="shared" si="24"/>
        <v>2</v>
      </c>
      <c r="AF79" s="2">
        <f t="shared" si="25"/>
        <v>2</v>
      </c>
      <c r="AG79" s="2">
        <f t="shared" si="26"/>
        <v>2</v>
      </c>
      <c r="AH79" s="2">
        <f t="shared" si="27"/>
        <v>1</v>
      </c>
      <c r="AI79" s="2">
        <f t="shared" si="28"/>
        <v>2</v>
      </c>
      <c r="AJ79" s="2">
        <f t="shared" si="29"/>
        <v>0</v>
      </c>
      <c r="AK79" s="2">
        <f t="shared" si="30"/>
        <v>0</v>
      </c>
      <c r="AL79" s="2">
        <f t="shared" si="31"/>
        <v>0</v>
      </c>
      <c r="AM79" s="115"/>
      <c r="AN79" s="115"/>
      <c r="AO79" s="63"/>
    </row>
    <row r="80" spans="1:41" ht="57.6" x14ac:dyDescent="0.55000000000000004">
      <c r="A80" s="36">
        <v>4552</v>
      </c>
      <c r="B80" s="113" t="s">
        <v>702</v>
      </c>
      <c r="C80" s="138" t="s">
        <v>703</v>
      </c>
      <c r="D80" s="114" t="s">
        <v>52</v>
      </c>
      <c r="E80" s="115" t="s">
        <v>704</v>
      </c>
      <c r="F80" s="116"/>
      <c r="G80" s="113" t="s">
        <v>675</v>
      </c>
      <c r="H80" s="113" t="s">
        <v>700</v>
      </c>
      <c r="I80" s="113"/>
      <c r="J80" s="117"/>
      <c r="K80" s="118"/>
      <c r="L80" s="109">
        <v>2</v>
      </c>
      <c r="M80" s="109">
        <v>3</v>
      </c>
      <c r="N80" s="109"/>
      <c r="O80" s="119"/>
      <c r="P80" s="2">
        <f t="shared" si="16"/>
        <v>1</v>
      </c>
      <c r="Q80" s="110" t="str">
        <f>IF(AND(Drops!$D$45&gt;1,OR(U80&lt;&gt;U79,AND(ROW()=5,U79=U80))),VLOOKUP(U80,Drops!$D$26:$E$44,2,FALSE),"")</f>
        <v/>
      </c>
      <c r="R80" s="2" t="str">
        <f t="shared" si="17"/>
        <v/>
      </c>
      <c r="S80" s="2">
        <f t="shared" ca="1" si="18"/>
        <v>2</v>
      </c>
      <c r="T80" s="2">
        <f t="shared" si="19"/>
        <v>0</v>
      </c>
      <c r="U80" s="110" t="s">
        <v>679</v>
      </c>
      <c r="V80" s="110">
        <v>3</v>
      </c>
      <c r="W80" s="110">
        <v>1</v>
      </c>
      <c r="X80" s="110">
        <v>0</v>
      </c>
      <c r="Y80" s="110">
        <v>0</v>
      </c>
      <c r="Z80" s="110">
        <v>0</v>
      </c>
      <c r="AA80" s="2">
        <f t="shared" si="20"/>
        <v>1</v>
      </c>
      <c r="AB80" s="2">
        <f t="shared" si="21"/>
        <v>0</v>
      </c>
      <c r="AC80" s="2">
        <f t="shared" si="22"/>
        <v>2</v>
      </c>
      <c r="AD80" s="2">
        <f t="shared" si="23"/>
        <v>2</v>
      </c>
      <c r="AE80" s="2">
        <f t="shared" si="24"/>
        <v>2</v>
      </c>
      <c r="AF80" s="2">
        <f t="shared" si="25"/>
        <v>2</v>
      </c>
      <c r="AG80" s="2">
        <f t="shared" si="26"/>
        <v>2</v>
      </c>
      <c r="AH80" s="2">
        <f t="shared" si="27"/>
        <v>0</v>
      </c>
      <c r="AI80" s="2">
        <f t="shared" si="28"/>
        <v>2</v>
      </c>
      <c r="AJ80" s="2">
        <f t="shared" si="29"/>
        <v>0</v>
      </c>
      <c r="AK80" s="2">
        <f t="shared" si="30"/>
        <v>0</v>
      </c>
      <c r="AL80" s="2">
        <f t="shared" si="31"/>
        <v>0</v>
      </c>
      <c r="AM80" s="115"/>
      <c r="AN80" s="115"/>
      <c r="AO80" s="63"/>
    </row>
    <row r="81" spans="1:41" ht="187.2" x14ac:dyDescent="0.55000000000000004">
      <c r="A81" s="36">
        <v>58</v>
      </c>
      <c r="B81" s="113" t="s">
        <v>705</v>
      </c>
      <c r="C81" s="113" t="s">
        <v>706</v>
      </c>
      <c r="D81" s="114" t="s">
        <v>52</v>
      </c>
      <c r="E81" s="115" t="s">
        <v>707</v>
      </c>
      <c r="F81" s="116"/>
      <c r="G81" s="113" t="s">
        <v>675</v>
      </c>
      <c r="H81" s="113" t="s">
        <v>708</v>
      </c>
      <c r="I81" s="113"/>
      <c r="J81" s="117" t="s">
        <v>709</v>
      </c>
      <c r="K81" s="118"/>
      <c r="L81" s="109">
        <v>1</v>
      </c>
      <c r="M81" s="109">
        <v>2</v>
      </c>
      <c r="N81" s="109"/>
      <c r="O81" s="119"/>
      <c r="P81" s="2">
        <f t="shared" si="16"/>
        <v>1</v>
      </c>
      <c r="Q81" s="110" t="str">
        <f>IF(AND(Drops!$D$45&gt;1,OR(U81&lt;&gt;U80,AND(ROW()=5,U80=U81))),VLOOKUP(U81,Drops!$D$26:$E$44,2,FALSE),"")</f>
        <v/>
      </c>
      <c r="R81" s="2" t="str">
        <f t="shared" si="17"/>
        <v/>
      </c>
      <c r="S81" s="2">
        <f t="shared" ca="1" si="18"/>
        <v>1</v>
      </c>
      <c r="T81" s="2">
        <f t="shared" si="19"/>
        <v>1</v>
      </c>
      <c r="U81" s="110" t="s">
        <v>679</v>
      </c>
      <c r="V81" s="110">
        <v>4</v>
      </c>
      <c r="W81" s="110">
        <v>0</v>
      </c>
      <c r="X81" s="110">
        <v>0</v>
      </c>
      <c r="Y81" s="110">
        <v>0</v>
      </c>
      <c r="Z81" s="110">
        <v>0</v>
      </c>
      <c r="AA81" s="2">
        <f t="shared" si="20"/>
        <v>1</v>
      </c>
      <c r="AB81" s="2">
        <f t="shared" si="21"/>
        <v>1</v>
      </c>
      <c r="AC81" s="2">
        <f t="shared" si="22"/>
        <v>1</v>
      </c>
      <c r="AD81" s="2">
        <f t="shared" si="23"/>
        <v>0</v>
      </c>
      <c r="AE81" s="2">
        <f t="shared" si="24"/>
        <v>2</v>
      </c>
      <c r="AF81" s="2">
        <f t="shared" si="25"/>
        <v>2</v>
      </c>
      <c r="AG81" s="2">
        <f t="shared" si="26"/>
        <v>2</v>
      </c>
      <c r="AH81" s="2">
        <f t="shared" si="27"/>
        <v>2</v>
      </c>
      <c r="AI81" s="2">
        <f t="shared" si="28"/>
        <v>2</v>
      </c>
      <c r="AJ81" s="2">
        <f t="shared" si="29"/>
        <v>0</v>
      </c>
      <c r="AK81" s="2">
        <f t="shared" si="30"/>
        <v>0</v>
      </c>
      <c r="AL81" s="2">
        <f t="shared" si="31"/>
        <v>0</v>
      </c>
      <c r="AM81" s="115"/>
      <c r="AN81" s="115"/>
      <c r="AO81" s="63"/>
    </row>
    <row r="82" spans="1:41" ht="187.2" x14ac:dyDescent="0.55000000000000004">
      <c r="A82" s="36">
        <v>4421</v>
      </c>
      <c r="B82" s="113" t="s">
        <v>710</v>
      </c>
      <c r="C82" s="138" t="s">
        <v>711</v>
      </c>
      <c r="D82" s="114" t="s">
        <v>52</v>
      </c>
      <c r="E82" s="115"/>
      <c r="F82" s="116"/>
      <c r="G82" s="113" t="s">
        <v>675</v>
      </c>
      <c r="H82" s="113" t="s">
        <v>708</v>
      </c>
      <c r="I82" s="113"/>
      <c r="J82" s="117" t="s">
        <v>712</v>
      </c>
      <c r="K82" s="118"/>
      <c r="L82" s="109">
        <v>2</v>
      </c>
      <c r="M82" s="109">
        <v>3</v>
      </c>
      <c r="N82" s="109"/>
      <c r="O82" s="119"/>
      <c r="P82" s="2">
        <f t="shared" si="16"/>
        <v>1</v>
      </c>
      <c r="Q82" s="110" t="str">
        <f>IF(AND(Drops!$D$45&gt;1,OR(U82&lt;&gt;U81,AND(ROW()=5,U81=U82))),VLOOKUP(U82,Drops!$D$26:$E$44,2,FALSE),"")</f>
        <v/>
      </c>
      <c r="R82" s="2" t="str">
        <f t="shared" si="17"/>
        <v/>
      </c>
      <c r="S82" s="2">
        <f t="shared" ca="1" si="18"/>
        <v>1</v>
      </c>
      <c r="T82" s="2">
        <f t="shared" si="19"/>
        <v>0</v>
      </c>
      <c r="U82" s="110" t="s">
        <v>679</v>
      </c>
      <c r="V82" s="110">
        <v>4</v>
      </c>
      <c r="W82" s="110">
        <v>1</v>
      </c>
      <c r="X82" s="110">
        <v>0</v>
      </c>
      <c r="Y82" s="110">
        <v>0</v>
      </c>
      <c r="Z82" s="110">
        <v>0</v>
      </c>
      <c r="AA82" s="2">
        <f t="shared" si="20"/>
        <v>1</v>
      </c>
      <c r="AB82" s="2">
        <f t="shared" si="21"/>
        <v>0</v>
      </c>
      <c r="AC82" s="2">
        <f t="shared" si="22"/>
        <v>1</v>
      </c>
      <c r="AD82" s="2">
        <f t="shared" si="23"/>
        <v>1</v>
      </c>
      <c r="AE82" s="2">
        <f t="shared" si="24"/>
        <v>2</v>
      </c>
      <c r="AF82" s="2">
        <f t="shared" si="25"/>
        <v>2</v>
      </c>
      <c r="AG82" s="2">
        <f t="shared" si="26"/>
        <v>2</v>
      </c>
      <c r="AH82" s="2">
        <f t="shared" si="27"/>
        <v>2</v>
      </c>
      <c r="AI82" s="2">
        <f t="shared" si="28"/>
        <v>2</v>
      </c>
      <c r="AJ82" s="2">
        <f t="shared" si="29"/>
        <v>0</v>
      </c>
      <c r="AK82" s="2">
        <f t="shared" si="30"/>
        <v>0</v>
      </c>
      <c r="AL82" s="2">
        <f t="shared" si="31"/>
        <v>0</v>
      </c>
      <c r="AM82" s="115"/>
      <c r="AN82" s="115"/>
      <c r="AO82" s="63"/>
    </row>
    <row r="83" spans="1:41" ht="216" x14ac:dyDescent="0.55000000000000004">
      <c r="A83" s="36">
        <v>61</v>
      </c>
      <c r="B83" s="113" t="s">
        <v>713</v>
      </c>
      <c r="C83" s="138" t="s">
        <v>714</v>
      </c>
      <c r="D83" s="114" t="s">
        <v>52</v>
      </c>
      <c r="E83" s="115"/>
      <c r="F83" s="116"/>
      <c r="G83" s="113" t="s">
        <v>675</v>
      </c>
      <c r="H83" s="113" t="s">
        <v>708</v>
      </c>
      <c r="I83" s="113"/>
      <c r="J83" s="117" t="s">
        <v>715</v>
      </c>
      <c r="K83" s="118"/>
      <c r="L83" s="109">
        <v>2</v>
      </c>
      <c r="M83" s="109">
        <v>2</v>
      </c>
      <c r="N83" s="109"/>
      <c r="O83" s="119"/>
      <c r="P83" s="2">
        <f t="shared" si="16"/>
        <v>1</v>
      </c>
      <c r="Q83" s="110" t="str">
        <f>IF(AND(Drops!$D$45&gt;1,OR(U83&lt;&gt;U82,AND(ROW()=5,U82=U83))),VLOOKUP(U83,Drops!$D$26:$E$44,2,FALSE),"")</f>
        <v/>
      </c>
      <c r="R83" s="2" t="str">
        <f t="shared" si="17"/>
        <v/>
      </c>
      <c r="S83" s="2">
        <f t="shared" ca="1" si="18"/>
        <v>1</v>
      </c>
      <c r="T83" s="2">
        <f t="shared" si="19"/>
        <v>0</v>
      </c>
      <c r="U83" s="110" t="s">
        <v>679</v>
      </c>
      <c r="V83" s="110">
        <v>4</v>
      </c>
      <c r="W83" s="110">
        <v>2</v>
      </c>
      <c r="X83" s="110">
        <v>0</v>
      </c>
      <c r="Y83" s="110">
        <v>0</v>
      </c>
      <c r="Z83" s="110">
        <v>0</v>
      </c>
      <c r="AA83" s="2">
        <f t="shared" si="20"/>
        <v>1</v>
      </c>
      <c r="AB83" s="2">
        <f t="shared" si="21"/>
        <v>0</v>
      </c>
      <c r="AC83" s="2">
        <f t="shared" si="22"/>
        <v>1</v>
      </c>
      <c r="AD83" s="2">
        <f t="shared" si="23"/>
        <v>1</v>
      </c>
      <c r="AE83" s="2">
        <f t="shared" si="24"/>
        <v>2</v>
      </c>
      <c r="AF83" s="2">
        <f t="shared" si="25"/>
        <v>2</v>
      </c>
      <c r="AG83" s="2">
        <f t="shared" si="26"/>
        <v>2</v>
      </c>
      <c r="AH83" s="2">
        <f t="shared" si="27"/>
        <v>2</v>
      </c>
      <c r="AI83" s="2">
        <f t="shared" si="28"/>
        <v>2</v>
      </c>
      <c r="AJ83" s="2">
        <f t="shared" si="29"/>
        <v>0</v>
      </c>
      <c r="AK83" s="2">
        <f t="shared" si="30"/>
        <v>0</v>
      </c>
      <c r="AL83" s="2">
        <f t="shared" si="31"/>
        <v>0</v>
      </c>
      <c r="AM83" s="115"/>
      <c r="AN83" s="115"/>
      <c r="AO83" s="63"/>
    </row>
    <row r="84" spans="1:41" ht="230.4" x14ac:dyDescent="0.55000000000000004">
      <c r="A84" s="36">
        <v>4422</v>
      </c>
      <c r="B84" s="113" t="s">
        <v>716</v>
      </c>
      <c r="C84" s="138" t="s">
        <v>717</v>
      </c>
      <c r="D84" s="114" t="s">
        <v>52</v>
      </c>
      <c r="E84" s="115"/>
      <c r="F84" s="116"/>
      <c r="G84" s="113" t="s">
        <v>675</v>
      </c>
      <c r="H84" s="113" t="s">
        <v>708</v>
      </c>
      <c r="I84" s="113"/>
      <c r="J84" s="117" t="s">
        <v>718</v>
      </c>
      <c r="K84" s="118"/>
      <c r="L84" s="109">
        <v>2</v>
      </c>
      <c r="M84" s="109">
        <v>3</v>
      </c>
      <c r="N84" s="109"/>
      <c r="O84" s="119"/>
      <c r="P84" s="2">
        <f t="shared" si="16"/>
        <v>1</v>
      </c>
      <c r="Q84" s="110" t="str">
        <f>IF(AND(Drops!$D$45&gt;1,OR(U84&lt;&gt;U83,AND(ROW()=5,U83=U84))),VLOOKUP(U84,Drops!$D$26:$E$44,2,FALSE),"")</f>
        <v/>
      </c>
      <c r="R84" s="2" t="str">
        <f t="shared" si="17"/>
        <v/>
      </c>
      <c r="S84" s="2">
        <f t="shared" ca="1" si="18"/>
        <v>1</v>
      </c>
      <c r="T84" s="2">
        <f t="shared" si="19"/>
        <v>0</v>
      </c>
      <c r="U84" s="110" t="s">
        <v>679</v>
      </c>
      <c r="V84" s="110">
        <v>4</v>
      </c>
      <c r="W84" s="110">
        <v>3</v>
      </c>
      <c r="X84" s="110">
        <v>0</v>
      </c>
      <c r="Y84" s="110">
        <v>0</v>
      </c>
      <c r="Z84" s="110">
        <v>0</v>
      </c>
      <c r="AA84" s="2">
        <f t="shared" si="20"/>
        <v>1</v>
      </c>
      <c r="AB84" s="2">
        <f t="shared" si="21"/>
        <v>0</v>
      </c>
      <c r="AC84" s="2">
        <f t="shared" si="22"/>
        <v>1</v>
      </c>
      <c r="AD84" s="2">
        <f t="shared" si="23"/>
        <v>1</v>
      </c>
      <c r="AE84" s="2">
        <f t="shared" si="24"/>
        <v>2</v>
      </c>
      <c r="AF84" s="2">
        <f t="shared" si="25"/>
        <v>2</v>
      </c>
      <c r="AG84" s="2">
        <f t="shared" si="26"/>
        <v>2</v>
      </c>
      <c r="AH84" s="2">
        <f t="shared" si="27"/>
        <v>2</v>
      </c>
      <c r="AI84" s="2">
        <f t="shared" si="28"/>
        <v>2</v>
      </c>
      <c r="AJ84" s="2">
        <f t="shared" si="29"/>
        <v>0</v>
      </c>
      <c r="AK84" s="2">
        <f t="shared" si="30"/>
        <v>0</v>
      </c>
      <c r="AL84" s="2">
        <f t="shared" si="31"/>
        <v>0</v>
      </c>
      <c r="AM84" s="115"/>
      <c r="AN84" s="115"/>
      <c r="AO84" s="63"/>
    </row>
    <row r="85" spans="1:41" ht="129.6" x14ac:dyDescent="0.55000000000000004">
      <c r="A85" s="36">
        <v>62</v>
      </c>
      <c r="B85" s="113" t="s">
        <v>719</v>
      </c>
      <c r="C85" s="138" t="s">
        <v>720</v>
      </c>
      <c r="D85" s="114" t="s">
        <v>52</v>
      </c>
      <c r="E85" s="115"/>
      <c r="F85" s="116"/>
      <c r="G85" s="113" t="s">
        <v>675</v>
      </c>
      <c r="H85" s="113" t="s">
        <v>708</v>
      </c>
      <c r="I85" s="113"/>
      <c r="J85" s="117" t="s">
        <v>721</v>
      </c>
      <c r="K85" s="118"/>
      <c r="L85" s="109">
        <v>2</v>
      </c>
      <c r="M85" s="109">
        <v>3</v>
      </c>
      <c r="N85" s="109"/>
      <c r="O85" s="119"/>
      <c r="P85" s="2">
        <f t="shared" si="16"/>
        <v>1</v>
      </c>
      <c r="Q85" s="110" t="str">
        <f>IF(AND(Drops!$D$45&gt;1,OR(U85&lt;&gt;U84,AND(ROW()=5,U84=U85))),VLOOKUP(U85,Drops!$D$26:$E$44,2,FALSE),"")</f>
        <v/>
      </c>
      <c r="R85" s="2" t="str">
        <f t="shared" si="17"/>
        <v/>
      </c>
      <c r="S85" s="2">
        <f t="shared" ca="1" si="18"/>
        <v>1</v>
      </c>
      <c r="T85" s="2">
        <f t="shared" si="19"/>
        <v>0</v>
      </c>
      <c r="U85" s="110" t="s">
        <v>679</v>
      </c>
      <c r="V85" s="110">
        <v>4</v>
      </c>
      <c r="W85" s="110">
        <v>5</v>
      </c>
      <c r="X85" s="110">
        <v>0</v>
      </c>
      <c r="Y85" s="110">
        <v>0</v>
      </c>
      <c r="Z85" s="110">
        <v>0</v>
      </c>
      <c r="AA85" s="2">
        <f t="shared" si="20"/>
        <v>1</v>
      </c>
      <c r="AB85" s="2">
        <f t="shared" si="21"/>
        <v>0</v>
      </c>
      <c r="AC85" s="2">
        <f t="shared" si="22"/>
        <v>1</v>
      </c>
      <c r="AD85" s="2">
        <f t="shared" si="23"/>
        <v>1</v>
      </c>
      <c r="AE85" s="2">
        <f t="shared" si="24"/>
        <v>2</v>
      </c>
      <c r="AF85" s="2">
        <f t="shared" si="25"/>
        <v>2</v>
      </c>
      <c r="AG85" s="2">
        <f t="shared" si="26"/>
        <v>2</v>
      </c>
      <c r="AH85" s="2">
        <f t="shared" si="27"/>
        <v>2</v>
      </c>
      <c r="AI85" s="2">
        <f t="shared" si="28"/>
        <v>2</v>
      </c>
      <c r="AJ85" s="2">
        <f t="shared" si="29"/>
        <v>0</v>
      </c>
      <c r="AK85" s="2">
        <f t="shared" si="30"/>
        <v>0</v>
      </c>
      <c r="AL85" s="2">
        <f t="shared" si="31"/>
        <v>0</v>
      </c>
      <c r="AM85" s="115"/>
      <c r="AN85" s="115"/>
      <c r="AO85" s="63"/>
    </row>
    <row r="86" spans="1:41" ht="115.2" x14ac:dyDescent="0.55000000000000004">
      <c r="A86" s="36">
        <v>63</v>
      </c>
      <c r="B86" s="113" t="s">
        <v>722</v>
      </c>
      <c r="C86" s="138" t="s">
        <v>723</v>
      </c>
      <c r="D86" s="114" t="s">
        <v>52</v>
      </c>
      <c r="E86" s="115"/>
      <c r="F86" s="116"/>
      <c r="G86" s="113" t="s">
        <v>675</v>
      </c>
      <c r="H86" s="113" t="s">
        <v>708</v>
      </c>
      <c r="I86" s="113"/>
      <c r="J86" s="117" t="s">
        <v>724</v>
      </c>
      <c r="K86" s="118"/>
      <c r="L86" s="109">
        <v>2</v>
      </c>
      <c r="M86" s="109">
        <v>2</v>
      </c>
      <c r="N86" s="109"/>
      <c r="O86" s="119"/>
      <c r="P86" s="2">
        <f t="shared" si="16"/>
        <v>1</v>
      </c>
      <c r="Q86" s="110" t="str">
        <f>IF(AND(Drops!$D$45&gt;1,OR(U86&lt;&gt;U85,AND(ROW()=5,U85=U86))),VLOOKUP(U86,Drops!$D$26:$E$44,2,FALSE),"")</f>
        <v/>
      </c>
      <c r="R86" s="2" t="str">
        <f t="shared" si="17"/>
        <v/>
      </c>
      <c r="S86" s="2">
        <f t="shared" ca="1" si="18"/>
        <v>1</v>
      </c>
      <c r="T86" s="2">
        <f t="shared" si="19"/>
        <v>0</v>
      </c>
      <c r="U86" s="110" t="s">
        <v>679</v>
      </c>
      <c r="V86" s="110">
        <v>4</v>
      </c>
      <c r="W86" s="110">
        <v>6</v>
      </c>
      <c r="X86" s="110">
        <v>0</v>
      </c>
      <c r="Y86" s="110">
        <v>0</v>
      </c>
      <c r="Z86" s="110">
        <v>0</v>
      </c>
      <c r="AA86" s="2">
        <f t="shared" si="20"/>
        <v>1</v>
      </c>
      <c r="AB86" s="2">
        <f t="shared" si="21"/>
        <v>0</v>
      </c>
      <c r="AC86" s="2">
        <f t="shared" si="22"/>
        <v>1</v>
      </c>
      <c r="AD86" s="2">
        <f t="shared" si="23"/>
        <v>1</v>
      </c>
      <c r="AE86" s="2">
        <f t="shared" si="24"/>
        <v>2</v>
      </c>
      <c r="AF86" s="2">
        <f t="shared" si="25"/>
        <v>2</v>
      </c>
      <c r="AG86" s="2">
        <f t="shared" si="26"/>
        <v>2</v>
      </c>
      <c r="AH86" s="2">
        <f t="shared" si="27"/>
        <v>2</v>
      </c>
      <c r="AI86" s="2">
        <f t="shared" si="28"/>
        <v>2</v>
      </c>
      <c r="AJ86" s="2">
        <f t="shared" si="29"/>
        <v>0</v>
      </c>
      <c r="AK86" s="2">
        <f t="shared" si="30"/>
        <v>0</v>
      </c>
      <c r="AL86" s="2">
        <f t="shared" si="31"/>
        <v>0</v>
      </c>
      <c r="AM86" s="115"/>
      <c r="AN86" s="115"/>
      <c r="AO86" s="63"/>
    </row>
    <row r="87" spans="1:41" ht="72" x14ac:dyDescent="0.55000000000000004">
      <c r="A87" s="36">
        <v>2500</v>
      </c>
      <c r="B87" s="113" t="s">
        <v>725</v>
      </c>
      <c r="C87" s="113" t="s">
        <v>726</v>
      </c>
      <c r="D87" s="114" t="s">
        <v>52</v>
      </c>
      <c r="E87" s="115" t="s">
        <v>727</v>
      </c>
      <c r="F87" s="116"/>
      <c r="G87" s="113" t="s">
        <v>675</v>
      </c>
      <c r="H87" s="113" t="s">
        <v>728</v>
      </c>
      <c r="I87" s="113" t="s">
        <v>677</v>
      </c>
      <c r="J87" s="117" t="s">
        <v>729</v>
      </c>
      <c r="K87" s="118"/>
      <c r="L87" s="109">
        <v>1</v>
      </c>
      <c r="M87" s="109">
        <v>3</v>
      </c>
      <c r="N87" s="109"/>
      <c r="O87" s="119"/>
      <c r="P87" s="2">
        <f t="shared" si="16"/>
        <v>1</v>
      </c>
      <c r="Q87" s="110" t="str">
        <f>IF(AND(Drops!$D$45&gt;1,OR(U87&lt;&gt;U86,AND(ROW()=5,U86=U87))),VLOOKUP(U87,Drops!$D$26:$E$44,2,FALSE),"")</f>
        <v/>
      </c>
      <c r="R87" s="2" t="str">
        <f t="shared" si="17"/>
        <v/>
      </c>
      <c r="S87" s="2">
        <f t="shared" ca="1" si="18"/>
        <v>1</v>
      </c>
      <c r="T87" s="2">
        <f t="shared" si="19"/>
        <v>1</v>
      </c>
      <c r="U87" s="110" t="s">
        <v>679</v>
      </c>
      <c r="V87" s="110">
        <v>5</v>
      </c>
      <c r="W87" s="110">
        <v>0</v>
      </c>
      <c r="X87" s="110">
        <v>0</v>
      </c>
      <c r="Y87" s="110">
        <v>0</v>
      </c>
      <c r="Z87" s="110">
        <v>0</v>
      </c>
      <c r="AA87" s="2">
        <f t="shared" si="20"/>
        <v>1</v>
      </c>
      <c r="AB87" s="2">
        <f t="shared" si="21"/>
        <v>1</v>
      </c>
      <c r="AC87" s="2">
        <f t="shared" si="22"/>
        <v>1</v>
      </c>
      <c r="AD87" s="2">
        <f t="shared" si="23"/>
        <v>0</v>
      </c>
      <c r="AE87" s="2">
        <f t="shared" si="24"/>
        <v>2</v>
      </c>
      <c r="AF87" s="2">
        <f t="shared" si="25"/>
        <v>2</v>
      </c>
      <c r="AG87" s="2">
        <f t="shared" si="26"/>
        <v>2</v>
      </c>
      <c r="AH87" s="2">
        <f t="shared" si="27"/>
        <v>2</v>
      </c>
      <c r="AI87" s="2">
        <f t="shared" si="28"/>
        <v>2</v>
      </c>
      <c r="AJ87" s="2">
        <f t="shared" si="29"/>
        <v>0</v>
      </c>
      <c r="AK87" s="2">
        <f t="shared" si="30"/>
        <v>0</v>
      </c>
      <c r="AL87" s="2">
        <f t="shared" si="31"/>
        <v>0</v>
      </c>
      <c r="AM87" s="115"/>
      <c r="AN87" s="115"/>
      <c r="AO87" s="63"/>
    </row>
    <row r="88" spans="1:41" ht="43.2" x14ac:dyDescent="0.55000000000000004">
      <c r="A88" s="36">
        <v>4200</v>
      </c>
      <c r="B88" s="113" t="s">
        <v>730</v>
      </c>
      <c r="C88" s="138" t="s">
        <v>731</v>
      </c>
      <c r="D88" s="114" t="s">
        <v>52</v>
      </c>
      <c r="E88" s="115"/>
      <c r="F88" s="116"/>
      <c r="G88" s="113" t="s">
        <v>675</v>
      </c>
      <c r="H88" s="113" t="s">
        <v>728</v>
      </c>
      <c r="I88" s="113" t="s">
        <v>677</v>
      </c>
      <c r="J88" s="117" t="s">
        <v>732</v>
      </c>
      <c r="K88" s="118"/>
      <c r="L88" s="109">
        <v>2</v>
      </c>
      <c r="M88" s="109">
        <v>3</v>
      </c>
      <c r="N88" s="109"/>
      <c r="O88" s="119"/>
      <c r="P88" s="2">
        <f t="shared" si="16"/>
        <v>1</v>
      </c>
      <c r="Q88" s="110" t="str">
        <f>IF(AND(Drops!$D$45&gt;1,OR(U88&lt;&gt;U87,AND(ROW()=5,U87=U88))),VLOOKUP(U88,Drops!$D$26:$E$44,2,FALSE),"")</f>
        <v/>
      </c>
      <c r="R88" s="2" t="str">
        <f t="shared" si="17"/>
        <v/>
      </c>
      <c r="S88" s="2">
        <f t="shared" ca="1" si="18"/>
        <v>1</v>
      </c>
      <c r="T88" s="2">
        <f t="shared" si="19"/>
        <v>0</v>
      </c>
      <c r="U88" s="110" t="s">
        <v>679</v>
      </c>
      <c r="V88" s="110">
        <v>5</v>
      </c>
      <c r="W88" s="110">
        <v>1</v>
      </c>
      <c r="X88" s="110">
        <v>0</v>
      </c>
      <c r="Y88" s="110">
        <v>0</v>
      </c>
      <c r="Z88" s="110">
        <v>0</v>
      </c>
      <c r="AA88" s="2">
        <f t="shared" si="20"/>
        <v>1</v>
      </c>
      <c r="AB88" s="2">
        <f t="shared" si="21"/>
        <v>0</v>
      </c>
      <c r="AC88" s="2">
        <f t="shared" si="22"/>
        <v>1</v>
      </c>
      <c r="AD88" s="2">
        <f t="shared" si="23"/>
        <v>1</v>
      </c>
      <c r="AE88" s="2">
        <f t="shared" si="24"/>
        <v>2</v>
      </c>
      <c r="AF88" s="2">
        <f t="shared" si="25"/>
        <v>2</v>
      </c>
      <c r="AG88" s="2">
        <f t="shared" si="26"/>
        <v>2</v>
      </c>
      <c r="AH88" s="2">
        <f t="shared" si="27"/>
        <v>2</v>
      </c>
      <c r="AI88" s="2">
        <f t="shared" si="28"/>
        <v>2</v>
      </c>
      <c r="AJ88" s="2">
        <f t="shared" si="29"/>
        <v>0</v>
      </c>
      <c r="AK88" s="2">
        <f t="shared" si="30"/>
        <v>0</v>
      </c>
      <c r="AL88" s="2">
        <f t="shared" si="31"/>
        <v>0</v>
      </c>
      <c r="AM88" s="115"/>
      <c r="AN88" s="115"/>
      <c r="AO88" s="63"/>
    </row>
    <row r="89" spans="1:41" ht="43.2" x14ac:dyDescent="0.55000000000000004">
      <c r="A89" s="36">
        <v>220</v>
      </c>
      <c r="B89" s="113" t="s">
        <v>733</v>
      </c>
      <c r="C89" s="138" t="s">
        <v>734</v>
      </c>
      <c r="D89" s="114" t="s">
        <v>52</v>
      </c>
      <c r="E89" s="115" t="s">
        <v>735</v>
      </c>
      <c r="F89" s="116"/>
      <c r="G89" s="113" t="s">
        <v>675</v>
      </c>
      <c r="H89" s="113" t="s">
        <v>728</v>
      </c>
      <c r="I89" s="113" t="s">
        <v>677</v>
      </c>
      <c r="J89" s="117" t="s">
        <v>732</v>
      </c>
      <c r="K89" s="118"/>
      <c r="L89" s="109">
        <v>2</v>
      </c>
      <c r="M89" s="109">
        <v>3</v>
      </c>
      <c r="N89" s="109"/>
      <c r="O89" s="119"/>
      <c r="P89" s="2">
        <f t="shared" si="16"/>
        <v>1</v>
      </c>
      <c r="Q89" s="110" t="str">
        <f>IF(AND(Drops!$D$45&gt;1,OR(U89&lt;&gt;U88,AND(ROW()=5,U88=U89))),VLOOKUP(U89,Drops!$D$26:$E$44,2,FALSE),"")</f>
        <v/>
      </c>
      <c r="R89" s="2" t="str">
        <f t="shared" si="17"/>
        <v/>
      </c>
      <c r="S89" s="2">
        <f t="shared" ca="1" si="18"/>
        <v>1</v>
      </c>
      <c r="T89" s="2">
        <f t="shared" si="19"/>
        <v>0</v>
      </c>
      <c r="U89" s="110" t="s">
        <v>679</v>
      </c>
      <c r="V89" s="110">
        <v>5</v>
      </c>
      <c r="W89" s="110">
        <v>2</v>
      </c>
      <c r="X89" s="110">
        <v>0</v>
      </c>
      <c r="Y89" s="110">
        <v>0</v>
      </c>
      <c r="Z89" s="110">
        <v>0</v>
      </c>
      <c r="AA89" s="2">
        <f t="shared" si="20"/>
        <v>1</v>
      </c>
      <c r="AB89" s="2">
        <f t="shared" si="21"/>
        <v>0</v>
      </c>
      <c r="AC89" s="2">
        <f t="shared" si="22"/>
        <v>1</v>
      </c>
      <c r="AD89" s="2">
        <f t="shared" si="23"/>
        <v>1</v>
      </c>
      <c r="AE89" s="2">
        <f t="shared" si="24"/>
        <v>2</v>
      </c>
      <c r="AF89" s="2">
        <f t="shared" si="25"/>
        <v>2</v>
      </c>
      <c r="AG89" s="2">
        <f t="shared" si="26"/>
        <v>2</v>
      </c>
      <c r="AH89" s="2">
        <f t="shared" si="27"/>
        <v>2</v>
      </c>
      <c r="AI89" s="2">
        <f t="shared" si="28"/>
        <v>2</v>
      </c>
      <c r="AJ89" s="2">
        <f t="shared" si="29"/>
        <v>0</v>
      </c>
      <c r="AK89" s="2">
        <f t="shared" si="30"/>
        <v>0</v>
      </c>
      <c r="AL89" s="2">
        <f t="shared" si="31"/>
        <v>0</v>
      </c>
      <c r="AM89" s="115"/>
      <c r="AN89" s="115"/>
      <c r="AO89" s="63"/>
    </row>
    <row r="90" spans="1:41" ht="28.8" x14ac:dyDescent="0.55000000000000004">
      <c r="A90" s="36">
        <v>4420</v>
      </c>
      <c r="B90" s="113" t="s">
        <v>736</v>
      </c>
      <c r="C90" s="113" t="s">
        <v>737</v>
      </c>
      <c r="D90" s="114" t="s">
        <v>52</v>
      </c>
      <c r="E90" s="115"/>
      <c r="F90" s="116"/>
      <c r="G90" s="113" t="s">
        <v>738</v>
      </c>
      <c r="H90" s="113" t="s">
        <v>739</v>
      </c>
      <c r="I90" s="113"/>
      <c r="J90" s="117" t="s">
        <v>740</v>
      </c>
      <c r="K90" s="118"/>
      <c r="L90" s="109">
        <v>1</v>
      </c>
      <c r="M90" s="109">
        <v>2</v>
      </c>
      <c r="N90" s="109"/>
      <c r="O90" s="119"/>
      <c r="P90" s="2">
        <f t="shared" si="16"/>
        <v>1</v>
      </c>
      <c r="Q90" s="110" t="str">
        <f>IF(AND(Drops!$D$45&gt;1,OR(U90&lt;&gt;U89,AND(ROW()=5,U89=U90))),VLOOKUP(U90,Drops!$D$26:$E$44,2,FALSE),"")</f>
        <v/>
      </c>
      <c r="R90" s="2" t="str">
        <f t="shared" si="17"/>
        <v/>
      </c>
      <c r="S90" s="2">
        <f t="shared" ca="1" si="18"/>
        <v>1</v>
      </c>
      <c r="T90" s="2">
        <f t="shared" si="19"/>
        <v>1</v>
      </c>
      <c r="U90" s="110" t="s">
        <v>679</v>
      </c>
      <c r="V90" s="110">
        <v>6</v>
      </c>
      <c r="W90" s="110">
        <v>0</v>
      </c>
      <c r="X90" s="110">
        <v>0</v>
      </c>
      <c r="Y90" s="110">
        <v>0</v>
      </c>
      <c r="Z90" s="110">
        <v>0</v>
      </c>
      <c r="AA90" s="2">
        <f t="shared" si="20"/>
        <v>1</v>
      </c>
      <c r="AB90" s="2">
        <f t="shared" si="21"/>
        <v>0</v>
      </c>
      <c r="AC90" s="2">
        <f t="shared" si="22"/>
        <v>1</v>
      </c>
      <c r="AD90" s="2">
        <f t="shared" si="23"/>
        <v>0</v>
      </c>
      <c r="AE90" s="2">
        <f t="shared" si="24"/>
        <v>2</v>
      </c>
      <c r="AF90" s="2">
        <f t="shared" si="25"/>
        <v>2</v>
      </c>
      <c r="AG90" s="2">
        <f t="shared" si="26"/>
        <v>2</v>
      </c>
      <c r="AH90" s="2">
        <f t="shared" si="27"/>
        <v>2</v>
      </c>
      <c r="AI90" s="2">
        <f t="shared" si="28"/>
        <v>2</v>
      </c>
      <c r="AJ90" s="2">
        <f t="shared" si="29"/>
        <v>0</v>
      </c>
      <c r="AK90" s="2">
        <f t="shared" si="30"/>
        <v>0</v>
      </c>
      <c r="AL90" s="2">
        <f t="shared" si="31"/>
        <v>0</v>
      </c>
      <c r="AM90" s="115"/>
      <c r="AN90" s="115"/>
      <c r="AO90" s="63"/>
    </row>
    <row r="91" spans="1:41" ht="115.2" x14ac:dyDescent="0.55000000000000004">
      <c r="A91" s="36">
        <v>3200</v>
      </c>
      <c r="B91" s="113" t="s">
        <v>189</v>
      </c>
      <c r="C91" s="113" t="s">
        <v>741</v>
      </c>
      <c r="D91" s="114" t="s">
        <v>52</v>
      </c>
      <c r="E91" s="115" t="s">
        <v>742</v>
      </c>
      <c r="F91" s="116"/>
      <c r="G91" s="113" t="s">
        <v>743</v>
      </c>
      <c r="H91" s="113" t="s">
        <v>744</v>
      </c>
      <c r="I91" s="113" t="s">
        <v>745</v>
      </c>
      <c r="J91" s="117" t="s">
        <v>746</v>
      </c>
      <c r="K91" s="118"/>
      <c r="L91" s="109">
        <v>1</v>
      </c>
      <c r="M91" s="109">
        <v>2</v>
      </c>
      <c r="N91" s="109"/>
      <c r="O91" s="119"/>
      <c r="P91" s="2">
        <f t="shared" si="16"/>
        <v>1</v>
      </c>
      <c r="Q91" s="110" t="str">
        <f>IF(AND(Drops!$D$45&gt;1,OR(U91&lt;&gt;U90,AND(ROW()=5,U90=U91))),VLOOKUP(U91,Drops!$D$26:$E$44,2,FALSE),"")</f>
        <v>D. Asset and Info Management</v>
      </c>
      <c r="R91" s="2">
        <f t="shared" si="17"/>
        <v>91</v>
      </c>
      <c r="S91" s="2">
        <f t="shared" ca="1" si="18"/>
        <v>1</v>
      </c>
      <c r="T91" s="2">
        <f t="shared" si="19"/>
        <v>1</v>
      </c>
      <c r="U91" s="110" t="s">
        <v>747</v>
      </c>
      <c r="V91" s="110">
        <v>1</v>
      </c>
      <c r="W91" s="110">
        <v>0</v>
      </c>
      <c r="X91" s="110">
        <v>0</v>
      </c>
      <c r="Y91" s="110">
        <v>0</v>
      </c>
      <c r="Z91" s="110">
        <v>0</v>
      </c>
      <c r="AA91" s="2">
        <f t="shared" si="20"/>
        <v>1</v>
      </c>
      <c r="AB91" s="2">
        <f t="shared" si="21"/>
        <v>1</v>
      </c>
      <c r="AC91" s="2">
        <f t="shared" si="22"/>
        <v>1</v>
      </c>
      <c r="AD91" s="2">
        <f t="shared" si="23"/>
        <v>0</v>
      </c>
      <c r="AE91" s="2">
        <f t="shared" si="24"/>
        <v>0</v>
      </c>
      <c r="AF91" s="2">
        <f t="shared" si="25"/>
        <v>0</v>
      </c>
      <c r="AG91" s="2">
        <f t="shared" si="26"/>
        <v>0</v>
      </c>
      <c r="AH91" s="2">
        <f t="shared" si="27"/>
        <v>2</v>
      </c>
      <c r="AI91" s="2">
        <f t="shared" si="28"/>
        <v>0</v>
      </c>
      <c r="AJ91" s="2">
        <f t="shared" si="29"/>
        <v>0</v>
      </c>
      <c r="AK91" s="2">
        <f t="shared" si="30"/>
        <v>0</v>
      </c>
      <c r="AL91" s="2">
        <f t="shared" si="31"/>
        <v>0</v>
      </c>
      <c r="AM91" s="115"/>
      <c r="AN91" s="115"/>
      <c r="AO91" s="63"/>
    </row>
    <row r="92" spans="1:41" ht="28.8" x14ac:dyDescent="0.55000000000000004">
      <c r="A92" s="36">
        <v>4423</v>
      </c>
      <c r="B92" s="113" t="s">
        <v>748</v>
      </c>
      <c r="C92" s="138" t="s">
        <v>749</v>
      </c>
      <c r="D92" s="114" t="s">
        <v>52</v>
      </c>
      <c r="E92" s="115"/>
      <c r="F92" s="116"/>
      <c r="G92" s="113" t="s">
        <v>743</v>
      </c>
      <c r="H92" s="113" t="s">
        <v>744</v>
      </c>
      <c r="I92" s="113" t="s">
        <v>745</v>
      </c>
      <c r="J92" s="117" t="s">
        <v>746</v>
      </c>
      <c r="K92" s="118"/>
      <c r="L92" s="109">
        <v>2</v>
      </c>
      <c r="M92" s="109">
        <v>2</v>
      </c>
      <c r="N92" s="109"/>
      <c r="O92" s="119"/>
      <c r="P92" s="2">
        <f t="shared" si="16"/>
        <v>1</v>
      </c>
      <c r="Q92" s="110" t="str">
        <f>IF(AND(Drops!$D$45&gt;1,OR(U92&lt;&gt;U91,AND(ROW()=5,U91=U92))),VLOOKUP(U92,Drops!$D$26:$E$44,2,FALSE),"")</f>
        <v/>
      </c>
      <c r="R92" s="2" t="str">
        <f t="shared" si="17"/>
        <v/>
      </c>
      <c r="S92" s="2">
        <f t="shared" ca="1" si="18"/>
        <v>1</v>
      </c>
      <c r="T92" s="2">
        <f t="shared" si="19"/>
        <v>0</v>
      </c>
      <c r="U92" s="110" t="s">
        <v>747</v>
      </c>
      <c r="V92" s="110">
        <v>1</v>
      </c>
      <c r="W92" s="110">
        <v>1</v>
      </c>
      <c r="X92" s="110">
        <v>0</v>
      </c>
      <c r="Y92" s="110">
        <v>0</v>
      </c>
      <c r="Z92" s="110">
        <v>0</v>
      </c>
      <c r="AA92" s="2">
        <f t="shared" si="20"/>
        <v>1</v>
      </c>
      <c r="AB92" s="2">
        <f t="shared" si="21"/>
        <v>1</v>
      </c>
      <c r="AC92" s="2">
        <f t="shared" si="22"/>
        <v>1</v>
      </c>
      <c r="AD92" s="2">
        <f t="shared" si="23"/>
        <v>1</v>
      </c>
      <c r="AE92" s="2">
        <f t="shared" si="24"/>
        <v>0</v>
      </c>
      <c r="AF92" s="2">
        <f t="shared" si="25"/>
        <v>0</v>
      </c>
      <c r="AG92" s="2">
        <f t="shared" si="26"/>
        <v>0</v>
      </c>
      <c r="AH92" s="2">
        <f t="shared" si="27"/>
        <v>2</v>
      </c>
      <c r="AI92" s="2">
        <f t="shared" si="28"/>
        <v>2</v>
      </c>
      <c r="AJ92" s="2">
        <f t="shared" si="29"/>
        <v>0</v>
      </c>
      <c r="AK92" s="2">
        <f t="shared" si="30"/>
        <v>0</v>
      </c>
      <c r="AL92" s="2">
        <f t="shared" si="31"/>
        <v>0</v>
      </c>
      <c r="AM92" s="115"/>
      <c r="AN92" s="115"/>
      <c r="AO92" s="63"/>
    </row>
    <row r="93" spans="1:41" ht="28.8" x14ac:dyDescent="0.55000000000000004">
      <c r="A93" s="36">
        <v>4424</v>
      </c>
      <c r="B93" s="113" t="s">
        <v>750</v>
      </c>
      <c r="C93" s="139" t="s">
        <v>751</v>
      </c>
      <c r="D93" s="114" t="s">
        <v>52</v>
      </c>
      <c r="E93" s="115"/>
      <c r="F93" s="116"/>
      <c r="G93" s="113" t="s">
        <v>743</v>
      </c>
      <c r="H93" s="113" t="s">
        <v>744</v>
      </c>
      <c r="I93" s="113" t="s">
        <v>745</v>
      </c>
      <c r="J93" s="117" t="s">
        <v>746</v>
      </c>
      <c r="K93" s="118"/>
      <c r="L93" s="109">
        <v>3</v>
      </c>
      <c r="M93" s="109">
        <v>3</v>
      </c>
      <c r="N93" s="109"/>
      <c r="O93" s="119"/>
      <c r="P93" s="2">
        <f t="shared" si="16"/>
        <v>1</v>
      </c>
      <c r="Q93" s="110" t="str">
        <f>IF(AND(Drops!$D$45&gt;1,OR(U93&lt;&gt;U92,AND(ROW()=5,U92=U93))),VLOOKUP(U93,Drops!$D$26:$E$44,2,FALSE),"")</f>
        <v/>
      </c>
      <c r="R93" s="2" t="str">
        <f t="shared" si="17"/>
        <v/>
      </c>
      <c r="S93" s="2">
        <f t="shared" ca="1" si="18"/>
        <v>1</v>
      </c>
      <c r="T93" s="2">
        <f t="shared" si="19"/>
        <v>0</v>
      </c>
      <c r="U93" s="110" t="s">
        <v>747</v>
      </c>
      <c r="V93" s="110">
        <v>1</v>
      </c>
      <c r="W93" s="110">
        <v>1</v>
      </c>
      <c r="X93" s="110">
        <v>1</v>
      </c>
      <c r="Y93" s="110">
        <v>0</v>
      </c>
      <c r="Z93" s="110">
        <v>0</v>
      </c>
      <c r="AA93" s="2">
        <f t="shared" si="20"/>
        <v>1</v>
      </c>
      <c r="AB93" s="2">
        <f t="shared" si="21"/>
        <v>0</v>
      </c>
      <c r="AC93" s="2">
        <f t="shared" si="22"/>
        <v>1</v>
      </c>
      <c r="AD93" s="2">
        <f t="shared" si="23"/>
        <v>1</v>
      </c>
      <c r="AE93" s="2">
        <f t="shared" si="24"/>
        <v>1</v>
      </c>
      <c r="AF93" s="2">
        <f t="shared" si="25"/>
        <v>0</v>
      </c>
      <c r="AG93" s="2">
        <f t="shared" si="26"/>
        <v>0</v>
      </c>
      <c r="AH93" s="2">
        <f t="shared" si="27"/>
        <v>2</v>
      </c>
      <c r="AI93" s="2">
        <f t="shared" si="28"/>
        <v>2</v>
      </c>
      <c r="AJ93" s="2">
        <f t="shared" si="29"/>
        <v>2</v>
      </c>
      <c r="AK93" s="2">
        <f t="shared" si="30"/>
        <v>0</v>
      </c>
      <c r="AL93" s="2">
        <f t="shared" si="31"/>
        <v>0</v>
      </c>
      <c r="AM93" s="115"/>
      <c r="AN93" s="115"/>
      <c r="AO93" s="63"/>
    </row>
    <row r="94" spans="1:41" ht="57.6" x14ac:dyDescent="0.55000000000000004">
      <c r="A94" s="36">
        <v>4425</v>
      </c>
      <c r="B94" s="113" t="s">
        <v>752</v>
      </c>
      <c r="C94" s="139" t="s">
        <v>753</v>
      </c>
      <c r="D94" s="114" t="s">
        <v>52</v>
      </c>
      <c r="E94" s="115"/>
      <c r="F94" s="116"/>
      <c r="G94" s="113" t="s">
        <v>743</v>
      </c>
      <c r="H94" s="113" t="s">
        <v>744</v>
      </c>
      <c r="I94" s="113" t="s">
        <v>745</v>
      </c>
      <c r="J94" s="117" t="s">
        <v>754</v>
      </c>
      <c r="K94" s="118"/>
      <c r="L94" s="109">
        <v>3</v>
      </c>
      <c r="M94" s="109">
        <v>3</v>
      </c>
      <c r="N94" s="109"/>
      <c r="O94" s="119"/>
      <c r="P94" s="2">
        <f t="shared" si="16"/>
        <v>1</v>
      </c>
      <c r="Q94" s="110" t="str">
        <f>IF(AND(Drops!$D$45&gt;1,OR(U94&lt;&gt;U93,AND(ROW()=5,U93=U94))),VLOOKUP(U94,Drops!$D$26:$E$44,2,FALSE),"")</f>
        <v/>
      </c>
      <c r="R94" s="2" t="str">
        <f t="shared" si="17"/>
        <v/>
      </c>
      <c r="S94" s="2">
        <f t="shared" ca="1" si="18"/>
        <v>1</v>
      </c>
      <c r="T94" s="2">
        <f t="shared" si="19"/>
        <v>0</v>
      </c>
      <c r="U94" s="110" t="s">
        <v>747</v>
      </c>
      <c r="V94" s="110">
        <v>1</v>
      </c>
      <c r="W94" s="110">
        <v>1</v>
      </c>
      <c r="X94" s="110">
        <v>2</v>
      </c>
      <c r="Y94" s="110">
        <v>0</v>
      </c>
      <c r="Z94" s="110">
        <v>0</v>
      </c>
      <c r="AA94" s="2">
        <f t="shared" si="20"/>
        <v>1</v>
      </c>
      <c r="AB94" s="2">
        <f t="shared" si="21"/>
        <v>0</v>
      </c>
      <c r="AC94" s="2">
        <f t="shared" si="22"/>
        <v>1</v>
      </c>
      <c r="AD94" s="2">
        <f t="shared" si="23"/>
        <v>1</v>
      </c>
      <c r="AE94" s="2">
        <f t="shared" si="24"/>
        <v>1</v>
      </c>
      <c r="AF94" s="2">
        <f t="shared" si="25"/>
        <v>0</v>
      </c>
      <c r="AG94" s="2">
        <f t="shared" si="26"/>
        <v>0</v>
      </c>
      <c r="AH94" s="2">
        <f t="shared" si="27"/>
        <v>2</v>
      </c>
      <c r="AI94" s="2">
        <f t="shared" si="28"/>
        <v>2</v>
      </c>
      <c r="AJ94" s="2">
        <f t="shared" si="29"/>
        <v>2</v>
      </c>
      <c r="AK94" s="2">
        <f t="shared" si="30"/>
        <v>0</v>
      </c>
      <c r="AL94" s="2">
        <f t="shared" si="31"/>
        <v>0</v>
      </c>
      <c r="AM94" s="115"/>
      <c r="AN94" s="115"/>
      <c r="AO94" s="63"/>
    </row>
    <row r="95" spans="1:41" ht="43.2" x14ac:dyDescent="0.55000000000000004">
      <c r="A95" s="36">
        <v>110</v>
      </c>
      <c r="B95" s="113" t="s">
        <v>755</v>
      </c>
      <c r="C95" s="139" t="s">
        <v>756</v>
      </c>
      <c r="D95" s="114" t="s">
        <v>52</v>
      </c>
      <c r="E95" s="115"/>
      <c r="F95" s="116"/>
      <c r="G95" s="113" t="s">
        <v>743</v>
      </c>
      <c r="H95" s="113" t="s">
        <v>744</v>
      </c>
      <c r="I95" s="113" t="s">
        <v>745</v>
      </c>
      <c r="J95" s="117" t="s">
        <v>757</v>
      </c>
      <c r="K95" s="118"/>
      <c r="L95" s="109">
        <v>3</v>
      </c>
      <c r="M95" s="109">
        <v>3</v>
      </c>
      <c r="N95" s="109"/>
      <c r="O95" s="119"/>
      <c r="P95" s="2">
        <f t="shared" si="16"/>
        <v>1</v>
      </c>
      <c r="Q95" s="110" t="str">
        <f>IF(AND(Drops!$D$45&gt;1,OR(U95&lt;&gt;U94,AND(ROW()=5,U94=U95))),VLOOKUP(U95,Drops!$D$26:$E$44,2,FALSE),"")</f>
        <v/>
      </c>
      <c r="R95" s="2" t="str">
        <f t="shared" si="17"/>
        <v/>
      </c>
      <c r="S95" s="2">
        <f t="shared" ca="1" si="18"/>
        <v>1</v>
      </c>
      <c r="T95" s="2">
        <f t="shared" si="19"/>
        <v>0</v>
      </c>
      <c r="U95" s="110" t="s">
        <v>747</v>
      </c>
      <c r="V95" s="110">
        <v>1</v>
      </c>
      <c r="W95" s="110">
        <v>1</v>
      </c>
      <c r="X95" s="110">
        <v>3</v>
      </c>
      <c r="Y95" s="110">
        <v>0</v>
      </c>
      <c r="Z95" s="110">
        <v>0</v>
      </c>
      <c r="AA95" s="2">
        <f t="shared" si="20"/>
        <v>1</v>
      </c>
      <c r="AB95" s="2">
        <f t="shared" si="21"/>
        <v>0</v>
      </c>
      <c r="AC95" s="2">
        <f t="shared" si="22"/>
        <v>1</v>
      </c>
      <c r="AD95" s="2">
        <f t="shared" si="23"/>
        <v>1</v>
      </c>
      <c r="AE95" s="2">
        <f t="shared" si="24"/>
        <v>1</v>
      </c>
      <c r="AF95" s="2">
        <f t="shared" si="25"/>
        <v>0</v>
      </c>
      <c r="AG95" s="2">
        <f t="shared" si="26"/>
        <v>0</v>
      </c>
      <c r="AH95" s="2">
        <f t="shared" si="27"/>
        <v>2</v>
      </c>
      <c r="AI95" s="2">
        <f t="shared" si="28"/>
        <v>2</v>
      </c>
      <c r="AJ95" s="2">
        <f t="shared" si="29"/>
        <v>2</v>
      </c>
      <c r="AK95" s="2">
        <f t="shared" si="30"/>
        <v>0</v>
      </c>
      <c r="AL95" s="2">
        <f t="shared" si="31"/>
        <v>0</v>
      </c>
      <c r="AM95" s="115"/>
      <c r="AN95" s="115"/>
      <c r="AO95" s="63"/>
    </row>
    <row r="96" spans="1:41" ht="43.2" x14ac:dyDescent="0.55000000000000004">
      <c r="A96" s="36">
        <v>4426</v>
      </c>
      <c r="B96" s="113" t="s">
        <v>758</v>
      </c>
      <c r="C96" s="139" t="s">
        <v>759</v>
      </c>
      <c r="D96" s="114" t="s">
        <v>52</v>
      </c>
      <c r="E96" s="115"/>
      <c r="F96" s="116"/>
      <c r="G96" s="113" t="s">
        <v>743</v>
      </c>
      <c r="H96" s="113" t="s">
        <v>744</v>
      </c>
      <c r="I96" s="113" t="s">
        <v>745</v>
      </c>
      <c r="J96" s="117" t="s">
        <v>757</v>
      </c>
      <c r="K96" s="118"/>
      <c r="L96" s="109">
        <v>3</v>
      </c>
      <c r="M96" s="109">
        <v>3</v>
      </c>
      <c r="N96" s="109"/>
      <c r="O96" s="119"/>
      <c r="P96" s="2">
        <f t="shared" si="16"/>
        <v>1</v>
      </c>
      <c r="Q96" s="110" t="str">
        <f>IF(AND(Drops!$D$45&gt;1,OR(U96&lt;&gt;U95,AND(ROW()=5,U95=U96))),VLOOKUP(U96,Drops!$D$26:$E$44,2,FALSE),"")</f>
        <v/>
      </c>
      <c r="R96" s="2" t="str">
        <f t="shared" si="17"/>
        <v/>
      </c>
      <c r="S96" s="2">
        <f t="shared" ca="1" si="18"/>
        <v>1</v>
      </c>
      <c r="T96" s="2">
        <f t="shared" si="19"/>
        <v>0</v>
      </c>
      <c r="U96" s="110" t="s">
        <v>747</v>
      </c>
      <c r="V96" s="110">
        <v>1</v>
      </c>
      <c r="W96" s="110">
        <v>1</v>
      </c>
      <c r="X96" s="110">
        <v>4</v>
      </c>
      <c r="Y96" s="110">
        <v>0</v>
      </c>
      <c r="Z96" s="110">
        <v>0</v>
      </c>
      <c r="AA96" s="2">
        <f t="shared" si="20"/>
        <v>1</v>
      </c>
      <c r="AB96" s="2">
        <f t="shared" si="21"/>
        <v>0</v>
      </c>
      <c r="AC96" s="2">
        <f t="shared" si="22"/>
        <v>1</v>
      </c>
      <c r="AD96" s="2">
        <f t="shared" si="23"/>
        <v>1</v>
      </c>
      <c r="AE96" s="2">
        <f t="shared" si="24"/>
        <v>1</v>
      </c>
      <c r="AF96" s="2">
        <f t="shared" si="25"/>
        <v>0</v>
      </c>
      <c r="AG96" s="2">
        <f t="shared" si="26"/>
        <v>0</v>
      </c>
      <c r="AH96" s="2">
        <f t="shared" si="27"/>
        <v>2</v>
      </c>
      <c r="AI96" s="2">
        <f t="shared" si="28"/>
        <v>2</v>
      </c>
      <c r="AJ96" s="2">
        <f t="shared" si="29"/>
        <v>2</v>
      </c>
      <c r="AK96" s="2">
        <f t="shared" si="30"/>
        <v>0</v>
      </c>
      <c r="AL96" s="2">
        <f t="shared" si="31"/>
        <v>0</v>
      </c>
      <c r="AM96" s="115"/>
      <c r="AN96" s="115"/>
      <c r="AO96" s="63"/>
    </row>
    <row r="97" spans="1:41" ht="158.4" x14ac:dyDescent="0.55000000000000004">
      <c r="A97" s="36">
        <v>4427</v>
      </c>
      <c r="B97" s="113" t="s">
        <v>760</v>
      </c>
      <c r="C97" s="139" t="s">
        <v>761</v>
      </c>
      <c r="D97" s="114" t="s">
        <v>52</v>
      </c>
      <c r="E97" s="115" t="s">
        <v>762</v>
      </c>
      <c r="F97" s="116"/>
      <c r="G97" s="113" t="s">
        <v>743</v>
      </c>
      <c r="H97" s="113" t="s">
        <v>744</v>
      </c>
      <c r="I97" s="113" t="s">
        <v>745</v>
      </c>
      <c r="J97" s="117" t="s">
        <v>757</v>
      </c>
      <c r="K97" s="118"/>
      <c r="L97" s="109">
        <v>3</v>
      </c>
      <c r="M97" s="109">
        <v>3</v>
      </c>
      <c r="N97" s="109"/>
      <c r="O97" s="119"/>
      <c r="P97" s="2">
        <f t="shared" si="16"/>
        <v>1</v>
      </c>
      <c r="Q97" s="110" t="str">
        <f>IF(AND(Drops!$D$45&gt;1,OR(U97&lt;&gt;U96,AND(ROW()=5,U96=U97))),VLOOKUP(U97,Drops!$D$26:$E$44,2,FALSE),"")</f>
        <v/>
      </c>
      <c r="R97" s="2" t="str">
        <f t="shared" si="17"/>
        <v/>
      </c>
      <c r="S97" s="2">
        <f t="shared" ca="1" si="18"/>
        <v>1</v>
      </c>
      <c r="T97" s="2">
        <f t="shared" si="19"/>
        <v>0</v>
      </c>
      <c r="U97" s="110" t="s">
        <v>747</v>
      </c>
      <c r="V97" s="110">
        <v>1</v>
      </c>
      <c r="W97" s="110">
        <v>1</v>
      </c>
      <c r="X97" s="110">
        <v>5</v>
      </c>
      <c r="Y97" s="110">
        <v>0</v>
      </c>
      <c r="Z97" s="110">
        <v>0</v>
      </c>
      <c r="AA97" s="2">
        <f t="shared" si="20"/>
        <v>1</v>
      </c>
      <c r="AB97" s="2">
        <f t="shared" si="21"/>
        <v>0</v>
      </c>
      <c r="AC97" s="2">
        <f t="shared" si="22"/>
        <v>1</v>
      </c>
      <c r="AD97" s="2">
        <f t="shared" si="23"/>
        <v>1</v>
      </c>
      <c r="AE97" s="2">
        <f t="shared" si="24"/>
        <v>1</v>
      </c>
      <c r="AF97" s="2">
        <f t="shared" si="25"/>
        <v>0</v>
      </c>
      <c r="AG97" s="2">
        <f t="shared" si="26"/>
        <v>0</v>
      </c>
      <c r="AH97" s="2">
        <f t="shared" si="27"/>
        <v>2</v>
      </c>
      <c r="AI97" s="2">
        <f t="shared" si="28"/>
        <v>2</v>
      </c>
      <c r="AJ97" s="2">
        <f t="shared" si="29"/>
        <v>2</v>
      </c>
      <c r="AK97" s="2">
        <f t="shared" si="30"/>
        <v>0</v>
      </c>
      <c r="AL97" s="2">
        <f t="shared" si="31"/>
        <v>0</v>
      </c>
      <c r="AM97" s="115"/>
      <c r="AN97" s="115"/>
      <c r="AO97" s="63"/>
    </row>
    <row r="98" spans="1:41" ht="14.4" x14ac:dyDescent="0.55000000000000004">
      <c r="A98" s="36">
        <v>4660</v>
      </c>
      <c r="B98" s="113" t="s">
        <v>763</v>
      </c>
      <c r="C98" s="139" t="s">
        <v>764</v>
      </c>
      <c r="D98" s="114" t="s">
        <v>52</v>
      </c>
      <c r="E98" s="115"/>
      <c r="F98" s="116"/>
      <c r="G98" s="113" t="s">
        <v>743</v>
      </c>
      <c r="H98" s="113" t="s">
        <v>744</v>
      </c>
      <c r="I98" s="113"/>
      <c r="J98" s="117" t="s">
        <v>746</v>
      </c>
      <c r="K98" s="118"/>
      <c r="L98" s="109">
        <v>3</v>
      </c>
      <c r="M98" s="109">
        <v>3</v>
      </c>
      <c r="N98" s="109"/>
      <c r="O98" s="119"/>
      <c r="P98" s="2">
        <f t="shared" si="16"/>
        <v>1</v>
      </c>
      <c r="Q98" s="110" t="str">
        <f>IF(AND(Drops!$D$45&gt;1,OR(U98&lt;&gt;U97,AND(ROW()=5,U97=U98))),VLOOKUP(U98,Drops!$D$26:$E$44,2,FALSE),"")</f>
        <v/>
      </c>
      <c r="R98" s="2" t="str">
        <f t="shared" si="17"/>
        <v/>
      </c>
      <c r="S98" s="2">
        <f t="shared" ca="1" si="18"/>
        <v>1</v>
      </c>
      <c r="T98" s="2">
        <f t="shared" si="19"/>
        <v>0</v>
      </c>
      <c r="U98" s="110" t="s">
        <v>747</v>
      </c>
      <c r="V98" s="110">
        <v>1</v>
      </c>
      <c r="W98" s="110">
        <v>1</v>
      </c>
      <c r="X98" s="110">
        <v>6</v>
      </c>
      <c r="Y98" s="110">
        <v>0</v>
      </c>
      <c r="Z98" s="110">
        <v>0</v>
      </c>
      <c r="AA98" s="2">
        <f t="shared" si="20"/>
        <v>1</v>
      </c>
      <c r="AB98" s="2">
        <f t="shared" si="21"/>
        <v>0</v>
      </c>
      <c r="AC98" s="2">
        <f t="shared" si="22"/>
        <v>1</v>
      </c>
      <c r="AD98" s="2">
        <f t="shared" si="23"/>
        <v>1</v>
      </c>
      <c r="AE98" s="2">
        <f t="shared" si="24"/>
        <v>1</v>
      </c>
      <c r="AF98" s="2">
        <f t="shared" si="25"/>
        <v>0</v>
      </c>
      <c r="AG98" s="2">
        <f t="shared" si="26"/>
        <v>0</v>
      </c>
      <c r="AH98" s="2">
        <f t="shared" si="27"/>
        <v>2</v>
      </c>
      <c r="AI98" s="2">
        <f t="shared" si="28"/>
        <v>2</v>
      </c>
      <c r="AJ98" s="2">
        <f t="shared" si="29"/>
        <v>2</v>
      </c>
      <c r="AK98" s="2">
        <f t="shared" si="30"/>
        <v>0</v>
      </c>
      <c r="AL98" s="2">
        <f t="shared" si="31"/>
        <v>0</v>
      </c>
      <c r="AM98" s="115"/>
      <c r="AN98" s="115"/>
      <c r="AO98" s="63"/>
    </row>
    <row r="99" spans="1:41" ht="28.8" x14ac:dyDescent="0.55000000000000004">
      <c r="A99" s="36">
        <v>4428</v>
      </c>
      <c r="B99" s="113" t="s">
        <v>765</v>
      </c>
      <c r="C99" s="138" t="s">
        <v>766</v>
      </c>
      <c r="D99" s="114" t="s">
        <v>52</v>
      </c>
      <c r="E99" s="115"/>
      <c r="F99" s="116"/>
      <c r="G99" s="113" t="s">
        <v>743</v>
      </c>
      <c r="H99" s="113" t="s">
        <v>767</v>
      </c>
      <c r="I99" s="113"/>
      <c r="J99" s="117" t="s">
        <v>746</v>
      </c>
      <c r="K99" s="118"/>
      <c r="L99" s="109">
        <v>2</v>
      </c>
      <c r="M99" s="109">
        <v>3</v>
      </c>
      <c r="N99" s="109"/>
      <c r="O99" s="119"/>
      <c r="P99" s="2">
        <f t="shared" si="16"/>
        <v>1</v>
      </c>
      <c r="Q99" s="110" t="str">
        <f>IF(AND(Drops!$D$45&gt;1,OR(U99&lt;&gt;U98,AND(ROW()=5,U98=U99))),VLOOKUP(U99,Drops!$D$26:$E$44,2,FALSE),"")</f>
        <v/>
      </c>
      <c r="R99" s="2" t="str">
        <f t="shared" si="17"/>
        <v/>
      </c>
      <c r="S99" s="2">
        <f t="shared" ca="1" si="18"/>
        <v>1</v>
      </c>
      <c r="T99" s="2">
        <f t="shared" si="19"/>
        <v>0</v>
      </c>
      <c r="U99" s="110" t="s">
        <v>747</v>
      </c>
      <c r="V99" s="110">
        <v>1</v>
      </c>
      <c r="W99" s="110">
        <v>2</v>
      </c>
      <c r="X99" s="110">
        <v>0</v>
      </c>
      <c r="Y99" s="110">
        <v>0</v>
      </c>
      <c r="Z99" s="110">
        <v>0</v>
      </c>
      <c r="AA99" s="2">
        <f t="shared" si="20"/>
        <v>1</v>
      </c>
      <c r="AB99" s="2">
        <f t="shared" si="21"/>
        <v>0</v>
      </c>
      <c r="AC99" s="2">
        <f t="shared" si="22"/>
        <v>1</v>
      </c>
      <c r="AD99" s="2">
        <f t="shared" si="23"/>
        <v>1</v>
      </c>
      <c r="AE99" s="2">
        <f t="shared" si="24"/>
        <v>0</v>
      </c>
      <c r="AF99" s="2">
        <f t="shared" si="25"/>
        <v>0</v>
      </c>
      <c r="AG99" s="2">
        <f t="shared" si="26"/>
        <v>0</v>
      </c>
      <c r="AH99" s="2">
        <f t="shared" si="27"/>
        <v>2</v>
      </c>
      <c r="AI99" s="2">
        <f t="shared" si="28"/>
        <v>2</v>
      </c>
      <c r="AJ99" s="2">
        <f t="shared" si="29"/>
        <v>2</v>
      </c>
      <c r="AK99" s="2">
        <f t="shared" si="30"/>
        <v>0</v>
      </c>
      <c r="AL99" s="2">
        <f t="shared" si="31"/>
        <v>0</v>
      </c>
      <c r="AM99" s="115"/>
      <c r="AN99" s="115"/>
      <c r="AO99" s="63"/>
    </row>
    <row r="100" spans="1:41" ht="57.6" x14ac:dyDescent="0.55000000000000004">
      <c r="A100" s="36">
        <v>4175</v>
      </c>
      <c r="B100" s="113" t="s">
        <v>191</v>
      </c>
      <c r="C100" s="113" t="s">
        <v>768</v>
      </c>
      <c r="D100" s="114" t="s">
        <v>52</v>
      </c>
      <c r="E100" s="115" t="s">
        <v>769</v>
      </c>
      <c r="F100" s="116"/>
      <c r="G100" s="113" t="s">
        <v>743</v>
      </c>
      <c r="H100" s="113" t="s">
        <v>770</v>
      </c>
      <c r="I100" s="113" t="s">
        <v>771</v>
      </c>
      <c r="J100" s="117" t="s">
        <v>772</v>
      </c>
      <c r="K100" s="118"/>
      <c r="L100" s="109">
        <v>1</v>
      </c>
      <c r="M100" s="109">
        <v>2</v>
      </c>
      <c r="N100" s="109"/>
      <c r="O100" s="119"/>
      <c r="P100" s="2">
        <f t="shared" si="16"/>
        <v>1</v>
      </c>
      <c r="Q100" s="110" t="str">
        <f>IF(AND(Drops!$D$45&gt;1,OR(U100&lt;&gt;U99,AND(ROW()=5,U99=U100))),VLOOKUP(U100,Drops!$D$26:$E$44,2,FALSE),"")</f>
        <v/>
      </c>
      <c r="R100" s="2" t="str">
        <f t="shared" si="17"/>
        <v/>
      </c>
      <c r="S100" s="2">
        <f t="shared" ca="1" si="18"/>
        <v>1</v>
      </c>
      <c r="T100" s="2">
        <f t="shared" si="19"/>
        <v>1</v>
      </c>
      <c r="U100" s="110" t="s">
        <v>747</v>
      </c>
      <c r="V100" s="110">
        <v>2</v>
      </c>
      <c r="W100" s="110">
        <v>0</v>
      </c>
      <c r="X100" s="110">
        <v>0</v>
      </c>
      <c r="Y100" s="110">
        <v>0</v>
      </c>
      <c r="Z100" s="110">
        <v>0</v>
      </c>
      <c r="AA100" s="2">
        <f t="shared" si="20"/>
        <v>1</v>
      </c>
      <c r="AB100" s="2">
        <f t="shared" si="21"/>
        <v>1</v>
      </c>
      <c r="AC100" s="2">
        <f t="shared" si="22"/>
        <v>1</v>
      </c>
      <c r="AD100" s="2">
        <f t="shared" si="23"/>
        <v>0</v>
      </c>
      <c r="AE100" s="2">
        <f t="shared" si="24"/>
        <v>0</v>
      </c>
      <c r="AF100" s="2">
        <f t="shared" si="25"/>
        <v>0</v>
      </c>
      <c r="AG100" s="2">
        <f t="shared" si="26"/>
        <v>0</v>
      </c>
      <c r="AH100" s="2">
        <f t="shared" si="27"/>
        <v>2</v>
      </c>
      <c r="AI100" s="2">
        <f t="shared" si="28"/>
        <v>2</v>
      </c>
      <c r="AJ100" s="2">
        <f t="shared" si="29"/>
        <v>2</v>
      </c>
      <c r="AK100" s="2">
        <f t="shared" si="30"/>
        <v>0</v>
      </c>
      <c r="AL100" s="2">
        <f t="shared" si="31"/>
        <v>0</v>
      </c>
      <c r="AM100" s="115"/>
      <c r="AN100" s="115"/>
      <c r="AO100" s="63"/>
    </row>
    <row r="101" spans="1:41" ht="28.8" x14ac:dyDescent="0.55000000000000004">
      <c r="A101" s="36">
        <v>4431</v>
      </c>
      <c r="B101" s="113" t="s">
        <v>773</v>
      </c>
      <c r="C101" s="138" t="s">
        <v>774</v>
      </c>
      <c r="D101" s="114" t="s">
        <v>52</v>
      </c>
      <c r="E101" s="115"/>
      <c r="F101" s="116"/>
      <c r="G101" s="113" t="s">
        <v>743</v>
      </c>
      <c r="H101" s="113" t="s">
        <v>770</v>
      </c>
      <c r="I101" s="113" t="s">
        <v>771</v>
      </c>
      <c r="J101" s="117" t="s">
        <v>772</v>
      </c>
      <c r="K101" s="118"/>
      <c r="L101" s="109">
        <v>2</v>
      </c>
      <c r="M101" s="109">
        <v>3</v>
      </c>
      <c r="N101" s="109"/>
      <c r="O101" s="119"/>
      <c r="P101" s="2">
        <f t="shared" si="16"/>
        <v>1</v>
      </c>
      <c r="Q101" s="110" t="str">
        <f>IF(AND(Drops!$D$45&gt;1,OR(U101&lt;&gt;U100,AND(ROW()=5,U100=U101))),VLOOKUP(U101,Drops!$D$26:$E$44,2,FALSE),"")</f>
        <v/>
      </c>
      <c r="R101" s="2" t="str">
        <f t="shared" si="17"/>
        <v/>
      </c>
      <c r="S101" s="2">
        <f t="shared" ca="1" si="18"/>
        <v>1</v>
      </c>
      <c r="T101" s="2">
        <f t="shared" si="19"/>
        <v>0</v>
      </c>
      <c r="U101" s="110" t="s">
        <v>747</v>
      </c>
      <c r="V101" s="110">
        <v>2</v>
      </c>
      <c r="W101" s="110">
        <v>1</v>
      </c>
      <c r="X101" s="110">
        <v>0</v>
      </c>
      <c r="Y101" s="110">
        <v>0</v>
      </c>
      <c r="Z101" s="110">
        <v>0</v>
      </c>
      <c r="AA101" s="2">
        <f t="shared" si="20"/>
        <v>1</v>
      </c>
      <c r="AB101" s="2">
        <f t="shared" si="21"/>
        <v>0</v>
      </c>
      <c r="AC101" s="2">
        <f t="shared" si="22"/>
        <v>1</v>
      </c>
      <c r="AD101" s="2">
        <f t="shared" si="23"/>
        <v>1</v>
      </c>
      <c r="AE101" s="2">
        <f t="shared" si="24"/>
        <v>0</v>
      </c>
      <c r="AF101" s="2">
        <f t="shared" si="25"/>
        <v>0</v>
      </c>
      <c r="AG101" s="2">
        <f t="shared" si="26"/>
        <v>0</v>
      </c>
      <c r="AH101" s="2">
        <f t="shared" si="27"/>
        <v>2</v>
      </c>
      <c r="AI101" s="2">
        <f t="shared" si="28"/>
        <v>2</v>
      </c>
      <c r="AJ101" s="2">
        <f t="shared" si="29"/>
        <v>2</v>
      </c>
      <c r="AK101" s="2">
        <f t="shared" si="30"/>
        <v>0</v>
      </c>
      <c r="AL101" s="2">
        <f t="shared" si="31"/>
        <v>0</v>
      </c>
      <c r="AM101" s="115"/>
      <c r="AN101" s="115"/>
      <c r="AO101" s="63"/>
    </row>
    <row r="102" spans="1:41" ht="28.8" x14ac:dyDescent="0.55000000000000004">
      <c r="A102" s="36">
        <v>4199</v>
      </c>
      <c r="B102" s="113" t="s">
        <v>193</v>
      </c>
      <c r="C102" s="113" t="s">
        <v>775</v>
      </c>
      <c r="D102" s="114" t="s">
        <v>52</v>
      </c>
      <c r="E102" s="115"/>
      <c r="F102" s="116"/>
      <c r="G102" s="113" t="s">
        <v>743</v>
      </c>
      <c r="H102" s="113" t="s">
        <v>776</v>
      </c>
      <c r="I102" s="113"/>
      <c r="J102" s="117" t="s">
        <v>777</v>
      </c>
      <c r="K102" s="118"/>
      <c r="L102" s="109">
        <v>1</v>
      </c>
      <c r="M102" s="109">
        <v>2</v>
      </c>
      <c r="N102" s="109"/>
      <c r="O102" s="119"/>
      <c r="P102" s="2">
        <f t="shared" si="16"/>
        <v>1</v>
      </c>
      <c r="Q102" s="110" t="str">
        <f>IF(AND(Drops!$D$45&gt;1,OR(U102&lt;&gt;U101,AND(ROW()=5,U101=U102))),VLOOKUP(U102,Drops!$D$26:$E$44,2,FALSE),"")</f>
        <v/>
      </c>
      <c r="R102" s="2" t="str">
        <f t="shared" si="17"/>
        <v/>
      </c>
      <c r="S102" s="2">
        <f t="shared" ca="1" si="18"/>
        <v>1</v>
      </c>
      <c r="T102" s="2">
        <f t="shared" si="19"/>
        <v>1</v>
      </c>
      <c r="U102" s="110" t="s">
        <v>747</v>
      </c>
      <c r="V102" s="110">
        <v>3</v>
      </c>
      <c r="W102" s="110">
        <v>0</v>
      </c>
      <c r="X102" s="110">
        <v>0</v>
      </c>
      <c r="Y102" s="110">
        <v>0</v>
      </c>
      <c r="Z102" s="110">
        <v>0</v>
      </c>
      <c r="AA102" s="2">
        <f t="shared" si="20"/>
        <v>1</v>
      </c>
      <c r="AB102" s="2">
        <f t="shared" si="21"/>
        <v>0</v>
      </c>
      <c r="AC102" s="2">
        <f t="shared" si="22"/>
        <v>1</v>
      </c>
      <c r="AD102" s="2">
        <f t="shared" si="23"/>
        <v>0</v>
      </c>
      <c r="AE102" s="2">
        <f t="shared" si="24"/>
        <v>0</v>
      </c>
      <c r="AF102" s="2">
        <f t="shared" si="25"/>
        <v>0</v>
      </c>
      <c r="AG102" s="2">
        <f t="shared" si="26"/>
        <v>0</v>
      </c>
      <c r="AH102" s="2">
        <f t="shared" si="27"/>
        <v>2</v>
      </c>
      <c r="AI102" s="2">
        <f t="shared" si="28"/>
        <v>2</v>
      </c>
      <c r="AJ102" s="2">
        <f t="shared" si="29"/>
        <v>2</v>
      </c>
      <c r="AK102" s="2">
        <f t="shared" si="30"/>
        <v>0</v>
      </c>
      <c r="AL102" s="2">
        <f t="shared" si="31"/>
        <v>0</v>
      </c>
      <c r="AM102" s="115"/>
      <c r="AN102" s="115"/>
      <c r="AO102" s="63"/>
    </row>
    <row r="103" spans="1:41" ht="158.4" x14ac:dyDescent="0.55000000000000004">
      <c r="A103" s="36">
        <v>2532</v>
      </c>
      <c r="B103" s="113" t="s">
        <v>197</v>
      </c>
      <c r="C103" s="113" t="s">
        <v>778</v>
      </c>
      <c r="D103" s="114" t="s">
        <v>52</v>
      </c>
      <c r="E103" s="115" t="s">
        <v>762</v>
      </c>
      <c r="F103" s="116"/>
      <c r="G103" s="113" t="s">
        <v>779</v>
      </c>
      <c r="H103" s="113" t="s">
        <v>780</v>
      </c>
      <c r="I103" s="113" t="s">
        <v>745</v>
      </c>
      <c r="J103" s="117" t="s">
        <v>781</v>
      </c>
      <c r="K103" s="118"/>
      <c r="L103" s="109">
        <v>1</v>
      </c>
      <c r="M103" s="109">
        <v>2</v>
      </c>
      <c r="N103" s="109"/>
      <c r="O103" s="119"/>
      <c r="P103" s="2">
        <f t="shared" si="16"/>
        <v>1</v>
      </c>
      <c r="Q103" s="110" t="str">
        <f>IF(AND(Drops!$D$45&gt;1,OR(U103&lt;&gt;U102,AND(ROW()=5,U102=U103))),VLOOKUP(U103,Drops!$D$26:$E$44,2,FALSE),"")</f>
        <v/>
      </c>
      <c r="R103" s="2" t="str">
        <f t="shared" si="17"/>
        <v/>
      </c>
      <c r="S103" s="2">
        <f t="shared" ca="1" si="18"/>
        <v>1</v>
      </c>
      <c r="T103" s="2">
        <f t="shared" si="19"/>
        <v>1</v>
      </c>
      <c r="U103" s="110" t="s">
        <v>747</v>
      </c>
      <c r="V103" s="110">
        <v>5</v>
      </c>
      <c r="W103" s="110">
        <v>0</v>
      </c>
      <c r="X103" s="110">
        <v>0</v>
      </c>
      <c r="Y103" s="110">
        <v>0</v>
      </c>
      <c r="Z103" s="110">
        <v>0</v>
      </c>
      <c r="AA103" s="2">
        <f t="shared" si="20"/>
        <v>1</v>
      </c>
      <c r="AB103" s="2">
        <f t="shared" si="21"/>
        <v>1</v>
      </c>
      <c r="AC103" s="2">
        <f t="shared" si="22"/>
        <v>1</v>
      </c>
      <c r="AD103" s="2">
        <f t="shared" si="23"/>
        <v>0</v>
      </c>
      <c r="AE103" s="2">
        <f t="shared" si="24"/>
        <v>0</v>
      </c>
      <c r="AF103" s="2">
        <f t="shared" si="25"/>
        <v>0</v>
      </c>
      <c r="AG103" s="2">
        <f t="shared" si="26"/>
        <v>0</v>
      </c>
      <c r="AH103" s="2">
        <f t="shared" si="27"/>
        <v>2</v>
      </c>
      <c r="AI103" s="2">
        <f t="shared" si="28"/>
        <v>2</v>
      </c>
      <c r="AJ103" s="2">
        <f t="shared" si="29"/>
        <v>2</v>
      </c>
      <c r="AK103" s="2">
        <f t="shared" si="30"/>
        <v>0</v>
      </c>
      <c r="AL103" s="2">
        <f t="shared" si="31"/>
        <v>0</v>
      </c>
      <c r="AM103" s="115"/>
      <c r="AN103" s="115"/>
      <c r="AO103" s="63"/>
    </row>
    <row r="104" spans="1:41" ht="28.8" x14ac:dyDescent="0.55000000000000004">
      <c r="A104" s="36">
        <v>4432</v>
      </c>
      <c r="B104" s="113" t="s">
        <v>782</v>
      </c>
      <c r="C104" s="138" t="s">
        <v>783</v>
      </c>
      <c r="D104" s="114" t="s">
        <v>52</v>
      </c>
      <c r="E104" s="115"/>
      <c r="F104" s="116"/>
      <c r="G104" s="113" t="s">
        <v>779</v>
      </c>
      <c r="H104" s="113" t="s">
        <v>780</v>
      </c>
      <c r="I104" s="113" t="s">
        <v>745</v>
      </c>
      <c r="J104" s="117" t="s">
        <v>781</v>
      </c>
      <c r="K104" s="118"/>
      <c r="L104" s="109">
        <v>2</v>
      </c>
      <c r="M104" s="109">
        <v>3</v>
      </c>
      <c r="N104" s="109"/>
      <c r="O104" s="119"/>
      <c r="P104" s="2">
        <f t="shared" si="16"/>
        <v>1</v>
      </c>
      <c r="Q104" s="110" t="str">
        <f>IF(AND(Drops!$D$45&gt;1,OR(U104&lt;&gt;U103,AND(ROW()=5,U103=U104))),VLOOKUP(U104,Drops!$D$26:$E$44,2,FALSE),"")</f>
        <v/>
      </c>
      <c r="R104" s="2" t="str">
        <f t="shared" si="17"/>
        <v/>
      </c>
      <c r="S104" s="2">
        <f t="shared" ca="1" si="18"/>
        <v>1</v>
      </c>
      <c r="T104" s="2">
        <f t="shared" si="19"/>
        <v>0</v>
      </c>
      <c r="U104" s="110" t="s">
        <v>747</v>
      </c>
      <c r="V104" s="110">
        <v>5</v>
      </c>
      <c r="W104" s="110">
        <v>1</v>
      </c>
      <c r="X104" s="110">
        <v>0</v>
      </c>
      <c r="Y104" s="110">
        <v>0</v>
      </c>
      <c r="Z104" s="110">
        <v>0</v>
      </c>
      <c r="AA104" s="2">
        <f t="shared" si="20"/>
        <v>1</v>
      </c>
      <c r="AB104" s="2">
        <f t="shared" si="21"/>
        <v>0</v>
      </c>
      <c r="AC104" s="2">
        <f t="shared" si="22"/>
        <v>1</v>
      </c>
      <c r="AD104" s="2">
        <f t="shared" si="23"/>
        <v>1</v>
      </c>
      <c r="AE104" s="2">
        <f t="shared" si="24"/>
        <v>0</v>
      </c>
      <c r="AF104" s="2">
        <f t="shared" si="25"/>
        <v>0</v>
      </c>
      <c r="AG104" s="2">
        <f t="shared" si="26"/>
        <v>0</v>
      </c>
      <c r="AH104" s="2">
        <f t="shared" si="27"/>
        <v>2</v>
      </c>
      <c r="AI104" s="2">
        <f t="shared" si="28"/>
        <v>2</v>
      </c>
      <c r="AJ104" s="2">
        <f t="shared" si="29"/>
        <v>2</v>
      </c>
      <c r="AK104" s="2">
        <f t="shared" si="30"/>
        <v>0</v>
      </c>
      <c r="AL104" s="2">
        <f t="shared" si="31"/>
        <v>0</v>
      </c>
      <c r="AM104" s="115"/>
      <c r="AN104" s="115"/>
      <c r="AO104" s="63"/>
    </row>
    <row r="105" spans="1:41" ht="28.8" x14ac:dyDescent="0.55000000000000004">
      <c r="A105" s="36">
        <v>120</v>
      </c>
      <c r="B105" s="113" t="s">
        <v>784</v>
      </c>
      <c r="C105" s="138" t="s">
        <v>785</v>
      </c>
      <c r="D105" s="114" t="s">
        <v>52</v>
      </c>
      <c r="E105" s="115"/>
      <c r="F105" s="116"/>
      <c r="G105" s="113" t="s">
        <v>779</v>
      </c>
      <c r="H105" s="113" t="s">
        <v>786</v>
      </c>
      <c r="I105" s="113" t="s">
        <v>745</v>
      </c>
      <c r="J105" s="117" t="s">
        <v>787</v>
      </c>
      <c r="K105" s="118"/>
      <c r="L105" s="109">
        <v>2</v>
      </c>
      <c r="M105" s="109">
        <v>2</v>
      </c>
      <c r="N105" s="109"/>
      <c r="O105" s="119"/>
      <c r="P105" s="2">
        <f t="shared" si="16"/>
        <v>1</v>
      </c>
      <c r="Q105" s="110" t="str">
        <f>IF(AND(Drops!$D$45&gt;1,OR(U105&lt;&gt;U104,AND(ROW()=5,U104=U105))),VLOOKUP(U105,Drops!$D$26:$E$44,2,FALSE),"")</f>
        <v/>
      </c>
      <c r="R105" s="2" t="str">
        <f t="shared" si="17"/>
        <v/>
      </c>
      <c r="S105" s="2">
        <f t="shared" ca="1" si="18"/>
        <v>1</v>
      </c>
      <c r="T105" s="2">
        <f t="shared" si="19"/>
        <v>0</v>
      </c>
      <c r="U105" s="110" t="s">
        <v>747</v>
      </c>
      <c r="V105" s="110">
        <v>5</v>
      </c>
      <c r="W105" s="110">
        <v>3</v>
      </c>
      <c r="X105" s="110">
        <v>0</v>
      </c>
      <c r="Y105" s="110">
        <v>0</v>
      </c>
      <c r="Z105" s="110">
        <v>0</v>
      </c>
      <c r="AA105" s="2">
        <f t="shared" si="20"/>
        <v>1</v>
      </c>
      <c r="AB105" s="2">
        <f t="shared" si="21"/>
        <v>1</v>
      </c>
      <c r="AC105" s="2">
        <f t="shared" si="22"/>
        <v>1</v>
      </c>
      <c r="AD105" s="2">
        <f t="shared" si="23"/>
        <v>1</v>
      </c>
      <c r="AE105" s="2">
        <f t="shared" si="24"/>
        <v>0</v>
      </c>
      <c r="AF105" s="2">
        <f t="shared" si="25"/>
        <v>0</v>
      </c>
      <c r="AG105" s="2">
        <f t="shared" si="26"/>
        <v>0</v>
      </c>
      <c r="AH105" s="2">
        <f t="shared" si="27"/>
        <v>2</v>
      </c>
      <c r="AI105" s="2">
        <f t="shared" si="28"/>
        <v>2</v>
      </c>
      <c r="AJ105" s="2">
        <f t="shared" si="29"/>
        <v>2</v>
      </c>
      <c r="AK105" s="2">
        <f t="shared" si="30"/>
        <v>0</v>
      </c>
      <c r="AL105" s="2">
        <f t="shared" si="31"/>
        <v>0</v>
      </c>
      <c r="AM105" s="115"/>
      <c r="AN105" s="115"/>
      <c r="AO105" s="63"/>
    </row>
    <row r="106" spans="1:41" ht="28.8" x14ac:dyDescent="0.55000000000000004">
      <c r="A106" s="36">
        <v>4434</v>
      </c>
      <c r="B106" s="113" t="s">
        <v>788</v>
      </c>
      <c r="C106" s="139" t="s">
        <v>789</v>
      </c>
      <c r="D106" s="114" t="s">
        <v>52</v>
      </c>
      <c r="E106" s="115"/>
      <c r="F106" s="116"/>
      <c r="G106" s="113" t="s">
        <v>779</v>
      </c>
      <c r="H106" s="113" t="s">
        <v>786</v>
      </c>
      <c r="I106" s="113" t="s">
        <v>745</v>
      </c>
      <c r="J106" s="117" t="s">
        <v>787</v>
      </c>
      <c r="K106" s="118"/>
      <c r="L106" s="109">
        <v>3</v>
      </c>
      <c r="M106" s="109">
        <v>3</v>
      </c>
      <c r="N106" s="109"/>
      <c r="O106" s="119"/>
      <c r="P106" s="2">
        <f t="shared" si="16"/>
        <v>1</v>
      </c>
      <c r="Q106" s="110" t="str">
        <f>IF(AND(Drops!$D$45&gt;1,OR(U106&lt;&gt;U105,AND(ROW()=5,U105=U106))),VLOOKUP(U106,Drops!$D$26:$E$44,2,FALSE),"")</f>
        <v/>
      </c>
      <c r="R106" s="2" t="str">
        <f t="shared" si="17"/>
        <v/>
      </c>
      <c r="S106" s="2">
        <f t="shared" ca="1" si="18"/>
        <v>1</v>
      </c>
      <c r="T106" s="2">
        <f t="shared" si="19"/>
        <v>0</v>
      </c>
      <c r="U106" s="110" t="s">
        <v>747</v>
      </c>
      <c r="V106" s="110">
        <v>5</v>
      </c>
      <c r="W106" s="110">
        <v>3</v>
      </c>
      <c r="X106" s="110">
        <v>1</v>
      </c>
      <c r="Y106" s="110">
        <v>0</v>
      </c>
      <c r="Z106" s="110">
        <v>0</v>
      </c>
      <c r="AA106" s="2">
        <f t="shared" si="20"/>
        <v>1</v>
      </c>
      <c r="AB106" s="2">
        <f t="shared" si="21"/>
        <v>0</v>
      </c>
      <c r="AC106" s="2">
        <f t="shared" si="22"/>
        <v>1</v>
      </c>
      <c r="AD106" s="2">
        <f t="shared" si="23"/>
        <v>1</v>
      </c>
      <c r="AE106" s="2">
        <f t="shared" si="24"/>
        <v>1</v>
      </c>
      <c r="AF106" s="2">
        <f t="shared" si="25"/>
        <v>0</v>
      </c>
      <c r="AG106" s="2">
        <f t="shared" si="26"/>
        <v>0</v>
      </c>
      <c r="AH106" s="2">
        <f t="shared" si="27"/>
        <v>2</v>
      </c>
      <c r="AI106" s="2">
        <f t="shared" si="28"/>
        <v>2</v>
      </c>
      <c r="AJ106" s="2">
        <f t="shared" si="29"/>
        <v>2</v>
      </c>
      <c r="AK106" s="2">
        <f t="shared" si="30"/>
        <v>0</v>
      </c>
      <c r="AL106" s="2">
        <f t="shared" si="31"/>
        <v>0</v>
      </c>
      <c r="AM106" s="115"/>
      <c r="AN106" s="115"/>
      <c r="AO106" s="63"/>
    </row>
    <row r="107" spans="1:41" ht="28.8" x14ac:dyDescent="0.55000000000000004">
      <c r="A107" s="36">
        <v>121</v>
      </c>
      <c r="B107" s="113" t="s">
        <v>790</v>
      </c>
      <c r="C107" s="139" t="s">
        <v>791</v>
      </c>
      <c r="D107" s="114" t="s">
        <v>52</v>
      </c>
      <c r="E107" s="115"/>
      <c r="F107" s="116"/>
      <c r="G107" s="113" t="s">
        <v>779</v>
      </c>
      <c r="H107" s="113" t="s">
        <v>786</v>
      </c>
      <c r="I107" s="113" t="s">
        <v>792</v>
      </c>
      <c r="J107" s="117" t="s">
        <v>793</v>
      </c>
      <c r="K107" s="118"/>
      <c r="L107" s="109">
        <v>3</v>
      </c>
      <c r="M107" s="109">
        <v>2</v>
      </c>
      <c r="N107" s="109"/>
      <c r="O107" s="119"/>
      <c r="P107" s="2">
        <f t="shared" si="16"/>
        <v>1</v>
      </c>
      <c r="Q107" s="110" t="str">
        <f>IF(AND(Drops!$D$45&gt;1,OR(U107&lt;&gt;U106,AND(ROW()=5,U106=U107))),VLOOKUP(U107,Drops!$D$26:$E$44,2,FALSE),"")</f>
        <v/>
      </c>
      <c r="R107" s="2" t="str">
        <f t="shared" si="17"/>
        <v/>
      </c>
      <c r="S107" s="2">
        <f t="shared" ca="1" si="18"/>
        <v>1</v>
      </c>
      <c r="T107" s="2">
        <f t="shared" si="19"/>
        <v>0</v>
      </c>
      <c r="U107" s="110" t="s">
        <v>747</v>
      </c>
      <c r="V107" s="110">
        <v>5</v>
      </c>
      <c r="W107" s="110">
        <v>3</v>
      </c>
      <c r="X107" s="110">
        <v>2</v>
      </c>
      <c r="Y107" s="110">
        <v>0</v>
      </c>
      <c r="Z107" s="110">
        <v>0</v>
      </c>
      <c r="AA107" s="2">
        <f t="shared" si="20"/>
        <v>1</v>
      </c>
      <c r="AB107" s="2">
        <f t="shared" si="21"/>
        <v>0</v>
      </c>
      <c r="AC107" s="2">
        <f t="shared" si="22"/>
        <v>1</v>
      </c>
      <c r="AD107" s="2">
        <f t="shared" si="23"/>
        <v>1</v>
      </c>
      <c r="AE107" s="2">
        <f t="shared" si="24"/>
        <v>1</v>
      </c>
      <c r="AF107" s="2">
        <f t="shared" si="25"/>
        <v>0</v>
      </c>
      <c r="AG107" s="2">
        <f t="shared" si="26"/>
        <v>0</v>
      </c>
      <c r="AH107" s="2">
        <f t="shared" si="27"/>
        <v>2</v>
      </c>
      <c r="AI107" s="2">
        <f t="shared" si="28"/>
        <v>2</v>
      </c>
      <c r="AJ107" s="2">
        <f t="shared" si="29"/>
        <v>2</v>
      </c>
      <c r="AK107" s="2">
        <f t="shared" si="30"/>
        <v>0</v>
      </c>
      <c r="AL107" s="2">
        <f t="shared" si="31"/>
        <v>0</v>
      </c>
      <c r="AM107" s="115"/>
      <c r="AN107" s="115"/>
      <c r="AO107" s="63"/>
    </row>
    <row r="108" spans="1:41" ht="129.6" x14ac:dyDescent="0.55000000000000004">
      <c r="A108" s="36">
        <v>4435</v>
      </c>
      <c r="B108" s="113" t="s">
        <v>794</v>
      </c>
      <c r="C108" s="138" t="s">
        <v>795</v>
      </c>
      <c r="D108" s="114" t="s">
        <v>52</v>
      </c>
      <c r="E108" s="115" t="s">
        <v>796</v>
      </c>
      <c r="F108" s="116"/>
      <c r="G108" s="113" t="s">
        <v>779</v>
      </c>
      <c r="H108" s="113" t="s">
        <v>797</v>
      </c>
      <c r="I108" s="113" t="s">
        <v>745</v>
      </c>
      <c r="J108" s="117" t="s">
        <v>798</v>
      </c>
      <c r="K108" s="118"/>
      <c r="L108" s="109">
        <v>2</v>
      </c>
      <c r="M108" s="109">
        <v>2</v>
      </c>
      <c r="N108" s="109"/>
      <c r="O108" s="119"/>
      <c r="P108" s="2">
        <f t="shared" si="16"/>
        <v>1</v>
      </c>
      <c r="Q108" s="110" t="str">
        <f>IF(AND(Drops!$D$45&gt;1,OR(U108&lt;&gt;U107,AND(ROW()=5,U107=U108))),VLOOKUP(U108,Drops!$D$26:$E$44,2,FALSE),"")</f>
        <v/>
      </c>
      <c r="R108" s="2" t="str">
        <f t="shared" si="17"/>
        <v/>
      </c>
      <c r="S108" s="2">
        <f t="shared" ca="1" si="18"/>
        <v>1</v>
      </c>
      <c r="T108" s="2">
        <f t="shared" si="19"/>
        <v>0</v>
      </c>
      <c r="U108" s="110" t="s">
        <v>747</v>
      </c>
      <c r="V108" s="110">
        <v>5</v>
      </c>
      <c r="W108" s="110">
        <v>4</v>
      </c>
      <c r="X108" s="110">
        <v>0</v>
      </c>
      <c r="Y108" s="110">
        <v>0</v>
      </c>
      <c r="Z108" s="110">
        <v>0</v>
      </c>
      <c r="AA108" s="2">
        <f t="shared" si="20"/>
        <v>1</v>
      </c>
      <c r="AB108" s="2">
        <f t="shared" si="21"/>
        <v>1</v>
      </c>
      <c r="AC108" s="2">
        <f t="shared" si="22"/>
        <v>1</v>
      </c>
      <c r="AD108" s="2">
        <f t="shared" si="23"/>
        <v>1</v>
      </c>
      <c r="AE108" s="2">
        <f t="shared" si="24"/>
        <v>0</v>
      </c>
      <c r="AF108" s="2">
        <f t="shared" si="25"/>
        <v>0</v>
      </c>
      <c r="AG108" s="2">
        <f t="shared" si="26"/>
        <v>0</v>
      </c>
      <c r="AH108" s="2">
        <f t="shared" si="27"/>
        <v>2</v>
      </c>
      <c r="AI108" s="2">
        <f t="shared" si="28"/>
        <v>2</v>
      </c>
      <c r="AJ108" s="2">
        <f t="shared" si="29"/>
        <v>2</v>
      </c>
      <c r="AK108" s="2">
        <f t="shared" si="30"/>
        <v>0</v>
      </c>
      <c r="AL108" s="2">
        <f t="shared" si="31"/>
        <v>0</v>
      </c>
      <c r="AM108" s="115"/>
      <c r="AN108" s="115"/>
      <c r="AO108" s="63"/>
    </row>
    <row r="109" spans="1:41" ht="43.2" x14ac:dyDescent="0.55000000000000004">
      <c r="A109" s="36">
        <v>128</v>
      </c>
      <c r="B109" s="113" t="s">
        <v>799</v>
      </c>
      <c r="C109" s="139" t="s">
        <v>800</v>
      </c>
      <c r="D109" s="114" t="s">
        <v>52</v>
      </c>
      <c r="E109" s="115"/>
      <c r="F109" s="116"/>
      <c r="G109" s="113" t="s">
        <v>779</v>
      </c>
      <c r="H109" s="113" t="s">
        <v>797</v>
      </c>
      <c r="I109" s="113"/>
      <c r="J109" s="117" t="s">
        <v>801</v>
      </c>
      <c r="K109" s="118"/>
      <c r="L109" s="109">
        <v>3</v>
      </c>
      <c r="M109" s="109">
        <v>3</v>
      </c>
      <c r="N109" s="109"/>
      <c r="O109" s="119"/>
      <c r="P109" s="2">
        <f t="shared" si="16"/>
        <v>1</v>
      </c>
      <c r="Q109" s="110" t="str">
        <f>IF(AND(Drops!$D$45&gt;1,OR(U109&lt;&gt;U108,AND(ROW()=5,U108=U109))),VLOOKUP(U109,Drops!$D$26:$E$44,2,FALSE),"")</f>
        <v/>
      </c>
      <c r="R109" s="2" t="str">
        <f t="shared" si="17"/>
        <v/>
      </c>
      <c r="S109" s="2">
        <f t="shared" ca="1" si="18"/>
        <v>1</v>
      </c>
      <c r="T109" s="2">
        <f t="shared" si="19"/>
        <v>0</v>
      </c>
      <c r="U109" s="110" t="s">
        <v>747</v>
      </c>
      <c r="V109" s="110">
        <v>5</v>
      </c>
      <c r="W109" s="110">
        <v>4</v>
      </c>
      <c r="X109" s="110">
        <v>1</v>
      </c>
      <c r="Y109" s="110">
        <v>0</v>
      </c>
      <c r="Z109" s="110">
        <v>0</v>
      </c>
      <c r="AA109" s="2">
        <f t="shared" si="20"/>
        <v>1</v>
      </c>
      <c r="AB109" s="2">
        <f t="shared" si="21"/>
        <v>0</v>
      </c>
      <c r="AC109" s="2">
        <f t="shared" si="22"/>
        <v>1</v>
      </c>
      <c r="AD109" s="2">
        <f t="shared" si="23"/>
        <v>1</v>
      </c>
      <c r="AE109" s="2">
        <f t="shared" si="24"/>
        <v>1</v>
      </c>
      <c r="AF109" s="2">
        <f t="shared" si="25"/>
        <v>0</v>
      </c>
      <c r="AG109" s="2">
        <f t="shared" si="26"/>
        <v>0</v>
      </c>
      <c r="AH109" s="2">
        <f t="shared" si="27"/>
        <v>2</v>
      </c>
      <c r="AI109" s="2">
        <f t="shared" si="28"/>
        <v>2</v>
      </c>
      <c r="AJ109" s="2">
        <f t="shared" si="29"/>
        <v>2</v>
      </c>
      <c r="AK109" s="2">
        <f t="shared" si="30"/>
        <v>0</v>
      </c>
      <c r="AL109" s="2">
        <f t="shared" si="31"/>
        <v>0</v>
      </c>
      <c r="AM109" s="115"/>
      <c r="AN109" s="115"/>
      <c r="AO109" s="63"/>
    </row>
    <row r="110" spans="1:41" ht="86.4" x14ac:dyDescent="0.55000000000000004">
      <c r="A110" s="36">
        <v>131</v>
      </c>
      <c r="B110" s="113" t="s">
        <v>802</v>
      </c>
      <c r="C110" s="139" t="s">
        <v>803</v>
      </c>
      <c r="D110" s="114" t="s">
        <v>52</v>
      </c>
      <c r="E110" s="115"/>
      <c r="F110" s="116"/>
      <c r="G110" s="113" t="s">
        <v>779</v>
      </c>
      <c r="H110" s="113" t="s">
        <v>797</v>
      </c>
      <c r="I110" s="113" t="s">
        <v>804</v>
      </c>
      <c r="J110" s="117" t="s">
        <v>805</v>
      </c>
      <c r="K110" s="118"/>
      <c r="L110" s="109">
        <v>3</v>
      </c>
      <c r="M110" s="109">
        <v>2</v>
      </c>
      <c r="N110" s="109"/>
      <c r="O110" s="119"/>
      <c r="P110" s="2">
        <f t="shared" si="16"/>
        <v>1</v>
      </c>
      <c r="Q110" s="110" t="str">
        <f>IF(AND(Drops!$D$45&gt;1,OR(U110&lt;&gt;U109,AND(ROW()=5,U109=U110))),VLOOKUP(U110,Drops!$D$26:$E$44,2,FALSE),"")</f>
        <v/>
      </c>
      <c r="R110" s="2" t="str">
        <f t="shared" si="17"/>
        <v/>
      </c>
      <c r="S110" s="2">
        <f t="shared" ca="1" si="18"/>
        <v>1</v>
      </c>
      <c r="T110" s="2">
        <f t="shared" si="19"/>
        <v>0</v>
      </c>
      <c r="U110" s="110" t="s">
        <v>747</v>
      </c>
      <c r="V110" s="110">
        <v>5</v>
      </c>
      <c r="W110" s="110">
        <v>4</v>
      </c>
      <c r="X110" s="110">
        <v>2</v>
      </c>
      <c r="Y110" s="110">
        <v>0</v>
      </c>
      <c r="Z110" s="110">
        <v>0</v>
      </c>
      <c r="AA110" s="2">
        <f t="shared" si="20"/>
        <v>1</v>
      </c>
      <c r="AB110" s="2">
        <f t="shared" si="21"/>
        <v>0</v>
      </c>
      <c r="AC110" s="2">
        <f t="shared" si="22"/>
        <v>1</v>
      </c>
      <c r="AD110" s="2">
        <f t="shared" si="23"/>
        <v>1</v>
      </c>
      <c r="AE110" s="2">
        <f t="shared" si="24"/>
        <v>1</v>
      </c>
      <c r="AF110" s="2">
        <f t="shared" si="25"/>
        <v>0</v>
      </c>
      <c r="AG110" s="2">
        <f t="shared" si="26"/>
        <v>0</v>
      </c>
      <c r="AH110" s="2">
        <f t="shared" si="27"/>
        <v>2</v>
      </c>
      <c r="AI110" s="2">
        <f t="shared" si="28"/>
        <v>2</v>
      </c>
      <c r="AJ110" s="2">
        <f t="shared" si="29"/>
        <v>2</v>
      </c>
      <c r="AK110" s="2">
        <f t="shared" si="30"/>
        <v>0</v>
      </c>
      <c r="AL110" s="2">
        <f t="shared" si="31"/>
        <v>0</v>
      </c>
      <c r="AM110" s="115"/>
      <c r="AN110" s="115"/>
      <c r="AO110" s="63"/>
    </row>
    <row r="111" spans="1:41" ht="43.2" x14ac:dyDescent="0.55000000000000004">
      <c r="A111" s="36">
        <v>132</v>
      </c>
      <c r="B111" s="113" t="s">
        <v>806</v>
      </c>
      <c r="C111" s="139" t="s">
        <v>807</v>
      </c>
      <c r="D111" s="114" t="s">
        <v>52</v>
      </c>
      <c r="E111" s="115" t="s">
        <v>808</v>
      </c>
      <c r="F111" s="116"/>
      <c r="G111" s="113" t="s">
        <v>779</v>
      </c>
      <c r="H111" s="113" t="s">
        <v>797</v>
      </c>
      <c r="I111" s="113" t="s">
        <v>804</v>
      </c>
      <c r="J111" s="117" t="s">
        <v>801</v>
      </c>
      <c r="K111" s="118"/>
      <c r="L111" s="109">
        <v>3</v>
      </c>
      <c r="M111" s="109">
        <v>2</v>
      </c>
      <c r="N111" s="109"/>
      <c r="O111" s="119"/>
      <c r="P111" s="2">
        <f t="shared" si="16"/>
        <v>1</v>
      </c>
      <c r="Q111" s="110" t="str">
        <f>IF(AND(Drops!$D$45&gt;1,OR(U111&lt;&gt;U110,AND(ROW()=5,U110=U111))),VLOOKUP(U111,Drops!$D$26:$E$44,2,FALSE),"")</f>
        <v/>
      </c>
      <c r="R111" s="2" t="str">
        <f t="shared" si="17"/>
        <v/>
      </c>
      <c r="S111" s="2">
        <f t="shared" ca="1" si="18"/>
        <v>1</v>
      </c>
      <c r="T111" s="2">
        <f t="shared" si="19"/>
        <v>0</v>
      </c>
      <c r="U111" s="110" t="s">
        <v>747</v>
      </c>
      <c r="V111" s="110">
        <v>5</v>
      </c>
      <c r="W111" s="110">
        <v>4</v>
      </c>
      <c r="X111" s="110">
        <v>3</v>
      </c>
      <c r="Y111" s="110">
        <v>0</v>
      </c>
      <c r="Z111" s="110">
        <v>0</v>
      </c>
      <c r="AA111" s="2">
        <f t="shared" si="20"/>
        <v>1</v>
      </c>
      <c r="AB111" s="2">
        <f t="shared" si="21"/>
        <v>0</v>
      </c>
      <c r="AC111" s="2">
        <f t="shared" si="22"/>
        <v>1</v>
      </c>
      <c r="AD111" s="2">
        <f t="shared" si="23"/>
        <v>1</v>
      </c>
      <c r="AE111" s="2">
        <f t="shared" si="24"/>
        <v>1</v>
      </c>
      <c r="AF111" s="2">
        <f t="shared" si="25"/>
        <v>0</v>
      </c>
      <c r="AG111" s="2">
        <f t="shared" si="26"/>
        <v>0</v>
      </c>
      <c r="AH111" s="2">
        <f t="shared" si="27"/>
        <v>2</v>
      </c>
      <c r="AI111" s="2">
        <f t="shared" si="28"/>
        <v>2</v>
      </c>
      <c r="AJ111" s="2">
        <f t="shared" si="29"/>
        <v>2</v>
      </c>
      <c r="AK111" s="2">
        <f t="shared" si="30"/>
        <v>0</v>
      </c>
      <c r="AL111" s="2">
        <f t="shared" si="31"/>
        <v>0</v>
      </c>
      <c r="AM111" s="115"/>
      <c r="AN111" s="115"/>
      <c r="AO111" s="63"/>
    </row>
    <row r="112" spans="1:41" ht="57.6" x14ac:dyDescent="0.55000000000000004">
      <c r="A112" s="36">
        <v>133</v>
      </c>
      <c r="B112" s="113" t="s">
        <v>809</v>
      </c>
      <c r="C112" s="139" t="s">
        <v>810</v>
      </c>
      <c r="D112" s="114" t="s">
        <v>52</v>
      </c>
      <c r="E112" s="115" t="s">
        <v>811</v>
      </c>
      <c r="F112" s="116"/>
      <c r="G112" s="113" t="s">
        <v>779</v>
      </c>
      <c r="H112" s="113" t="s">
        <v>797</v>
      </c>
      <c r="I112" s="113" t="s">
        <v>804</v>
      </c>
      <c r="J112" s="117" t="s">
        <v>812</v>
      </c>
      <c r="K112" s="118"/>
      <c r="L112" s="109">
        <v>3</v>
      </c>
      <c r="M112" s="109">
        <v>2</v>
      </c>
      <c r="N112" s="109"/>
      <c r="O112" s="119"/>
      <c r="P112" s="2">
        <f t="shared" si="16"/>
        <v>1</v>
      </c>
      <c r="Q112" s="110" t="str">
        <f>IF(AND(Drops!$D$45&gt;1,OR(U112&lt;&gt;U111,AND(ROW()=5,U111=U112))),VLOOKUP(U112,Drops!$D$26:$E$44,2,FALSE),"")</f>
        <v/>
      </c>
      <c r="R112" s="2" t="str">
        <f t="shared" si="17"/>
        <v/>
      </c>
      <c r="S112" s="2">
        <f t="shared" ca="1" si="18"/>
        <v>1</v>
      </c>
      <c r="T112" s="2">
        <f t="shared" si="19"/>
        <v>0</v>
      </c>
      <c r="U112" s="110" t="s">
        <v>747</v>
      </c>
      <c r="V112" s="110">
        <v>5</v>
      </c>
      <c r="W112" s="110">
        <v>4</v>
      </c>
      <c r="X112" s="110">
        <v>4</v>
      </c>
      <c r="Y112" s="110">
        <v>0</v>
      </c>
      <c r="Z112" s="110">
        <v>0</v>
      </c>
      <c r="AA112" s="2">
        <f t="shared" si="20"/>
        <v>1</v>
      </c>
      <c r="AB112" s="2">
        <f t="shared" si="21"/>
        <v>0</v>
      </c>
      <c r="AC112" s="2">
        <f t="shared" si="22"/>
        <v>1</v>
      </c>
      <c r="AD112" s="2">
        <f t="shared" si="23"/>
        <v>1</v>
      </c>
      <c r="AE112" s="2">
        <f t="shared" si="24"/>
        <v>1</v>
      </c>
      <c r="AF112" s="2">
        <f t="shared" si="25"/>
        <v>0</v>
      </c>
      <c r="AG112" s="2">
        <f t="shared" si="26"/>
        <v>0</v>
      </c>
      <c r="AH112" s="2">
        <f t="shared" si="27"/>
        <v>2</v>
      </c>
      <c r="AI112" s="2">
        <f t="shared" si="28"/>
        <v>2</v>
      </c>
      <c r="AJ112" s="2">
        <f t="shared" si="29"/>
        <v>2</v>
      </c>
      <c r="AK112" s="2">
        <f t="shared" si="30"/>
        <v>0</v>
      </c>
      <c r="AL112" s="2">
        <f t="shared" si="31"/>
        <v>0</v>
      </c>
      <c r="AM112" s="115"/>
      <c r="AN112" s="115"/>
      <c r="AO112" s="63"/>
    </row>
    <row r="113" spans="1:41" ht="57.6" x14ac:dyDescent="0.55000000000000004">
      <c r="A113" s="36">
        <v>135</v>
      </c>
      <c r="B113" s="113" t="s">
        <v>813</v>
      </c>
      <c r="C113" s="139" t="s">
        <v>814</v>
      </c>
      <c r="D113" s="114" t="s">
        <v>52</v>
      </c>
      <c r="E113" s="115"/>
      <c r="F113" s="116"/>
      <c r="G113" s="113" t="s">
        <v>779</v>
      </c>
      <c r="H113" s="113" t="s">
        <v>797</v>
      </c>
      <c r="I113" s="113" t="s">
        <v>804</v>
      </c>
      <c r="J113" s="117" t="s">
        <v>815</v>
      </c>
      <c r="K113" s="118"/>
      <c r="L113" s="109">
        <v>3</v>
      </c>
      <c r="M113" s="109">
        <v>2</v>
      </c>
      <c r="N113" s="109"/>
      <c r="O113" s="119"/>
      <c r="P113" s="2">
        <f t="shared" si="16"/>
        <v>1</v>
      </c>
      <c r="Q113" s="110" t="str">
        <f>IF(AND(Drops!$D$45&gt;1,OR(U113&lt;&gt;U112,AND(ROW()=5,U112=U113))),VLOOKUP(U113,Drops!$D$26:$E$44,2,FALSE),"")</f>
        <v/>
      </c>
      <c r="R113" s="2" t="str">
        <f t="shared" si="17"/>
        <v/>
      </c>
      <c r="S113" s="2">
        <f t="shared" ca="1" si="18"/>
        <v>1</v>
      </c>
      <c r="T113" s="2">
        <f t="shared" si="19"/>
        <v>0</v>
      </c>
      <c r="U113" s="110" t="s">
        <v>747</v>
      </c>
      <c r="V113" s="110">
        <v>5</v>
      </c>
      <c r="W113" s="110">
        <v>4</v>
      </c>
      <c r="X113" s="110">
        <v>5</v>
      </c>
      <c r="Y113" s="110">
        <v>0</v>
      </c>
      <c r="Z113" s="110">
        <v>0</v>
      </c>
      <c r="AA113" s="2">
        <f t="shared" si="20"/>
        <v>1</v>
      </c>
      <c r="AB113" s="2">
        <f t="shared" si="21"/>
        <v>0</v>
      </c>
      <c r="AC113" s="2">
        <f t="shared" si="22"/>
        <v>1</v>
      </c>
      <c r="AD113" s="2">
        <f t="shared" si="23"/>
        <v>1</v>
      </c>
      <c r="AE113" s="2">
        <f t="shared" si="24"/>
        <v>1</v>
      </c>
      <c r="AF113" s="2">
        <f t="shared" si="25"/>
        <v>0</v>
      </c>
      <c r="AG113" s="2">
        <f t="shared" si="26"/>
        <v>0</v>
      </c>
      <c r="AH113" s="2">
        <f t="shared" si="27"/>
        <v>2</v>
      </c>
      <c r="AI113" s="2">
        <f t="shared" si="28"/>
        <v>2</v>
      </c>
      <c r="AJ113" s="2">
        <f t="shared" si="29"/>
        <v>2</v>
      </c>
      <c r="AK113" s="2">
        <f t="shared" si="30"/>
        <v>0</v>
      </c>
      <c r="AL113" s="2">
        <f t="shared" si="31"/>
        <v>0</v>
      </c>
      <c r="AM113" s="115"/>
      <c r="AN113" s="115"/>
      <c r="AO113" s="63"/>
    </row>
    <row r="114" spans="1:41" ht="57.6" x14ac:dyDescent="0.55000000000000004">
      <c r="A114" s="36">
        <v>134</v>
      </c>
      <c r="B114" s="113" t="s">
        <v>816</v>
      </c>
      <c r="C114" s="139" t="s">
        <v>817</v>
      </c>
      <c r="D114" s="114" t="s">
        <v>52</v>
      </c>
      <c r="E114" s="115"/>
      <c r="F114" s="116"/>
      <c r="G114" s="113" t="s">
        <v>779</v>
      </c>
      <c r="H114" s="113" t="s">
        <v>797</v>
      </c>
      <c r="I114" s="113"/>
      <c r="J114" s="117" t="s">
        <v>818</v>
      </c>
      <c r="K114" s="118"/>
      <c r="L114" s="109">
        <v>3</v>
      </c>
      <c r="M114" s="109">
        <v>3</v>
      </c>
      <c r="N114" s="109"/>
      <c r="O114" s="119"/>
      <c r="P114" s="2">
        <f t="shared" si="16"/>
        <v>1</v>
      </c>
      <c r="Q114" s="110" t="str">
        <f>IF(AND(Drops!$D$45&gt;1,OR(U114&lt;&gt;U113,AND(ROW()=5,U113=U114))),VLOOKUP(U114,Drops!$D$26:$E$44,2,FALSE),"")</f>
        <v/>
      </c>
      <c r="R114" s="2" t="str">
        <f t="shared" si="17"/>
        <v/>
      </c>
      <c r="S114" s="2">
        <f t="shared" ca="1" si="18"/>
        <v>1</v>
      </c>
      <c r="T114" s="2">
        <f t="shared" si="19"/>
        <v>0</v>
      </c>
      <c r="U114" s="110" t="s">
        <v>747</v>
      </c>
      <c r="V114" s="110">
        <v>5</v>
      </c>
      <c r="W114" s="110">
        <v>4</v>
      </c>
      <c r="X114" s="110">
        <v>6</v>
      </c>
      <c r="Y114" s="110">
        <v>0</v>
      </c>
      <c r="Z114" s="110">
        <v>0</v>
      </c>
      <c r="AA114" s="2">
        <f t="shared" si="20"/>
        <v>1</v>
      </c>
      <c r="AB114" s="2">
        <f t="shared" si="21"/>
        <v>0</v>
      </c>
      <c r="AC114" s="2">
        <f t="shared" si="22"/>
        <v>1</v>
      </c>
      <c r="AD114" s="2">
        <f t="shared" si="23"/>
        <v>1</v>
      </c>
      <c r="AE114" s="2">
        <f t="shared" si="24"/>
        <v>1</v>
      </c>
      <c r="AF114" s="2">
        <f t="shared" si="25"/>
        <v>0</v>
      </c>
      <c r="AG114" s="2">
        <f t="shared" si="26"/>
        <v>0</v>
      </c>
      <c r="AH114" s="2">
        <f t="shared" si="27"/>
        <v>2</v>
      </c>
      <c r="AI114" s="2">
        <f t="shared" si="28"/>
        <v>2</v>
      </c>
      <c r="AJ114" s="2">
        <f t="shared" si="29"/>
        <v>2</v>
      </c>
      <c r="AK114" s="2">
        <f t="shared" si="30"/>
        <v>0</v>
      </c>
      <c r="AL114" s="2">
        <f t="shared" si="31"/>
        <v>0</v>
      </c>
      <c r="AM114" s="115"/>
      <c r="AN114" s="115"/>
      <c r="AO114" s="63"/>
    </row>
    <row r="115" spans="1:41" ht="43.2" x14ac:dyDescent="0.55000000000000004">
      <c r="A115" s="36">
        <v>3484</v>
      </c>
      <c r="B115" s="113" t="s">
        <v>819</v>
      </c>
      <c r="C115" s="138" t="s">
        <v>820</v>
      </c>
      <c r="D115" s="114" t="s">
        <v>52</v>
      </c>
      <c r="E115" s="115"/>
      <c r="F115" s="116"/>
      <c r="G115" s="113" t="s">
        <v>779</v>
      </c>
      <c r="H115" s="113" t="s">
        <v>797</v>
      </c>
      <c r="I115" s="113" t="s">
        <v>745</v>
      </c>
      <c r="J115" s="117" t="s">
        <v>821</v>
      </c>
      <c r="K115" s="118"/>
      <c r="L115" s="109">
        <v>2</v>
      </c>
      <c r="M115" s="109">
        <v>2</v>
      </c>
      <c r="N115" s="109"/>
      <c r="O115" s="119"/>
      <c r="P115" s="2">
        <f t="shared" si="16"/>
        <v>1</v>
      </c>
      <c r="Q115" s="110" t="str">
        <f>IF(AND(Drops!$D$45&gt;1,OR(U115&lt;&gt;U114,AND(ROW()=5,U114=U115))),VLOOKUP(U115,Drops!$D$26:$E$44,2,FALSE),"")</f>
        <v/>
      </c>
      <c r="R115" s="2" t="str">
        <f t="shared" si="17"/>
        <v/>
      </c>
      <c r="S115" s="2">
        <f t="shared" ca="1" si="18"/>
        <v>1</v>
      </c>
      <c r="T115" s="2">
        <f t="shared" si="19"/>
        <v>0</v>
      </c>
      <c r="U115" s="110" t="s">
        <v>747</v>
      </c>
      <c r="V115" s="110">
        <v>5</v>
      </c>
      <c r="W115" s="110">
        <v>5</v>
      </c>
      <c r="X115" s="110">
        <v>0</v>
      </c>
      <c r="Y115" s="110">
        <v>0</v>
      </c>
      <c r="Z115" s="110">
        <v>0</v>
      </c>
      <c r="AA115" s="2">
        <f t="shared" si="20"/>
        <v>1</v>
      </c>
      <c r="AB115" s="2">
        <f t="shared" si="21"/>
        <v>0</v>
      </c>
      <c r="AC115" s="2">
        <f t="shared" si="22"/>
        <v>1</v>
      </c>
      <c r="AD115" s="2">
        <f t="shared" si="23"/>
        <v>1</v>
      </c>
      <c r="AE115" s="2">
        <f t="shared" si="24"/>
        <v>0</v>
      </c>
      <c r="AF115" s="2">
        <f t="shared" si="25"/>
        <v>0</v>
      </c>
      <c r="AG115" s="2">
        <f t="shared" si="26"/>
        <v>0</v>
      </c>
      <c r="AH115" s="2">
        <f t="shared" si="27"/>
        <v>2</v>
      </c>
      <c r="AI115" s="2">
        <f t="shared" si="28"/>
        <v>2</v>
      </c>
      <c r="AJ115" s="2">
        <f t="shared" si="29"/>
        <v>2</v>
      </c>
      <c r="AK115" s="2">
        <f t="shared" si="30"/>
        <v>0</v>
      </c>
      <c r="AL115" s="2">
        <f t="shared" si="31"/>
        <v>0</v>
      </c>
      <c r="AM115" s="115"/>
      <c r="AN115" s="115"/>
      <c r="AO115" s="63"/>
    </row>
    <row r="116" spans="1:41" ht="72" x14ac:dyDescent="0.55000000000000004">
      <c r="A116" s="36">
        <v>1138</v>
      </c>
      <c r="B116" s="113" t="s">
        <v>822</v>
      </c>
      <c r="C116" s="138" t="s">
        <v>823</v>
      </c>
      <c r="D116" s="114" t="s">
        <v>52</v>
      </c>
      <c r="E116" s="115" t="s">
        <v>824</v>
      </c>
      <c r="F116" s="116"/>
      <c r="G116" s="113" t="s">
        <v>825</v>
      </c>
      <c r="H116" s="113" t="s">
        <v>826</v>
      </c>
      <c r="I116" s="113" t="s">
        <v>827</v>
      </c>
      <c r="J116" s="117" t="s">
        <v>828</v>
      </c>
      <c r="K116" s="118"/>
      <c r="L116" s="109">
        <v>2</v>
      </c>
      <c r="M116" s="109">
        <v>3</v>
      </c>
      <c r="N116" s="109"/>
      <c r="O116" s="119"/>
      <c r="P116" s="2">
        <f t="shared" si="16"/>
        <v>1</v>
      </c>
      <c r="Q116" s="110" t="str">
        <f>IF(AND(Drops!$D$45&gt;1,OR(U116&lt;&gt;U115,AND(ROW()=5,U115=U116))),VLOOKUP(U116,Drops!$D$26:$E$44,2,FALSE),"")</f>
        <v/>
      </c>
      <c r="R116" s="2" t="str">
        <f t="shared" si="17"/>
        <v/>
      </c>
      <c r="S116" s="2">
        <f t="shared" ca="1" si="18"/>
        <v>1</v>
      </c>
      <c r="T116" s="2">
        <f t="shared" si="19"/>
        <v>0</v>
      </c>
      <c r="U116" s="110" t="s">
        <v>747</v>
      </c>
      <c r="V116" s="110">
        <v>5</v>
      </c>
      <c r="W116" s="110">
        <v>6</v>
      </c>
      <c r="X116" s="110">
        <v>0</v>
      </c>
      <c r="Y116" s="110">
        <v>0</v>
      </c>
      <c r="Z116" s="110">
        <v>0</v>
      </c>
      <c r="AA116" s="2">
        <f t="shared" si="20"/>
        <v>1</v>
      </c>
      <c r="AB116" s="2">
        <f t="shared" si="21"/>
        <v>1</v>
      </c>
      <c r="AC116" s="2">
        <f t="shared" si="22"/>
        <v>1</v>
      </c>
      <c r="AD116" s="2">
        <f t="shared" si="23"/>
        <v>1</v>
      </c>
      <c r="AE116" s="2">
        <f t="shared" si="24"/>
        <v>0</v>
      </c>
      <c r="AF116" s="2">
        <f t="shared" si="25"/>
        <v>0</v>
      </c>
      <c r="AG116" s="2">
        <f t="shared" si="26"/>
        <v>0</v>
      </c>
      <c r="AH116" s="2">
        <f t="shared" si="27"/>
        <v>2</v>
      </c>
      <c r="AI116" s="2">
        <f t="shared" si="28"/>
        <v>2</v>
      </c>
      <c r="AJ116" s="2">
        <f t="shared" si="29"/>
        <v>2</v>
      </c>
      <c r="AK116" s="2">
        <f t="shared" si="30"/>
        <v>0</v>
      </c>
      <c r="AL116" s="2">
        <f t="shared" si="31"/>
        <v>0</v>
      </c>
      <c r="AM116" s="115"/>
      <c r="AN116" s="115"/>
      <c r="AO116" s="63"/>
    </row>
    <row r="117" spans="1:41" ht="43.2" x14ac:dyDescent="0.55000000000000004">
      <c r="A117" s="36">
        <v>2624</v>
      </c>
      <c r="B117" s="113" t="s">
        <v>829</v>
      </c>
      <c r="C117" s="139" t="s">
        <v>830</v>
      </c>
      <c r="D117" s="114" t="s">
        <v>52</v>
      </c>
      <c r="E117" s="115"/>
      <c r="F117" s="116"/>
      <c r="G117" s="113" t="s">
        <v>825</v>
      </c>
      <c r="H117" s="113" t="s">
        <v>826</v>
      </c>
      <c r="I117" s="113"/>
      <c r="J117" s="117" t="s">
        <v>828</v>
      </c>
      <c r="K117" s="118"/>
      <c r="L117" s="109">
        <v>3</v>
      </c>
      <c r="M117" s="109">
        <v>3</v>
      </c>
      <c r="N117" s="109"/>
      <c r="O117" s="119"/>
      <c r="P117" s="2">
        <f t="shared" si="16"/>
        <v>1</v>
      </c>
      <c r="Q117" s="110" t="str">
        <f>IF(AND(Drops!$D$45&gt;1,OR(U117&lt;&gt;U116,AND(ROW()=5,U116=U117))),VLOOKUP(U117,Drops!$D$26:$E$44,2,FALSE),"")</f>
        <v/>
      </c>
      <c r="R117" s="2" t="str">
        <f t="shared" si="17"/>
        <v/>
      </c>
      <c r="S117" s="2">
        <f t="shared" ca="1" si="18"/>
        <v>1</v>
      </c>
      <c r="T117" s="2">
        <f t="shared" si="19"/>
        <v>0</v>
      </c>
      <c r="U117" s="110" t="s">
        <v>747</v>
      </c>
      <c r="V117" s="110">
        <v>5</v>
      </c>
      <c r="W117" s="110">
        <v>6</v>
      </c>
      <c r="X117" s="110">
        <v>1</v>
      </c>
      <c r="Y117" s="110">
        <v>0</v>
      </c>
      <c r="Z117" s="110">
        <v>0</v>
      </c>
      <c r="AA117" s="2">
        <f t="shared" si="20"/>
        <v>1</v>
      </c>
      <c r="AB117" s="2">
        <f t="shared" si="21"/>
        <v>0</v>
      </c>
      <c r="AC117" s="2">
        <f t="shared" si="22"/>
        <v>1</v>
      </c>
      <c r="AD117" s="2">
        <f t="shared" si="23"/>
        <v>1</v>
      </c>
      <c r="AE117" s="2">
        <f t="shared" si="24"/>
        <v>1</v>
      </c>
      <c r="AF117" s="2">
        <f t="shared" si="25"/>
        <v>0</v>
      </c>
      <c r="AG117" s="2">
        <f t="shared" si="26"/>
        <v>0</v>
      </c>
      <c r="AH117" s="2">
        <f t="shared" si="27"/>
        <v>2</v>
      </c>
      <c r="AI117" s="2">
        <f t="shared" si="28"/>
        <v>2</v>
      </c>
      <c r="AJ117" s="2">
        <f t="shared" si="29"/>
        <v>2</v>
      </c>
      <c r="AK117" s="2">
        <f t="shared" si="30"/>
        <v>0</v>
      </c>
      <c r="AL117" s="2">
        <f t="shared" si="31"/>
        <v>0</v>
      </c>
      <c r="AM117" s="115"/>
      <c r="AN117" s="115"/>
      <c r="AO117" s="63"/>
    </row>
    <row r="118" spans="1:41" ht="28.8" x14ac:dyDescent="0.55000000000000004">
      <c r="A118" s="36">
        <v>1153</v>
      </c>
      <c r="B118" s="113" t="s">
        <v>831</v>
      </c>
      <c r="C118" s="139" t="s">
        <v>832</v>
      </c>
      <c r="D118" s="114" t="s">
        <v>52</v>
      </c>
      <c r="E118" s="115"/>
      <c r="F118" s="116"/>
      <c r="G118" s="113" t="s">
        <v>825</v>
      </c>
      <c r="H118" s="113" t="s">
        <v>826</v>
      </c>
      <c r="I118" s="113" t="s">
        <v>827</v>
      </c>
      <c r="J118" s="117" t="s">
        <v>833</v>
      </c>
      <c r="K118" s="118"/>
      <c r="L118" s="109">
        <v>3</v>
      </c>
      <c r="M118" s="109">
        <v>3</v>
      </c>
      <c r="N118" s="109"/>
      <c r="O118" s="119"/>
      <c r="P118" s="2">
        <f t="shared" si="16"/>
        <v>1</v>
      </c>
      <c r="Q118" s="110" t="str">
        <f>IF(AND(Drops!$D$45&gt;1,OR(U118&lt;&gt;U117,AND(ROW()=5,U117=U118))),VLOOKUP(U118,Drops!$D$26:$E$44,2,FALSE),"")</f>
        <v/>
      </c>
      <c r="R118" s="2" t="str">
        <f t="shared" si="17"/>
        <v/>
      </c>
      <c r="S118" s="2">
        <f t="shared" ca="1" si="18"/>
        <v>1</v>
      </c>
      <c r="T118" s="2">
        <f t="shared" si="19"/>
        <v>0</v>
      </c>
      <c r="U118" s="110" t="s">
        <v>747</v>
      </c>
      <c r="V118" s="110">
        <v>5</v>
      </c>
      <c r="W118" s="110">
        <v>6</v>
      </c>
      <c r="X118" s="110">
        <v>2</v>
      </c>
      <c r="Y118" s="110">
        <v>0</v>
      </c>
      <c r="Z118" s="110">
        <v>0</v>
      </c>
      <c r="AA118" s="2">
        <f t="shared" si="20"/>
        <v>1</v>
      </c>
      <c r="AB118" s="2">
        <f t="shared" si="21"/>
        <v>0</v>
      </c>
      <c r="AC118" s="2">
        <f t="shared" si="22"/>
        <v>1</v>
      </c>
      <c r="AD118" s="2">
        <f t="shared" si="23"/>
        <v>1</v>
      </c>
      <c r="AE118" s="2">
        <f t="shared" si="24"/>
        <v>1</v>
      </c>
      <c r="AF118" s="2">
        <f t="shared" si="25"/>
        <v>0</v>
      </c>
      <c r="AG118" s="2">
        <f t="shared" si="26"/>
        <v>0</v>
      </c>
      <c r="AH118" s="2">
        <f t="shared" si="27"/>
        <v>2</v>
      </c>
      <c r="AI118" s="2">
        <f t="shared" si="28"/>
        <v>2</v>
      </c>
      <c r="AJ118" s="2">
        <f t="shared" si="29"/>
        <v>2</v>
      </c>
      <c r="AK118" s="2">
        <f t="shared" si="30"/>
        <v>0</v>
      </c>
      <c r="AL118" s="2">
        <f t="shared" si="31"/>
        <v>0</v>
      </c>
      <c r="AM118" s="115"/>
      <c r="AN118" s="115"/>
      <c r="AO118" s="63"/>
    </row>
    <row r="119" spans="1:41" ht="43.2" x14ac:dyDescent="0.55000000000000004">
      <c r="A119" s="36">
        <v>1208</v>
      </c>
      <c r="B119" s="113" t="s">
        <v>199</v>
      </c>
      <c r="C119" s="113" t="s">
        <v>834</v>
      </c>
      <c r="D119" s="114" t="s">
        <v>55</v>
      </c>
      <c r="E119" s="115"/>
      <c r="F119" s="116"/>
      <c r="G119" s="113" t="s">
        <v>835</v>
      </c>
      <c r="H119" s="113" t="s">
        <v>836</v>
      </c>
      <c r="I119" s="113"/>
      <c r="J119" s="117" t="s">
        <v>837</v>
      </c>
      <c r="K119" s="118"/>
      <c r="L119" s="109">
        <v>1</v>
      </c>
      <c r="M119" s="109">
        <v>1</v>
      </c>
      <c r="N119" s="109"/>
      <c r="O119" s="119"/>
      <c r="P119" s="2">
        <f t="shared" si="16"/>
        <v>2</v>
      </c>
      <c r="Q119" s="110" t="str">
        <f>IF(AND(Drops!$D$45&gt;1,OR(U119&lt;&gt;U118,AND(ROW()=5,U118=U119))),VLOOKUP(U119,Drops!$D$26:$E$44,2,FALSE),"")</f>
        <v/>
      </c>
      <c r="R119" s="2" t="str">
        <f t="shared" si="17"/>
        <v/>
      </c>
      <c r="S119" s="2">
        <f t="shared" ca="1" si="18"/>
        <v>2</v>
      </c>
      <c r="T119" s="2">
        <f t="shared" si="19"/>
        <v>1</v>
      </c>
      <c r="U119" s="110" t="s">
        <v>747</v>
      </c>
      <c r="V119" s="110">
        <v>6</v>
      </c>
      <c r="W119" s="110">
        <v>0</v>
      </c>
      <c r="X119" s="110">
        <v>0</v>
      </c>
      <c r="Y119" s="110">
        <v>0</v>
      </c>
      <c r="Z119" s="110">
        <v>0</v>
      </c>
      <c r="AA119" s="2">
        <f t="shared" si="20"/>
        <v>1</v>
      </c>
      <c r="AB119" s="2">
        <f t="shared" si="21"/>
        <v>1</v>
      </c>
      <c r="AC119" s="2">
        <f t="shared" si="22"/>
        <v>2</v>
      </c>
      <c r="AD119" s="2">
        <f t="shared" si="23"/>
        <v>2</v>
      </c>
      <c r="AE119" s="2">
        <f t="shared" si="24"/>
        <v>2</v>
      </c>
      <c r="AF119" s="2">
        <f t="shared" si="25"/>
        <v>2</v>
      </c>
      <c r="AG119" s="2">
        <f t="shared" si="26"/>
        <v>2</v>
      </c>
      <c r="AH119" s="2">
        <f t="shared" si="27"/>
        <v>1</v>
      </c>
      <c r="AI119" s="2">
        <f t="shared" si="28"/>
        <v>2</v>
      </c>
      <c r="AJ119" s="2">
        <f t="shared" si="29"/>
        <v>2</v>
      </c>
      <c r="AK119" s="2">
        <f t="shared" si="30"/>
        <v>0</v>
      </c>
      <c r="AL119" s="2">
        <f t="shared" si="31"/>
        <v>0</v>
      </c>
      <c r="AM119" s="115"/>
      <c r="AN119" s="115"/>
      <c r="AO119" s="63"/>
    </row>
    <row r="120" spans="1:41" ht="43.2" x14ac:dyDescent="0.55000000000000004">
      <c r="A120" s="36">
        <v>2634</v>
      </c>
      <c r="B120" s="113" t="s">
        <v>838</v>
      </c>
      <c r="C120" s="138" t="s">
        <v>839</v>
      </c>
      <c r="D120" s="114" t="s">
        <v>55</v>
      </c>
      <c r="E120" s="115"/>
      <c r="F120" s="116"/>
      <c r="G120" s="113" t="s">
        <v>835</v>
      </c>
      <c r="H120" s="113" t="s">
        <v>836</v>
      </c>
      <c r="I120" s="113" t="s">
        <v>840</v>
      </c>
      <c r="J120" s="117" t="s">
        <v>837</v>
      </c>
      <c r="K120" s="118"/>
      <c r="L120" s="109">
        <v>2</v>
      </c>
      <c r="M120" s="109">
        <v>3</v>
      </c>
      <c r="N120" s="109"/>
      <c r="O120" s="119"/>
      <c r="P120" s="2">
        <f t="shared" si="16"/>
        <v>2</v>
      </c>
      <c r="Q120" s="110" t="str">
        <f>IF(AND(Drops!$D$45&gt;1,OR(U120&lt;&gt;U119,AND(ROW()=5,U119=U120))),VLOOKUP(U120,Drops!$D$26:$E$44,2,FALSE),"")</f>
        <v/>
      </c>
      <c r="R120" s="2" t="str">
        <f t="shared" si="17"/>
        <v/>
      </c>
      <c r="S120" s="2">
        <f t="shared" ca="1" si="18"/>
        <v>2</v>
      </c>
      <c r="T120" s="2">
        <f t="shared" si="19"/>
        <v>0</v>
      </c>
      <c r="U120" s="110" t="s">
        <v>747</v>
      </c>
      <c r="V120" s="110">
        <v>6</v>
      </c>
      <c r="W120" s="110">
        <v>1</v>
      </c>
      <c r="X120" s="110">
        <v>0</v>
      </c>
      <c r="Y120" s="110">
        <v>0</v>
      </c>
      <c r="Z120" s="110">
        <v>0</v>
      </c>
      <c r="AA120" s="2">
        <f t="shared" si="20"/>
        <v>1</v>
      </c>
      <c r="AB120" s="2">
        <f t="shared" si="21"/>
        <v>0</v>
      </c>
      <c r="AC120" s="2">
        <f t="shared" si="22"/>
        <v>2</v>
      </c>
      <c r="AD120" s="2">
        <f t="shared" si="23"/>
        <v>2</v>
      </c>
      <c r="AE120" s="2">
        <f t="shared" si="24"/>
        <v>2</v>
      </c>
      <c r="AF120" s="2">
        <f t="shared" si="25"/>
        <v>2</v>
      </c>
      <c r="AG120" s="2">
        <f t="shared" si="26"/>
        <v>2</v>
      </c>
      <c r="AH120" s="2">
        <f t="shared" si="27"/>
        <v>0</v>
      </c>
      <c r="AI120" s="2">
        <f t="shared" si="28"/>
        <v>1</v>
      </c>
      <c r="AJ120" s="2">
        <f t="shared" si="29"/>
        <v>2</v>
      </c>
      <c r="AK120" s="2">
        <f t="shared" si="30"/>
        <v>0</v>
      </c>
      <c r="AL120" s="2">
        <f t="shared" si="31"/>
        <v>0</v>
      </c>
      <c r="AM120" s="115"/>
      <c r="AN120" s="115"/>
      <c r="AO120" s="63"/>
    </row>
    <row r="121" spans="1:41" ht="72" x14ac:dyDescent="0.55000000000000004">
      <c r="A121" s="36">
        <v>2635</v>
      </c>
      <c r="B121" s="113" t="s">
        <v>841</v>
      </c>
      <c r="C121" s="138" t="s">
        <v>842</v>
      </c>
      <c r="D121" s="114" t="s">
        <v>55</v>
      </c>
      <c r="E121" s="115"/>
      <c r="F121" s="116"/>
      <c r="G121" s="113" t="s">
        <v>835</v>
      </c>
      <c r="H121" s="113" t="s">
        <v>836</v>
      </c>
      <c r="I121" s="113" t="s">
        <v>840</v>
      </c>
      <c r="J121" s="117" t="s">
        <v>843</v>
      </c>
      <c r="K121" s="118"/>
      <c r="L121" s="109">
        <v>2</v>
      </c>
      <c r="M121" s="109">
        <v>3</v>
      </c>
      <c r="N121" s="109"/>
      <c r="O121" s="119"/>
      <c r="P121" s="2">
        <f t="shared" si="16"/>
        <v>2</v>
      </c>
      <c r="Q121" s="110" t="str">
        <f>IF(AND(Drops!$D$45&gt;1,OR(U121&lt;&gt;U120,AND(ROW()=5,U120=U121))),VLOOKUP(U121,Drops!$D$26:$E$44,2,FALSE),"")</f>
        <v/>
      </c>
      <c r="R121" s="2" t="str">
        <f t="shared" si="17"/>
        <v/>
      </c>
      <c r="S121" s="2">
        <f t="shared" ca="1" si="18"/>
        <v>2</v>
      </c>
      <c r="T121" s="2">
        <f t="shared" si="19"/>
        <v>0</v>
      </c>
      <c r="U121" s="110" t="s">
        <v>747</v>
      </c>
      <c r="V121" s="110">
        <v>6</v>
      </c>
      <c r="W121" s="110">
        <v>2</v>
      </c>
      <c r="X121" s="110">
        <v>0</v>
      </c>
      <c r="Y121" s="110">
        <v>0</v>
      </c>
      <c r="Z121" s="110">
        <v>0</v>
      </c>
      <c r="AA121" s="2">
        <f t="shared" si="20"/>
        <v>1</v>
      </c>
      <c r="AB121" s="2">
        <f t="shared" si="21"/>
        <v>0</v>
      </c>
      <c r="AC121" s="2">
        <f t="shared" si="22"/>
        <v>2</v>
      </c>
      <c r="AD121" s="2">
        <f t="shared" si="23"/>
        <v>2</v>
      </c>
      <c r="AE121" s="2">
        <f t="shared" si="24"/>
        <v>2</v>
      </c>
      <c r="AF121" s="2">
        <f t="shared" si="25"/>
        <v>2</v>
      </c>
      <c r="AG121" s="2">
        <f t="shared" si="26"/>
        <v>2</v>
      </c>
      <c r="AH121" s="2">
        <f t="shared" si="27"/>
        <v>0</v>
      </c>
      <c r="AI121" s="2">
        <f t="shared" si="28"/>
        <v>1</v>
      </c>
      <c r="AJ121" s="2">
        <f t="shared" si="29"/>
        <v>2</v>
      </c>
      <c r="AK121" s="2">
        <f t="shared" si="30"/>
        <v>0</v>
      </c>
      <c r="AL121" s="2">
        <f t="shared" si="31"/>
        <v>0</v>
      </c>
      <c r="AM121" s="115"/>
      <c r="AN121" s="115"/>
      <c r="AO121" s="63"/>
    </row>
    <row r="122" spans="1:41" ht="72" x14ac:dyDescent="0.55000000000000004">
      <c r="A122" s="36">
        <v>1209</v>
      </c>
      <c r="B122" s="113" t="s">
        <v>844</v>
      </c>
      <c r="C122" s="138" t="s">
        <v>845</v>
      </c>
      <c r="D122" s="114" t="s">
        <v>55</v>
      </c>
      <c r="E122" s="115"/>
      <c r="F122" s="116"/>
      <c r="G122" s="113" t="s">
        <v>835</v>
      </c>
      <c r="H122" s="113" t="s">
        <v>836</v>
      </c>
      <c r="I122" s="113" t="s">
        <v>846</v>
      </c>
      <c r="J122" s="117" t="s">
        <v>847</v>
      </c>
      <c r="K122" s="118"/>
      <c r="L122" s="109">
        <v>2</v>
      </c>
      <c r="M122" s="109">
        <v>3</v>
      </c>
      <c r="N122" s="109"/>
      <c r="O122" s="119"/>
      <c r="P122" s="2">
        <f t="shared" si="16"/>
        <v>2</v>
      </c>
      <c r="Q122" s="110" t="str">
        <f>IF(AND(Drops!$D$45&gt;1,OR(U122&lt;&gt;U121,AND(ROW()=5,U121=U122))),VLOOKUP(U122,Drops!$D$26:$E$44,2,FALSE),"")</f>
        <v/>
      </c>
      <c r="R122" s="2" t="str">
        <f t="shared" si="17"/>
        <v/>
      </c>
      <c r="S122" s="2">
        <f t="shared" ca="1" si="18"/>
        <v>2</v>
      </c>
      <c r="T122" s="2">
        <f t="shared" si="19"/>
        <v>0</v>
      </c>
      <c r="U122" s="110" t="s">
        <v>747</v>
      </c>
      <c r="V122" s="110">
        <v>6</v>
      </c>
      <c r="W122" s="110">
        <v>3</v>
      </c>
      <c r="X122" s="110">
        <v>0</v>
      </c>
      <c r="Y122" s="110">
        <v>0</v>
      </c>
      <c r="Z122" s="110">
        <v>0</v>
      </c>
      <c r="AA122" s="2">
        <f t="shared" si="20"/>
        <v>1</v>
      </c>
      <c r="AB122" s="2">
        <f t="shared" si="21"/>
        <v>0</v>
      </c>
      <c r="AC122" s="2">
        <f t="shared" si="22"/>
        <v>2</v>
      </c>
      <c r="AD122" s="2">
        <f t="shared" si="23"/>
        <v>2</v>
      </c>
      <c r="AE122" s="2">
        <f t="shared" si="24"/>
        <v>2</v>
      </c>
      <c r="AF122" s="2">
        <f t="shared" si="25"/>
        <v>2</v>
      </c>
      <c r="AG122" s="2">
        <f t="shared" si="26"/>
        <v>2</v>
      </c>
      <c r="AH122" s="2">
        <f t="shared" si="27"/>
        <v>0</v>
      </c>
      <c r="AI122" s="2">
        <f t="shared" si="28"/>
        <v>1</v>
      </c>
      <c r="AJ122" s="2">
        <f t="shared" si="29"/>
        <v>2</v>
      </c>
      <c r="AK122" s="2">
        <f t="shared" si="30"/>
        <v>0</v>
      </c>
      <c r="AL122" s="2">
        <f t="shared" si="31"/>
        <v>0</v>
      </c>
      <c r="AM122" s="115"/>
      <c r="AN122" s="115"/>
      <c r="AO122" s="63"/>
    </row>
    <row r="123" spans="1:41" ht="72" x14ac:dyDescent="0.55000000000000004">
      <c r="A123" s="36">
        <v>4178</v>
      </c>
      <c r="B123" s="113" t="s">
        <v>201</v>
      </c>
      <c r="C123" s="113" t="s">
        <v>848</v>
      </c>
      <c r="D123" s="114" t="s">
        <v>52</v>
      </c>
      <c r="E123" s="115"/>
      <c r="F123" s="116"/>
      <c r="G123" s="113" t="s">
        <v>849</v>
      </c>
      <c r="H123" s="113" t="s">
        <v>850</v>
      </c>
      <c r="I123" s="113"/>
      <c r="J123" s="117" t="s">
        <v>851</v>
      </c>
      <c r="K123" s="118"/>
      <c r="L123" s="109">
        <v>1</v>
      </c>
      <c r="M123" s="109">
        <v>1</v>
      </c>
      <c r="N123" s="109"/>
      <c r="O123" s="119"/>
      <c r="P123" s="2">
        <f t="shared" si="16"/>
        <v>1</v>
      </c>
      <c r="Q123" s="110" t="str">
        <f>IF(AND(Drops!$D$45&gt;1,OR(U123&lt;&gt;U122,AND(ROW()=5,U122=U123))),VLOOKUP(U123,Drops!$D$26:$E$44,2,FALSE),"")</f>
        <v/>
      </c>
      <c r="R123" s="2" t="str">
        <f t="shared" si="17"/>
        <v/>
      </c>
      <c r="S123" s="2">
        <f t="shared" ca="1" si="18"/>
        <v>1</v>
      </c>
      <c r="T123" s="2">
        <f t="shared" si="19"/>
        <v>1</v>
      </c>
      <c r="U123" s="110" t="s">
        <v>747</v>
      </c>
      <c r="V123" s="110">
        <v>7</v>
      </c>
      <c r="W123" s="110">
        <v>0</v>
      </c>
      <c r="X123" s="110">
        <v>0</v>
      </c>
      <c r="Y123" s="110">
        <v>0</v>
      </c>
      <c r="Z123" s="110">
        <v>0</v>
      </c>
      <c r="AA123" s="2">
        <f t="shared" si="20"/>
        <v>1</v>
      </c>
      <c r="AB123" s="2">
        <f t="shared" si="21"/>
        <v>1</v>
      </c>
      <c r="AC123" s="2">
        <f t="shared" si="22"/>
        <v>1</v>
      </c>
      <c r="AD123" s="2">
        <f t="shared" si="23"/>
        <v>0</v>
      </c>
      <c r="AE123" s="2">
        <f t="shared" si="24"/>
        <v>2</v>
      </c>
      <c r="AF123" s="2">
        <f t="shared" si="25"/>
        <v>2</v>
      </c>
      <c r="AG123" s="2">
        <f t="shared" si="26"/>
        <v>2</v>
      </c>
      <c r="AH123" s="2">
        <f t="shared" si="27"/>
        <v>2</v>
      </c>
      <c r="AI123" s="2">
        <f t="shared" si="28"/>
        <v>0</v>
      </c>
      <c r="AJ123" s="2">
        <f t="shared" si="29"/>
        <v>2</v>
      </c>
      <c r="AK123" s="2">
        <f t="shared" si="30"/>
        <v>0</v>
      </c>
      <c r="AL123" s="2">
        <f t="shared" si="31"/>
        <v>0</v>
      </c>
      <c r="AM123" s="115"/>
      <c r="AN123" s="115"/>
      <c r="AO123" s="63"/>
    </row>
    <row r="124" spans="1:41" ht="72" x14ac:dyDescent="0.55000000000000004">
      <c r="A124" s="36">
        <v>4179</v>
      </c>
      <c r="B124" s="113" t="s">
        <v>852</v>
      </c>
      <c r="C124" s="138" t="s">
        <v>853</v>
      </c>
      <c r="D124" s="114" t="s">
        <v>52</v>
      </c>
      <c r="E124" s="115"/>
      <c r="F124" s="116"/>
      <c r="G124" s="113" t="s">
        <v>849</v>
      </c>
      <c r="H124" s="113" t="s">
        <v>850</v>
      </c>
      <c r="I124" s="113"/>
      <c r="J124" s="117" t="s">
        <v>851</v>
      </c>
      <c r="K124" s="118"/>
      <c r="L124" s="109">
        <v>2</v>
      </c>
      <c r="M124" s="109">
        <v>3</v>
      </c>
      <c r="N124" s="109"/>
      <c r="O124" s="119"/>
      <c r="P124" s="2">
        <f t="shared" si="16"/>
        <v>1</v>
      </c>
      <c r="Q124" s="110" t="str">
        <f>IF(AND(Drops!$D$45&gt;1,OR(U124&lt;&gt;U123,AND(ROW()=5,U123=U124))),VLOOKUP(U124,Drops!$D$26:$E$44,2,FALSE),"")</f>
        <v/>
      </c>
      <c r="R124" s="2" t="str">
        <f t="shared" si="17"/>
        <v/>
      </c>
      <c r="S124" s="2">
        <f t="shared" ca="1" si="18"/>
        <v>1</v>
      </c>
      <c r="T124" s="2">
        <f t="shared" si="19"/>
        <v>0</v>
      </c>
      <c r="U124" s="110" t="s">
        <v>747</v>
      </c>
      <c r="V124" s="110">
        <v>7</v>
      </c>
      <c r="W124" s="110">
        <v>1</v>
      </c>
      <c r="X124" s="110">
        <v>0</v>
      </c>
      <c r="Y124" s="110">
        <v>0</v>
      </c>
      <c r="Z124" s="110">
        <v>0</v>
      </c>
      <c r="AA124" s="2">
        <f t="shared" si="20"/>
        <v>1</v>
      </c>
      <c r="AB124" s="2">
        <f t="shared" si="21"/>
        <v>0</v>
      </c>
      <c r="AC124" s="2">
        <f t="shared" si="22"/>
        <v>1</v>
      </c>
      <c r="AD124" s="2">
        <f t="shared" si="23"/>
        <v>1</v>
      </c>
      <c r="AE124" s="2">
        <f t="shared" si="24"/>
        <v>2</v>
      </c>
      <c r="AF124" s="2">
        <f t="shared" si="25"/>
        <v>2</v>
      </c>
      <c r="AG124" s="2">
        <f t="shared" si="26"/>
        <v>2</v>
      </c>
      <c r="AH124" s="2">
        <f t="shared" si="27"/>
        <v>2</v>
      </c>
      <c r="AI124" s="2">
        <f t="shared" si="28"/>
        <v>2</v>
      </c>
      <c r="AJ124" s="2">
        <f t="shared" si="29"/>
        <v>2</v>
      </c>
      <c r="AK124" s="2">
        <f t="shared" si="30"/>
        <v>0</v>
      </c>
      <c r="AL124" s="2">
        <f t="shared" si="31"/>
        <v>0</v>
      </c>
      <c r="AM124" s="115"/>
      <c r="AN124" s="115"/>
      <c r="AO124" s="63"/>
    </row>
    <row r="125" spans="1:41" ht="72" x14ac:dyDescent="0.55000000000000004">
      <c r="A125" s="36">
        <v>1871</v>
      </c>
      <c r="B125" s="113" t="s">
        <v>854</v>
      </c>
      <c r="C125" s="138" t="s">
        <v>855</v>
      </c>
      <c r="D125" s="114" t="s">
        <v>52</v>
      </c>
      <c r="E125" s="115"/>
      <c r="F125" s="116"/>
      <c r="G125" s="113" t="s">
        <v>849</v>
      </c>
      <c r="H125" s="113" t="s">
        <v>856</v>
      </c>
      <c r="I125" s="113" t="s">
        <v>804</v>
      </c>
      <c r="J125" s="117" t="s">
        <v>857</v>
      </c>
      <c r="K125" s="118"/>
      <c r="L125" s="109">
        <v>2</v>
      </c>
      <c r="M125" s="109">
        <v>2</v>
      </c>
      <c r="N125" s="109"/>
      <c r="O125" s="119"/>
      <c r="P125" s="2">
        <f t="shared" si="16"/>
        <v>1</v>
      </c>
      <c r="Q125" s="110" t="str">
        <f>IF(AND(Drops!$D$45&gt;1,OR(U125&lt;&gt;U124,AND(ROW()=5,U124=U125))),VLOOKUP(U125,Drops!$D$26:$E$44,2,FALSE),"")</f>
        <v/>
      </c>
      <c r="R125" s="2" t="str">
        <f t="shared" si="17"/>
        <v/>
      </c>
      <c r="S125" s="2">
        <f t="shared" ca="1" si="18"/>
        <v>1</v>
      </c>
      <c r="T125" s="2">
        <f t="shared" si="19"/>
        <v>0</v>
      </c>
      <c r="U125" s="110" t="s">
        <v>747</v>
      </c>
      <c r="V125" s="110">
        <v>7</v>
      </c>
      <c r="W125" s="110">
        <v>2</v>
      </c>
      <c r="X125" s="110">
        <v>0</v>
      </c>
      <c r="Y125" s="110">
        <v>0</v>
      </c>
      <c r="Z125" s="110">
        <v>0</v>
      </c>
      <c r="AA125" s="2">
        <f t="shared" si="20"/>
        <v>1</v>
      </c>
      <c r="AB125" s="2">
        <f t="shared" si="21"/>
        <v>0</v>
      </c>
      <c r="AC125" s="2">
        <f t="shared" si="22"/>
        <v>1</v>
      </c>
      <c r="AD125" s="2">
        <f t="shared" si="23"/>
        <v>1</v>
      </c>
      <c r="AE125" s="2">
        <f t="shared" si="24"/>
        <v>2</v>
      </c>
      <c r="AF125" s="2">
        <f t="shared" si="25"/>
        <v>2</v>
      </c>
      <c r="AG125" s="2">
        <f t="shared" si="26"/>
        <v>2</v>
      </c>
      <c r="AH125" s="2">
        <f t="shared" si="27"/>
        <v>2</v>
      </c>
      <c r="AI125" s="2">
        <f t="shared" si="28"/>
        <v>2</v>
      </c>
      <c r="AJ125" s="2">
        <f t="shared" si="29"/>
        <v>2</v>
      </c>
      <c r="AK125" s="2">
        <f t="shared" si="30"/>
        <v>0</v>
      </c>
      <c r="AL125" s="2">
        <f t="shared" si="31"/>
        <v>0</v>
      </c>
      <c r="AM125" s="115"/>
      <c r="AN125" s="115"/>
      <c r="AO125" s="63"/>
    </row>
    <row r="126" spans="1:41" ht="100.8" x14ac:dyDescent="0.55000000000000004">
      <c r="A126" s="36">
        <v>1243</v>
      </c>
      <c r="B126" s="113" t="s">
        <v>858</v>
      </c>
      <c r="C126" s="138" t="s">
        <v>859</v>
      </c>
      <c r="D126" s="114" t="s">
        <v>48</v>
      </c>
      <c r="E126" s="115" t="s">
        <v>860</v>
      </c>
      <c r="F126" s="116"/>
      <c r="G126" s="113" t="s">
        <v>849</v>
      </c>
      <c r="H126" s="113" t="s">
        <v>856</v>
      </c>
      <c r="I126" s="113" t="s">
        <v>804</v>
      </c>
      <c r="J126" s="117" t="s">
        <v>861</v>
      </c>
      <c r="K126" s="118"/>
      <c r="L126" s="109">
        <v>2</v>
      </c>
      <c r="M126" s="109">
        <v>3</v>
      </c>
      <c r="N126" s="109"/>
      <c r="O126" s="119"/>
      <c r="P126" s="2">
        <f t="shared" si="16"/>
        <v>3</v>
      </c>
      <c r="Q126" s="110" t="str">
        <f>IF(AND(Drops!$D$45&gt;1,OR(U126&lt;&gt;U125,AND(ROW()=5,U125=U126))),VLOOKUP(U126,Drops!$D$26:$E$44,2,FALSE),"")</f>
        <v/>
      </c>
      <c r="R126" s="2" t="str">
        <f t="shared" si="17"/>
        <v/>
      </c>
      <c r="S126" s="2">
        <f t="shared" ca="1" si="18"/>
        <v>3</v>
      </c>
      <c r="T126" s="2">
        <f t="shared" si="19"/>
        <v>0</v>
      </c>
      <c r="U126" s="110" t="s">
        <v>747</v>
      </c>
      <c r="V126" s="110">
        <v>7</v>
      </c>
      <c r="W126" s="110">
        <v>4</v>
      </c>
      <c r="X126" s="110">
        <v>0</v>
      </c>
      <c r="Y126" s="110">
        <v>0</v>
      </c>
      <c r="Z126" s="110">
        <v>0</v>
      </c>
      <c r="AA126" s="2">
        <f t="shared" si="20"/>
        <v>1</v>
      </c>
      <c r="AB126" s="2">
        <f t="shared" si="21"/>
        <v>0</v>
      </c>
      <c r="AC126" s="2">
        <f t="shared" si="22"/>
        <v>1</v>
      </c>
      <c r="AD126" s="2">
        <f t="shared" si="23"/>
        <v>3</v>
      </c>
      <c r="AE126" s="2">
        <f t="shared" si="24"/>
        <v>3</v>
      </c>
      <c r="AF126" s="2">
        <f t="shared" si="25"/>
        <v>3</v>
      </c>
      <c r="AG126" s="2">
        <f t="shared" si="26"/>
        <v>3</v>
      </c>
      <c r="AH126" s="2">
        <f t="shared" si="27"/>
        <v>2</v>
      </c>
      <c r="AI126" s="2">
        <f t="shared" si="28"/>
        <v>1</v>
      </c>
      <c r="AJ126" s="2">
        <f t="shared" si="29"/>
        <v>2</v>
      </c>
      <c r="AK126" s="2">
        <f t="shared" si="30"/>
        <v>0</v>
      </c>
      <c r="AL126" s="2">
        <f t="shared" si="31"/>
        <v>0</v>
      </c>
      <c r="AM126" s="115"/>
      <c r="AN126" s="115"/>
      <c r="AO126" s="63"/>
    </row>
    <row r="127" spans="1:41" ht="72" x14ac:dyDescent="0.55000000000000004">
      <c r="A127" s="36">
        <v>1247</v>
      </c>
      <c r="B127" s="113" t="s">
        <v>862</v>
      </c>
      <c r="C127" s="138" t="s">
        <v>863</v>
      </c>
      <c r="D127" s="114" t="s">
        <v>48</v>
      </c>
      <c r="E127" s="115" t="s">
        <v>860</v>
      </c>
      <c r="F127" s="116"/>
      <c r="G127" s="113" t="s">
        <v>849</v>
      </c>
      <c r="H127" s="113" t="s">
        <v>864</v>
      </c>
      <c r="I127" s="113" t="s">
        <v>865</v>
      </c>
      <c r="J127" s="117" t="s">
        <v>866</v>
      </c>
      <c r="K127" s="118"/>
      <c r="L127" s="109">
        <v>2</v>
      </c>
      <c r="M127" s="109">
        <v>3</v>
      </c>
      <c r="N127" s="109"/>
      <c r="O127" s="119"/>
      <c r="P127" s="2">
        <f t="shared" si="16"/>
        <v>3</v>
      </c>
      <c r="Q127" s="110" t="str">
        <f>IF(AND(Drops!$D$45&gt;1,OR(U127&lt;&gt;U126,AND(ROW()=5,U126=U127))),VLOOKUP(U127,Drops!$D$26:$E$44,2,FALSE),"")</f>
        <v/>
      </c>
      <c r="R127" s="2" t="str">
        <f t="shared" si="17"/>
        <v/>
      </c>
      <c r="S127" s="2">
        <f t="shared" ca="1" si="18"/>
        <v>3</v>
      </c>
      <c r="T127" s="2">
        <f t="shared" si="19"/>
        <v>0</v>
      </c>
      <c r="U127" s="110" t="s">
        <v>747</v>
      </c>
      <c r="V127" s="110">
        <v>7</v>
      </c>
      <c r="W127" s="110">
        <v>5</v>
      </c>
      <c r="X127" s="110">
        <v>0</v>
      </c>
      <c r="Y127" s="110">
        <v>0</v>
      </c>
      <c r="Z127" s="110">
        <v>0</v>
      </c>
      <c r="AA127" s="2">
        <f t="shared" si="20"/>
        <v>1</v>
      </c>
      <c r="AB127" s="2">
        <f t="shared" si="21"/>
        <v>0</v>
      </c>
      <c r="AC127" s="2">
        <f t="shared" si="22"/>
        <v>1</v>
      </c>
      <c r="AD127" s="2">
        <f t="shared" si="23"/>
        <v>3</v>
      </c>
      <c r="AE127" s="2">
        <f t="shared" si="24"/>
        <v>3</v>
      </c>
      <c r="AF127" s="2">
        <f t="shared" si="25"/>
        <v>3</v>
      </c>
      <c r="AG127" s="2">
        <f t="shared" si="26"/>
        <v>3</v>
      </c>
      <c r="AH127" s="2">
        <f t="shared" si="27"/>
        <v>2</v>
      </c>
      <c r="AI127" s="2">
        <f t="shared" si="28"/>
        <v>1</v>
      </c>
      <c r="AJ127" s="2">
        <f t="shared" si="29"/>
        <v>2</v>
      </c>
      <c r="AK127" s="2">
        <f t="shared" si="30"/>
        <v>0</v>
      </c>
      <c r="AL127" s="2">
        <f t="shared" si="31"/>
        <v>0</v>
      </c>
      <c r="AM127" s="115"/>
      <c r="AN127" s="115"/>
      <c r="AO127" s="63"/>
    </row>
    <row r="128" spans="1:41" ht="72" x14ac:dyDescent="0.55000000000000004">
      <c r="A128" s="36">
        <v>2629</v>
      </c>
      <c r="B128" s="113" t="s">
        <v>867</v>
      </c>
      <c r="C128" s="138" t="s">
        <v>868</v>
      </c>
      <c r="D128" s="114" t="s">
        <v>52</v>
      </c>
      <c r="E128" s="115"/>
      <c r="F128" s="116"/>
      <c r="G128" s="113" t="s">
        <v>849</v>
      </c>
      <c r="H128" s="113" t="s">
        <v>864</v>
      </c>
      <c r="I128" s="113" t="s">
        <v>869</v>
      </c>
      <c r="J128" s="117" t="s">
        <v>866</v>
      </c>
      <c r="K128" s="118"/>
      <c r="L128" s="109">
        <v>2</v>
      </c>
      <c r="M128" s="109">
        <v>2</v>
      </c>
      <c r="N128" s="109"/>
      <c r="O128" s="119"/>
      <c r="P128" s="2">
        <f t="shared" si="16"/>
        <v>1</v>
      </c>
      <c r="Q128" s="110" t="str">
        <f>IF(AND(Drops!$D$45&gt;1,OR(U128&lt;&gt;U127,AND(ROW()=5,U127=U128))),VLOOKUP(U128,Drops!$D$26:$E$44,2,FALSE),"")</f>
        <v/>
      </c>
      <c r="R128" s="2" t="str">
        <f t="shared" si="17"/>
        <v/>
      </c>
      <c r="S128" s="2">
        <f t="shared" ca="1" si="18"/>
        <v>1</v>
      </c>
      <c r="T128" s="2">
        <f t="shared" si="19"/>
        <v>0</v>
      </c>
      <c r="U128" s="110" t="s">
        <v>747</v>
      </c>
      <c r="V128" s="110">
        <v>7</v>
      </c>
      <c r="W128" s="110">
        <v>6</v>
      </c>
      <c r="X128" s="110">
        <v>0</v>
      </c>
      <c r="Y128" s="110">
        <v>0</v>
      </c>
      <c r="Z128" s="110">
        <v>0</v>
      </c>
      <c r="AA128" s="2">
        <f t="shared" si="20"/>
        <v>1</v>
      </c>
      <c r="AB128" s="2">
        <f t="shared" si="21"/>
        <v>0</v>
      </c>
      <c r="AC128" s="2">
        <f t="shared" si="22"/>
        <v>1</v>
      </c>
      <c r="AD128" s="2">
        <f t="shared" si="23"/>
        <v>1</v>
      </c>
      <c r="AE128" s="2">
        <f t="shared" si="24"/>
        <v>3</v>
      </c>
      <c r="AF128" s="2">
        <f t="shared" si="25"/>
        <v>3</v>
      </c>
      <c r="AG128" s="2">
        <f t="shared" si="26"/>
        <v>3</v>
      </c>
      <c r="AH128" s="2">
        <f t="shared" si="27"/>
        <v>2</v>
      </c>
      <c r="AI128" s="2">
        <f t="shared" si="28"/>
        <v>2</v>
      </c>
      <c r="AJ128" s="2">
        <f t="shared" si="29"/>
        <v>2</v>
      </c>
      <c r="AK128" s="2">
        <f t="shared" si="30"/>
        <v>0</v>
      </c>
      <c r="AL128" s="2">
        <f t="shared" si="31"/>
        <v>0</v>
      </c>
      <c r="AM128" s="115"/>
      <c r="AN128" s="115"/>
      <c r="AO128" s="63"/>
    </row>
    <row r="129" spans="1:41" ht="28.8" x14ac:dyDescent="0.55000000000000004">
      <c r="A129" s="36">
        <v>4607</v>
      </c>
      <c r="B129" s="113" t="s">
        <v>870</v>
      </c>
      <c r="C129" s="138" t="s">
        <v>871</v>
      </c>
      <c r="D129" s="114" t="s">
        <v>52</v>
      </c>
      <c r="E129" s="115"/>
      <c r="F129" s="116"/>
      <c r="G129" s="113" t="s">
        <v>849</v>
      </c>
      <c r="H129" s="113" t="s">
        <v>872</v>
      </c>
      <c r="I129" s="113"/>
      <c r="J129" s="117"/>
      <c r="K129" s="118"/>
      <c r="L129" s="109">
        <v>2</v>
      </c>
      <c r="M129" s="109">
        <v>2</v>
      </c>
      <c r="N129" s="109"/>
      <c r="O129" s="119"/>
      <c r="P129" s="2">
        <f t="shared" si="16"/>
        <v>1</v>
      </c>
      <c r="Q129" s="110" t="str">
        <f>IF(AND(Drops!$D$45&gt;1,OR(U129&lt;&gt;U128,AND(ROW()=5,U128=U129))),VLOOKUP(U129,Drops!$D$26:$E$44,2,FALSE),"")</f>
        <v/>
      </c>
      <c r="R129" s="2" t="str">
        <f t="shared" si="17"/>
        <v/>
      </c>
      <c r="S129" s="2">
        <f t="shared" ca="1" si="18"/>
        <v>1</v>
      </c>
      <c r="T129" s="2">
        <f t="shared" si="19"/>
        <v>0</v>
      </c>
      <c r="U129" s="110" t="s">
        <v>747</v>
      </c>
      <c r="V129" s="110">
        <v>7</v>
      </c>
      <c r="W129" s="110">
        <v>7</v>
      </c>
      <c r="X129" s="110">
        <v>0</v>
      </c>
      <c r="Y129" s="110">
        <v>0</v>
      </c>
      <c r="Z129" s="110">
        <v>0</v>
      </c>
      <c r="AA129" s="2">
        <f t="shared" si="20"/>
        <v>1</v>
      </c>
      <c r="AB129" s="2">
        <f t="shared" si="21"/>
        <v>0</v>
      </c>
      <c r="AC129" s="2">
        <f t="shared" si="22"/>
        <v>1</v>
      </c>
      <c r="AD129" s="2">
        <f t="shared" si="23"/>
        <v>1</v>
      </c>
      <c r="AE129" s="2">
        <f t="shared" si="24"/>
        <v>3</v>
      </c>
      <c r="AF129" s="2">
        <f t="shared" si="25"/>
        <v>3</v>
      </c>
      <c r="AG129" s="2">
        <f t="shared" si="26"/>
        <v>3</v>
      </c>
      <c r="AH129" s="2">
        <f t="shared" si="27"/>
        <v>2</v>
      </c>
      <c r="AI129" s="2">
        <f t="shared" si="28"/>
        <v>2</v>
      </c>
      <c r="AJ129" s="2">
        <f t="shared" si="29"/>
        <v>2</v>
      </c>
      <c r="AK129" s="2">
        <f t="shared" si="30"/>
        <v>0</v>
      </c>
      <c r="AL129" s="2">
        <f t="shared" si="31"/>
        <v>0</v>
      </c>
      <c r="AM129" s="115"/>
      <c r="AN129" s="115"/>
      <c r="AO129" s="63"/>
    </row>
    <row r="130" spans="1:41" ht="57.6" x14ac:dyDescent="0.55000000000000004">
      <c r="A130" s="36">
        <v>4662</v>
      </c>
      <c r="B130" s="113" t="s">
        <v>873</v>
      </c>
      <c r="C130" s="138" t="s">
        <v>874</v>
      </c>
      <c r="D130" s="114" t="s">
        <v>52</v>
      </c>
      <c r="E130" s="115" t="s">
        <v>875</v>
      </c>
      <c r="F130" s="116"/>
      <c r="G130" s="113" t="s">
        <v>849</v>
      </c>
      <c r="H130" s="113" t="s">
        <v>876</v>
      </c>
      <c r="I130" s="113" t="s">
        <v>877</v>
      </c>
      <c r="J130" s="117" t="s">
        <v>878</v>
      </c>
      <c r="K130" s="118"/>
      <c r="L130" s="109">
        <v>2</v>
      </c>
      <c r="M130" s="109">
        <v>3</v>
      </c>
      <c r="N130" s="109"/>
      <c r="O130" s="119"/>
      <c r="P130" s="2">
        <f t="shared" si="16"/>
        <v>1</v>
      </c>
      <c r="Q130" s="110" t="str">
        <f>IF(AND(Drops!$D$45&gt;1,OR(U130&lt;&gt;U129,AND(ROW()=5,U129=U130))),VLOOKUP(U130,Drops!$D$26:$E$44,2,FALSE),"")</f>
        <v/>
      </c>
      <c r="R130" s="2" t="str">
        <f t="shared" si="17"/>
        <v/>
      </c>
      <c r="S130" s="2">
        <f t="shared" ca="1" si="18"/>
        <v>1</v>
      </c>
      <c r="T130" s="2">
        <f t="shared" si="19"/>
        <v>0</v>
      </c>
      <c r="U130" s="110" t="s">
        <v>747</v>
      </c>
      <c r="V130" s="110">
        <v>7</v>
      </c>
      <c r="W130" s="110">
        <v>8</v>
      </c>
      <c r="X130" s="110">
        <v>0</v>
      </c>
      <c r="Y130" s="110">
        <v>0</v>
      </c>
      <c r="Z130" s="110">
        <v>0</v>
      </c>
      <c r="AA130" s="2">
        <f t="shared" si="20"/>
        <v>1</v>
      </c>
      <c r="AB130" s="2">
        <f t="shared" si="21"/>
        <v>1</v>
      </c>
      <c r="AC130" s="2">
        <f t="shared" si="22"/>
        <v>1</v>
      </c>
      <c r="AD130" s="2">
        <f t="shared" si="23"/>
        <v>1</v>
      </c>
      <c r="AE130" s="2">
        <f t="shared" si="24"/>
        <v>3</v>
      </c>
      <c r="AF130" s="2">
        <f t="shared" si="25"/>
        <v>3</v>
      </c>
      <c r="AG130" s="2">
        <f t="shared" si="26"/>
        <v>3</v>
      </c>
      <c r="AH130" s="2">
        <f t="shared" si="27"/>
        <v>2</v>
      </c>
      <c r="AI130" s="2">
        <f t="shared" si="28"/>
        <v>2</v>
      </c>
      <c r="AJ130" s="2">
        <f t="shared" si="29"/>
        <v>2</v>
      </c>
      <c r="AK130" s="2">
        <f t="shared" si="30"/>
        <v>0</v>
      </c>
      <c r="AL130" s="2">
        <f t="shared" si="31"/>
        <v>0</v>
      </c>
      <c r="AM130" s="115"/>
      <c r="AN130" s="115"/>
      <c r="AO130" s="63"/>
    </row>
    <row r="131" spans="1:41" ht="28.8" x14ac:dyDescent="0.55000000000000004">
      <c r="A131" s="36">
        <v>5815</v>
      </c>
      <c r="B131" s="113" t="s">
        <v>879</v>
      </c>
      <c r="C131" s="139" t="s">
        <v>880</v>
      </c>
      <c r="D131" s="114" t="s">
        <v>52</v>
      </c>
      <c r="E131" s="115"/>
      <c r="F131" s="116"/>
      <c r="G131" s="113" t="s">
        <v>849</v>
      </c>
      <c r="H131" s="113" t="s">
        <v>876</v>
      </c>
      <c r="I131" s="113" t="s">
        <v>877</v>
      </c>
      <c r="J131" s="117"/>
      <c r="K131" s="118"/>
      <c r="L131" s="109">
        <v>3</v>
      </c>
      <c r="M131" s="109">
        <v>3</v>
      </c>
      <c r="N131" s="109"/>
      <c r="O131" s="119"/>
      <c r="P131" s="2">
        <f t="shared" si="16"/>
        <v>1</v>
      </c>
      <c r="Q131" s="110" t="str">
        <f>IF(AND(Drops!$D$45&gt;1,OR(U131&lt;&gt;U130,AND(ROW()=5,U130=U131))),VLOOKUP(U131,Drops!$D$26:$E$44,2,FALSE),"")</f>
        <v/>
      </c>
      <c r="R131" s="2" t="str">
        <f t="shared" si="17"/>
        <v/>
      </c>
      <c r="S131" s="2">
        <f t="shared" ca="1" si="18"/>
        <v>1</v>
      </c>
      <c r="T131" s="2">
        <f t="shared" si="19"/>
        <v>0</v>
      </c>
      <c r="U131" s="110" t="s">
        <v>747</v>
      </c>
      <c r="V131" s="110">
        <v>7</v>
      </c>
      <c r="W131" s="110">
        <v>8</v>
      </c>
      <c r="X131" s="110">
        <v>1</v>
      </c>
      <c r="Y131" s="110">
        <v>0</v>
      </c>
      <c r="Z131" s="110">
        <v>0</v>
      </c>
      <c r="AA131" s="2">
        <f t="shared" si="20"/>
        <v>1</v>
      </c>
      <c r="AB131" s="2">
        <f t="shared" si="21"/>
        <v>0</v>
      </c>
      <c r="AC131" s="2">
        <f t="shared" si="22"/>
        <v>1</v>
      </c>
      <c r="AD131" s="2">
        <f t="shared" si="23"/>
        <v>1</v>
      </c>
      <c r="AE131" s="2">
        <f t="shared" si="24"/>
        <v>1</v>
      </c>
      <c r="AF131" s="2">
        <f t="shared" si="25"/>
        <v>3</v>
      </c>
      <c r="AG131" s="2">
        <f t="shared" si="26"/>
        <v>3</v>
      </c>
      <c r="AH131" s="2">
        <f t="shared" si="27"/>
        <v>2</v>
      </c>
      <c r="AI131" s="2">
        <f t="shared" si="28"/>
        <v>2</v>
      </c>
      <c r="AJ131" s="2">
        <f t="shared" si="29"/>
        <v>2</v>
      </c>
      <c r="AK131" s="2">
        <f t="shared" si="30"/>
        <v>0</v>
      </c>
      <c r="AL131" s="2">
        <f t="shared" si="31"/>
        <v>0</v>
      </c>
      <c r="AM131" s="115"/>
      <c r="AN131" s="115"/>
      <c r="AO131" s="63"/>
    </row>
    <row r="132" spans="1:41" ht="28.8" x14ac:dyDescent="0.55000000000000004">
      <c r="A132" s="36">
        <v>5819</v>
      </c>
      <c r="B132" s="113" t="s">
        <v>881</v>
      </c>
      <c r="C132" s="139" t="s">
        <v>882</v>
      </c>
      <c r="D132" s="114" t="s">
        <v>52</v>
      </c>
      <c r="E132" s="115"/>
      <c r="F132" s="116"/>
      <c r="G132" s="113" t="s">
        <v>849</v>
      </c>
      <c r="H132" s="113" t="s">
        <v>876</v>
      </c>
      <c r="I132" s="113" t="s">
        <v>877</v>
      </c>
      <c r="J132" s="117"/>
      <c r="K132" s="118"/>
      <c r="L132" s="109">
        <v>3</v>
      </c>
      <c r="M132" s="109">
        <v>3</v>
      </c>
      <c r="N132" s="109"/>
      <c r="O132" s="119"/>
      <c r="P132" s="2">
        <f t="shared" si="16"/>
        <v>1</v>
      </c>
      <c r="Q132" s="110" t="str">
        <f>IF(AND(Drops!$D$45&gt;1,OR(U132&lt;&gt;U131,AND(ROW()=5,U131=U132))),VLOOKUP(U132,Drops!$D$26:$E$44,2,FALSE),"")</f>
        <v/>
      </c>
      <c r="R132" s="2" t="str">
        <f t="shared" si="17"/>
        <v/>
      </c>
      <c r="S132" s="2">
        <f t="shared" ca="1" si="18"/>
        <v>1</v>
      </c>
      <c r="T132" s="2">
        <f t="shared" si="19"/>
        <v>0</v>
      </c>
      <c r="U132" s="110" t="s">
        <v>747</v>
      </c>
      <c r="V132" s="110">
        <v>7</v>
      </c>
      <c r="W132" s="110">
        <v>8</v>
      </c>
      <c r="X132" s="110">
        <v>4</v>
      </c>
      <c r="Y132" s="110">
        <v>0</v>
      </c>
      <c r="Z132" s="110">
        <v>0</v>
      </c>
      <c r="AA132" s="2">
        <f t="shared" si="20"/>
        <v>1</v>
      </c>
      <c r="AB132" s="2">
        <f t="shared" si="21"/>
        <v>0</v>
      </c>
      <c r="AC132" s="2">
        <f t="shared" si="22"/>
        <v>1</v>
      </c>
      <c r="AD132" s="2">
        <f t="shared" si="23"/>
        <v>1</v>
      </c>
      <c r="AE132" s="2">
        <f t="shared" si="24"/>
        <v>1</v>
      </c>
      <c r="AF132" s="2">
        <f t="shared" si="25"/>
        <v>3</v>
      </c>
      <c r="AG132" s="2">
        <f t="shared" si="26"/>
        <v>3</v>
      </c>
      <c r="AH132" s="2">
        <f t="shared" si="27"/>
        <v>2</v>
      </c>
      <c r="AI132" s="2">
        <f t="shared" si="28"/>
        <v>2</v>
      </c>
      <c r="AJ132" s="2">
        <f t="shared" si="29"/>
        <v>2</v>
      </c>
      <c r="AK132" s="2">
        <f t="shared" si="30"/>
        <v>0</v>
      </c>
      <c r="AL132" s="2">
        <f t="shared" si="31"/>
        <v>0</v>
      </c>
      <c r="AM132" s="115"/>
      <c r="AN132" s="115"/>
      <c r="AO132" s="63"/>
    </row>
    <row r="133" spans="1:41" ht="28.8" x14ac:dyDescent="0.55000000000000004">
      <c r="A133" s="36">
        <v>5821</v>
      </c>
      <c r="B133" s="113" t="s">
        <v>883</v>
      </c>
      <c r="C133" s="139" t="s">
        <v>884</v>
      </c>
      <c r="D133" s="114" t="s">
        <v>52</v>
      </c>
      <c r="E133" s="115"/>
      <c r="F133" s="116"/>
      <c r="G133" s="113" t="s">
        <v>849</v>
      </c>
      <c r="H133" s="113" t="s">
        <v>876</v>
      </c>
      <c r="I133" s="113" t="s">
        <v>877</v>
      </c>
      <c r="J133" s="117"/>
      <c r="K133" s="118"/>
      <c r="L133" s="109">
        <v>3</v>
      </c>
      <c r="M133" s="109">
        <v>3</v>
      </c>
      <c r="N133" s="109"/>
      <c r="O133" s="119"/>
      <c r="P133" s="2">
        <f t="shared" si="16"/>
        <v>1</v>
      </c>
      <c r="Q133" s="110" t="str">
        <f>IF(AND(Drops!$D$45&gt;1,OR(U133&lt;&gt;U132,AND(ROW()=5,U132=U133))),VLOOKUP(U133,Drops!$D$26:$E$44,2,FALSE),"")</f>
        <v/>
      </c>
      <c r="R133" s="2" t="str">
        <f t="shared" si="17"/>
        <v/>
      </c>
      <c r="S133" s="2">
        <f t="shared" ca="1" si="18"/>
        <v>1</v>
      </c>
      <c r="T133" s="2">
        <f t="shared" si="19"/>
        <v>0</v>
      </c>
      <c r="U133" s="110" t="s">
        <v>747</v>
      </c>
      <c r="V133" s="110">
        <v>7</v>
      </c>
      <c r="W133" s="110">
        <v>8</v>
      </c>
      <c r="X133" s="110">
        <v>6</v>
      </c>
      <c r="Y133" s="110">
        <v>0</v>
      </c>
      <c r="Z133" s="110">
        <v>0</v>
      </c>
      <c r="AA133" s="2">
        <f t="shared" si="20"/>
        <v>1</v>
      </c>
      <c r="AB133" s="2">
        <f t="shared" si="21"/>
        <v>1</v>
      </c>
      <c r="AC133" s="2">
        <f t="shared" si="22"/>
        <v>1</v>
      </c>
      <c r="AD133" s="2">
        <f t="shared" si="23"/>
        <v>1</v>
      </c>
      <c r="AE133" s="2">
        <f t="shared" si="24"/>
        <v>1</v>
      </c>
      <c r="AF133" s="2">
        <f t="shared" si="25"/>
        <v>3</v>
      </c>
      <c r="AG133" s="2">
        <f t="shared" si="26"/>
        <v>3</v>
      </c>
      <c r="AH133" s="2">
        <f t="shared" si="27"/>
        <v>2</v>
      </c>
      <c r="AI133" s="2">
        <f t="shared" si="28"/>
        <v>2</v>
      </c>
      <c r="AJ133" s="2">
        <f t="shared" si="29"/>
        <v>2</v>
      </c>
      <c r="AK133" s="2">
        <f t="shared" si="30"/>
        <v>0</v>
      </c>
      <c r="AL133" s="2">
        <f t="shared" si="31"/>
        <v>0</v>
      </c>
      <c r="AM133" s="115"/>
      <c r="AN133" s="115"/>
      <c r="AO133" s="63"/>
    </row>
    <row r="134" spans="1:41" ht="28.8" x14ac:dyDescent="0.55000000000000004">
      <c r="A134" s="36">
        <v>5822</v>
      </c>
      <c r="B134" s="113" t="s">
        <v>885</v>
      </c>
      <c r="C134" s="140" t="s">
        <v>886</v>
      </c>
      <c r="D134" s="114" t="s">
        <v>52</v>
      </c>
      <c r="E134" s="115"/>
      <c r="F134" s="116"/>
      <c r="G134" s="113" t="s">
        <v>849</v>
      </c>
      <c r="H134" s="113" t="s">
        <v>876</v>
      </c>
      <c r="I134" s="113" t="s">
        <v>877</v>
      </c>
      <c r="J134" s="117"/>
      <c r="K134" s="118"/>
      <c r="L134" s="109">
        <v>4</v>
      </c>
      <c r="M134" s="109">
        <v>3</v>
      </c>
      <c r="N134" s="109"/>
      <c r="O134" s="119"/>
      <c r="P134" s="2">
        <f t="shared" ref="P134:P197" si="32">IF($L134="","",IF($D134="Yes",1,IF($D134="No",2,IF($D134="N/A",3,0))))</f>
        <v>1</v>
      </c>
      <c r="Q134" s="110" t="str">
        <f>IF(AND(Drops!$D$45&gt;1,OR(U134&lt;&gt;U133,AND(ROW()=5,U133=U134))),VLOOKUP(U134,Drops!$D$26:$E$44,2,FALSE),"")</f>
        <v/>
      </c>
      <c r="R134" s="2" t="str">
        <f t="shared" ref="R134:R197" si="33">IF(Q134&lt;&gt;"",ROW(),"")</f>
        <v/>
      </c>
      <c r="S134" s="2">
        <f t="shared" ref="S134:S197" ca="1" si="34">OFFSET(AC134,,L134-1)</f>
        <v>1</v>
      </c>
      <c r="T134" s="2">
        <f t="shared" ref="T134:T197" si="35">IF(OR(V134&lt;&gt;V133,U134&lt;&gt;U133,AND(V134&lt;&gt;V133,W134&lt;&gt;W133),AND(V134&lt;&gt;V133,W134&lt;&gt;W133,X134&lt;&gt;X133),AND(V134&lt;&gt;V133,W134&lt;&gt;W133,X134&lt;&gt;X133,Y134&lt;&gt;Y133),AND(V134&lt;&gt;V133,W134&lt;&gt;W133,X134&lt;&gt;X133,Y134&lt;&gt;Y133,Z134&lt;&gt;Z133),L134-L133&gt;1),1,0)</f>
        <v>0</v>
      </c>
      <c r="U134" s="110" t="s">
        <v>747</v>
      </c>
      <c r="V134" s="110">
        <v>7</v>
      </c>
      <c r="W134" s="110">
        <v>8</v>
      </c>
      <c r="X134" s="110">
        <v>6</v>
      </c>
      <c r="Y134" s="110">
        <v>1</v>
      </c>
      <c r="Z134" s="110">
        <v>0</v>
      </c>
      <c r="AA134" s="2">
        <f t="shared" ref="AA134:AA197" si="36">IF(ROW()=5,1,IF(OR(AH134=1,P134&gt;0,T134=1),1,IF(OR(AND(AH134=2,AI134=1),AND(AI134=2,AJ134=1),AND(AJ134=2,AK134=1),AND(AK134=2,AL134=1)),1,0)))</f>
        <v>1</v>
      </c>
      <c r="AB134" s="2">
        <f t="shared" ref="AB134:AB197" si="37">IF(L135&gt;L134,1,0)</f>
        <v>0</v>
      </c>
      <c r="AC134" s="2">
        <f t="shared" ref="AC134:AC197" si="38">IF(ROW()=5,P134,IF(AND($P134&gt;1,AC$4=$L134),$P134,IF(AND($U134=$U133,V134=V133),AC133,IF(AND($L134=AC$4,P134=1),P134,0))))</f>
        <v>1</v>
      </c>
      <c r="AD134" s="2">
        <f t="shared" ref="AD134:AD197" si="39">IF(AC134&gt;1,AC134,IF(AND($P134&gt;1,AD$4=$L134),$P134,IF(AND($U134=$U133,W134=W133),AD133,IF(AND($L134=AD$4,P134=1),P134,0))))</f>
        <v>1</v>
      </c>
      <c r="AE134" s="2">
        <f t="shared" ref="AE134:AE197" si="40">IF(AD134&gt;1,AD134,IF(AND($P134&gt;1,AE$4=$L134),$P134,IF(AND($U134=$U133,X134=X133),AE133,IF(AND($L134=AE$4,P134=1),P134,0))))</f>
        <v>1</v>
      </c>
      <c r="AF134" s="2">
        <f t="shared" ref="AF134:AF197" si="41">IF(AE134&gt;1,AE134,IF(AND($P134&gt;1,AF$4=$L134),$P134,IF(AND($U134=$U133,Y134=Y133),AF133,IF(AND($L134=AF$4,P134=1),P134,0))))</f>
        <v>1</v>
      </c>
      <c r="AG134" s="2">
        <f t="shared" ref="AG134:AG197" si="42">IF(AF134&gt;1,AF134,IF(AND($P134&gt;1,AG$4=$L134),$P134,IF(AND($U134=$U133,Z134=Z133),AG133,IF(AND($L134=AG$4,P134=1),P134,0))))</f>
        <v>3</v>
      </c>
      <c r="AH134" s="2">
        <f t="shared" ref="AH134:AH197" si="43">IF(AND($P134=1,$L134=AH$4),2,IF(AND($L134&lt;&gt;AH$4,AH133=2),AH133,IF($L134&lt;&gt;AH$4,0,1)))</f>
        <v>2</v>
      </c>
      <c r="AI134" s="2">
        <f t="shared" ref="AI134:AI197" si="44">IF(OR(ROW()=5,$U133&lt;&gt;$U134),0,IF(AND($P134=1,$L134=AI$4),2,IF(AND($L134&lt;&gt;AI$4,AI133=2),AI133,IF($L134&lt;&gt;AI$4,0,1))))</f>
        <v>2</v>
      </c>
      <c r="AJ134" s="2">
        <f t="shared" ref="AJ134:AJ197" si="45">IF(OR(ROW()=5,$U133&lt;&gt;$U134),0,IF(AND($P134=1,$L134=AJ$4),2,IF(AND($L134&lt;&gt;AJ$4,AJ133=2),AJ133,IF($L134&lt;&gt;AJ$4,0,1))))</f>
        <v>2</v>
      </c>
      <c r="AK134" s="2">
        <f t="shared" ref="AK134:AK197" si="46">IF(OR(ROW()=5,$U133&lt;&gt;$U134),0,IF(AND($P134=1,$L134=AK$4),2,IF(AND($L134&lt;&gt;AK$4,AK133=2),AK133,IF($L134&lt;&gt;AK$4,0,1))))</f>
        <v>2</v>
      </c>
      <c r="AL134" s="2">
        <f t="shared" ref="AL134:AL197" si="47">IF(OR(ROW()=5,$U133&lt;&gt;$U134),0,IF(AND($P134=1,$L134=AL$4),2,IF(AND($L134&lt;&gt;AL$4,AL133=2),AL133,IF($L134&lt;&gt;AL$4,0,1))))</f>
        <v>0</v>
      </c>
      <c r="AM134" s="115"/>
      <c r="AN134" s="115"/>
      <c r="AO134" s="63"/>
    </row>
    <row r="135" spans="1:41" ht="28.8" x14ac:dyDescent="0.55000000000000004">
      <c r="A135" s="36">
        <v>5823</v>
      </c>
      <c r="B135" s="113" t="s">
        <v>887</v>
      </c>
      <c r="C135" s="139" t="s">
        <v>888</v>
      </c>
      <c r="D135" s="114" t="s">
        <v>52</v>
      </c>
      <c r="E135" s="115"/>
      <c r="F135" s="116"/>
      <c r="G135" s="113" t="s">
        <v>849</v>
      </c>
      <c r="H135" s="113" t="s">
        <v>876</v>
      </c>
      <c r="I135" s="113" t="s">
        <v>877</v>
      </c>
      <c r="J135" s="117"/>
      <c r="K135" s="118"/>
      <c r="L135" s="109">
        <v>3</v>
      </c>
      <c r="M135" s="109">
        <v>3</v>
      </c>
      <c r="N135" s="109"/>
      <c r="O135" s="119"/>
      <c r="P135" s="2">
        <f t="shared" si="32"/>
        <v>1</v>
      </c>
      <c r="Q135" s="110" t="str">
        <f>IF(AND(Drops!$D$45&gt;1,OR(U135&lt;&gt;U134,AND(ROW()=5,U134=U135))),VLOOKUP(U135,Drops!$D$26:$E$44,2,FALSE),"")</f>
        <v/>
      </c>
      <c r="R135" s="2" t="str">
        <f t="shared" si="33"/>
        <v/>
      </c>
      <c r="S135" s="2">
        <f t="shared" ca="1" si="34"/>
        <v>1</v>
      </c>
      <c r="T135" s="2">
        <f t="shared" si="35"/>
        <v>0</v>
      </c>
      <c r="U135" s="110" t="s">
        <v>747</v>
      </c>
      <c r="V135" s="110">
        <v>7</v>
      </c>
      <c r="W135" s="110">
        <v>8</v>
      </c>
      <c r="X135" s="110">
        <v>7</v>
      </c>
      <c r="Y135" s="110">
        <v>0</v>
      </c>
      <c r="Z135" s="110">
        <v>0</v>
      </c>
      <c r="AA135" s="2">
        <f t="shared" si="36"/>
        <v>1</v>
      </c>
      <c r="AB135" s="2">
        <f t="shared" si="37"/>
        <v>0</v>
      </c>
      <c r="AC135" s="2">
        <f t="shared" si="38"/>
        <v>1</v>
      </c>
      <c r="AD135" s="2">
        <f t="shared" si="39"/>
        <v>1</v>
      </c>
      <c r="AE135" s="2">
        <f t="shared" si="40"/>
        <v>1</v>
      </c>
      <c r="AF135" s="2">
        <f t="shared" si="41"/>
        <v>0</v>
      </c>
      <c r="AG135" s="2">
        <f t="shared" si="42"/>
        <v>3</v>
      </c>
      <c r="AH135" s="2">
        <f t="shared" si="43"/>
        <v>2</v>
      </c>
      <c r="AI135" s="2">
        <f t="shared" si="44"/>
        <v>2</v>
      </c>
      <c r="AJ135" s="2">
        <f t="shared" si="45"/>
        <v>2</v>
      </c>
      <c r="AK135" s="2">
        <f t="shared" si="46"/>
        <v>2</v>
      </c>
      <c r="AL135" s="2">
        <f t="shared" si="47"/>
        <v>0</v>
      </c>
      <c r="AM135" s="115"/>
      <c r="AN135" s="115"/>
      <c r="AO135" s="63"/>
    </row>
    <row r="136" spans="1:41" ht="28.8" x14ac:dyDescent="0.55000000000000004">
      <c r="A136" s="36">
        <v>5824</v>
      </c>
      <c r="B136" s="113" t="s">
        <v>889</v>
      </c>
      <c r="C136" s="139" t="s">
        <v>890</v>
      </c>
      <c r="D136" s="114" t="s">
        <v>52</v>
      </c>
      <c r="E136" s="115"/>
      <c r="F136" s="116"/>
      <c r="G136" s="113" t="s">
        <v>849</v>
      </c>
      <c r="H136" s="113" t="s">
        <v>876</v>
      </c>
      <c r="I136" s="113" t="s">
        <v>877</v>
      </c>
      <c r="J136" s="117"/>
      <c r="K136" s="118"/>
      <c r="L136" s="109">
        <v>3</v>
      </c>
      <c r="M136" s="109">
        <v>3</v>
      </c>
      <c r="N136" s="109"/>
      <c r="O136" s="119"/>
      <c r="P136" s="2">
        <f t="shared" si="32"/>
        <v>1</v>
      </c>
      <c r="Q136" s="110" t="str">
        <f>IF(AND(Drops!$D$45&gt;1,OR(U136&lt;&gt;U135,AND(ROW()=5,U135=U136))),VLOOKUP(U136,Drops!$D$26:$E$44,2,FALSE),"")</f>
        <v/>
      </c>
      <c r="R136" s="2" t="str">
        <f t="shared" si="33"/>
        <v/>
      </c>
      <c r="S136" s="2">
        <f t="shared" ca="1" si="34"/>
        <v>1</v>
      </c>
      <c r="T136" s="2">
        <f t="shared" si="35"/>
        <v>0</v>
      </c>
      <c r="U136" s="110" t="s">
        <v>747</v>
      </c>
      <c r="V136" s="110">
        <v>7</v>
      </c>
      <c r="W136" s="110">
        <v>8</v>
      </c>
      <c r="X136" s="110">
        <v>8</v>
      </c>
      <c r="Y136" s="110">
        <v>0</v>
      </c>
      <c r="Z136" s="110">
        <v>0</v>
      </c>
      <c r="AA136" s="2">
        <f t="shared" si="36"/>
        <v>1</v>
      </c>
      <c r="AB136" s="2">
        <f t="shared" si="37"/>
        <v>0</v>
      </c>
      <c r="AC136" s="2">
        <f t="shared" si="38"/>
        <v>1</v>
      </c>
      <c r="AD136" s="2">
        <f t="shared" si="39"/>
        <v>1</v>
      </c>
      <c r="AE136" s="2">
        <f t="shared" si="40"/>
        <v>1</v>
      </c>
      <c r="AF136" s="2">
        <f t="shared" si="41"/>
        <v>0</v>
      </c>
      <c r="AG136" s="2">
        <f t="shared" si="42"/>
        <v>3</v>
      </c>
      <c r="AH136" s="2">
        <f t="shared" si="43"/>
        <v>2</v>
      </c>
      <c r="AI136" s="2">
        <f t="shared" si="44"/>
        <v>2</v>
      </c>
      <c r="AJ136" s="2">
        <f t="shared" si="45"/>
        <v>2</v>
      </c>
      <c r="AK136" s="2">
        <f t="shared" si="46"/>
        <v>2</v>
      </c>
      <c r="AL136" s="2">
        <f t="shared" si="47"/>
        <v>0</v>
      </c>
      <c r="AM136" s="115"/>
      <c r="AN136" s="115"/>
      <c r="AO136" s="63"/>
    </row>
    <row r="137" spans="1:41" ht="28.8" x14ac:dyDescent="0.55000000000000004">
      <c r="A137" s="36">
        <v>4663</v>
      </c>
      <c r="B137" s="113" t="s">
        <v>891</v>
      </c>
      <c r="C137" s="139" t="s">
        <v>892</v>
      </c>
      <c r="D137" s="114" t="s">
        <v>52</v>
      </c>
      <c r="E137" s="115"/>
      <c r="F137" s="116"/>
      <c r="G137" s="113" t="s">
        <v>849</v>
      </c>
      <c r="H137" s="113" t="s">
        <v>893</v>
      </c>
      <c r="I137" s="113" t="s">
        <v>865</v>
      </c>
      <c r="J137" s="117"/>
      <c r="K137" s="118"/>
      <c r="L137" s="109">
        <v>3</v>
      </c>
      <c r="M137" s="109">
        <v>3</v>
      </c>
      <c r="N137" s="109"/>
      <c r="O137" s="119"/>
      <c r="P137" s="2">
        <f t="shared" si="32"/>
        <v>1</v>
      </c>
      <c r="Q137" s="110" t="str">
        <f>IF(AND(Drops!$D$45&gt;1,OR(U137&lt;&gt;U136,AND(ROW()=5,U136=U137))),VLOOKUP(U137,Drops!$D$26:$E$44,2,FALSE),"")</f>
        <v/>
      </c>
      <c r="R137" s="2" t="str">
        <f t="shared" si="33"/>
        <v/>
      </c>
      <c r="S137" s="2">
        <f t="shared" ca="1" si="34"/>
        <v>1</v>
      </c>
      <c r="T137" s="2">
        <f t="shared" si="35"/>
        <v>0</v>
      </c>
      <c r="U137" s="110" t="s">
        <v>747</v>
      </c>
      <c r="V137" s="110">
        <v>7</v>
      </c>
      <c r="W137" s="110">
        <v>8</v>
      </c>
      <c r="X137" s="110">
        <v>9</v>
      </c>
      <c r="Y137" s="110">
        <v>0</v>
      </c>
      <c r="Z137" s="110">
        <v>0</v>
      </c>
      <c r="AA137" s="2">
        <f t="shared" si="36"/>
        <v>1</v>
      </c>
      <c r="AB137" s="2">
        <f t="shared" si="37"/>
        <v>0</v>
      </c>
      <c r="AC137" s="2">
        <f t="shared" si="38"/>
        <v>1</v>
      </c>
      <c r="AD137" s="2">
        <f t="shared" si="39"/>
        <v>1</v>
      </c>
      <c r="AE137" s="2">
        <f t="shared" si="40"/>
        <v>1</v>
      </c>
      <c r="AF137" s="2">
        <f t="shared" si="41"/>
        <v>0</v>
      </c>
      <c r="AG137" s="2">
        <f t="shared" si="42"/>
        <v>3</v>
      </c>
      <c r="AH137" s="2">
        <f t="shared" si="43"/>
        <v>2</v>
      </c>
      <c r="AI137" s="2">
        <f t="shared" si="44"/>
        <v>2</v>
      </c>
      <c r="AJ137" s="2">
        <f t="shared" si="45"/>
        <v>2</v>
      </c>
      <c r="AK137" s="2">
        <f t="shared" si="46"/>
        <v>2</v>
      </c>
      <c r="AL137" s="2">
        <f t="shared" si="47"/>
        <v>0</v>
      </c>
      <c r="AM137" s="115"/>
      <c r="AN137" s="115"/>
      <c r="AO137" s="63"/>
    </row>
    <row r="138" spans="1:41" ht="28.8" x14ac:dyDescent="0.55000000000000004">
      <c r="A138" s="36">
        <v>4670</v>
      </c>
      <c r="B138" s="113" t="s">
        <v>894</v>
      </c>
      <c r="C138" s="139" t="s">
        <v>895</v>
      </c>
      <c r="D138" s="114" t="s">
        <v>52</v>
      </c>
      <c r="E138" s="115"/>
      <c r="F138" s="116"/>
      <c r="G138" s="113" t="s">
        <v>849</v>
      </c>
      <c r="H138" s="113" t="s">
        <v>893</v>
      </c>
      <c r="I138" s="113" t="s">
        <v>865</v>
      </c>
      <c r="J138" s="117"/>
      <c r="K138" s="118"/>
      <c r="L138" s="109">
        <v>3</v>
      </c>
      <c r="M138" s="109">
        <v>3</v>
      </c>
      <c r="N138" s="109"/>
      <c r="O138" s="119"/>
      <c r="P138" s="2">
        <f t="shared" si="32"/>
        <v>1</v>
      </c>
      <c r="Q138" s="110" t="str">
        <f>IF(AND(Drops!$D$45&gt;1,OR(U138&lt;&gt;U137,AND(ROW()=5,U137=U138))),VLOOKUP(U138,Drops!$D$26:$E$44,2,FALSE),"")</f>
        <v/>
      </c>
      <c r="R138" s="2" t="str">
        <f t="shared" si="33"/>
        <v/>
      </c>
      <c r="S138" s="2">
        <f t="shared" ca="1" si="34"/>
        <v>1</v>
      </c>
      <c r="T138" s="2">
        <f t="shared" si="35"/>
        <v>0</v>
      </c>
      <c r="U138" s="110" t="s">
        <v>747</v>
      </c>
      <c r="V138" s="110">
        <v>7</v>
      </c>
      <c r="W138" s="110">
        <v>8</v>
      </c>
      <c r="X138" s="110">
        <v>10</v>
      </c>
      <c r="Y138" s="110">
        <v>0</v>
      </c>
      <c r="Z138" s="110">
        <v>0</v>
      </c>
      <c r="AA138" s="2">
        <f t="shared" si="36"/>
        <v>1</v>
      </c>
      <c r="AB138" s="2">
        <f t="shared" si="37"/>
        <v>1</v>
      </c>
      <c r="AC138" s="2">
        <f t="shared" si="38"/>
        <v>1</v>
      </c>
      <c r="AD138" s="2">
        <f t="shared" si="39"/>
        <v>1</v>
      </c>
      <c r="AE138" s="2">
        <f t="shared" si="40"/>
        <v>1</v>
      </c>
      <c r="AF138" s="2">
        <f t="shared" si="41"/>
        <v>0</v>
      </c>
      <c r="AG138" s="2">
        <f t="shared" si="42"/>
        <v>3</v>
      </c>
      <c r="AH138" s="2">
        <f t="shared" si="43"/>
        <v>2</v>
      </c>
      <c r="AI138" s="2">
        <f t="shared" si="44"/>
        <v>2</v>
      </c>
      <c r="AJ138" s="2">
        <f t="shared" si="45"/>
        <v>2</v>
      </c>
      <c r="AK138" s="2">
        <f t="shared" si="46"/>
        <v>2</v>
      </c>
      <c r="AL138" s="2">
        <f t="shared" si="47"/>
        <v>0</v>
      </c>
      <c r="AM138" s="115"/>
      <c r="AN138" s="115"/>
      <c r="AO138" s="63"/>
    </row>
    <row r="139" spans="1:41" ht="43.2" x14ac:dyDescent="0.55000000000000004">
      <c r="A139" s="36">
        <v>4671</v>
      </c>
      <c r="B139" s="113" t="s">
        <v>896</v>
      </c>
      <c r="C139" s="140" t="s">
        <v>897</v>
      </c>
      <c r="D139" s="114" t="s">
        <v>52</v>
      </c>
      <c r="E139" s="115"/>
      <c r="F139" s="116"/>
      <c r="G139" s="113" t="s">
        <v>849</v>
      </c>
      <c r="H139" s="113" t="s">
        <v>893</v>
      </c>
      <c r="I139" s="113" t="s">
        <v>865</v>
      </c>
      <c r="J139" s="117"/>
      <c r="K139" s="118"/>
      <c r="L139" s="109">
        <v>4</v>
      </c>
      <c r="M139" s="109">
        <v>3</v>
      </c>
      <c r="N139" s="109"/>
      <c r="O139" s="119"/>
      <c r="P139" s="2">
        <f t="shared" si="32"/>
        <v>1</v>
      </c>
      <c r="Q139" s="110" t="str">
        <f>IF(AND(Drops!$D$45&gt;1,OR(U139&lt;&gt;U138,AND(ROW()=5,U138=U139))),VLOOKUP(U139,Drops!$D$26:$E$44,2,FALSE),"")</f>
        <v/>
      </c>
      <c r="R139" s="2" t="str">
        <f t="shared" si="33"/>
        <v/>
      </c>
      <c r="S139" s="2">
        <f t="shared" ca="1" si="34"/>
        <v>1</v>
      </c>
      <c r="T139" s="2">
        <f t="shared" si="35"/>
        <v>0</v>
      </c>
      <c r="U139" s="110" t="s">
        <v>747</v>
      </c>
      <c r="V139" s="110">
        <v>7</v>
      </c>
      <c r="W139" s="110">
        <v>8</v>
      </c>
      <c r="X139" s="110">
        <v>10</v>
      </c>
      <c r="Y139" s="110">
        <v>1</v>
      </c>
      <c r="Z139" s="110">
        <v>0</v>
      </c>
      <c r="AA139" s="2">
        <f t="shared" si="36"/>
        <v>1</v>
      </c>
      <c r="AB139" s="2">
        <f t="shared" si="37"/>
        <v>0</v>
      </c>
      <c r="AC139" s="2">
        <f t="shared" si="38"/>
        <v>1</v>
      </c>
      <c r="AD139" s="2">
        <f t="shared" si="39"/>
        <v>1</v>
      </c>
      <c r="AE139" s="2">
        <f t="shared" si="40"/>
        <v>1</v>
      </c>
      <c r="AF139" s="2">
        <f t="shared" si="41"/>
        <v>1</v>
      </c>
      <c r="AG139" s="2">
        <f t="shared" si="42"/>
        <v>3</v>
      </c>
      <c r="AH139" s="2">
        <f t="shared" si="43"/>
        <v>2</v>
      </c>
      <c r="AI139" s="2">
        <f t="shared" si="44"/>
        <v>2</v>
      </c>
      <c r="AJ139" s="2">
        <f t="shared" si="45"/>
        <v>2</v>
      </c>
      <c r="AK139" s="2">
        <f t="shared" si="46"/>
        <v>2</v>
      </c>
      <c r="AL139" s="2">
        <f t="shared" si="47"/>
        <v>0</v>
      </c>
      <c r="AM139" s="115"/>
      <c r="AN139" s="115"/>
      <c r="AO139" s="63"/>
    </row>
    <row r="140" spans="1:41" ht="28.8" x14ac:dyDescent="0.55000000000000004">
      <c r="A140" s="36">
        <v>4677</v>
      </c>
      <c r="B140" s="113" t="s">
        <v>898</v>
      </c>
      <c r="C140" s="139" t="s">
        <v>899</v>
      </c>
      <c r="D140" s="114" t="s">
        <v>52</v>
      </c>
      <c r="E140" s="115"/>
      <c r="F140" s="116"/>
      <c r="G140" s="113" t="s">
        <v>849</v>
      </c>
      <c r="H140" s="113" t="s">
        <v>893</v>
      </c>
      <c r="I140" s="113" t="s">
        <v>865</v>
      </c>
      <c r="J140" s="117"/>
      <c r="K140" s="118"/>
      <c r="L140" s="109">
        <v>3</v>
      </c>
      <c r="M140" s="109">
        <v>3</v>
      </c>
      <c r="N140" s="109"/>
      <c r="O140" s="119"/>
      <c r="P140" s="2">
        <f t="shared" si="32"/>
        <v>1</v>
      </c>
      <c r="Q140" s="110" t="str">
        <f>IF(AND(Drops!$D$45&gt;1,OR(U140&lt;&gt;U139,AND(ROW()=5,U139=U140))),VLOOKUP(U140,Drops!$D$26:$E$44,2,FALSE),"")</f>
        <v/>
      </c>
      <c r="R140" s="2" t="str">
        <f t="shared" si="33"/>
        <v/>
      </c>
      <c r="S140" s="2">
        <f t="shared" ca="1" si="34"/>
        <v>1</v>
      </c>
      <c r="T140" s="2">
        <f t="shared" si="35"/>
        <v>0</v>
      </c>
      <c r="U140" s="110" t="s">
        <v>747</v>
      </c>
      <c r="V140" s="110">
        <v>7</v>
      </c>
      <c r="W140" s="110">
        <v>8</v>
      </c>
      <c r="X140" s="110">
        <v>15</v>
      </c>
      <c r="Y140" s="110">
        <v>0</v>
      </c>
      <c r="Z140" s="110">
        <v>0</v>
      </c>
      <c r="AA140" s="2">
        <f t="shared" si="36"/>
        <v>1</v>
      </c>
      <c r="AB140" s="2">
        <f t="shared" si="37"/>
        <v>0</v>
      </c>
      <c r="AC140" s="2">
        <f t="shared" si="38"/>
        <v>1</v>
      </c>
      <c r="AD140" s="2">
        <f t="shared" si="39"/>
        <v>1</v>
      </c>
      <c r="AE140" s="2">
        <f t="shared" si="40"/>
        <v>1</v>
      </c>
      <c r="AF140" s="2">
        <f t="shared" si="41"/>
        <v>0</v>
      </c>
      <c r="AG140" s="2">
        <f t="shared" si="42"/>
        <v>3</v>
      </c>
      <c r="AH140" s="2">
        <f t="shared" si="43"/>
        <v>2</v>
      </c>
      <c r="AI140" s="2">
        <f t="shared" si="44"/>
        <v>2</v>
      </c>
      <c r="AJ140" s="2">
        <f t="shared" si="45"/>
        <v>2</v>
      </c>
      <c r="AK140" s="2">
        <f t="shared" si="46"/>
        <v>2</v>
      </c>
      <c r="AL140" s="2">
        <f t="shared" si="47"/>
        <v>0</v>
      </c>
      <c r="AM140" s="115"/>
      <c r="AN140" s="115"/>
      <c r="AO140" s="63"/>
    </row>
    <row r="141" spans="1:41" ht="28.8" x14ac:dyDescent="0.55000000000000004">
      <c r="A141" s="36">
        <v>4687</v>
      </c>
      <c r="B141" s="113" t="s">
        <v>900</v>
      </c>
      <c r="C141" s="138" t="s">
        <v>901</v>
      </c>
      <c r="D141" s="114" t="s">
        <v>55</v>
      </c>
      <c r="E141" s="115"/>
      <c r="F141" s="116"/>
      <c r="G141" s="113" t="s">
        <v>849</v>
      </c>
      <c r="H141" s="113" t="s">
        <v>902</v>
      </c>
      <c r="I141" s="113"/>
      <c r="J141" s="117"/>
      <c r="K141" s="118"/>
      <c r="L141" s="109">
        <v>2</v>
      </c>
      <c r="M141" s="109">
        <v>2</v>
      </c>
      <c r="N141" s="109"/>
      <c r="O141" s="119"/>
      <c r="P141" s="2">
        <f t="shared" si="32"/>
        <v>2</v>
      </c>
      <c r="Q141" s="110" t="str">
        <f>IF(AND(Drops!$D$45&gt;1,OR(U141&lt;&gt;U140,AND(ROW()=5,U140=U141))),VLOOKUP(U141,Drops!$D$26:$E$44,2,FALSE),"")</f>
        <v/>
      </c>
      <c r="R141" s="2" t="str">
        <f t="shared" si="33"/>
        <v/>
      </c>
      <c r="S141" s="2">
        <f t="shared" ca="1" si="34"/>
        <v>2</v>
      </c>
      <c r="T141" s="2">
        <f t="shared" si="35"/>
        <v>0</v>
      </c>
      <c r="U141" s="110" t="s">
        <v>747</v>
      </c>
      <c r="V141" s="110">
        <v>7</v>
      </c>
      <c r="W141" s="110">
        <v>9</v>
      </c>
      <c r="X141" s="110">
        <v>0</v>
      </c>
      <c r="Y141" s="110">
        <v>0</v>
      </c>
      <c r="Z141" s="110">
        <v>0</v>
      </c>
      <c r="AA141" s="2">
        <f t="shared" si="36"/>
        <v>1</v>
      </c>
      <c r="AB141" s="2">
        <f t="shared" si="37"/>
        <v>1</v>
      </c>
      <c r="AC141" s="2">
        <f t="shared" si="38"/>
        <v>1</v>
      </c>
      <c r="AD141" s="2">
        <f t="shared" si="39"/>
        <v>2</v>
      </c>
      <c r="AE141" s="2">
        <f t="shared" si="40"/>
        <v>2</v>
      </c>
      <c r="AF141" s="2">
        <f t="shared" si="41"/>
        <v>2</v>
      </c>
      <c r="AG141" s="2">
        <f t="shared" si="42"/>
        <v>2</v>
      </c>
      <c r="AH141" s="2">
        <f t="shared" si="43"/>
        <v>2</v>
      </c>
      <c r="AI141" s="2">
        <f t="shared" si="44"/>
        <v>1</v>
      </c>
      <c r="AJ141" s="2">
        <f t="shared" si="45"/>
        <v>2</v>
      </c>
      <c r="AK141" s="2">
        <f t="shared" si="46"/>
        <v>2</v>
      </c>
      <c r="AL141" s="2">
        <f t="shared" si="47"/>
        <v>0</v>
      </c>
      <c r="AM141" s="115"/>
      <c r="AN141" s="115"/>
      <c r="AO141" s="63"/>
    </row>
    <row r="142" spans="1:41" ht="43.2" hidden="1" x14ac:dyDescent="0.55000000000000004">
      <c r="A142" s="36">
        <v>4688</v>
      </c>
      <c r="B142" s="113" t="s">
        <v>903</v>
      </c>
      <c r="C142" s="139" t="s">
        <v>904</v>
      </c>
      <c r="D142" s="114"/>
      <c r="E142" s="115"/>
      <c r="F142" s="116"/>
      <c r="G142" s="113" t="s">
        <v>849</v>
      </c>
      <c r="H142" s="113" t="s">
        <v>902</v>
      </c>
      <c r="I142" s="113"/>
      <c r="J142" s="117"/>
      <c r="K142" s="118"/>
      <c r="L142" s="109">
        <v>3</v>
      </c>
      <c r="M142" s="109">
        <v>3</v>
      </c>
      <c r="N142" s="109"/>
      <c r="O142" s="119"/>
      <c r="P142" s="2">
        <f t="shared" si="32"/>
        <v>0</v>
      </c>
      <c r="Q142" s="110" t="str">
        <f>IF(AND(Drops!$D$45&gt;1,OR(U142&lt;&gt;U141,AND(ROW()=5,U141=U142))),VLOOKUP(U142,Drops!$D$26:$E$44,2,FALSE),"")</f>
        <v/>
      </c>
      <c r="R142" s="2" t="str">
        <f t="shared" si="33"/>
        <v/>
      </c>
      <c r="S142" s="2">
        <f t="shared" ca="1" si="34"/>
        <v>2</v>
      </c>
      <c r="T142" s="2">
        <f t="shared" si="35"/>
        <v>0</v>
      </c>
      <c r="U142" s="110" t="s">
        <v>747</v>
      </c>
      <c r="V142" s="110">
        <v>7</v>
      </c>
      <c r="W142" s="110">
        <v>9</v>
      </c>
      <c r="X142" s="110">
        <v>1</v>
      </c>
      <c r="Y142" s="110">
        <v>0</v>
      </c>
      <c r="Z142" s="110">
        <v>0</v>
      </c>
      <c r="AA142" s="2">
        <f t="shared" si="36"/>
        <v>0</v>
      </c>
      <c r="AB142" s="2">
        <f t="shared" si="37"/>
        <v>0</v>
      </c>
      <c r="AC142" s="2">
        <f t="shared" si="38"/>
        <v>1</v>
      </c>
      <c r="AD142" s="2">
        <f t="shared" si="39"/>
        <v>2</v>
      </c>
      <c r="AE142" s="2">
        <f t="shared" si="40"/>
        <v>2</v>
      </c>
      <c r="AF142" s="2">
        <f t="shared" si="41"/>
        <v>2</v>
      </c>
      <c r="AG142" s="2">
        <f t="shared" si="42"/>
        <v>2</v>
      </c>
      <c r="AH142" s="2">
        <f t="shared" si="43"/>
        <v>2</v>
      </c>
      <c r="AI142" s="2">
        <f t="shared" si="44"/>
        <v>0</v>
      </c>
      <c r="AJ142" s="2">
        <f t="shared" si="45"/>
        <v>1</v>
      </c>
      <c r="AK142" s="2">
        <f t="shared" si="46"/>
        <v>2</v>
      </c>
      <c r="AL142" s="2">
        <f t="shared" si="47"/>
        <v>0</v>
      </c>
      <c r="AM142" s="115"/>
      <c r="AN142" s="115"/>
      <c r="AO142" s="63"/>
    </row>
    <row r="143" spans="1:41" ht="43.2" hidden="1" x14ac:dyDescent="0.55000000000000004">
      <c r="A143" s="36">
        <v>4689</v>
      </c>
      <c r="B143" s="113" t="s">
        <v>905</v>
      </c>
      <c r="C143" s="139" t="s">
        <v>906</v>
      </c>
      <c r="D143" s="114"/>
      <c r="E143" s="115"/>
      <c r="F143" s="116"/>
      <c r="G143" s="113" t="s">
        <v>849</v>
      </c>
      <c r="H143" s="113" t="s">
        <v>902</v>
      </c>
      <c r="I143" s="113"/>
      <c r="J143" s="117"/>
      <c r="K143" s="118"/>
      <c r="L143" s="109">
        <v>3</v>
      </c>
      <c r="M143" s="109">
        <v>3</v>
      </c>
      <c r="N143" s="109"/>
      <c r="O143" s="119"/>
      <c r="P143" s="2">
        <f t="shared" si="32"/>
        <v>0</v>
      </c>
      <c r="Q143" s="110" t="str">
        <f>IF(AND(Drops!$D$45&gt;1,OR(U143&lt;&gt;U142,AND(ROW()=5,U142=U143))),VLOOKUP(U143,Drops!$D$26:$E$44,2,FALSE),"")</f>
        <v/>
      </c>
      <c r="R143" s="2" t="str">
        <f t="shared" si="33"/>
        <v/>
      </c>
      <c r="S143" s="2">
        <f t="shared" ca="1" si="34"/>
        <v>2</v>
      </c>
      <c r="T143" s="2">
        <f t="shared" si="35"/>
        <v>0</v>
      </c>
      <c r="U143" s="110" t="s">
        <v>747</v>
      </c>
      <c r="V143" s="110">
        <v>7</v>
      </c>
      <c r="W143" s="110">
        <v>9</v>
      </c>
      <c r="X143" s="110">
        <v>2</v>
      </c>
      <c r="Y143" s="110">
        <v>0</v>
      </c>
      <c r="Z143" s="110">
        <v>0</v>
      </c>
      <c r="AA143" s="2">
        <f t="shared" si="36"/>
        <v>0</v>
      </c>
      <c r="AB143" s="2">
        <f t="shared" si="37"/>
        <v>0</v>
      </c>
      <c r="AC143" s="2">
        <f t="shared" si="38"/>
        <v>1</v>
      </c>
      <c r="AD143" s="2">
        <f t="shared" si="39"/>
        <v>2</v>
      </c>
      <c r="AE143" s="2">
        <f t="shared" si="40"/>
        <v>2</v>
      </c>
      <c r="AF143" s="2">
        <f t="shared" si="41"/>
        <v>2</v>
      </c>
      <c r="AG143" s="2">
        <f t="shared" si="42"/>
        <v>2</v>
      </c>
      <c r="AH143" s="2">
        <f t="shared" si="43"/>
        <v>2</v>
      </c>
      <c r="AI143" s="2">
        <f t="shared" si="44"/>
        <v>0</v>
      </c>
      <c r="AJ143" s="2">
        <f t="shared" si="45"/>
        <v>1</v>
      </c>
      <c r="AK143" s="2">
        <f t="shared" si="46"/>
        <v>2</v>
      </c>
      <c r="AL143" s="2">
        <f t="shared" si="47"/>
        <v>0</v>
      </c>
      <c r="AM143" s="115"/>
      <c r="AN143" s="115"/>
      <c r="AO143" s="63"/>
    </row>
    <row r="144" spans="1:41" ht="28.8" x14ac:dyDescent="0.55000000000000004">
      <c r="A144" s="36">
        <v>4180</v>
      </c>
      <c r="B144" s="113" t="s">
        <v>907</v>
      </c>
      <c r="C144" s="113" t="s">
        <v>908</v>
      </c>
      <c r="D144" s="114" t="s">
        <v>52</v>
      </c>
      <c r="E144" s="115"/>
      <c r="F144" s="116"/>
      <c r="G144" s="113" t="s">
        <v>909</v>
      </c>
      <c r="H144" s="113" t="s">
        <v>910</v>
      </c>
      <c r="I144" s="113"/>
      <c r="J144" s="117" t="s">
        <v>911</v>
      </c>
      <c r="K144" s="118"/>
      <c r="L144" s="109">
        <v>1</v>
      </c>
      <c r="M144" s="109">
        <v>1</v>
      </c>
      <c r="N144" s="109"/>
      <c r="O144" s="119"/>
      <c r="P144" s="2">
        <f t="shared" si="32"/>
        <v>1</v>
      </c>
      <c r="Q144" s="110" t="str">
        <f>IF(AND(Drops!$D$45&gt;1,OR(U144&lt;&gt;U143,AND(ROW()=5,U143=U144))),VLOOKUP(U144,Drops!$D$26:$E$44,2,FALSE),"")</f>
        <v/>
      </c>
      <c r="R144" s="2" t="str">
        <f t="shared" si="33"/>
        <v/>
      </c>
      <c r="S144" s="2">
        <f t="shared" ca="1" si="34"/>
        <v>1</v>
      </c>
      <c r="T144" s="2">
        <f t="shared" si="35"/>
        <v>1</v>
      </c>
      <c r="U144" s="110" t="s">
        <v>747</v>
      </c>
      <c r="V144" s="110">
        <v>8</v>
      </c>
      <c r="W144" s="110">
        <v>0</v>
      </c>
      <c r="X144" s="110">
        <v>0</v>
      </c>
      <c r="Y144" s="110">
        <v>0</v>
      </c>
      <c r="Z144" s="110">
        <v>0</v>
      </c>
      <c r="AA144" s="2">
        <f t="shared" si="36"/>
        <v>1</v>
      </c>
      <c r="AB144" s="2">
        <f t="shared" si="37"/>
        <v>1</v>
      </c>
      <c r="AC144" s="2">
        <f t="shared" si="38"/>
        <v>1</v>
      </c>
      <c r="AD144" s="2">
        <f t="shared" si="39"/>
        <v>0</v>
      </c>
      <c r="AE144" s="2">
        <f t="shared" si="40"/>
        <v>0</v>
      </c>
      <c r="AF144" s="2">
        <f t="shared" si="41"/>
        <v>2</v>
      </c>
      <c r="AG144" s="2">
        <f t="shared" si="42"/>
        <v>2</v>
      </c>
      <c r="AH144" s="2">
        <f t="shared" si="43"/>
        <v>2</v>
      </c>
      <c r="AI144" s="2">
        <f t="shared" si="44"/>
        <v>0</v>
      </c>
      <c r="AJ144" s="2">
        <f t="shared" si="45"/>
        <v>0</v>
      </c>
      <c r="AK144" s="2">
        <f t="shared" si="46"/>
        <v>2</v>
      </c>
      <c r="AL144" s="2">
        <f t="shared" si="47"/>
        <v>0</v>
      </c>
      <c r="AM144" s="115"/>
      <c r="AN144" s="115"/>
      <c r="AO144" s="63"/>
    </row>
    <row r="145" spans="1:41" ht="72" x14ac:dyDescent="0.55000000000000004">
      <c r="A145" s="36">
        <v>4183</v>
      </c>
      <c r="B145" s="113" t="s">
        <v>912</v>
      </c>
      <c r="C145" s="138" t="s">
        <v>913</v>
      </c>
      <c r="D145" s="114" t="s">
        <v>52</v>
      </c>
      <c r="E145" s="115"/>
      <c r="F145" s="116"/>
      <c r="G145" s="113" t="s">
        <v>909</v>
      </c>
      <c r="H145" s="113" t="s">
        <v>914</v>
      </c>
      <c r="I145" s="113"/>
      <c r="J145" s="117" t="s">
        <v>915</v>
      </c>
      <c r="K145" s="118"/>
      <c r="L145" s="109">
        <v>2</v>
      </c>
      <c r="M145" s="109">
        <v>3</v>
      </c>
      <c r="N145" s="109"/>
      <c r="O145" s="119"/>
      <c r="P145" s="2">
        <f t="shared" si="32"/>
        <v>1</v>
      </c>
      <c r="Q145" s="110" t="str">
        <f>IF(AND(Drops!$D$45&gt;1,OR(U145&lt;&gt;U144,AND(ROW()=5,U144=U145))),VLOOKUP(U145,Drops!$D$26:$E$44,2,FALSE),"")</f>
        <v/>
      </c>
      <c r="R145" s="2" t="str">
        <f t="shared" si="33"/>
        <v/>
      </c>
      <c r="S145" s="2">
        <f t="shared" ca="1" si="34"/>
        <v>1</v>
      </c>
      <c r="T145" s="2">
        <f t="shared" si="35"/>
        <v>0</v>
      </c>
      <c r="U145" s="110" t="s">
        <v>747</v>
      </c>
      <c r="V145" s="110">
        <v>8</v>
      </c>
      <c r="W145" s="110">
        <v>1</v>
      </c>
      <c r="X145" s="110">
        <v>0</v>
      </c>
      <c r="Y145" s="110">
        <v>0</v>
      </c>
      <c r="Z145" s="110">
        <v>0</v>
      </c>
      <c r="AA145" s="2">
        <f t="shared" si="36"/>
        <v>1</v>
      </c>
      <c r="AB145" s="2">
        <f t="shared" si="37"/>
        <v>0</v>
      </c>
      <c r="AC145" s="2">
        <f t="shared" si="38"/>
        <v>1</v>
      </c>
      <c r="AD145" s="2">
        <f t="shared" si="39"/>
        <v>1</v>
      </c>
      <c r="AE145" s="2">
        <f t="shared" si="40"/>
        <v>0</v>
      </c>
      <c r="AF145" s="2">
        <f t="shared" si="41"/>
        <v>2</v>
      </c>
      <c r="AG145" s="2">
        <f t="shared" si="42"/>
        <v>2</v>
      </c>
      <c r="AH145" s="2">
        <f t="shared" si="43"/>
        <v>2</v>
      </c>
      <c r="AI145" s="2">
        <f t="shared" si="44"/>
        <v>2</v>
      </c>
      <c r="AJ145" s="2">
        <f t="shared" si="45"/>
        <v>0</v>
      </c>
      <c r="AK145" s="2">
        <f t="shared" si="46"/>
        <v>2</v>
      </c>
      <c r="AL145" s="2">
        <f t="shared" si="47"/>
        <v>0</v>
      </c>
      <c r="AM145" s="115"/>
      <c r="AN145" s="115"/>
      <c r="AO145" s="63"/>
    </row>
    <row r="146" spans="1:41" ht="14.4" x14ac:dyDescent="0.55000000000000004">
      <c r="A146" s="36">
        <v>4184</v>
      </c>
      <c r="B146" s="113" t="s">
        <v>916</v>
      </c>
      <c r="C146" s="138" t="s">
        <v>917</v>
      </c>
      <c r="D146" s="114" t="s">
        <v>52</v>
      </c>
      <c r="E146" s="115"/>
      <c r="F146" s="116"/>
      <c r="G146" s="113" t="s">
        <v>909</v>
      </c>
      <c r="H146" s="113" t="s">
        <v>918</v>
      </c>
      <c r="I146" s="113"/>
      <c r="J146" s="117"/>
      <c r="K146" s="118"/>
      <c r="L146" s="109">
        <v>2</v>
      </c>
      <c r="M146" s="109">
        <v>1</v>
      </c>
      <c r="N146" s="109"/>
      <c r="O146" s="119"/>
      <c r="P146" s="2">
        <f t="shared" si="32"/>
        <v>1</v>
      </c>
      <c r="Q146" s="110" t="str">
        <f>IF(AND(Drops!$D$45&gt;1,OR(U146&lt;&gt;U145,AND(ROW()=5,U145=U146))),VLOOKUP(U146,Drops!$D$26:$E$44,2,FALSE),"")</f>
        <v/>
      </c>
      <c r="R146" s="2" t="str">
        <f t="shared" si="33"/>
        <v/>
      </c>
      <c r="S146" s="2">
        <f t="shared" ca="1" si="34"/>
        <v>1</v>
      </c>
      <c r="T146" s="2">
        <f t="shared" si="35"/>
        <v>0</v>
      </c>
      <c r="U146" s="110" t="s">
        <v>747</v>
      </c>
      <c r="V146" s="110">
        <v>8</v>
      </c>
      <c r="W146" s="110">
        <v>2</v>
      </c>
      <c r="X146" s="110">
        <v>0</v>
      </c>
      <c r="Y146" s="110">
        <v>0</v>
      </c>
      <c r="Z146" s="110">
        <v>0</v>
      </c>
      <c r="AA146" s="2">
        <f t="shared" si="36"/>
        <v>1</v>
      </c>
      <c r="AB146" s="2">
        <f t="shared" si="37"/>
        <v>1</v>
      </c>
      <c r="AC146" s="2">
        <f t="shared" si="38"/>
        <v>1</v>
      </c>
      <c r="AD146" s="2">
        <f t="shared" si="39"/>
        <v>1</v>
      </c>
      <c r="AE146" s="2">
        <f t="shared" si="40"/>
        <v>0</v>
      </c>
      <c r="AF146" s="2">
        <f t="shared" si="41"/>
        <v>2</v>
      </c>
      <c r="AG146" s="2">
        <f t="shared" si="42"/>
        <v>2</v>
      </c>
      <c r="AH146" s="2">
        <f t="shared" si="43"/>
        <v>2</v>
      </c>
      <c r="AI146" s="2">
        <f t="shared" si="44"/>
        <v>2</v>
      </c>
      <c r="AJ146" s="2">
        <f t="shared" si="45"/>
        <v>0</v>
      </c>
      <c r="AK146" s="2">
        <f t="shared" si="46"/>
        <v>2</v>
      </c>
      <c r="AL146" s="2">
        <f t="shared" si="47"/>
        <v>0</v>
      </c>
      <c r="AM146" s="115"/>
      <c r="AN146" s="115"/>
      <c r="AO146" s="63"/>
    </row>
    <row r="147" spans="1:41" ht="57.6" x14ac:dyDescent="0.55000000000000004">
      <c r="A147" s="36">
        <v>4186</v>
      </c>
      <c r="B147" s="113" t="s">
        <v>919</v>
      </c>
      <c r="C147" s="139" t="s">
        <v>920</v>
      </c>
      <c r="D147" s="114" t="s">
        <v>52</v>
      </c>
      <c r="E147" s="115" t="s">
        <v>921</v>
      </c>
      <c r="F147" s="116"/>
      <c r="G147" s="113" t="s">
        <v>909</v>
      </c>
      <c r="H147" s="113" t="s">
        <v>918</v>
      </c>
      <c r="I147" s="113"/>
      <c r="J147" s="117" t="s">
        <v>922</v>
      </c>
      <c r="K147" s="118"/>
      <c r="L147" s="109">
        <v>3</v>
      </c>
      <c r="M147" s="109">
        <v>3</v>
      </c>
      <c r="N147" s="109"/>
      <c r="O147" s="119"/>
      <c r="P147" s="2">
        <f t="shared" si="32"/>
        <v>1</v>
      </c>
      <c r="Q147" s="110" t="str">
        <f>IF(AND(Drops!$D$45&gt;1,OR(U147&lt;&gt;U146,AND(ROW()=5,U146=U147))),VLOOKUP(U147,Drops!$D$26:$E$44,2,FALSE),"")</f>
        <v/>
      </c>
      <c r="R147" s="2" t="str">
        <f t="shared" si="33"/>
        <v/>
      </c>
      <c r="S147" s="2">
        <f t="shared" ca="1" si="34"/>
        <v>1</v>
      </c>
      <c r="T147" s="2">
        <f t="shared" si="35"/>
        <v>0</v>
      </c>
      <c r="U147" s="110" t="s">
        <v>747</v>
      </c>
      <c r="V147" s="110">
        <v>8</v>
      </c>
      <c r="W147" s="110">
        <v>2</v>
      </c>
      <c r="X147" s="110">
        <v>1</v>
      </c>
      <c r="Y147" s="110">
        <v>0</v>
      </c>
      <c r="Z147" s="110">
        <v>0</v>
      </c>
      <c r="AA147" s="2">
        <f t="shared" si="36"/>
        <v>1</v>
      </c>
      <c r="AB147" s="2">
        <f t="shared" si="37"/>
        <v>0</v>
      </c>
      <c r="AC147" s="2">
        <f t="shared" si="38"/>
        <v>1</v>
      </c>
      <c r="AD147" s="2">
        <f t="shared" si="39"/>
        <v>1</v>
      </c>
      <c r="AE147" s="2">
        <f t="shared" si="40"/>
        <v>1</v>
      </c>
      <c r="AF147" s="2">
        <f t="shared" si="41"/>
        <v>2</v>
      </c>
      <c r="AG147" s="2">
        <f t="shared" si="42"/>
        <v>2</v>
      </c>
      <c r="AH147" s="2">
        <f t="shared" si="43"/>
        <v>2</v>
      </c>
      <c r="AI147" s="2">
        <f t="shared" si="44"/>
        <v>2</v>
      </c>
      <c r="AJ147" s="2">
        <f t="shared" si="45"/>
        <v>2</v>
      </c>
      <c r="AK147" s="2">
        <f t="shared" si="46"/>
        <v>2</v>
      </c>
      <c r="AL147" s="2">
        <f t="shared" si="47"/>
        <v>0</v>
      </c>
      <c r="AM147" s="115"/>
      <c r="AN147" s="115"/>
      <c r="AO147" s="63"/>
    </row>
    <row r="148" spans="1:41" ht="28.8" x14ac:dyDescent="0.55000000000000004">
      <c r="A148" s="36">
        <v>4181</v>
      </c>
      <c r="B148" s="113" t="s">
        <v>923</v>
      </c>
      <c r="C148" s="138" t="s">
        <v>924</v>
      </c>
      <c r="D148" s="114" t="s">
        <v>925</v>
      </c>
      <c r="E148" s="115" t="s">
        <v>926</v>
      </c>
      <c r="F148" s="116"/>
      <c r="G148" s="113" t="s">
        <v>909</v>
      </c>
      <c r="H148" s="113" t="s">
        <v>927</v>
      </c>
      <c r="I148" s="113"/>
      <c r="J148" s="117"/>
      <c r="K148" s="118"/>
      <c r="L148" s="109">
        <v>2</v>
      </c>
      <c r="M148" s="109">
        <v>1</v>
      </c>
      <c r="N148" s="109"/>
      <c r="O148" s="119"/>
      <c r="P148" s="2">
        <f t="shared" si="32"/>
        <v>3</v>
      </c>
      <c r="Q148" s="110" t="str">
        <f>IF(AND(Drops!$D$45&gt;1,OR(U148&lt;&gt;U147,AND(ROW()=5,U147=U148))),VLOOKUP(U148,Drops!$D$26:$E$44,2,FALSE),"")</f>
        <v/>
      </c>
      <c r="R148" s="2" t="str">
        <f t="shared" si="33"/>
        <v/>
      </c>
      <c r="S148" s="2">
        <f t="shared" ca="1" si="34"/>
        <v>3</v>
      </c>
      <c r="T148" s="2">
        <f t="shared" si="35"/>
        <v>0</v>
      </c>
      <c r="U148" s="110" t="s">
        <v>747</v>
      </c>
      <c r="V148" s="110">
        <v>8</v>
      </c>
      <c r="W148" s="110">
        <v>3</v>
      </c>
      <c r="X148" s="110">
        <v>0</v>
      </c>
      <c r="Y148" s="110">
        <v>0</v>
      </c>
      <c r="Z148" s="110">
        <v>0</v>
      </c>
      <c r="AA148" s="2">
        <f t="shared" si="36"/>
        <v>1</v>
      </c>
      <c r="AB148" s="2">
        <f t="shared" si="37"/>
        <v>1</v>
      </c>
      <c r="AC148" s="2">
        <f t="shared" si="38"/>
        <v>1</v>
      </c>
      <c r="AD148" s="2">
        <f t="shared" si="39"/>
        <v>3</v>
      </c>
      <c r="AE148" s="2">
        <f t="shared" si="40"/>
        <v>3</v>
      </c>
      <c r="AF148" s="2">
        <f t="shared" si="41"/>
        <v>3</v>
      </c>
      <c r="AG148" s="2">
        <f t="shared" si="42"/>
        <v>3</v>
      </c>
      <c r="AH148" s="2">
        <f t="shared" si="43"/>
        <v>2</v>
      </c>
      <c r="AI148" s="2">
        <f t="shared" si="44"/>
        <v>1</v>
      </c>
      <c r="AJ148" s="2">
        <f t="shared" si="45"/>
        <v>2</v>
      </c>
      <c r="AK148" s="2">
        <f t="shared" si="46"/>
        <v>2</v>
      </c>
      <c r="AL148" s="2">
        <f t="shared" si="47"/>
        <v>0</v>
      </c>
      <c r="AM148" s="115"/>
      <c r="AN148" s="115"/>
      <c r="AO148" s="63"/>
    </row>
    <row r="149" spans="1:41" ht="28.8" x14ac:dyDescent="0.55000000000000004">
      <c r="A149" s="36">
        <v>4182</v>
      </c>
      <c r="B149" s="113" t="s">
        <v>928</v>
      </c>
      <c r="C149" s="139" t="s">
        <v>929</v>
      </c>
      <c r="D149" s="114" t="s">
        <v>48</v>
      </c>
      <c r="E149" s="115" t="s">
        <v>926</v>
      </c>
      <c r="F149" s="116"/>
      <c r="G149" s="113" t="s">
        <v>909</v>
      </c>
      <c r="H149" s="113" t="s">
        <v>927</v>
      </c>
      <c r="I149" s="113"/>
      <c r="J149" s="117" t="s">
        <v>930</v>
      </c>
      <c r="K149" s="118"/>
      <c r="L149" s="109">
        <v>3</v>
      </c>
      <c r="M149" s="109">
        <v>3</v>
      </c>
      <c r="N149" s="109"/>
      <c r="O149" s="119"/>
      <c r="P149" s="2">
        <f t="shared" si="32"/>
        <v>3</v>
      </c>
      <c r="Q149" s="110" t="str">
        <f>IF(AND(Drops!$D$45&gt;1,OR(U149&lt;&gt;U148,AND(ROW()=5,U148=U149))),VLOOKUP(U149,Drops!$D$26:$E$44,2,FALSE),"")</f>
        <v/>
      </c>
      <c r="R149" s="2" t="str">
        <f t="shared" si="33"/>
        <v/>
      </c>
      <c r="S149" s="2">
        <f t="shared" ca="1" si="34"/>
        <v>3</v>
      </c>
      <c r="T149" s="2">
        <f t="shared" si="35"/>
        <v>0</v>
      </c>
      <c r="U149" s="110" t="s">
        <v>747</v>
      </c>
      <c r="V149" s="110">
        <v>8</v>
      </c>
      <c r="W149" s="110">
        <v>3</v>
      </c>
      <c r="X149" s="110">
        <v>1</v>
      </c>
      <c r="Y149" s="110">
        <v>0</v>
      </c>
      <c r="Z149" s="110">
        <v>0</v>
      </c>
      <c r="AA149" s="2">
        <f t="shared" si="36"/>
        <v>1</v>
      </c>
      <c r="AB149" s="2">
        <f t="shared" si="37"/>
        <v>0</v>
      </c>
      <c r="AC149" s="2">
        <f t="shared" si="38"/>
        <v>1</v>
      </c>
      <c r="AD149" s="2">
        <f t="shared" si="39"/>
        <v>3</v>
      </c>
      <c r="AE149" s="2">
        <f t="shared" si="40"/>
        <v>3</v>
      </c>
      <c r="AF149" s="2">
        <f t="shared" si="41"/>
        <v>3</v>
      </c>
      <c r="AG149" s="2">
        <f t="shared" si="42"/>
        <v>3</v>
      </c>
      <c r="AH149" s="2">
        <f t="shared" si="43"/>
        <v>2</v>
      </c>
      <c r="AI149" s="2">
        <f t="shared" si="44"/>
        <v>0</v>
      </c>
      <c r="AJ149" s="2">
        <f t="shared" si="45"/>
        <v>1</v>
      </c>
      <c r="AK149" s="2">
        <f t="shared" si="46"/>
        <v>2</v>
      </c>
      <c r="AL149" s="2">
        <f t="shared" si="47"/>
        <v>0</v>
      </c>
      <c r="AM149" s="115"/>
      <c r="AN149" s="115"/>
      <c r="AO149" s="63"/>
    </row>
    <row r="150" spans="1:41" ht="72" x14ac:dyDescent="0.55000000000000004">
      <c r="A150" s="36">
        <v>1806</v>
      </c>
      <c r="B150" s="113" t="s">
        <v>931</v>
      </c>
      <c r="C150" s="138" t="s">
        <v>932</v>
      </c>
      <c r="D150" s="114" t="s">
        <v>52</v>
      </c>
      <c r="E150" s="115" t="s">
        <v>933</v>
      </c>
      <c r="F150" s="116"/>
      <c r="G150" s="113" t="s">
        <v>909</v>
      </c>
      <c r="H150" s="113" t="s">
        <v>934</v>
      </c>
      <c r="I150" s="113"/>
      <c r="J150" s="117" t="s">
        <v>935</v>
      </c>
      <c r="K150" s="118"/>
      <c r="L150" s="109">
        <v>2</v>
      </c>
      <c r="M150" s="109">
        <v>1</v>
      </c>
      <c r="N150" s="109"/>
      <c r="O150" s="119"/>
      <c r="P150" s="2">
        <f t="shared" si="32"/>
        <v>1</v>
      </c>
      <c r="Q150" s="110" t="str">
        <f>IF(AND(Drops!$D$45&gt;1,OR(U150&lt;&gt;U149,AND(ROW()=5,U149=U150))),VLOOKUP(U150,Drops!$D$26:$E$44,2,FALSE),"")</f>
        <v/>
      </c>
      <c r="R150" s="2" t="str">
        <f t="shared" si="33"/>
        <v/>
      </c>
      <c r="S150" s="2">
        <f t="shared" ca="1" si="34"/>
        <v>1</v>
      </c>
      <c r="T150" s="2">
        <f t="shared" si="35"/>
        <v>0</v>
      </c>
      <c r="U150" s="110" t="s">
        <v>747</v>
      </c>
      <c r="V150" s="110">
        <v>8</v>
      </c>
      <c r="W150" s="110">
        <v>4</v>
      </c>
      <c r="X150" s="110">
        <v>0</v>
      </c>
      <c r="Y150" s="110">
        <v>0</v>
      </c>
      <c r="Z150" s="110">
        <v>0</v>
      </c>
      <c r="AA150" s="2">
        <f t="shared" si="36"/>
        <v>1</v>
      </c>
      <c r="AB150" s="2">
        <f t="shared" si="37"/>
        <v>1</v>
      </c>
      <c r="AC150" s="2">
        <f t="shared" si="38"/>
        <v>1</v>
      </c>
      <c r="AD150" s="2">
        <f t="shared" si="39"/>
        <v>1</v>
      </c>
      <c r="AE150" s="2">
        <f t="shared" si="40"/>
        <v>0</v>
      </c>
      <c r="AF150" s="2">
        <f t="shared" si="41"/>
        <v>3</v>
      </c>
      <c r="AG150" s="2">
        <f t="shared" si="42"/>
        <v>3</v>
      </c>
      <c r="AH150" s="2">
        <f t="shared" si="43"/>
        <v>2</v>
      </c>
      <c r="AI150" s="2">
        <f t="shared" si="44"/>
        <v>2</v>
      </c>
      <c r="AJ150" s="2">
        <f t="shared" si="45"/>
        <v>0</v>
      </c>
      <c r="AK150" s="2">
        <f t="shared" si="46"/>
        <v>2</v>
      </c>
      <c r="AL150" s="2">
        <f t="shared" si="47"/>
        <v>0</v>
      </c>
      <c r="AM150" s="115"/>
      <c r="AN150" s="115"/>
      <c r="AO150" s="63"/>
    </row>
    <row r="151" spans="1:41" ht="43.2" x14ac:dyDescent="0.55000000000000004">
      <c r="A151" s="36">
        <v>4192</v>
      </c>
      <c r="B151" s="113" t="s">
        <v>936</v>
      </c>
      <c r="C151" s="139" t="s">
        <v>937</v>
      </c>
      <c r="D151" s="114" t="s">
        <v>52</v>
      </c>
      <c r="E151" s="115"/>
      <c r="F151" s="116"/>
      <c r="G151" s="113" t="s">
        <v>909</v>
      </c>
      <c r="H151" s="113" t="s">
        <v>934</v>
      </c>
      <c r="I151" s="113"/>
      <c r="J151" s="117" t="s">
        <v>938</v>
      </c>
      <c r="K151" s="118"/>
      <c r="L151" s="109">
        <v>3</v>
      </c>
      <c r="M151" s="109">
        <v>2</v>
      </c>
      <c r="N151" s="109"/>
      <c r="O151" s="119"/>
      <c r="P151" s="2">
        <f t="shared" si="32"/>
        <v>1</v>
      </c>
      <c r="Q151" s="110" t="str">
        <f>IF(AND(Drops!$D$45&gt;1,OR(U151&lt;&gt;U150,AND(ROW()=5,U150=U151))),VLOOKUP(U151,Drops!$D$26:$E$44,2,FALSE),"")</f>
        <v/>
      </c>
      <c r="R151" s="2" t="str">
        <f t="shared" si="33"/>
        <v/>
      </c>
      <c r="S151" s="2">
        <f t="shared" ca="1" si="34"/>
        <v>1</v>
      </c>
      <c r="T151" s="2">
        <f t="shared" si="35"/>
        <v>0</v>
      </c>
      <c r="U151" s="110" t="s">
        <v>747</v>
      </c>
      <c r="V151" s="110">
        <v>8</v>
      </c>
      <c r="W151" s="110">
        <v>4</v>
      </c>
      <c r="X151" s="110">
        <v>1</v>
      </c>
      <c r="Y151" s="110">
        <v>0</v>
      </c>
      <c r="Z151" s="110">
        <v>0</v>
      </c>
      <c r="AA151" s="2">
        <f t="shared" si="36"/>
        <v>1</v>
      </c>
      <c r="AB151" s="2">
        <f t="shared" si="37"/>
        <v>0</v>
      </c>
      <c r="AC151" s="2">
        <f t="shared" si="38"/>
        <v>1</v>
      </c>
      <c r="AD151" s="2">
        <f t="shared" si="39"/>
        <v>1</v>
      </c>
      <c r="AE151" s="2">
        <f t="shared" si="40"/>
        <v>1</v>
      </c>
      <c r="AF151" s="2">
        <f t="shared" si="41"/>
        <v>3</v>
      </c>
      <c r="AG151" s="2">
        <f t="shared" si="42"/>
        <v>3</v>
      </c>
      <c r="AH151" s="2">
        <f t="shared" si="43"/>
        <v>2</v>
      </c>
      <c r="AI151" s="2">
        <f t="shared" si="44"/>
        <v>2</v>
      </c>
      <c r="AJ151" s="2">
        <f t="shared" si="45"/>
        <v>2</v>
      </c>
      <c r="AK151" s="2">
        <f t="shared" si="46"/>
        <v>2</v>
      </c>
      <c r="AL151" s="2">
        <f t="shared" si="47"/>
        <v>0</v>
      </c>
      <c r="AM151" s="115"/>
      <c r="AN151" s="115"/>
      <c r="AO151" s="63"/>
    </row>
    <row r="152" spans="1:41" ht="28.8" x14ac:dyDescent="0.55000000000000004">
      <c r="A152" s="36">
        <v>1815</v>
      </c>
      <c r="B152" s="113" t="s">
        <v>939</v>
      </c>
      <c r="C152" s="139" t="s">
        <v>940</v>
      </c>
      <c r="D152" s="114" t="s">
        <v>52</v>
      </c>
      <c r="E152" s="115"/>
      <c r="F152" s="116"/>
      <c r="G152" s="113" t="s">
        <v>909</v>
      </c>
      <c r="H152" s="113" t="s">
        <v>934</v>
      </c>
      <c r="I152" s="113" t="s">
        <v>804</v>
      </c>
      <c r="J152" s="117" t="s">
        <v>941</v>
      </c>
      <c r="K152" s="118"/>
      <c r="L152" s="109">
        <v>3</v>
      </c>
      <c r="M152" s="109">
        <v>3</v>
      </c>
      <c r="N152" s="109"/>
      <c r="O152" s="119"/>
      <c r="P152" s="2">
        <f t="shared" si="32"/>
        <v>1</v>
      </c>
      <c r="Q152" s="110" t="str">
        <f>IF(AND(Drops!$D$45&gt;1,OR(U152&lt;&gt;U151,AND(ROW()=5,U151=U152))),VLOOKUP(U152,Drops!$D$26:$E$44,2,FALSE),"")</f>
        <v/>
      </c>
      <c r="R152" s="2" t="str">
        <f t="shared" si="33"/>
        <v/>
      </c>
      <c r="S152" s="2">
        <f t="shared" ca="1" si="34"/>
        <v>1</v>
      </c>
      <c r="T152" s="2">
        <f t="shared" si="35"/>
        <v>0</v>
      </c>
      <c r="U152" s="110" t="s">
        <v>747</v>
      </c>
      <c r="V152" s="110">
        <v>8</v>
      </c>
      <c r="W152" s="110">
        <v>4</v>
      </c>
      <c r="X152" s="110">
        <v>2</v>
      </c>
      <c r="Y152" s="110">
        <v>0</v>
      </c>
      <c r="Z152" s="110">
        <v>0</v>
      </c>
      <c r="AA152" s="2">
        <f t="shared" si="36"/>
        <v>1</v>
      </c>
      <c r="AB152" s="2">
        <f t="shared" si="37"/>
        <v>0</v>
      </c>
      <c r="AC152" s="2">
        <f t="shared" si="38"/>
        <v>1</v>
      </c>
      <c r="AD152" s="2">
        <f t="shared" si="39"/>
        <v>1</v>
      </c>
      <c r="AE152" s="2">
        <f t="shared" si="40"/>
        <v>1</v>
      </c>
      <c r="AF152" s="2">
        <f t="shared" si="41"/>
        <v>3</v>
      </c>
      <c r="AG152" s="2">
        <f t="shared" si="42"/>
        <v>3</v>
      </c>
      <c r="AH152" s="2">
        <f t="shared" si="43"/>
        <v>2</v>
      </c>
      <c r="AI152" s="2">
        <f t="shared" si="44"/>
        <v>2</v>
      </c>
      <c r="AJ152" s="2">
        <f t="shared" si="45"/>
        <v>2</v>
      </c>
      <c r="AK152" s="2">
        <f t="shared" si="46"/>
        <v>2</v>
      </c>
      <c r="AL152" s="2">
        <f t="shared" si="47"/>
        <v>0</v>
      </c>
      <c r="AM152" s="115"/>
      <c r="AN152" s="115"/>
      <c r="AO152" s="63"/>
    </row>
    <row r="153" spans="1:41" ht="43.2" x14ac:dyDescent="0.55000000000000004">
      <c r="A153" s="36">
        <v>1902</v>
      </c>
      <c r="B153" s="113" t="s">
        <v>942</v>
      </c>
      <c r="C153" s="139" t="s">
        <v>943</v>
      </c>
      <c r="D153" s="114" t="s">
        <v>55</v>
      </c>
      <c r="E153" s="115" t="s">
        <v>944</v>
      </c>
      <c r="F153" s="116"/>
      <c r="G153" s="113" t="s">
        <v>909</v>
      </c>
      <c r="H153" s="113" t="s">
        <v>934</v>
      </c>
      <c r="I153" s="113" t="s">
        <v>804</v>
      </c>
      <c r="J153" s="117" t="s">
        <v>945</v>
      </c>
      <c r="K153" s="118"/>
      <c r="L153" s="109">
        <v>3</v>
      </c>
      <c r="M153" s="109">
        <v>3</v>
      </c>
      <c r="N153" s="109"/>
      <c r="O153" s="119"/>
      <c r="P153" s="2">
        <f t="shared" si="32"/>
        <v>2</v>
      </c>
      <c r="Q153" s="110" t="str">
        <f>IF(AND(Drops!$D$45&gt;1,OR(U153&lt;&gt;U152,AND(ROW()=5,U152=U153))),VLOOKUP(U153,Drops!$D$26:$E$44,2,FALSE),"")</f>
        <v/>
      </c>
      <c r="R153" s="2" t="str">
        <f t="shared" si="33"/>
        <v/>
      </c>
      <c r="S153" s="2">
        <f t="shared" ca="1" si="34"/>
        <v>2</v>
      </c>
      <c r="T153" s="2">
        <f t="shared" si="35"/>
        <v>0</v>
      </c>
      <c r="U153" s="110" t="s">
        <v>747</v>
      </c>
      <c r="V153" s="110">
        <v>8</v>
      </c>
      <c r="W153" s="110">
        <v>4</v>
      </c>
      <c r="X153" s="110">
        <v>3</v>
      </c>
      <c r="Y153" s="110">
        <v>0</v>
      </c>
      <c r="Z153" s="110">
        <v>0</v>
      </c>
      <c r="AA153" s="2">
        <f t="shared" si="36"/>
        <v>1</v>
      </c>
      <c r="AB153" s="2">
        <f t="shared" si="37"/>
        <v>0</v>
      </c>
      <c r="AC153" s="2">
        <f t="shared" si="38"/>
        <v>1</v>
      </c>
      <c r="AD153" s="2">
        <f t="shared" si="39"/>
        <v>1</v>
      </c>
      <c r="AE153" s="2">
        <f t="shared" si="40"/>
        <v>2</v>
      </c>
      <c r="AF153" s="2">
        <f t="shared" si="41"/>
        <v>2</v>
      </c>
      <c r="AG153" s="2">
        <f t="shared" si="42"/>
        <v>2</v>
      </c>
      <c r="AH153" s="2">
        <f t="shared" si="43"/>
        <v>2</v>
      </c>
      <c r="AI153" s="2">
        <f t="shared" si="44"/>
        <v>2</v>
      </c>
      <c r="AJ153" s="2">
        <f t="shared" si="45"/>
        <v>1</v>
      </c>
      <c r="AK153" s="2">
        <f t="shared" si="46"/>
        <v>2</v>
      </c>
      <c r="AL153" s="2">
        <f t="shared" si="47"/>
        <v>0</v>
      </c>
      <c r="AM153" s="115"/>
      <c r="AN153" s="115"/>
      <c r="AO153" s="63"/>
    </row>
    <row r="154" spans="1:41" ht="28.8" x14ac:dyDescent="0.55000000000000004">
      <c r="A154" s="36">
        <v>4437</v>
      </c>
      <c r="B154" s="113" t="s">
        <v>946</v>
      </c>
      <c r="C154" s="139" t="s">
        <v>947</v>
      </c>
      <c r="D154" s="114" t="s">
        <v>52</v>
      </c>
      <c r="E154" s="115"/>
      <c r="F154" s="116"/>
      <c r="G154" s="113" t="s">
        <v>909</v>
      </c>
      <c r="H154" s="113" t="s">
        <v>934</v>
      </c>
      <c r="I154" s="113"/>
      <c r="J154" s="117" t="s">
        <v>948</v>
      </c>
      <c r="K154" s="118"/>
      <c r="L154" s="109">
        <v>3</v>
      </c>
      <c r="M154" s="109">
        <v>3</v>
      </c>
      <c r="N154" s="109"/>
      <c r="O154" s="119"/>
      <c r="P154" s="2">
        <f t="shared" si="32"/>
        <v>1</v>
      </c>
      <c r="Q154" s="110" t="str">
        <f>IF(AND(Drops!$D$45&gt;1,OR(U154&lt;&gt;U153,AND(ROW()=5,U153=U154))),VLOOKUP(U154,Drops!$D$26:$E$44,2,FALSE),"")</f>
        <v/>
      </c>
      <c r="R154" s="2" t="str">
        <f t="shared" si="33"/>
        <v/>
      </c>
      <c r="S154" s="2">
        <f t="shared" ca="1" si="34"/>
        <v>1</v>
      </c>
      <c r="T154" s="2">
        <f t="shared" si="35"/>
        <v>0</v>
      </c>
      <c r="U154" s="110" t="s">
        <v>747</v>
      </c>
      <c r="V154" s="110">
        <v>8</v>
      </c>
      <c r="W154" s="110">
        <v>4</v>
      </c>
      <c r="X154" s="110">
        <v>4</v>
      </c>
      <c r="Y154" s="110">
        <v>0</v>
      </c>
      <c r="Z154" s="110">
        <v>0</v>
      </c>
      <c r="AA154" s="2">
        <f t="shared" si="36"/>
        <v>1</v>
      </c>
      <c r="AB154" s="2">
        <f t="shared" si="37"/>
        <v>0</v>
      </c>
      <c r="AC154" s="2">
        <f t="shared" si="38"/>
        <v>1</v>
      </c>
      <c r="AD154" s="2">
        <f t="shared" si="39"/>
        <v>1</v>
      </c>
      <c r="AE154" s="2">
        <f t="shared" si="40"/>
        <v>1</v>
      </c>
      <c r="AF154" s="2">
        <f t="shared" si="41"/>
        <v>2</v>
      </c>
      <c r="AG154" s="2">
        <f t="shared" si="42"/>
        <v>2</v>
      </c>
      <c r="AH154" s="2">
        <f t="shared" si="43"/>
        <v>2</v>
      </c>
      <c r="AI154" s="2">
        <f t="shared" si="44"/>
        <v>2</v>
      </c>
      <c r="AJ154" s="2">
        <f t="shared" si="45"/>
        <v>2</v>
      </c>
      <c r="AK154" s="2">
        <f t="shared" si="46"/>
        <v>2</v>
      </c>
      <c r="AL154" s="2">
        <f t="shared" si="47"/>
        <v>0</v>
      </c>
      <c r="AM154" s="115"/>
      <c r="AN154" s="115"/>
      <c r="AO154" s="63"/>
    </row>
    <row r="155" spans="1:41" ht="14.4" x14ac:dyDescent="0.55000000000000004">
      <c r="A155" s="36">
        <v>1814</v>
      </c>
      <c r="B155" s="113" t="s">
        <v>949</v>
      </c>
      <c r="C155" s="139" t="s">
        <v>950</v>
      </c>
      <c r="D155" s="114" t="s">
        <v>52</v>
      </c>
      <c r="E155" s="115" t="s">
        <v>933</v>
      </c>
      <c r="F155" s="116"/>
      <c r="G155" s="113" t="s">
        <v>909</v>
      </c>
      <c r="H155" s="113" t="s">
        <v>934</v>
      </c>
      <c r="I155" s="113"/>
      <c r="J155" s="117" t="s">
        <v>941</v>
      </c>
      <c r="K155" s="118"/>
      <c r="L155" s="109">
        <v>3</v>
      </c>
      <c r="M155" s="109">
        <v>3</v>
      </c>
      <c r="N155" s="109"/>
      <c r="O155" s="119"/>
      <c r="P155" s="2">
        <f t="shared" si="32"/>
        <v>1</v>
      </c>
      <c r="Q155" s="110" t="str">
        <f>IF(AND(Drops!$D$45&gt;1,OR(U155&lt;&gt;U154,AND(ROW()=5,U154=U155))),VLOOKUP(U155,Drops!$D$26:$E$44,2,FALSE),"")</f>
        <v/>
      </c>
      <c r="R155" s="2" t="str">
        <f t="shared" si="33"/>
        <v/>
      </c>
      <c r="S155" s="2">
        <f t="shared" ca="1" si="34"/>
        <v>1</v>
      </c>
      <c r="T155" s="2">
        <f t="shared" si="35"/>
        <v>0</v>
      </c>
      <c r="U155" s="110" t="s">
        <v>747</v>
      </c>
      <c r="V155" s="110">
        <v>8</v>
      </c>
      <c r="W155" s="110">
        <v>4</v>
      </c>
      <c r="X155" s="110">
        <v>6</v>
      </c>
      <c r="Y155" s="110">
        <v>0</v>
      </c>
      <c r="Z155" s="110">
        <v>0</v>
      </c>
      <c r="AA155" s="2">
        <f t="shared" si="36"/>
        <v>1</v>
      </c>
      <c r="AB155" s="2">
        <f t="shared" si="37"/>
        <v>1</v>
      </c>
      <c r="AC155" s="2">
        <f t="shared" si="38"/>
        <v>1</v>
      </c>
      <c r="AD155" s="2">
        <f t="shared" si="39"/>
        <v>1</v>
      </c>
      <c r="AE155" s="2">
        <f t="shared" si="40"/>
        <v>1</v>
      </c>
      <c r="AF155" s="2">
        <f t="shared" si="41"/>
        <v>2</v>
      </c>
      <c r="AG155" s="2">
        <f t="shared" si="42"/>
        <v>2</v>
      </c>
      <c r="AH155" s="2">
        <f t="shared" si="43"/>
        <v>2</v>
      </c>
      <c r="AI155" s="2">
        <f t="shared" si="44"/>
        <v>2</v>
      </c>
      <c r="AJ155" s="2">
        <f t="shared" si="45"/>
        <v>2</v>
      </c>
      <c r="AK155" s="2">
        <f t="shared" si="46"/>
        <v>2</v>
      </c>
      <c r="AL155" s="2">
        <f t="shared" si="47"/>
        <v>0</v>
      </c>
      <c r="AM155" s="115"/>
      <c r="AN155" s="115"/>
      <c r="AO155" s="63"/>
    </row>
    <row r="156" spans="1:41" ht="28.8" x14ac:dyDescent="0.55000000000000004">
      <c r="A156" s="36">
        <v>4193</v>
      </c>
      <c r="B156" s="113" t="s">
        <v>951</v>
      </c>
      <c r="C156" s="140" t="s">
        <v>952</v>
      </c>
      <c r="D156" s="114" t="s">
        <v>52</v>
      </c>
      <c r="E156" s="115" t="s">
        <v>933</v>
      </c>
      <c r="F156" s="116"/>
      <c r="G156" s="113" t="s">
        <v>909</v>
      </c>
      <c r="H156" s="113" t="s">
        <v>934</v>
      </c>
      <c r="I156" s="113"/>
      <c r="J156" s="117" t="s">
        <v>941</v>
      </c>
      <c r="K156" s="118"/>
      <c r="L156" s="109">
        <v>4</v>
      </c>
      <c r="M156" s="109">
        <v>3</v>
      </c>
      <c r="N156" s="109"/>
      <c r="O156" s="119"/>
      <c r="P156" s="2">
        <f t="shared" si="32"/>
        <v>1</v>
      </c>
      <c r="Q156" s="110" t="str">
        <f>IF(AND(Drops!$D$45&gt;1,OR(U156&lt;&gt;U155,AND(ROW()=5,U155=U156))),VLOOKUP(U156,Drops!$D$26:$E$44,2,FALSE),"")</f>
        <v/>
      </c>
      <c r="R156" s="2" t="str">
        <f t="shared" si="33"/>
        <v/>
      </c>
      <c r="S156" s="2">
        <f t="shared" ca="1" si="34"/>
        <v>1</v>
      </c>
      <c r="T156" s="2">
        <f t="shared" si="35"/>
        <v>0</v>
      </c>
      <c r="U156" s="110" t="s">
        <v>747</v>
      </c>
      <c r="V156" s="110">
        <v>8</v>
      </c>
      <c r="W156" s="110">
        <v>4</v>
      </c>
      <c r="X156" s="110">
        <v>6</v>
      </c>
      <c r="Y156" s="110">
        <v>1</v>
      </c>
      <c r="Z156" s="110">
        <v>0</v>
      </c>
      <c r="AA156" s="2">
        <f t="shared" si="36"/>
        <v>1</v>
      </c>
      <c r="AB156" s="2">
        <f t="shared" si="37"/>
        <v>0</v>
      </c>
      <c r="AC156" s="2">
        <f t="shared" si="38"/>
        <v>1</v>
      </c>
      <c r="AD156" s="2">
        <f t="shared" si="39"/>
        <v>1</v>
      </c>
      <c r="AE156" s="2">
        <f t="shared" si="40"/>
        <v>1</v>
      </c>
      <c r="AF156" s="2">
        <f t="shared" si="41"/>
        <v>1</v>
      </c>
      <c r="AG156" s="2">
        <f t="shared" si="42"/>
        <v>2</v>
      </c>
      <c r="AH156" s="2">
        <f t="shared" si="43"/>
        <v>2</v>
      </c>
      <c r="AI156" s="2">
        <f t="shared" si="44"/>
        <v>2</v>
      </c>
      <c r="AJ156" s="2">
        <f t="shared" si="45"/>
        <v>2</v>
      </c>
      <c r="AK156" s="2">
        <f t="shared" si="46"/>
        <v>2</v>
      </c>
      <c r="AL156" s="2">
        <f t="shared" si="47"/>
        <v>0</v>
      </c>
      <c r="AM156" s="115"/>
      <c r="AN156" s="115"/>
      <c r="AO156" s="63"/>
    </row>
    <row r="157" spans="1:41" ht="28.8" x14ac:dyDescent="0.55000000000000004">
      <c r="A157" s="36">
        <v>4194</v>
      </c>
      <c r="B157" s="113" t="s">
        <v>953</v>
      </c>
      <c r="C157" s="140" t="s">
        <v>954</v>
      </c>
      <c r="D157" s="114" t="s">
        <v>52</v>
      </c>
      <c r="E157" s="115" t="s">
        <v>955</v>
      </c>
      <c r="F157" s="116"/>
      <c r="G157" s="113" t="s">
        <v>909</v>
      </c>
      <c r="H157" s="113" t="s">
        <v>934</v>
      </c>
      <c r="I157" s="113"/>
      <c r="J157" s="117" t="s">
        <v>941</v>
      </c>
      <c r="K157" s="118"/>
      <c r="L157" s="109">
        <v>4</v>
      </c>
      <c r="M157" s="109">
        <v>3</v>
      </c>
      <c r="N157" s="109"/>
      <c r="O157" s="119"/>
      <c r="P157" s="2">
        <f t="shared" si="32"/>
        <v>1</v>
      </c>
      <c r="Q157" s="110" t="str">
        <f>IF(AND(Drops!$D$45&gt;1,OR(U157&lt;&gt;U156,AND(ROW()=5,U156=U157))),VLOOKUP(U157,Drops!$D$26:$E$44,2,FALSE),"")</f>
        <v/>
      </c>
      <c r="R157" s="2" t="str">
        <f t="shared" si="33"/>
        <v/>
      </c>
      <c r="S157" s="2">
        <f t="shared" ca="1" si="34"/>
        <v>1</v>
      </c>
      <c r="T157" s="2">
        <f t="shared" si="35"/>
        <v>0</v>
      </c>
      <c r="U157" s="110" t="s">
        <v>747</v>
      </c>
      <c r="V157" s="110">
        <v>8</v>
      </c>
      <c r="W157" s="110">
        <v>4</v>
      </c>
      <c r="X157" s="110">
        <v>6</v>
      </c>
      <c r="Y157" s="110">
        <v>2</v>
      </c>
      <c r="Z157" s="110">
        <v>0</v>
      </c>
      <c r="AA157" s="2">
        <f t="shared" si="36"/>
        <v>1</v>
      </c>
      <c r="AB157" s="2">
        <f t="shared" si="37"/>
        <v>0</v>
      </c>
      <c r="AC157" s="2">
        <f t="shared" si="38"/>
        <v>1</v>
      </c>
      <c r="AD157" s="2">
        <f t="shared" si="39"/>
        <v>1</v>
      </c>
      <c r="AE157" s="2">
        <f t="shared" si="40"/>
        <v>1</v>
      </c>
      <c r="AF157" s="2">
        <f t="shared" si="41"/>
        <v>1</v>
      </c>
      <c r="AG157" s="2">
        <f t="shared" si="42"/>
        <v>2</v>
      </c>
      <c r="AH157" s="2">
        <f t="shared" si="43"/>
        <v>2</v>
      </c>
      <c r="AI157" s="2">
        <f t="shared" si="44"/>
        <v>2</v>
      </c>
      <c r="AJ157" s="2">
        <f t="shared" si="45"/>
        <v>2</v>
      </c>
      <c r="AK157" s="2">
        <f t="shared" si="46"/>
        <v>2</v>
      </c>
      <c r="AL157" s="2">
        <f t="shared" si="47"/>
        <v>0</v>
      </c>
      <c r="AM157" s="115"/>
      <c r="AN157" s="115"/>
      <c r="AO157" s="63"/>
    </row>
    <row r="158" spans="1:41" ht="14.4" x14ac:dyDescent="0.55000000000000004">
      <c r="A158" s="36">
        <v>4191</v>
      </c>
      <c r="B158" s="113" t="s">
        <v>956</v>
      </c>
      <c r="C158" s="139" t="s">
        <v>957</v>
      </c>
      <c r="D158" s="114" t="s">
        <v>55</v>
      </c>
      <c r="E158" s="115"/>
      <c r="F158" s="116"/>
      <c r="G158" s="113" t="s">
        <v>909</v>
      </c>
      <c r="H158" s="113" t="s">
        <v>934</v>
      </c>
      <c r="I158" s="113"/>
      <c r="J158" s="117"/>
      <c r="K158" s="118"/>
      <c r="L158" s="109">
        <v>3</v>
      </c>
      <c r="M158" s="109">
        <v>1</v>
      </c>
      <c r="N158" s="109"/>
      <c r="O158" s="119"/>
      <c r="P158" s="2">
        <f t="shared" si="32"/>
        <v>2</v>
      </c>
      <c r="Q158" s="110" t="str">
        <f>IF(AND(Drops!$D$45&gt;1,OR(U158&lt;&gt;U157,AND(ROW()=5,U157=U158))),VLOOKUP(U158,Drops!$D$26:$E$44,2,FALSE),"")</f>
        <v/>
      </c>
      <c r="R158" s="2" t="str">
        <f t="shared" si="33"/>
        <v/>
      </c>
      <c r="S158" s="2">
        <f t="shared" ca="1" si="34"/>
        <v>2</v>
      </c>
      <c r="T158" s="2">
        <f t="shared" si="35"/>
        <v>0</v>
      </c>
      <c r="U158" s="110" t="s">
        <v>747</v>
      </c>
      <c r="V158" s="110">
        <v>8</v>
      </c>
      <c r="W158" s="110">
        <v>4</v>
      </c>
      <c r="X158" s="110">
        <v>7</v>
      </c>
      <c r="Y158" s="110">
        <v>0</v>
      </c>
      <c r="Z158" s="110">
        <v>0</v>
      </c>
      <c r="AA158" s="2">
        <f t="shared" si="36"/>
        <v>1</v>
      </c>
      <c r="AB158" s="2">
        <f t="shared" si="37"/>
        <v>0</v>
      </c>
      <c r="AC158" s="2">
        <f t="shared" si="38"/>
        <v>1</v>
      </c>
      <c r="AD158" s="2">
        <f t="shared" si="39"/>
        <v>1</v>
      </c>
      <c r="AE158" s="2">
        <f t="shared" si="40"/>
        <v>2</v>
      </c>
      <c r="AF158" s="2">
        <f t="shared" si="41"/>
        <v>2</v>
      </c>
      <c r="AG158" s="2">
        <f t="shared" si="42"/>
        <v>2</v>
      </c>
      <c r="AH158" s="2">
        <f t="shared" si="43"/>
        <v>2</v>
      </c>
      <c r="AI158" s="2">
        <f t="shared" si="44"/>
        <v>2</v>
      </c>
      <c r="AJ158" s="2">
        <f t="shared" si="45"/>
        <v>1</v>
      </c>
      <c r="AK158" s="2">
        <f t="shared" si="46"/>
        <v>2</v>
      </c>
      <c r="AL158" s="2">
        <f t="shared" si="47"/>
        <v>0</v>
      </c>
      <c r="AM158" s="115"/>
      <c r="AN158" s="115"/>
      <c r="AO158" s="63"/>
    </row>
    <row r="159" spans="1:41" ht="28.8" x14ac:dyDescent="0.55000000000000004">
      <c r="A159" s="36">
        <v>1860</v>
      </c>
      <c r="B159" s="113" t="s">
        <v>958</v>
      </c>
      <c r="C159" s="138" t="s">
        <v>959</v>
      </c>
      <c r="D159" s="114" t="s">
        <v>52</v>
      </c>
      <c r="E159" s="115"/>
      <c r="F159" s="116"/>
      <c r="G159" s="113" t="s">
        <v>909</v>
      </c>
      <c r="H159" s="113" t="s">
        <v>960</v>
      </c>
      <c r="I159" s="113"/>
      <c r="J159" s="117"/>
      <c r="K159" s="118"/>
      <c r="L159" s="109">
        <v>2</v>
      </c>
      <c r="M159" s="109">
        <v>3</v>
      </c>
      <c r="N159" s="109"/>
      <c r="O159" s="119"/>
      <c r="P159" s="2">
        <f t="shared" si="32"/>
        <v>1</v>
      </c>
      <c r="Q159" s="110" t="str">
        <f>IF(AND(Drops!$D$45&gt;1,OR(U159&lt;&gt;U158,AND(ROW()=5,U158=U159))),VLOOKUP(U159,Drops!$D$26:$E$44,2,FALSE),"")</f>
        <v/>
      </c>
      <c r="R159" s="2" t="str">
        <f t="shared" si="33"/>
        <v/>
      </c>
      <c r="S159" s="2">
        <f t="shared" ca="1" si="34"/>
        <v>1</v>
      </c>
      <c r="T159" s="2">
        <f t="shared" si="35"/>
        <v>0</v>
      </c>
      <c r="U159" s="110" t="s">
        <v>747</v>
      </c>
      <c r="V159" s="110">
        <v>8</v>
      </c>
      <c r="W159" s="110">
        <v>5</v>
      </c>
      <c r="X159" s="110">
        <v>0</v>
      </c>
      <c r="Y159" s="110">
        <v>0</v>
      </c>
      <c r="Z159" s="110">
        <v>0</v>
      </c>
      <c r="AA159" s="2">
        <f t="shared" si="36"/>
        <v>1</v>
      </c>
      <c r="AB159" s="2">
        <f t="shared" si="37"/>
        <v>1</v>
      </c>
      <c r="AC159" s="2">
        <f t="shared" si="38"/>
        <v>1</v>
      </c>
      <c r="AD159" s="2">
        <f t="shared" si="39"/>
        <v>1</v>
      </c>
      <c r="AE159" s="2">
        <f t="shared" si="40"/>
        <v>0</v>
      </c>
      <c r="AF159" s="2">
        <f t="shared" si="41"/>
        <v>2</v>
      </c>
      <c r="AG159" s="2">
        <f t="shared" si="42"/>
        <v>2</v>
      </c>
      <c r="AH159" s="2">
        <f t="shared" si="43"/>
        <v>2</v>
      </c>
      <c r="AI159" s="2">
        <f t="shared" si="44"/>
        <v>2</v>
      </c>
      <c r="AJ159" s="2">
        <f t="shared" si="45"/>
        <v>0</v>
      </c>
      <c r="AK159" s="2">
        <f t="shared" si="46"/>
        <v>2</v>
      </c>
      <c r="AL159" s="2">
        <f t="shared" si="47"/>
        <v>0</v>
      </c>
      <c r="AM159" s="115"/>
      <c r="AN159" s="115"/>
      <c r="AO159" s="63"/>
    </row>
    <row r="160" spans="1:41" ht="28.8" x14ac:dyDescent="0.55000000000000004">
      <c r="A160" s="36">
        <v>4438</v>
      </c>
      <c r="B160" s="113" t="s">
        <v>961</v>
      </c>
      <c r="C160" s="139" t="s">
        <v>962</v>
      </c>
      <c r="D160" s="114" t="s">
        <v>52</v>
      </c>
      <c r="E160" s="115"/>
      <c r="F160" s="116"/>
      <c r="G160" s="113" t="s">
        <v>909</v>
      </c>
      <c r="H160" s="113" t="s">
        <v>960</v>
      </c>
      <c r="I160" s="113"/>
      <c r="J160" s="117"/>
      <c r="K160" s="118"/>
      <c r="L160" s="109">
        <v>3</v>
      </c>
      <c r="M160" s="109">
        <v>3</v>
      </c>
      <c r="N160" s="109"/>
      <c r="O160" s="119"/>
      <c r="P160" s="2">
        <f t="shared" si="32"/>
        <v>1</v>
      </c>
      <c r="Q160" s="110" t="str">
        <f>IF(AND(Drops!$D$45&gt;1,OR(U160&lt;&gt;U159,AND(ROW()=5,U159=U160))),VLOOKUP(U160,Drops!$D$26:$E$44,2,FALSE),"")</f>
        <v/>
      </c>
      <c r="R160" s="2" t="str">
        <f t="shared" si="33"/>
        <v/>
      </c>
      <c r="S160" s="2">
        <f t="shared" ca="1" si="34"/>
        <v>1</v>
      </c>
      <c r="T160" s="2">
        <f t="shared" si="35"/>
        <v>0</v>
      </c>
      <c r="U160" s="110" t="s">
        <v>747</v>
      </c>
      <c r="V160" s="110">
        <v>8</v>
      </c>
      <c r="W160" s="110">
        <v>5</v>
      </c>
      <c r="X160" s="110">
        <v>1</v>
      </c>
      <c r="Y160" s="110">
        <v>0</v>
      </c>
      <c r="Z160" s="110">
        <v>0</v>
      </c>
      <c r="AA160" s="2">
        <f t="shared" si="36"/>
        <v>1</v>
      </c>
      <c r="AB160" s="2">
        <f t="shared" si="37"/>
        <v>0</v>
      </c>
      <c r="AC160" s="2">
        <f t="shared" si="38"/>
        <v>1</v>
      </c>
      <c r="AD160" s="2">
        <f t="shared" si="39"/>
        <v>1</v>
      </c>
      <c r="AE160" s="2">
        <f t="shared" si="40"/>
        <v>1</v>
      </c>
      <c r="AF160" s="2">
        <f t="shared" si="41"/>
        <v>2</v>
      </c>
      <c r="AG160" s="2">
        <f t="shared" si="42"/>
        <v>2</v>
      </c>
      <c r="AH160" s="2">
        <f t="shared" si="43"/>
        <v>2</v>
      </c>
      <c r="AI160" s="2">
        <f t="shared" si="44"/>
        <v>2</v>
      </c>
      <c r="AJ160" s="2">
        <f t="shared" si="45"/>
        <v>2</v>
      </c>
      <c r="AK160" s="2">
        <f t="shared" si="46"/>
        <v>2</v>
      </c>
      <c r="AL160" s="2">
        <f t="shared" si="47"/>
        <v>0</v>
      </c>
      <c r="AM160" s="115"/>
      <c r="AN160" s="115"/>
      <c r="AO160" s="63"/>
    </row>
    <row r="161" spans="1:41" ht="14.4" x14ac:dyDescent="0.55000000000000004">
      <c r="A161" s="36">
        <v>3548</v>
      </c>
      <c r="B161" s="113" t="s">
        <v>963</v>
      </c>
      <c r="C161" s="138" t="s">
        <v>964</v>
      </c>
      <c r="D161" s="114" t="s">
        <v>55</v>
      </c>
      <c r="E161" s="115"/>
      <c r="F161" s="116"/>
      <c r="G161" s="113" t="s">
        <v>909</v>
      </c>
      <c r="H161" s="113" t="s">
        <v>965</v>
      </c>
      <c r="I161" s="113"/>
      <c r="J161" s="117"/>
      <c r="K161" s="118"/>
      <c r="L161" s="109">
        <v>2</v>
      </c>
      <c r="M161" s="109">
        <v>1</v>
      </c>
      <c r="N161" s="109"/>
      <c r="O161" s="119"/>
      <c r="P161" s="2">
        <f t="shared" si="32"/>
        <v>2</v>
      </c>
      <c r="Q161" s="110" t="str">
        <f>IF(AND(Drops!$D$45&gt;1,OR(U161&lt;&gt;U160,AND(ROW()=5,U160=U161))),VLOOKUP(U161,Drops!$D$26:$E$44,2,FALSE),"")</f>
        <v/>
      </c>
      <c r="R161" s="2" t="str">
        <f t="shared" si="33"/>
        <v/>
      </c>
      <c r="S161" s="2">
        <f t="shared" ca="1" si="34"/>
        <v>2</v>
      </c>
      <c r="T161" s="2">
        <f t="shared" si="35"/>
        <v>0</v>
      </c>
      <c r="U161" s="110" t="s">
        <v>747</v>
      </c>
      <c r="V161" s="110">
        <v>8</v>
      </c>
      <c r="W161" s="110">
        <v>6</v>
      </c>
      <c r="X161" s="110">
        <v>0</v>
      </c>
      <c r="Y161" s="110">
        <v>0</v>
      </c>
      <c r="Z161" s="110">
        <v>0</v>
      </c>
      <c r="AA161" s="2">
        <f t="shared" si="36"/>
        <v>1</v>
      </c>
      <c r="AB161" s="2">
        <f t="shared" si="37"/>
        <v>1</v>
      </c>
      <c r="AC161" s="2">
        <f t="shared" si="38"/>
        <v>1</v>
      </c>
      <c r="AD161" s="2">
        <f t="shared" si="39"/>
        <v>2</v>
      </c>
      <c r="AE161" s="2">
        <f t="shared" si="40"/>
        <v>2</v>
      </c>
      <c r="AF161" s="2">
        <f t="shared" si="41"/>
        <v>2</v>
      </c>
      <c r="AG161" s="2">
        <f t="shared" si="42"/>
        <v>2</v>
      </c>
      <c r="AH161" s="2">
        <f t="shared" si="43"/>
        <v>2</v>
      </c>
      <c r="AI161" s="2">
        <f t="shared" si="44"/>
        <v>1</v>
      </c>
      <c r="AJ161" s="2">
        <f t="shared" si="45"/>
        <v>2</v>
      </c>
      <c r="AK161" s="2">
        <f t="shared" si="46"/>
        <v>2</v>
      </c>
      <c r="AL161" s="2">
        <f t="shared" si="47"/>
        <v>0</v>
      </c>
      <c r="AM161" s="115"/>
      <c r="AN161" s="115"/>
      <c r="AO161" s="63"/>
    </row>
    <row r="162" spans="1:41" ht="28.8" x14ac:dyDescent="0.55000000000000004">
      <c r="A162" s="36">
        <v>3219</v>
      </c>
      <c r="B162" s="113" t="s">
        <v>966</v>
      </c>
      <c r="C162" s="139" t="s">
        <v>967</v>
      </c>
      <c r="D162" s="114" t="s">
        <v>55</v>
      </c>
      <c r="E162" s="115"/>
      <c r="F162" s="116"/>
      <c r="G162" s="113" t="s">
        <v>909</v>
      </c>
      <c r="H162" s="113" t="s">
        <v>965</v>
      </c>
      <c r="I162" s="113"/>
      <c r="J162" s="117"/>
      <c r="K162" s="118"/>
      <c r="L162" s="109">
        <v>3</v>
      </c>
      <c r="M162" s="109">
        <v>2</v>
      </c>
      <c r="N162" s="109"/>
      <c r="O162" s="119"/>
      <c r="P162" s="2">
        <f t="shared" si="32"/>
        <v>2</v>
      </c>
      <c r="Q162" s="110" t="str">
        <f>IF(AND(Drops!$D$45&gt;1,OR(U162&lt;&gt;U161,AND(ROW()=5,U161=U162))),VLOOKUP(U162,Drops!$D$26:$E$44,2,FALSE),"")</f>
        <v/>
      </c>
      <c r="R162" s="2" t="str">
        <f t="shared" si="33"/>
        <v/>
      </c>
      <c r="S162" s="2">
        <f t="shared" ca="1" si="34"/>
        <v>2</v>
      </c>
      <c r="T162" s="2">
        <f t="shared" si="35"/>
        <v>0</v>
      </c>
      <c r="U162" s="110" t="s">
        <v>747</v>
      </c>
      <c r="V162" s="110">
        <v>8</v>
      </c>
      <c r="W162" s="110">
        <v>6</v>
      </c>
      <c r="X162" s="110">
        <v>1</v>
      </c>
      <c r="Y162" s="110">
        <v>0</v>
      </c>
      <c r="Z162" s="110">
        <v>0</v>
      </c>
      <c r="AA162" s="2">
        <f t="shared" si="36"/>
        <v>1</v>
      </c>
      <c r="AB162" s="2">
        <f t="shared" si="37"/>
        <v>0</v>
      </c>
      <c r="AC162" s="2">
        <f t="shared" si="38"/>
        <v>1</v>
      </c>
      <c r="AD162" s="2">
        <f t="shared" si="39"/>
        <v>2</v>
      </c>
      <c r="AE162" s="2">
        <f t="shared" si="40"/>
        <v>2</v>
      </c>
      <c r="AF162" s="2">
        <f t="shared" si="41"/>
        <v>2</v>
      </c>
      <c r="AG162" s="2">
        <f t="shared" si="42"/>
        <v>2</v>
      </c>
      <c r="AH162" s="2">
        <f t="shared" si="43"/>
        <v>2</v>
      </c>
      <c r="AI162" s="2">
        <f t="shared" si="44"/>
        <v>0</v>
      </c>
      <c r="AJ162" s="2">
        <f t="shared" si="45"/>
        <v>1</v>
      </c>
      <c r="AK162" s="2">
        <f t="shared" si="46"/>
        <v>2</v>
      </c>
      <c r="AL162" s="2">
        <f t="shared" si="47"/>
        <v>0</v>
      </c>
      <c r="AM162" s="115"/>
      <c r="AN162" s="115"/>
      <c r="AO162" s="63"/>
    </row>
    <row r="163" spans="1:41" ht="28.8" x14ac:dyDescent="0.55000000000000004">
      <c r="A163" s="36">
        <v>3473</v>
      </c>
      <c r="B163" s="113" t="s">
        <v>968</v>
      </c>
      <c r="C163" s="113" t="s">
        <v>969</v>
      </c>
      <c r="D163" s="114" t="s">
        <v>52</v>
      </c>
      <c r="E163" s="115" t="s">
        <v>970</v>
      </c>
      <c r="F163" s="116"/>
      <c r="G163" s="113" t="s">
        <v>971</v>
      </c>
      <c r="H163" s="113" t="s">
        <v>972</v>
      </c>
      <c r="I163" s="113"/>
      <c r="J163" s="117"/>
      <c r="K163" s="118"/>
      <c r="L163" s="109">
        <v>1</v>
      </c>
      <c r="M163" s="109">
        <v>3</v>
      </c>
      <c r="N163" s="109"/>
      <c r="O163" s="119"/>
      <c r="P163" s="2">
        <f t="shared" si="32"/>
        <v>1</v>
      </c>
      <c r="Q163" s="110" t="str">
        <f>IF(AND(Drops!$D$45&gt;1,OR(U163&lt;&gt;U162,AND(ROW()=5,U162=U163))),VLOOKUP(U163,Drops!$D$26:$E$44,2,FALSE),"")</f>
        <v/>
      </c>
      <c r="R163" s="2" t="str">
        <f t="shared" si="33"/>
        <v/>
      </c>
      <c r="S163" s="2">
        <f t="shared" ca="1" si="34"/>
        <v>1</v>
      </c>
      <c r="T163" s="2">
        <f t="shared" si="35"/>
        <v>1</v>
      </c>
      <c r="U163" s="110" t="s">
        <v>747</v>
      </c>
      <c r="V163" s="110">
        <v>9</v>
      </c>
      <c r="W163" s="110">
        <v>0</v>
      </c>
      <c r="X163" s="110">
        <v>0</v>
      </c>
      <c r="Y163" s="110">
        <v>0</v>
      </c>
      <c r="Z163" s="110">
        <v>0</v>
      </c>
      <c r="AA163" s="2">
        <f t="shared" si="36"/>
        <v>1</v>
      </c>
      <c r="AB163" s="2">
        <f t="shared" si="37"/>
        <v>0</v>
      </c>
      <c r="AC163" s="2">
        <f t="shared" si="38"/>
        <v>1</v>
      </c>
      <c r="AD163" s="2">
        <f t="shared" si="39"/>
        <v>0</v>
      </c>
      <c r="AE163" s="2">
        <f t="shared" si="40"/>
        <v>0</v>
      </c>
      <c r="AF163" s="2">
        <f t="shared" si="41"/>
        <v>2</v>
      </c>
      <c r="AG163" s="2">
        <f t="shared" si="42"/>
        <v>2</v>
      </c>
      <c r="AH163" s="2">
        <f t="shared" si="43"/>
        <v>2</v>
      </c>
      <c r="AI163" s="2">
        <f t="shared" si="44"/>
        <v>0</v>
      </c>
      <c r="AJ163" s="2">
        <f t="shared" si="45"/>
        <v>0</v>
      </c>
      <c r="AK163" s="2">
        <f t="shared" si="46"/>
        <v>2</v>
      </c>
      <c r="AL163" s="2">
        <f t="shared" si="47"/>
        <v>0</v>
      </c>
      <c r="AM163" s="115"/>
      <c r="AN163" s="115"/>
      <c r="AO163" s="63"/>
    </row>
    <row r="164" spans="1:41" ht="28.8" x14ac:dyDescent="0.55000000000000004">
      <c r="A164" s="36">
        <v>3339</v>
      </c>
      <c r="B164" s="113" t="s">
        <v>973</v>
      </c>
      <c r="C164" s="113" t="s">
        <v>974</v>
      </c>
      <c r="D164" s="114" t="s">
        <v>52</v>
      </c>
      <c r="E164" s="115"/>
      <c r="F164" s="116"/>
      <c r="G164" s="113" t="s">
        <v>971</v>
      </c>
      <c r="H164" s="113" t="s">
        <v>975</v>
      </c>
      <c r="I164" s="113" t="s">
        <v>976</v>
      </c>
      <c r="J164" s="117"/>
      <c r="K164" s="118"/>
      <c r="L164" s="109">
        <v>1</v>
      </c>
      <c r="M164" s="109">
        <v>3</v>
      </c>
      <c r="N164" s="109"/>
      <c r="O164" s="119"/>
      <c r="P164" s="2">
        <f t="shared" si="32"/>
        <v>1</v>
      </c>
      <c r="Q164" s="110" t="str">
        <f>IF(AND(Drops!$D$45&gt;1,OR(U164&lt;&gt;U163,AND(ROW()=5,U163=U164))),VLOOKUP(U164,Drops!$D$26:$E$44,2,FALSE),"")</f>
        <v/>
      </c>
      <c r="R164" s="2" t="str">
        <f t="shared" si="33"/>
        <v/>
      </c>
      <c r="S164" s="2">
        <f t="shared" ca="1" si="34"/>
        <v>1</v>
      </c>
      <c r="T164" s="2">
        <f t="shared" si="35"/>
        <v>1</v>
      </c>
      <c r="U164" s="110" t="s">
        <v>747</v>
      </c>
      <c r="V164" s="110">
        <v>10</v>
      </c>
      <c r="W164" s="110">
        <v>0</v>
      </c>
      <c r="X164" s="110">
        <v>0</v>
      </c>
      <c r="Y164" s="110">
        <v>0</v>
      </c>
      <c r="Z164" s="110">
        <v>0</v>
      </c>
      <c r="AA164" s="2">
        <f t="shared" si="36"/>
        <v>1</v>
      </c>
      <c r="AB164" s="2">
        <f t="shared" si="37"/>
        <v>1</v>
      </c>
      <c r="AC164" s="2">
        <f t="shared" si="38"/>
        <v>1</v>
      </c>
      <c r="AD164" s="2">
        <f t="shared" si="39"/>
        <v>0</v>
      </c>
      <c r="AE164" s="2">
        <f t="shared" si="40"/>
        <v>0</v>
      </c>
      <c r="AF164" s="2">
        <f t="shared" si="41"/>
        <v>2</v>
      </c>
      <c r="AG164" s="2">
        <f t="shared" si="42"/>
        <v>2</v>
      </c>
      <c r="AH164" s="2">
        <f t="shared" si="43"/>
        <v>2</v>
      </c>
      <c r="AI164" s="2">
        <f t="shared" si="44"/>
        <v>0</v>
      </c>
      <c r="AJ164" s="2">
        <f t="shared" si="45"/>
        <v>0</v>
      </c>
      <c r="AK164" s="2">
        <f t="shared" si="46"/>
        <v>2</v>
      </c>
      <c r="AL164" s="2">
        <f t="shared" si="47"/>
        <v>0</v>
      </c>
      <c r="AM164" s="115"/>
      <c r="AN164" s="115"/>
      <c r="AO164" s="63"/>
    </row>
    <row r="165" spans="1:41" ht="28.8" x14ac:dyDescent="0.55000000000000004">
      <c r="A165" s="36">
        <v>4185</v>
      </c>
      <c r="B165" s="113" t="s">
        <v>977</v>
      </c>
      <c r="C165" s="138" t="s">
        <v>978</v>
      </c>
      <c r="D165" s="114" t="s">
        <v>52</v>
      </c>
      <c r="E165" s="115"/>
      <c r="F165" s="116"/>
      <c r="G165" s="113" t="s">
        <v>971</v>
      </c>
      <c r="H165" s="113" t="s">
        <v>979</v>
      </c>
      <c r="I165" s="113"/>
      <c r="J165" s="117"/>
      <c r="K165" s="118"/>
      <c r="L165" s="109">
        <v>2</v>
      </c>
      <c r="M165" s="109">
        <v>3</v>
      </c>
      <c r="N165" s="109"/>
      <c r="O165" s="119"/>
      <c r="P165" s="2">
        <f t="shared" si="32"/>
        <v>1</v>
      </c>
      <c r="Q165" s="110" t="str">
        <f>IF(AND(Drops!$D$45&gt;1,OR(U165&lt;&gt;U164,AND(ROW()=5,U164=U165))),VLOOKUP(U165,Drops!$D$26:$E$44,2,FALSE),"")</f>
        <v/>
      </c>
      <c r="R165" s="2" t="str">
        <f t="shared" si="33"/>
        <v/>
      </c>
      <c r="S165" s="2">
        <f t="shared" ca="1" si="34"/>
        <v>1</v>
      </c>
      <c r="T165" s="2">
        <f t="shared" si="35"/>
        <v>0</v>
      </c>
      <c r="U165" s="110" t="s">
        <v>747</v>
      </c>
      <c r="V165" s="110">
        <v>10</v>
      </c>
      <c r="W165" s="110">
        <v>6</v>
      </c>
      <c r="X165" s="110">
        <v>0</v>
      </c>
      <c r="Y165" s="110">
        <v>0</v>
      </c>
      <c r="Z165" s="110">
        <v>0</v>
      </c>
      <c r="AA165" s="2">
        <f t="shared" si="36"/>
        <v>1</v>
      </c>
      <c r="AB165" s="2">
        <f t="shared" si="37"/>
        <v>0</v>
      </c>
      <c r="AC165" s="2">
        <f t="shared" si="38"/>
        <v>1</v>
      </c>
      <c r="AD165" s="2">
        <f t="shared" si="39"/>
        <v>1</v>
      </c>
      <c r="AE165" s="2">
        <f t="shared" si="40"/>
        <v>0</v>
      </c>
      <c r="AF165" s="2">
        <f t="shared" si="41"/>
        <v>2</v>
      </c>
      <c r="AG165" s="2">
        <f t="shared" si="42"/>
        <v>2</v>
      </c>
      <c r="AH165" s="2">
        <f t="shared" si="43"/>
        <v>2</v>
      </c>
      <c r="AI165" s="2">
        <f t="shared" si="44"/>
        <v>2</v>
      </c>
      <c r="AJ165" s="2">
        <f t="shared" si="45"/>
        <v>0</v>
      </c>
      <c r="AK165" s="2">
        <f t="shared" si="46"/>
        <v>2</v>
      </c>
      <c r="AL165" s="2">
        <f t="shared" si="47"/>
        <v>0</v>
      </c>
      <c r="AM165" s="115"/>
      <c r="AN165" s="115"/>
      <c r="AO165" s="63"/>
    </row>
    <row r="166" spans="1:41" ht="28.8" x14ac:dyDescent="0.55000000000000004">
      <c r="A166" s="36">
        <v>3489</v>
      </c>
      <c r="B166" s="113" t="s">
        <v>980</v>
      </c>
      <c r="C166" s="113" t="s">
        <v>981</v>
      </c>
      <c r="D166" s="114" t="s">
        <v>52</v>
      </c>
      <c r="E166" s="115"/>
      <c r="F166" s="116"/>
      <c r="G166" s="113" t="s">
        <v>971</v>
      </c>
      <c r="H166" s="113" t="s">
        <v>982</v>
      </c>
      <c r="I166" s="113"/>
      <c r="J166" s="117"/>
      <c r="K166" s="118"/>
      <c r="L166" s="109">
        <v>1</v>
      </c>
      <c r="M166" s="109">
        <v>3</v>
      </c>
      <c r="N166" s="109"/>
      <c r="O166" s="119"/>
      <c r="P166" s="2">
        <f t="shared" si="32"/>
        <v>1</v>
      </c>
      <c r="Q166" s="110" t="str">
        <f>IF(AND(Drops!$D$45&gt;1,OR(U166&lt;&gt;U165,AND(ROW()=5,U165=U166))),VLOOKUP(U166,Drops!$D$26:$E$44,2,FALSE),"")</f>
        <v/>
      </c>
      <c r="R166" s="2" t="str">
        <f t="shared" si="33"/>
        <v/>
      </c>
      <c r="S166" s="2">
        <f t="shared" ca="1" si="34"/>
        <v>1</v>
      </c>
      <c r="T166" s="2">
        <f t="shared" si="35"/>
        <v>1</v>
      </c>
      <c r="U166" s="110" t="s">
        <v>747</v>
      </c>
      <c r="V166" s="110">
        <v>11</v>
      </c>
      <c r="W166" s="110">
        <v>0</v>
      </c>
      <c r="X166" s="110">
        <v>0</v>
      </c>
      <c r="Y166" s="110">
        <v>0</v>
      </c>
      <c r="Z166" s="110">
        <v>0</v>
      </c>
      <c r="AA166" s="2">
        <f t="shared" si="36"/>
        <v>1</v>
      </c>
      <c r="AB166" s="2">
        <f t="shared" si="37"/>
        <v>0</v>
      </c>
      <c r="AC166" s="2">
        <f t="shared" si="38"/>
        <v>1</v>
      </c>
      <c r="AD166" s="2">
        <f t="shared" si="39"/>
        <v>0</v>
      </c>
      <c r="AE166" s="2">
        <f t="shared" si="40"/>
        <v>0</v>
      </c>
      <c r="AF166" s="2">
        <f t="shared" si="41"/>
        <v>2</v>
      </c>
      <c r="AG166" s="2">
        <f t="shared" si="42"/>
        <v>2</v>
      </c>
      <c r="AH166" s="2">
        <f t="shared" si="43"/>
        <v>2</v>
      </c>
      <c r="AI166" s="2">
        <f t="shared" si="44"/>
        <v>2</v>
      </c>
      <c r="AJ166" s="2">
        <f t="shared" si="45"/>
        <v>0</v>
      </c>
      <c r="AK166" s="2">
        <f t="shared" si="46"/>
        <v>2</v>
      </c>
      <c r="AL166" s="2">
        <f t="shared" si="47"/>
        <v>0</v>
      </c>
      <c r="AM166" s="115"/>
      <c r="AN166" s="115"/>
      <c r="AO166" s="63"/>
    </row>
    <row r="167" spans="1:41" ht="129.6" x14ac:dyDescent="0.55000000000000004">
      <c r="A167" s="36">
        <v>4195</v>
      </c>
      <c r="B167" s="113" t="s">
        <v>204</v>
      </c>
      <c r="C167" s="113" t="s">
        <v>983</v>
      </c>
      <c r="D167" s="114" t="s">
        <v>52</v>
      </c>
      <c r="E167" s="115" t="s">
        <v>984</v>
      </c>
      <c r="F167" s="116"/>
      <c r="G167" s="113" t="s">
        <v>985</v>
      </c>
      <c r="H167" s="113" t="s">
        <v>985</v>
      </c>
      <c r="I167" s="113" t="s">
        <v>986</v>
      </c>
      <c r="J167" s="117"/>
      <c r="K167" s="118"/>
      <c r="L167" s="109">
        <v>1</v>
      </c>
      <c r="M167" s="109">
        <v>2</v>
      </c>
      <c r="N167" s="109"/>
      <c r="O167" s="119"/>
      <c r="P167" s="2">
        <f t="shared" si="32"/>
        <v>1</v>
      </c>
      <c r="Q167" s="110" t="str">
        <f>IF(AND(Drops!$D$45&gt;1,OR(U167&lt;&gt;U166,AND(ROW()=5,U166=U167))),VLOOKUP(U167,Drops!$D$26:$E$44,2,FALSE),"")</f>
        <v>E. Human Resource Security</v>
      </c>
      <c r="R167" s="2">
        <f t="shared" si="33"/>
        <v>167</v>
      </c>
      <c r="S167" s="2">
        <f t="shared" ca="1" si="34"/>
        <v>1</v>
      </c>
      <c r="T167" s="2">
        <f t="shared" si="35"/>
        <v>1</v>
      </c>
      <c r="U167" s="110" t="s">
        <v>987</v>
      </c>
      <c r="V167" s="110">
        <v>1</v>
      </c>
      <c r="W167" s="110">
        <v>0</v>
      </c>
      <c r="X167" s="110">
        <v>0</v>
      </c>
      <c r="Y167" s="110">
        <v>0</v>
      </c>
      <c r="Z167" s="110">
        <v>0</v>
      </c>
      <c r="AA167" s="2">
        <f t="shared" si="36"/>
        <v>1</v>
      </c>
      <c r="AB167" s="2">
        <f t="shared" si="37"/>
        <v>1</v>
      </c>
      <c r="AC167" s="2">
        <f t="shared" si="38"/>
        <v>1</v>
      </c>
      <c r="AD167" s="2">
        <f t="shared" si="39"/>
        <v>0</v>
      </c>
      <c r="AE167" s="2">
        <f t="shared" si="40"/>
        <v>0</v>
      </c>
      <c r="AF167" s="2">
        <f t="shared" si="41"/>
        <v>0</v>
      </c>
      <c r="AG167" s="2">
        <f t="shared" si="42"/>
        <v>0</v>
      </c>
      <c r="AH167" s="2">
        <f t="shared" si="43"/>
        <v>2</v>
      </c>
      <c r="AI167" s="2">
        <f t="shared" si="44"/>
        <v>0</v>
      </c>
      <c r="AJ167" s="2">
        <f t="shared" si="45"/>
        <v>0</v>
      </c>
      <c r="AK167" s="2">
        <f t="shared" si="46"/>
        <v>0</v>
      </c>
      <c r="AL167" s="2">
        <f t="shared" si="47"/>
        <v>0</v>
      </c>
      <c r="AM167" s="115"/>
      <c r="AN167" s="115"/>
      <c r="AO167" s="63"/>
    </row>
    <row r="168" spans="1:41" ht="100.8" x14ac:dyDescent="0.55000000000000004">
      <c r="A168" s="36">
        <v>2538</v>
      </c>
      <c r="B168" s="113" t="s">
        <v>988</v>
      </c>
      <c r="C168" s="138" t="s">
        <v>989</v>
      </c>
      <c r="D168" s="114" t="s">
        <v>52</v>
      </c>
      <c r="E168" s="115" t="s">
        <v>990</v>
      </c>
      <c r="F168" s="116"/>
      <c r="G168" s="113" t="s">
        <v>985</v>
      </c>
      <c r="H168" s="113" t="s">
        <v>991</v>
      </c>
      <c r="I168" s="113" t="s">
        <v>986</v>
      </c>
      <c r="J168" s="117" t="s">
        <v>992</v>
      </c>
      <c r="K168" s="118"/>
      <c r="L168" s="109">
        <v>2</v>
      </c>
      <c r="M168" s="109">
        <v>2</v>
      </c>
      <c r="N168" s="109"/>
      <c r="O168" s="119"/>
      <c r="P168" s="2">
        <f t="shared" si="32"/>
        <v>1</v>
      </c>
      <c r="Q168" s="110" t="str">
        <f>IF(AND(Drops!$D$45&gt;1,OR(U168&lt;&gt;U167,AND(ROW()=5,U167=U168))),VLOOKUP(U168,Drops!$D$26:$E$44,2,FALSE),"")</f>
        <v/>
      </c>
      <c r="R168" s="2" t="str">
        <f t="shared" si="33"/>
        <v/>
      </c>
      <c r="S168" s="2">
        <f t="shared" ca="1" si="34"/>
        <v>1</v>
      </c>
      <c r="T168" s="2">
        <f t="shared" si="35"/>
        <v>0</v>
      </c>
      <c r="U168" s="110" t="s">
        <v>987</v>
      </c>
      <c r="V168" s="110">
        <v>1</v>
      </c>
      <c r="W168" s="110">
        <v>1</v>
      </c>
      <c r="X168" s="110">
        <v>0</v>
      </c>
      <c r="Y168" s="110">
        <v>0</v>
      </c>
      <c r="Z168" s="110">
        <v>0</v>
      </c>
      <c r="AA168" s="2">
        <f t="shared" si="36"/>
        <v>1</v>
      </c>
      <c r="AB168" s="2">
        <f t="shared" si="37"/>
        <v>1</v>
      </c>
      <c r="AC168" s="2">
        <f t="shared" si="38"/>
        <v>1</v>
      </c>
      <c r="AD168" s="2">
        <f t="shared" si="39"/>
        <v>1</v>
      </c>
      <c r="AE168" s="2">
        <f t="shared" si="40"/>
        <v>0</v>
      </c>
      <c r="AF168" s="2">
        <f t="shared" si="41"/>
        <v>0</v>
      </c>
      <c r="AG168" s="2">
        <f t="shared" si="42"/>
        <v>0</v>
      </c>
      <c r="AH168" s="2">
        <f t="shared" si="43"/>
        <v>2</v>
      </c>
      <c r="AI168" s="2">
        <f t="shared" si="44"/>
        <v>2</v>
      </c>
      <c r="AJ168" s="2">
        <f t="shared" si="45"/>
        <v>0</v>
      </c>
      <c r="AK168" s="2">
        <f t="shared" si="46"/>
        <v>0</v>
      </c>
      <c r="AL168" s="2">
        <f t="shared" si="47"/>
        <v>0</v>
      </c>
      <c r="AM168" s="115"/>
      <c r="AN168" s="115"/>
      <c r="AO168" s="63"/>
    </row>
    <row r="169" spans="1:41" ht="43.2" x14ac:dyDescent="0.55000000000000004">
      <c r="A169" s="36">
        <v>148</v>
      </c>
      <c r="B169" s="113" t="s">
        <v>993</v>
      </c>
      <c r="C169" s="139" t="s">
        <v>994</v>
      </c>
      <c r="D169" s="114" t="s">
        <v>52</v>
      </c>
      <c r="E169" s="115"/>
      <c r="F169" s="116"/>
      <c r="G169" s="113" t="s">
        <v>985</v>
      </c>
      <c r="H169" s="113" t="s">
        <v>991</v>
      </c>
      <c r="I169" s="113" t="s">
        <v>986</v>
      </c>
      <c r="J169" s="117" t="s">
        <v>595</v>
      </c>
      <c r="K169" s="118"/>
      <c r="L169" s="109">
        <v>3</v>
      </c>
      <c r="M169" s="109">
        <v>2</v>
      </c>
      <c r="N169" s="109"/>
      <c r="O169" s="119"/>
      <c r="P169" s="2">
        <f t="shared" si="32"/>
        <v>1</v>
      </c>
      <c r="Q169" s="110" t="str">
        <f>IF(AND(Drops!$D$45&gt;1,OR(U169&lt;&gt;U168,AND(ROW()=5,U168=U169))),VLOOKUP(U169,Drops!$D$26:$E$44,2,FALSE),"")</f>
        <v/>
      </c>
      <c r="R169" s="2" t="str">
        <f t="shared" si="33"/>
        <v/>
      </c>
      <c r="S169" s="2">
        <f t="shared" ca="1" si="34"/>
        <v>1</v>
      </c>
      <c r="T169" s="2">
        <f t="shared" si="35"/>
        <v>0</v>
      </c>
      <c r="U169" s="110" t="s">
        <v>987</v>
      </c>
      <c r="V169" s="110">
        <v>1</v>
      </c>
      <c r="W169" s="110">
        <v>1</v>
      </c>
      <c r="X169" s="110">
        <v>1</v>
      </c>
      <c r="Y169" s="110">
        <v>0</v>
      </c>
      <c r="Z169" s="110">
        <v>0</v>
      </c>
      <c r="AA169" s="2">
        <f t="shared" si="36"/>
        <v>1</v>
      </c>
      <c r="AB169" s="2">
        <f t="shared" si="37"/>
        <v>0</v>
      </c>
      <c r="AC169" s="2">
        <f t="shared" si="38"/>
        <v>1</v>
      </c>
      <c r="AD169" s="2">
        <f t="shared" si="39"/>
        <v>1</v>
      </c>
      <c r="AE169" s="2">
        <f t="shared" si="40"/>
        <v>1</v>
      </c>
      <c r="AF169" s="2">
        <f t="shared" si="41"/>
        <v>0</v>
      </c>
      <c r="AG169" s="2">
        <f t="shared" si="42"/>
        <v>0</v>
      </c>
      <c r="AH169" s="2">
        <f t="shared" si="43"/>
        <v>2</v>
      </c>
      <c r="AI169" s="2">
        <f t="shared" si="44"/>
        <v>2</v>
      </c>
      <c r="AJ169" s="2">
        <f t="shared" si="45"/>
        <v>2</v>
      </c>
      <c r="AK169" s="2">
        <f t="shared" si="46"/>
        <v>0</v>
      </c>
      <c r="AL169" s="2">
        <f t="shared" si="47"/>
        <v>0</v>
      </c>
      <c r="AM169" s="115"/>
      <c r="AN169" s="115"/>
      <c r="AO169" s="63"/>
    </row>
    <row r="170" spans="1:41" ht="43.2" x14ac:dyDescent="0.55000000000000004">
      <c r="A170" s="36">
        <v>155</v>
      </c>
      <c r="B170" s="113" t="s">
        <v>995</v>
      </c>
      <c r="C170" s="139" t="s">
        <v>996</v>
      </c>
      <c r="D170" s="114" t="s">
        <v>52</v>
      </c>
      <c r="E170" s="115" t="s">
        <v>997</v>
      </c>
      <c r="F170" s="116"/>
      <c r="G170" s="113" t="s">
        <v>985</v>
      </c>
      <c r="H170" s="113" t="s">
        <v>991</v>
      </c>
      <c r="I170" s="113" t="s">
        <v>986</v>
      </c>
      <c r="J170" s="117" t="s">
        <v>595</v>
      </c>
      <c r="K170" s="118"/>
      <c r="L170" s="109">
        <v>3</v>
      </c>
      <c r="M170" s="109">
        <v>3</v>
      </c>
      <c r="N170" s="109"/>
      <c r="O170" s="119"/>
      <c r="P170" s="2">
        <f t="shared" si="32"/>
        <v>1</v>
      </c>
      <c r="Q170" s="110" t="str">
        <f>IF(AND(Drops!$D$45&gt;1,OR(U170&lt;&gt;U169,AND(ROW()=5,U169=U170))),VLOOKUP(U170,Drops!$D$26:$E$44,2,FALSE),"")</f>
        <v/>
      </c>
      <c r="R170" s="2" t="str">
        <f t="shared" si="33"/>
        <v/>
      </c>
      <c r="S170" s="2">
        <f t="shared" ca="1" si="34"/>
        <v>1</v>
      </c>
      <c r="T170" s="2">
        <f t="shared" si="35"/>
        <v>0</v>
      </c>
      <c r="U170" s="110" t="s">
        <v>987</v>
      </c>
      <c r="V170" s="110">
        <v>1</v>
      </c>
      <c r="W170" s="110">
        <v>1</v>
      </c>
      <c r="X170" s="110">
        <v>2</v>
      </c>
      <c r="Y170" s="110">
        <v>0</v>
      </c>
      <c r="Z170" s="110">
        <v>0</v>
      </c>
      <c r="AA170" s="2">
        <f t="shared" si="36"/>
        <v>1</v>
      </c>
      <c r="AB170" s="2">
        <f t="shared" si="37"/>
        <v>0</v>
      </c>
      <c r="AC170" s="2">
        <f t="shared" si="38"/>
        <v>1</v>
      </c>
      <c r="AD170" s="2">
        <f t="shared" si="39"/>
        <v>1</v>
      </c>
      <c r="AE170" s="2">
        <f t="shared" si="40"/>
        <v>1</v>
      </c>
      <c r="AF170" s="2">
        <f t="shared" si="41"/>
        <v>0</v>
      </c>
      <c r="AG170" s="2">
        <f t="shared" si="42"/>
        <v>0</v>
      </c>
      <c r="AH170" s="2">
        <f t="shared" si="43"/>
        <v>2</v>
      </c>
      <c r="AI170" s="2">
        <f t="shared" si="44"/>
        <v>2</v>
      </c>
      <c r="AJ170" s="2">
        <f t="shared" si="45"/>
        <v>2</v>
      </c>
      <c r="AK170" s="2">
        <f t="shared" si="46"/>
        <v>0</v>
      </c>
      <c r="AL170" s="2">
        <f t="shared" si="47"/>
        <v>0</v>
      </c>
      <c r="AM170" s="115"/>
      <c r="AN170" s="115"/>
      <c r="AO170" s="63"/>
    </row>
    <row r="171" spans="1:41" ht="43.2" x14ac:dyDescent="0.55000000000000004">
      <c r="A171" s="36">
        <v>169</v>
      </c>
      <c r="B171" s="113" t="s">
        <v>998</v>
      </c>
      <c r="C171" s="139" t="s">
        <v>999</v>
      </c>
      <c r="D171" s="114" t="s">
        <v>52</v>
      </c>
      <c r="E171" s="115"/>
      <c r="F171" s="116"/>
      <c r="G171" s="113" t="s">
        <v>985</v>
      </c>
      <c r="H171" s="113" t="s">
        <v>991</v>
      </c>
      <c r="I171" s="113" t="s">
        <v>986</v>
      </c>
      <c r="J171" s="117" t="s">
        <v>992</v>
      </c>
      <c r="K171" s="118"/>
      <c r="L171" s="109">
        <v>3</v>
      </c>
      <c r="M171" s="109">
        <v>3</v>
      </c>
      <c r="N171" s="109"/>
      <c r="O171" s="119"/>
      <c r="P171" s="2">
        <f t="shared" si="32"/>
        <v>1</v>
      </c>
      <c r="Q171" s="110" t="str">
        <f>IF(AND(Drops!$D$45&gt;1,OR(U171&lt;&gt;U170,AND(ROW()=5,U170=U171))),VLOOKUP(U171,Drops!$D$26:$E$44,2,FALSE),"")</f>
        <v/>
      </c>
      <c r="R171" s="2" t="str">
        <f t="shared" si="33"/>
        <v/>
      </c>
      <c r="S171" s="2">
        <f t="shared" ca="1" si="34"/>
        <v>1</v>
      </c>
      <c r="T171" s="2">
        <f t="shared" si="35"/>
        <v>0</v>
      </c>
      <c r="U171" s="110" t="s">
        <v>987</v>
      </c>
      <c r="V171" s="110">
        <v>1</v>
      </c>
      <c r="W171" s="110">
        <v>1</v>
      </c>
      <c r="X171" s="110">
        <v>4</v>
      </c>
      <c r="Y171" s="110">
        <v>0</v>
      </c>
      <c r="Z171" s="110">
        <v>0</v>
      </c>
      <c r="AA171" s="2">
        <f t="shared" si="36"/>
        <v>1</v>
      </c>
      <c r="AB171" s="2">
        <f t="shared" si="37"/>
        <v>0</v>
      </c>
      <c r="AC171" s="2">
        <f t="shared" si="38"/>
        <v>1</v>
      </c>
      <c r="AD171" s="2">
        <f t="shared" si="39"/>
        <v>1</v>
      </c>
      <c r="AE171" s="2">
        <f t="shared" si="40"/>
        <v>1</v>
      </c>
      <c r="AF171" s="2">
        <f t="shared" si="41"/>
        <v>0</v>
      </c>
      <c r="AG171" s="2">
        <f t="shared" si="42"/>
        <v>0</v>
      </c>
      <c r="AH171" s="2">
        <f t="shared" si="43"/>
        <v>2</v>
      </c>
      <c r="AI171" s="2">
        <f t="shared" si="44"/>
        <v>2</v>
      </c>
      <c r="AJ171" s="2">
        <f t="shared" si="45"/>
        <v>2</v>
      </c>
      <c r="AK171" s="2">
        <f t="shared" si="46"/>
        <v>0</v>
      </c>
      <c r="AL171" s="2">
        <f t="shared" si="47"/>
        <v>0</v>
      </c>
      <c r="AM171" s="115"/>
      <c r="AN171" s="115"/>
      <c r="AO171" s="63"/>
    </row>
    <row r="172" spans="1:41" ht="43.2" x14ac:dyDescent="0.55000000000000004">
      <c r="A172" s="36">
        <v>2539</v>
      </c>
      <c r="B172" s="113" t="s">
        <v>1000</v>
      </c>
      <c r="C172" s="139" t="s">
        <v>1001</v>
      </c>
      <c r="D172" s="114" t="s">
        <v>52</v>
      </c>
      <c r="E172" s="115"/>
      <c r="F172" s="116"/>
      <c r="G172" s="113" t="s">
        <v>985</v>
      </c>
      <c r="H172" s="113" t="s">
        <v>991</v>
      </c>
      <c r="I172" s="113" t="s">
        <v>986</v>
      </c>
      <c r="J172" s="117" t="s">
        <v>992</v>
      </c>
      <c r="K172" s="118"/>
      <c r="L172" s="109">
        <v>3</v>
      </c>
      <c r="M172" s="109">
        <v>3</v>
      </c>
      <c r="N172" s="109"/>
      <c r="O172" s="119"/>
      <c r="P172" s="2">
        <f t="shared" si="32"/>
        <v>1</v>
      </c>
      <c r="Q172" s="110" t="str">
        <f>IF(AND(Drops!$D$45&gt;1,OR(U172&lt;&gt;U171,AND(ROW()=5,U171=U172))),VLOOKUP(U172,Drops!$D$26:$E$44,2,FALSE),"")</f>
        <v/>
      </c>
      <c r="R172" s="2" t="str">
        <f t="shared" si="33"/>
        <v/>
      </c>
      <c r="S172" s="2">
        <f t="shared" ca="1" si="34"/>
        <v>1</v>
      </c>
      <c r="T172" s="2">
        <f t="shared" si="35"/>
        <v>0</v>
      </c>
      <c r="U172" s="110" t="s">
        <v>987</v>
      </c>
      <c r="V172" s="110">
        <v>1</v>
      </c>
      <c r="W172" s="110">
        <v>1</v>
      </c>
      <c r="X172" s="110">
        <v>5</v>
      </c>
      <c r="Y172" s="110">
        <v>0</v>
      </c>
      <c r="Z172" s="110">
        <v>0</v>
      </c>
      <c r="AA172" s="2">
        <f t="shared" si="36"/>
        <v>1</v>
      </c>
      <c r="AB172" s="2">
        <f t="shared" si="37"/>
        <v>0</v>
      </c>
      <c r="AC172" s="2">
        <f t="shared" si="38"/>
        <v>1</v>
      </c>
      <c r="AD172" s="2">
        <f t="shared" si="39"/>
        <v>1</v>
      </c>
      <c r="AE172" s="2">
        <f t="shared" si="40"/>
        <v>1</v>
      </c>
      <c r="AF172" s="2">
        <f t="shared" si="41"/>
        <v>0</v>
      </c>
      <c r="AG172" s="2">
        <f t="shared" si="42"/>
        <v>0</v>
      </c>
      <c r="AH172" s="2">
        <f t="shared" si="43"/>
        <v>2</v>
      </c>
      <c r="AI172" s="2">
        <f t="shared" si="44"/>
        <v>2</v>
      </c>
      <c r="AJ172" s="2">
        <f t="shared" si="45"/>
        <v>2</v>
      </c>
      <c r="AK172" s="2">
        <f t="shared" si="46"/>
        <v>0</v>
      </c>
      <c r="AL172" s="2">
        <f t="shared" si="47"/>
        <v>0</v>
      </c>
      <c r="AM172" s="115"/>
      <c r="AN172" s="115"/>
      <c r="AO172" s="63"/>
    </row>
    <row r="173" spans="1:41" ht="28.8" x14ac:dyDescent="0.55000000000000004">
      <c r="A173" s="36">
        <v>183</v>
      </c>
      <c r="B173" s="113" t="s">
        <v>1002</v>
      </c>
      <c r="C173" s="138" t="s">
        <v>1003</v>
      </c>
      <c r="D173" s="114" t="s">
        <v>52</v>
      </c>
      <c r="E173" s="115" t="s">
        <v>1004</v>
      </c>
      <c r="F173" s="116"/>
      <c r="G173" s="113" t="s">
        <v>985</v>
      </c>
      <c r="H173" s="113" t="s">
        <v>1005</v>
      </c>
      <c r="I173" s="113" t="s">
        <v>771</v>
      </c>
      <c r="J173" s="117" t="s">
        <v>1006</v>
      </c>
      <c r="K173" s="118"/>
      <c r="L173" s="109">
        <v>2</v>
      </c>
      <c r="M173" s="109">
        <v>3</v>
      </c>
      <c r="N173" s="109"/>
      <c r="O173" s="119"/>
      <c r="P173" s="2">
        <f t="shared" si="32"/>
        <v>1</v>
      </c>
      <c r="Q173" s="110" t="str">
        <f>IF(AND(Drops!$D$45&gt;1,OR(U173&lt;&gt;U172,AND(ROW()=5,U172=U173))),VLOOKUP(U173,Drops!$D$26:$E$44,2,FALSE),"")</f>
        <v/>
      </c>
      <c r="R173" s="2" t="str">
        <f t="shared" si="33"/>
        <v/>
      </c>
      <c r="S173" s="2">
        <f t="shared" ca="1" si="34"/>
        <v>1</v>
      </c>
      <c r="T173" s="2">
        <f t="shared" si="35"/>
        <v>0</v>
      </c>
      <c r="U173" s="110" t="s">
        <v>987</v>
      </c>
      <c r="V173" s="110">
        <v>1</v>
      </c>
      <c r="W173" s="110">
        <v>2</v>
      </c>
      <c r="X173" s="110">
        <v>0</v>
      </c>
      <c r="Y173" s="110">
        <v>0</v>
      </c>
      <c r="Z173" s="110">
        <v>0</v>
      </c>
      <c r="AA173" s="2">
        <f t="shared" si="36"/>
        <v>1</v>
      </c>
      <c r="AB173" s="2">
        <f t="shared" si="37"/>
        <v>1</v>
      </c>
      <c r="AC173" s="2">
        <f t="shared" si="38"/>
        <v>1</v>
      </c>
      <c r="AD173" s="2">
        <f t="shared" si="39"/>
        <v>1</v>
      </c>
      <c r="AE173" s="2">
        <f t="shared" si="40"/>
        <v>0</v>
      </c>
      <c r="AF173" s="2">
        <f t="shared" si="41"/>
        <v>0</v>
      </c>
      <c r="AG173" s="2">
        <f t="shared" si="42"/>
        <v>0</v>
      </c>
      <c r="AH173" s="2">
        <f t="shared" si="43"/>
        <v>2</v>
      </c>
      <c r="AI173" s="2">
        <f t="shared" si="44"/>
        <v>2</v>
      </c>
      <c r="AJ173" s="2">
        <f t="shared" si="45"/>
        <v>2</v>
      </c>
      <c r="AK173" s="2">
        <f t="shared" si="46"/>
        <v>0</v>
      </c>
      <c r="AL173" s="2">
        <f t="shared" si="47"/>
        <v>0</v>
      </c>
      <c r="AM173" s="115"/>
      <c r="AN173" s="115"/>
      <c r="AO173" s="63"/>
    </row>
    <row r="174" spans="1:41" ht="43.2" x14ac:dyDescent="0.55000000000000004">
      <c r="A174" s="36">
        <v>184</v>
      </c>
      <c r="B174" s="113" t="s">
        <v>1007</v>
      </c>
      <c r="C174" s="139" t="s">
        <v>1008</v>
      </c>
      <c r="D174" s="114" t="s">
        <v>52</v>
      </c>
      <c r="E174" s="115" t="s">
        <v>1009</v>
      </c>
      <c r="F174" s="116"/>
      <c r="G174" s="113" t="s">
        <v>985</v>
      </c>
      <c r="H174" s="113" t="s">
        <v>1005</v>
      </c>
      <c r="I174" s="113" t="s">
        <v>771</v>
      </c>
      <c r="J174" s="117" t="s">
        <v>1010</v>
      </c>
      <c r="K174" s="118"/>
      <c r="L174" s="109">
        <v>3</v>
      </c>
      <c r="M174" s="109">
        <v>3</v>
      </c>
      <c r="N174" s="109"/>
      <c r="O174" s="119"/>
      <c r="P174" s="2">
        <f t="shared" si="32"/>
        <v>1</v>
      </c>
      <c r="Q174" s="110" t="str">
        <f>IF(AND(Drops!$D$45&gt;1,OR(U174&lt;&gt;U173,AND(ROW()=5,U173=U174))),VLOOKUP(U174,Drops!$D$26:$E$44,2,FALSE),"")</f>
        <v/>
      </c>
      <c r="R174" s="2" t="str">
        <f t="shared" si="33"/>
        <v/>
      </c>
      <c r="S174" s="2">
        <f t="shared" ca="1" si="34"/>
        <v>1</v>
      </c>
      <c r="T174" s="2">
        <f t="shared" si="35"/>
        <v>0</v>
      </c>
      <c r="U174" s="110" t="s">
        <v>987</v>
      </c>
      <c r="V174" s="110">
        <v>1</v>
      </c>
      <c r="W174" s="110">
        <v>2</v>
      </c>
      <c r="X174" s="110">
        <v>1</v>
      </c>
      <c r="Y174" s="110">
        <v>0</v>
      </c>
      <c r="Z174" s="110">
        <v>0</v>
      </c>
      <c r="AA174" s="2">
        <f t="shared" si="36"/>
        <v>1</v>
      </c>
      <c r="AB174" s="2">
        <f t="shared" si="37"/>
        <v>0</v>
      </c>
      <c r="AC174" s="2">
        <f t="shared" si="38"/>
        <v>1</v>
      </c>
      <c r="AD174" s="2">
        <f t="shared" si="39"/>
        <v>1</v>
      </c>
      <c r="AE174" s="2">
        <f t="shared" si="40"/>
        <v>1</v>
      </c>
      <c r="AF174" s="2">
        <f t="shared" si="41"/>
        <v>0</v>
      </c>
      <c r="AG174" s="2">
        <f t="shared" si="42"/>
        <v>0</v>
      </c>
      <c r="AH174" s="2">
        <f t="shared" si="43"/>
        <v>2</v>
      </c>
      <c r="AI174" s="2">
        <f t="shared" si="44"/>
        <v>2</v>
      </c>
      <c r="AJ174" s="2">
        <f t="shared" si="45"/>
        <v>2</v>
      </c>
      <c r="AK174" s="2">
        <f t="shared" si="46"/>
        <v>0</v>
      </c>
      <c r="AL174" s="2">
        <f t="shared" si="47"/>
        <v>0</v>
      </c>
      <c r="AM174" s="115"/>
      <c r="AN174" s="115"/>
      <c r="AO174" s="63"/>
    </row>
    <row r="175" spans="1:41" ht="43.2" x14ac:dyDescent="0.55000000000000004">
      <c r="A175" s="36">
        <v>191</v>
      </c>
      <c r="B175" s="113" t="s">
        <v>1011</v>
      </c>
      <c r="C175" s="139" t="s">
        <v>1012</v>
      </c>
      <c r="D175" s="114" t="s">
        <v>52</v>
      </c>
      <c r="E175" s="115" t="s">
        <v>1013</v>
      </c>
      <c r="F175" s="116"/>
      <c r="G175" s="113" t="s">
        <v>985</v>
      </c>
      <c r="H175" s="113" t="s">
        <v>1005</v>
      </c>
      <c r="I175" s="113" t="s">
        <v>771</v>
      </c>
      <c r="J175" s="117" t="s">
        <v>1010</v>
      </c>
      <c r="K175" s="118"/>
      <c r="L175" s="109">
        <v>3</v>
      </c>
      <c r="M175" s="109">
        <v>3</v>
      </c>
      <c r="N175" s="109"/>
      <c r="O175" s="119"/>
      <c r="P175" s="2">
        <f t="shared" si="32"/>
        <v>1</v>
      </c>
      <c r="Q175" s="110" t="str">
        <f>IF(AND(Drops!$D$45&gt;1,OR(U175&lt;&gt;U174,AND(ROW()=5,U174=U175))),VLOOKUP(U175,Drops!$D$26:$E$44,2,FALSE),"")</f>
        <v/>
      </c>
      <c r="R175" s="2" t="str">
        <f t="shared" si="33"/>
        <v/>
      </c>
      <c r="S175" s="2">
        <f t="shared" ca="1" si="34"/>
        <v>1</v>
      </c>
      <c r="T175" s="2">
        <f t="shared" si="35"/>
        <v>0</v>
      </c>
      <c r="U175" s="110" t="s">
        <v>987</v>
      </c>
      <c r="V175" s="110">
        <v>1</v>
      </c>
      <c r="W175" s="110">
        <v>2</v>
      </c>
      <c r="X175" s="110">
        <v>2</v>
      </c>
      <c r="Y175" s="110">
        <v>0</v>
      </c>
      <c r="Z175" s="110">
        <v>0</v>
      </c>
      <c r="AA175" s="2">
        <f t="shared" si="36"/>
        <v>1</v>
      </c>
      <c r="AB175" s="2">
        <f t="shared" si="37"/>
        <v>0</v>
      </c>
      <c r="AC175" s="2">
        <f t="shared" si="38"/>
        <v>1</v>
      </c>
      <c r="AD175" s="2">
        <f t="shared" si="39"/>
        <v>1</v>
      </c>
      <c r="AE175" s="2">
        <f t="shared" si="40"/>
        <v>1</v>
      </c>
      <c r="AF175" s="2">
        <f t="shared" si="41"/>
        <v>0</v>
      </c>
      <c r="AG175" s="2">
        <f t="shared" si="42"/>
        <v>0</v>
      </c>
      <c r="AH175" s="2">
        <f t="shared" si="43"/>
        <v>2</v>
      </c>
      <c r="AI175" s="2">
        <f t="shared" si="44"/>
        <v>2</v>
      </c>
      <c r="AJ175" s="2">
        <f t="shared" si="45"/>
        <v>2</v>
      </c>
      <c r="AK175" s="2">
        <f t="shared" si="46"/>
        <v>0</v>
      </c>
      <c r="AL175" s="2">
        <f t="shared" si="47"/>
        <v>0</v>
      </c>
      <c r="AM175" s="115"/>
      <c r="AN175" s="115"/>
      <c r="AO175" s="63"/>
    </row>
    <row r="176" spans="1:41" ht="43.2" x14ac:dyDescent="0.55000000000000004">
      <c r="A176" s="36">
        <v>205</v>
      </c>
      <c r="B176" s="113" t="s">
        <v>1014</v>
      </c>
      <c r="C176" s="139" t="s">
        <v>1015</v>
      </c>
      <c r="D176" s="114" t="s">
        <v>52</v>
      </c>
      <c r="E176" s="115" t="s">
        <v>1016</v>
      </c>
      <c r="F176" s="116"/>
      <c r="G176" s="113" t="s">
        <v>985</v>
      </c>
      <c r="H176" s="113" t="s">
        <v>1005</v>
      </c>
      <c r="I176" s="113" t="s">
        <v>771</v>
      </c>
      <c r="J176" s="117" t="s">
        <v>1010</v>
      </c>
      <c r="K176" s="118"/>
      <c r="L176" s="109">
        <v>3</v>
      </c>
      <c r="M176" s="109">
        <v>3</v>
      </c>
      <c r="N176" s="109"/>
      <c r="O176" s="119"/>
      <c r="P176" s="2">
        <f t="shared" si="32"/>
        <v>1</v>
      </c>
      <c r="Q176" s="110" t="str">
        <f>IF(AND(Drops!$D$45&gt;1,OR(U176&lt;&gt;U175,AND(ROW()=5,U175=U176))),VLOOKUP(U176,Drops!$D$26:$E$44,2,FALSE),"")</f>
        <v/>
      </c>
      <c r="R176" s="2" t="str">
        <f t="shared" si="33"/>
        <v/>
      </c>
      <c r="S176" s="2">
        <f t="shared" ca="1" si="34"/>
        <v>1</v>
      </c>
      <c r="T176" s="2">
        <f t="shared" si="35"/>
        <v>0</v>
      </c>
      <c r="U176" s="110" t="s">
        <v>987</v>
      </c>
      <c r="V176" s="110">
        <v>1</v>
      </c>
      <c r="W176" s="110">
        <v>2</v>
      </c>
      <c r="X176" s="110">
        <v>3</v>
      </c>
      <c r="Y176" s="110">
        <v>0</v>
      </c>
      <c r="Z176" s="110">
        <v>0</v>
      </c>
      <c r="AA176" s="2">
        <f t="shared" si="36"/>
        <v>1</v>
      </c>
      <c r="AB176" s="2">
        <f t="shared" si="37"/>
        <v>0</v>
      </c>
      <c r="AC176" s="2">
        <f t="shared" si="38"/>
        <v>1</v>
      </c>
      <c r="AD176" s="2">
        <f t="shared" si="39"/>
        <v>1</v>
      </c>
      <c r="AE176" s="2">
        <f t="shared" si="40"/>
        <v>1</v>
      </c>
      <c r="AF176" s="2">
        <f t="shared" si="41"/>
        <v>0</v>
      </c>
      <c r="AG176" s="2">
        <f t="shared" si="42"/>
        <v>0</v>
      </c>
      <c r="AH176" s="2">
        <f t="shared" si="43"/>
        <v>2</v>
      </c>
      <c r="AI176" s="2">
        <f t="shared" si="44"/>
        <v>2</v>
      </c>
      <c r="AJ176" s="2">
        <f t="shared" si="45"/>
        <v>2</v>
      </c>
      <c r="AK176" s="2">
        <f t="shared" si="46"/>
        <v>0</v>
      </c>
      <c r="AL176" s="2">
        <f t="shared" si="47"/>
        <v>0</v>
      </c>
      <c r="AM176" s="115"/>
      <c r="AN176" s="115"/>
      <c r="AO176" s="63"/>
    </row>
    <row r="177" spans="1:41" ht="144" x14ac:dyDescent="0.55000000000000004">
      <c r="A177" s="36">
        <v>212</v>
      </c>
      <c r="B177" s="113" t="s">
        <v>1017</v>
      </c>
      <c r="C177" s="138" t="s">
        <v>1018</v>
      </c>
      <c r="D177" s="114" t="s">
        <v>52</v>
      </c>
      <c r="E177" s="115" t="s">
        <v>1019</v>
      </c>
      <c r="F177" s="116"/>
      <c r="G177" s="113" t="s">
        <v>985</v>
      </c>
      <c r="H177" s="113" t="s">
        <v>1020</v>
      </c>
      <c r="I177" s="113" t="s">
        <v>1021</v>
      </c>
      <c r="J177" s="117" t="s">
        <v>1022</v>
      </c>
      <c r="K177" s="118"/>
      <c r="L177" s="109">
        <v>2</v>
      </c>
      <c r="M177" s="109">
        <v>2</v>
      </c>
      <c r="N177" s="109"/>
      <c r="O177" s="119"/>
      <c r="P177" s="2">
        <f t="shared" si="32"/>
        <v>1</v>
      </c>
      <c r="Q177" s="110" t="str">
        <f>IF(AND(Drops!$D$45&gt;1,OR(U177&lt;&gt;U176,AND(ROW()=5,U176=U177))),VLOOKUP(U177,Drops!$D$26:$E$44,2,FALSE),"")</f>
        <v/>
      </c>
      <c r="R177" s="2" t="str">
        <f t="shared" si="33"/>
        <v/>
      </c>
      <c r="S177" s="2">
        <f t="shared" ca="1" si="34"/>
        <v>1</v>
      </c>
      <c r="T177" s="2">
        <f t="shared" si="35"/>
        <v>0</v>
      </c>
      <c r="U177" s="110" t="s">
        <v>987</v>
      </c>
      <c r="V177" s="110">
        <v>1</v>
      </c>
      <c r="W177" s="110">
        <v>3</v>
      </c>
      <c r="X177" s="110">
        <v>0</v>
      </c>
      <c r="Y177" s="110">
        <v>0</v>
      </c>
      <c r="Z177" s="110">
        <v>0</v>
      </c>
      <c r="AA177" s="2">
        <f t="shared" si="36"/>
        <v>1</v>
      </c>
      <c r="AB177" s="2">
        <f t="shared" si="37"/>
        <v>1</v>
      </c>
      <c r="AC177" s="2">
        <f t="shared" si="38"/>
        <v>1</v>
      </c>
      <c r="AD177" s="2">
        <f t="shared" si="39"/>
        <v>1</v>
      </c>
      <c r="AE177" s="2">
        <f t="shared" si="40"/>
        <v>0</v>
      </c>
      <c r="AF177" s="2">
        <f t="shared" si="41"/>
        <v>0</v>
      </c>
      <c r="AG177" s="2">
        <f t="shared" si="42"/>
        <v>0</v>
      </c>
      <c r="AH177" s="2">
        <f t="shared" si="43"/>
        <v>2</v>
      </c>
      <c r="AI177" s="2">
        <f t="shared" si="44"/>
        <v>2</v>
      </c>
      <c r="AJ177" s="2">
        <f t="shared" si="45"/>
        <v>2</v>
      </c>
      <c r="AK177" s="2">
        <f t="shared" si="46"/>
        <v>0</v>
      </c>
      <c r="AL177" s="2">
        <f t="shared" si="47"/>
        <v>0</v>
      </c>
      <c r="AM177" s="115"/>
      <c r="AN177" s="115"/>
      <c r="AO177" s="63"/>
    </row>
    <row r="178" spans="1:41" ht="115.2" x14ac:dyDescent="0.55000000000000004">
      <c r="A178" s="36">
        <v>214</v>
      </c>
      <c r="B178" s="113" t="s">
        <v>1023</v>
      </c>
      <c r="C178" s="139" t="s">
        <v>1024</v>
      </c>
      <c r="D178" s="114" t="s">
        <v>52</v>
      </c>
      <c r="E178" s="115"/>
      <c r="F178" s="116"/>
      <c r="G178" s="113" t="s">
        <v>985</v>
      </c>
      <c r="H178" s="113" t="s">
        <v>1020</v>
      </c>
      <c r="I178" s="113" t="s">
        <v>1021</v>
      </c>
      <c r="J178" s="117" t="s">
        <v>1025</v>
      </c>
      <c r="K178" s="118"/>
      <c r="L178" s="109">
        <v>3</v>
      </c>
      <c r="M178" s="109">
        <v>3</v>
      </c>
      <c r="N178" s="109"/>
      <c r="O178" s="119"/>
      <c r="P178" s="2">
        <f t="shared" si="32"/>
        <v>1</v>
      </c>
      <c r="Q178" s="110" t="str">
        <f>IF(AND(Drops!$D$45&gt;1,OR(U178&lt;&gt;U177,AND(ROW()=5,U177=U178))),VLOOKUP(U178,Drops!$D$26:$E$44,2,FALSE),"")</f>
        <v/>
      </c>
      <c r="R178" s="2" t="str">
        <f t="shared" si="33"/>
        <v/>
      </c>
      <c r="S178" s="2">
        <f t="shared" ca="1" si="34"/>
        <v>1</v>
      </c>
      <c r="T178" s="2">
        <f t="shared" si="35"/>
        <v>0</v>
      </c>
      <c r="U178" s="110" t="s">
        <v>987</v>
      </c>
      <c r="V178" s="110">
        <v>1</v>
      </c>
      <c r="W178" s="110">
        <v>3</v>
      </c>
      <c r="X178" s="110">
        <v>1</v>
      </c>
      <c r="Y178" s="110">
        <v>0</v>
      </c>
      <c r="Z178" s="110">
        <v>0</v>
      </c>
      <c r="AA178" s="2">
        <f t="shared" si="36"/>
        <v>1</v>
      </c>
      <c r="AB178" s="2">
        <f t="shared" si="37"/>
        <v>0</v>
      </c>
      <c r="AC178" s="2">
        <f t="shared" si="38"/>
        <v>1</v>
      </c>
      <c r="AD178" s="2">
        <f t="shared" si="39"/>
        <v>1</v>
      </c>
      <c r="AE178" s="2">
        <f t="shared" si="40"/>
        <v>1</v>
      </c>
      <c r="AF178" s="2">
        <f t="shared" si="41"/>
        <v>0</v>
      </c>
      <c r="AG178" s="2">
        <f t="shared" si="42"/>
        <v>0</v>
      </c>
      <c r="AH178" s="2">
        <f t="shared" si="43"/>
        <v>2</v>
      </c>
      <c r="AI178" s="2">
        <f t="shared" si="44"/>
        <v>2</v>
      </c>
      <c r="AJ178" s="2">
        <f t="shared" si="45"/>
        <v>2</v>
      </c>
      <c r="AK178" s="2">
        <f t="shared" si="46"/>
        <v>0</v>
      </c>
      <c r="AL178" s="2">
        <f t="shared" si="47"/>
        <v>0</v>
      </c>
      <c r="AM178" s="115"/>
      <c r="AN178" s="115"/>
      <c r="AO178" s="63"/>
    </row>
    <row r="179" spans="1:41" ht="43.2" x14ac:dyDescent="0.55000000000000004">
      <c r="A179" s="36">
        <v>4550</v>
      </c>
      <c r="B179" s="113" t="s">
        <v>1026</v>
      </c>
      <c r="C179" s="139" t="s">
        <v>1027</v>
      </c>
      <c r="D179" s="114" t="s">
        <v>52</v>
      </c>
      <c r="E179" s="115"/>
      <c r="F179" s="116"/>
      <c r="G179" s="113" t="s">
        <v>985</v>
      </c>
      <c r="H179" s="113" t="s">
        <v>1020</v>
      </c>
      <c r="I179" s="113"/>
      <c r="J179" s="117" t="s">
        <v>1028</v>
      </c>
      <c r="K179" s="118"/>
      <c r="L179" s="109">
        <v>3</v>
      </c>
      <c r="M179" s="109">
        <v>3</v>
      </c>
      <c r="N179" s="109"/>
      <c r="O179" s="119"/>
      <c r="P179" s="2">
        <f t="shared" si="32"/>
        <v>1</v>
      </c>
      <c r="Q179" s="110" t="str">
        <f>IF(AND(Drops!$D$45&gt;1,OR(U179&lt;&gt;U178,AND(ROW()=5,U178=U179))),VLOOKUP(U179,Drops!$D$26:$E$44,2,FALSE),"")</f>
        <v/>
      </c>
      <c r="R179" s="2" t="str">
        <f t="shared" si="33"/>
        <v/>
      </c>
      <c r="S179" s="2">
        <f t="shared" ca="1" si="34"/>
        <v>1</v>
      </c>
      <c r="T179" s="2">
        <f t="shared" si="35"/>
        <v>0</v>
      </c>
      <c r="U179" s="110" t="s">
        <v>987</v>
      </c>
      <c r="V179" s="110">
        <v>1</v>
      </c>
      <c r="W179" s="110">
        <v>3</v>
      </c>
      <c r="X179" s="110">
        <v>2</v>
      </c>
      <c r="Y179" s="110">
        <v>0</v>
      </c>
      <c r="Z179" s="110">
        <v>0</v>
      </c>
      <c r="AA179" s="2">
        <f t="shared" si="36"/>
        <v>1</v>
      </c>
      <c r="AB179" s="2">
        <f t="shared" si="37"/>
        <v>0</v>
      </c>
      <c r="AC179" s="2">
        <f t="shared" si="38"/>
        <v>1</v>
      </c>
      <c r="AD179" s="2">
        <f t="shared" si="39"/>
        <v>1</v>
      </c>
      <c r="AE179" s="2">
        <f t="shared" si="40"/>
        <v>1</v>
      </c>
      <c r="AF179" s="2">
        <f t="shared" si="41"/>
        <v>0</v>
      </c>
      <c r="AG179" s="2">
        <f t="shared" si="42"/>
        <v>0</v>
      </c>
      <c r="AH179" s="2">
        <f t="shared" si="43"/>
        <v>2</v>
      </c>
      <c r="AI179" s="2">
        <f t="shared" si="44"/>
        <v>2</v>
      </c>
      <c r="AJ179" s="2">
        <f t="shared" si="45"/>
        <v>2</v>
      </c>
      <c r="AK179" s="2">
        <f t="shared" si="46"/>
        <v>0</v>
      </c>
      <c r="AL179" s="2">
        <f t="shared" si="47"/>
        <v>0</v>
      </c>
      <c r="AM179" s="115"/>
      <c r="AN179" s="115"/>
      <c r="AO179" s="63"/>
    </row>
    <row r="180" spans="1:41" ht="144" x14ac:dyDescent="0.55000000000000004">
      <c r="A180" s="36">
        <v>2536</v>
      </c>
      <c r="B180" s="113" t="s">
        <v>1029</v>
      </c>
      <c r="C180" s="139" t="s">
        <v>1030</v>
      </c>
      <c r="D180" s="114" t="s">
        <v>52</v>
      </c>
      <c r="E180" s="115"/>
      <c r="F180" s="116"/>
      <c r="G180" s="113" t="s">
        <v>985</v>
      </c>
      <c r="H180" s="113" t="s">
        <v>1020</v>
      </c>
      <c r="I180" s="113" t="s">
        <v>1021</v>
      </c>
      <c r="J180" s="117" t="s">
        <v>1031</v>
      </c>
      <c r="K180" s="118"/>
      <c r="L180" s="109">
        <v>3</v>
      </c>
      <c r="M180" s="109">
        <v>2</v>
      </c>
      <c r="N180" s="109"/>
      <c r="O180" s="119"/>
      <c r="P180" s="2">
        <f t="shared" si="32"/>
        <v>1</v>
      </c>
      <c r="Q180" s="110" t="str">
        <f>IF(AND(Drops!$D$45&gt;1,OR(U180&lt;&gt;U179,AND(ROW()=5,U179=U180))),VLOOKUP(U180,Drops!$D$26:$E$44,2,FALSE),"")</f>
        <v/>
      </c>
      <c r="R180" s="2" t="str">
        <f t="shared" si="33"/>
        <v/>
      </c>
      <c r="S180" s="2">
        <f t="shared" ca="1" si="34"/>
        <v>1</v>
      </c>
      <c r="T180" s="2">
        <f t="shared" si="35"/>
        <v>0</v>
      </c>
      <c r="U180" s="110" t="s">
        <v>987</v>
      </c>
      <c r="V180" s="110">
        <v>1</v>
      </c>
      <c r="W180" s="110">
        <v>3</v>
      </c>
      <c r="X180" s="110">
        <v>3</v>
      </c>
      <c r="Y180" s="110">
        <v>0</v>
      </c>
      <c r="Z180" s="110">
        <v>0</v>
      </c>
      <c r="AA180" s="2">
        <f t="shared" si="36"/>
        <v>1</v>
      </c>
      <c r="AB180" s="2">
        <f t="shared" si="37"/>
        <v>0</v>
      </c>
      <c r="AC180" s="2">
        <f t="shared" si="38"/>
        <v>1</v>
      </c>
      <c r="AD180" s="2">
        <f t="shared" si="39"/>
        <v>1</v>
      </c>
      <c r="AE180" s="2">
        <f t="shared" si="40"/>
        <v>1</v>
      </c>
      <c r="AF180" s="2">
        <f t="shared" si="41"/>
        <v>0</v>
      </c>
      <c r="AG180" s="2">
        <f t="shared" si="42"/>
        <v>0</v>
      </c>
      <c r="AH180" s="2">
        <f t="shared" si="43"/>
        <v>2</v>
      </c>
      <c r="AI180" s="2">
        <f t="shared" si="44"/>
        <v>2</v>
      </c>
      <c r="AJ180" s="2">
        <f t="shared" si="45"/>
        <v>2</v>
      </c>
      <c r="AK180" s="2">
        <f t="shared" si="46"/>
        <v>0</v>
      </c>
      <c r="AL180" s="2">
        <f t="shared" si="47"/>
        <v>0</v>
      </c>
      <c r="AM180" s="115"/>
      <c r="AN180" s="115"/>
      <c r="AO180" s="63"/>
    </row>
    <row r="181" spans="1:41" ht="57.6" x14ac:dyDescent="0.55000000000000004">
      <c r="A181" s="36">
        <v>3302</v>
      </c>
      <c r="B181" s="113" t="s">
        <v>1032</v>
      </c>
      <c r="C181" s="139" t="s">
        <v>1033</v>
      </c>
      <c r="D181" s="114" t="s">
        <v>52</v>
      </c>
      <c r="E181" s="115"/>
      <c r="F181" s="116"/>
      <c r="G181" s="113" t="s">
        <v>985</v>
      </c>
      <c r="H181" s="113" t="s">
        <v>1020</v>
      </c>
      <c r="I181" s="113" t="s">
        <v>1021</v>
      </c>
      <c r="J181" s="117" t="s">
        <v>1034</v>
      </c>
      <c r="K181" s="118"/>
      <c r="L181" s="109">
        <v>3</v>
      </c>
      <c r="M181" s="109">
        <v>2</v>
      </c>
      <c r="N181" s="109"/>
      <c r="O181" s="119"/>
      <c r="P181" s="2">
        <f t="shared" si="32"/>
        <v>1</v>
      </c>
      <c r="Q181" s="110" t="str">
        <f>IF(AND(Drops!$D$45&gt;1,OR(U181&lt;&gt;U180,AND(ROW()=5,U180=U181))),VLOOKUP(U181,Drops!$D$26:$E$44,2,FALSE),"")</f>
        <v/>
      </c>
      <c r="R181" s="2" t="str">
        <f t="shared" si="33"/>
        <v/>
      </c>
      <c r="S181" s="2">
        <f t="shared" ca="1" si="34"/>
        <v>1</v>
      </c>
      <c r="T181" s="2">
        <f t="shared" si="35"/>
        <v>0</v>
      </c>
      <c r="U181" s="110" t="s">
        <v>987</v>
      </c>
      <c r="V181" s="110">
        <v>1</v>
      </c>
      <c r="W181" s="110">
        <v>3</v>
      </c>
      <c r="X181" s="110">
        <v>5</v>
      </c>
      <c r="Y181" s="110">
        <v>0</v>
      </c>
      <c r="Z181" s="110">
        <v>0</v>
      </c>
      <c r="AA181" s="2">
        <f t="shared" si="36"/>
        <v>1</v>
      </c>
      <c r="AB181" s="2">
        <f t="shared" si="37"/>
        <v>0</v>
      </c>
      <c r="AC181" s="2">
        <f t="shared" si="38"/>
        <v>1</v>
      </c>
      <c r="AD181" s="2">
        <f t="shared" si="39"/>
        <v>1</v>
      </c>
      <c r="AE181" s="2">
        <f t="shared" si="40"/>
        <v>1</v>
      </c>
      <c r="AF181" s="2">
        <f t="shared" si="41"/>
        <v>0</v>
      </c>
      <c r="AG181" s="2">
        <f t="shared" si="42"/>
        <v>0</v>
      </c>
      <c r="AH181" s="2">
        <f t="shared" si="43"/>
        <v>2</v>
      </c>
      <c r="AI181" s="2">
        <f t="shared" si="44"/>
        <v>2</v>
      </c>
      <c r="AJ181" s="2">
        <f t="shared" si="45"/>
        <v>2</v>
      </c>
      <c r="AK181" s="2">
        <f t="shared" si="46"/>
        <v>0</v>
      </c>
      <c r="AL181" s="2">
        <f t="shared" si="47"/>
        <v>0</v>
      </c>
      <c r="AM181" s="115"/>
      <c r="AN181" s="115"/>
      <c r="AO181" s="63"/>
    </row>
    <row r="182" spans="1:41" ht="57.6" x14ac:dyDescent="0.55000000000000004">
      <c r="A182" s="36">
        <v>293</v>
      </c>
      <c r="B182" s="113" t="s">
        <v>1035</v>
      </c>
      <c r="C182" s="138" t="s">
        <v>1036</v>
      </c>
      <c r="D182" s="114" t="s">
        <v>52</v>
      </c>
      <c r="E182" s="115" t="s">
        <v>1037</v>
      </c>
      <c r="F182" s="116"/>
      <c r="G182" s="113" t="s">
        <v>985</v>
      </c>
      <c r="H182" s="113" t="s">
        <v>1038</v>
      </c>
      <c r="I182" s="113" t="s">
        <v>1021</v>
      </c>
      <c r="J182" s="117" t="s">
        <v>1039</v>
      </c>
      <c r="K182" s="118"/>
      <c r="L182" s="109">
        <v>2</v>
      </c>
      <c r="M182" s="109">
        <v>2</v>
      </c>
      <c r="N182" s="109"/>
      <c r="O182" s="119"/>
      <c r="P182" s="2">
        <f t="shared" si="32"/>
        <v>1</v>
      </c>
      <c r="Q182" s="110" t="str">
        <f>IF(AND(Drops!$D$45&gt;1,OR(U182&lt;&gt;U181,AND(ROW()=5,U181=U182))),VLOOKUP(U182,Drops!$D$26:$E$44,2,FALSE),"")</f>
        <v/>
      </c>
      <c r="R182" s="2" t="str">
        <f t="shared" si="33"/>
        <v/>
      </c>
      <c r="S182" s="2">
        <f t="shared" ca="1" si="34"/>
        <v>1</v>
      </c>
      <c r="T182" s="2">
        <f t="shared" si="35"/>
        <v>0</v>
      </c>
      <c r="U182" s="110" t="s">
        <v>987</v>
      </c>
      <c r="V182" s="110">
        <v>1</v>
      </c>
      <c r="W182" s="110">
        <v>4</v>
      </c>
      <c r="X182" s="110">
        <v>0</v>
      </c>
      <c r="Y182" s="110">
        <v>0</v>
      </c>
      <c r="Z182" s="110">
        <v>0</v>
      </c>
      <c r="AA182" s="2">
        <f t="shared" si="36"/>
        <v>1</v>
      </c>
      <c r="AB182" s="2">
        <f t="shared" si="37"/>
        <v>0</v>
      </c>
      <c r="AC182" s="2">
        <f t="shared" si="38"/>
        <v>1</v>
      </c>
      <c r="AD182" s="2">
        <f t="shared" si="39"/>
        <v>1</v>
      </c>
      <c r="AE182" s="2">
        <f t="shared" si="40"/>
        <v>0</v>
      </c>
      <c r="AF182" s="2">
        <f t="shared" si="41"/>
        <v>0</v>
      </c>
      <c r="AG182" s="2">
        <f t="shared" si="42"/>
        <v>0</v>
      </c>
      <c r="AH182" s="2">
        <f t="shared" si="43"/>
        <v>2</v>
      </c>
      <c r="AI182" s="2">
        <f t="shared" si="44"/>
        <v>2</v>
      </c>
      <c r="AJ182" s="2">
        <f t="shared" si="45"/>
        <v>2</v>
      </c>
      <c r="AK182" s="2">
        <f t="shared" si="46"/>
        <v>0</v>
      </c>
      <c r="AL182" s="2">
        <f t="shared" si="47"/>
        <v>0</v>
      </c>
      <c r="AM182" s="115"/>
      <c r="AN182" s="115"/>
      <c r="AO182" s="63"/>
    </row>
    <row r="183" spans="1:41" ht="43.2" x14ac:dyDescent="0.55000000000000004">
      <c r="A183" s="36">
        <v>32</v>
      </c>
      <c r="B183" s="113" t="s">
        <v>1040</v>
      </c>
      <c r="C183" s="138" t="s">
        <v>1041</v>
      </c>
      <c r="D183" s="114" t="s">
        <v>52</v>
      </c>
      <c r="E183" s="115"/>
      <c r="F183" s="116"/>
      <c r="G183" s="113" t="s">
        <v>985</v>
      </c>
      <c r="H183" s="113" t="s">
        <v>1038</v>
      </c>
      <c r="I183" s="113" t="s">
        <v>771</v>
      </c>
      <c r="J183" s="117" t="s">
        <v>1042</v>
      </c>
      <c r="K183" s="118"/>
      <c r="L183" s="109">
        <v>2</v>
      </c>
      <c r="M183" s="109">
        <v>3</v>
      </c>
      <c r="N183" s="109"/>
      <c r="O183" s="119"/>
      <c r="P183" s="2">
        <f t="shared" si="32"/>
        <v>1</v>
      </c>
      <c r="Q183" s="110" t="str">
        <f>IF(AND(Drops!$D$45&gt;1,OR(U183&lt;&gt;U182,AND(ROW()=5,U182=U183))),VLOOKUP(U183,Drops!$D$26:$E$44,2,FALSE),"")</f>
        <v/>
      </c>
      <c r="R183" s="2" t="str">
        <f t="shared" si="33"/>
        <v/>
      </c>
      <c r="S183" s="2">
        <f t="shared" ca="1" si="34"/>
        <v>1</v>
      </c>
      <c r="T183" s="2">
        <f t="shared" si="35"/>
        <v>0</v>
      </c>
      <c r="U183" s="110" t="s">
        <v>987</v>
      </c>
      <c r="V183" s="110">
        <v>1</v>
      </c>
      <c r="W183" s="110">
        <v>5</v>
      </c>
      <c r="X183" s="110">
        <v>0</v>
      </c>
      <c r="Y183" s="110">
        <v>0</v>
      </c>
      <c r="Z183" s="110">
        <v>0</v>
      </c>
      <c r="AA183" s="2">
        <f t="shared" si="36"/>
        <v>1</v>
      </c>
      <c r="AB183" s="2">
        <f t="shared" si="37"/>
        <v>0</v>
      </c>
      <c r="AC183" s="2">
        <f t="shared" si="38"/>
        <v>1</v>
      </c>
      <c r="AD183" s="2">
        <f t="shared" si="39"/>
        <v>1</v>
      </c>
      <c r="AE183" s="2">
        <f t="shared" si="40"/>
        <v>0</v>
      </c>
      <c r="AF183" s="2">
        <f t="shared" si="41"/>
        <v>0</v>
      </c>
      <c r="AG183" s="2">
        <f t="shared" si="42"/>
        <v>0</v>
      </c>
      <c r="AH183" s="2">
        <f t="shared" si="43"/>
        <v>2</v>
      </c>
      <c r="AI183" s="2">
        <f t="shared" si="44"/>
        <v>2</v>
      </c>
      <c r="AJ183" s="2">
        <f t="shared" si="45"/>
        <v>2</v>
      </c>
      <c r="AK183" s="2">
        <f t="shared" si="46"/>
        <v>0</v>
      </c>
      <c r="AL183" s="2">
        <f t="shared" si="47"/>
        <v>0</v>
      </c>
      <c r="AM183" s="115"/>
      <c r="AN183" s="115"/>
      <c r="AO183" s="63"/>
    </row>
    <row r="184" spans="1:41" ht="187.2" x14ac:dyDescent="0.55000000000000004">
      <c r="A184" s="36">
        <v>2557</v>
      </c>
      <c r="B184" s="113" t="s">
        <v>1043</v>
      </c>
      <c r="C184" s="138" t="s">
        <v>1044</v>
      </c>
      <c r="D184" s="114" t="s">
        <v>52</v>
      </c>
      <c r="E184" s="115" t="s">
        <v>1045</v>
      </c>
      <c r="F184" s="116"/>
      <c r="G184" s="113" t="s">
        <v>985</v>
      </c>
      <c r="H184" s="113" t="s">
        <v>1046</v>
      </c>
      <c r="I184" s="113" t="s">
        <v>1047</v>
      </c>
      <c r="J184" s="117" t="s">
        <v>1048</v>
      </c>
      <c r="K184" s="118"/>
      <c r="L184" s="109">
        <v>2</v>
      </c>
      <c r="M184" s="109">
        <v>2</v>
      </c>
      <c r="N184" s="109"/>
      <c r="O184" s="119"/>
      <c r="P184" s="2">
        <f t="shared" si="32"/>
        <v>1</v>
      </c>
      <c r="Q184" s="110" t="str">
        <f>IF(AND(Drops!$D$45&gt;1,OR(U184&lt;&gt;U183,AND(ROW()=5,U183=U184))),VLOOKUP(U184,Drops!$D$26:$E$44,2,FALSE),"")</f>
        <v/>
      </c>
      <c r="R184" s="2" t="str">
        <f t="shared" si="33"/>
        <v/>
      </c>
      <c r="S184" s="2">
        <f t="shared" ca="1" si="34"/>
        <v>1</v>
      </c>
      <c r="T184" s="2">
        <f t="shared" si="35"/>
        <v>0</v>
      </c>
      <c r="U184" s="110" t="s">
        <v>987</v>
      </c>
      <c r="V184" s="110">
        <v>1</v>
      </c>
      <c r="W184" s="110">
        <v>6</v>
      </c>
      <c r="X184" s="110">
        <v>0</v>
      </c>
      <c r="Y184" s="110">
        <v>0</v>
      </c>
      <c r="Z184" s="110">
        <v>0</v>
      </c>
      <c r="AA184" s="2">
        <f t="shared" si="36"/>
        <v>1</v>
      </c>
      <c r="AB184" s="2">
        <f t="shared" si="37"/>
        <v>0</v>
      </c>
      <c r="AC184" s="2">
        <f t="shared" si="38"/>
        <v>1</v>
      </c>
      <c r="AD184" s="2">
        <f t="shared" si="39"/>
        <v>1</v>
      </c>
      <c r="AE184" s="2">
        <f t="shared" si="40"/>
        <v>0</v>
      </c>
      <c r="AF184" s="2">
        <f t="shared" si="41"/>
        <v>0</v>
      </c>
      <c r="AG184" s="2">
        <f t="shared" si="42"/>
        <v>0</v>
      </c>
      <c r="AH184" s="2">
        <f t="shared" si="43"/>
        <v>2</v>
      </c>
      <c r="AI184" s="2">
        <f t="shared" si="44"/>
        <v>2</v>
      </c>
      <c r="AJ184" s="2">
        <f t="shared" si="45"/>
        <v>2</v>
      </c>
      <c r="AK184" s="2">
        <f t="shared" si="46"/>
        <v>0</v>
      </c>
      <c r="AL184" s="2">
        <f t="shared" si="47"/>
        <v>0</v>
      </c>
      <c r="AM184" s="115"/>
      <c r="AN184" s="115"/>
      <c r="AO184" s="63"/>
    </row>
    <row r="185" spans="1:41" ht="28.8" x14ac:dyDescent="0.55000000000000004">
      <c r="A185" s="36">
        <v>299</v>
      </c>
      <c r="B185" s="113" t="s">
        <v>206</v>
      </c>
      <c r="C185" s="113" t="s">
        <v>1049</v>
      </c>
      <c r="D185" s="114" t="s">
        <v>52</v>
      </c>
      <c r="E185" s="115"/>
      <c r="F185" s="116"/>
      <c r="G185" s="113" t="s">
        <v>985</v>
      </c>
      <c r="H185" s="113" t="s">
        <v>1046</v>
      </c>
      <c r="I185" s="113" t="s">
        <v>1047</v>
      </c>
      <c r="J185" s="117" t="s">
        <v>1050</v>
      </c>
      <c r="K185" s="118"/>
      <c r="L185" s="109">
        <v>1</v>
      </c>
      <c r="M185" s="109">
        <v>2</v>
      </c>
      <c r="N185" s="109"/>
      <c r="O185" s="119"/>
      <c r="P185" s="2">
        <f t="shared" si="32"/>
        <v>1</v>
      </c>
      <c r="Q185" s="110" t="str">
        <f>IF(AND(Drops!$D$45&gt;1,OR(U185&lt;&gt;U184,AND(ROW()=5,U184=U185))),VLOOKUP(U185,Drops!$D$26:$E$44,2,FALSE),"")</f>
        <v/>
      </c>
      <c r="R185" s="2" t="str">
        <f t="shared" si="33"/>
        <v/>
      </c>
      <c r="S185" s="2">
        <f t="shared" ca="1" si="34"/>
        <v>1</v>
      </c>
      <c r="T185" s="2">
        <f t="shared" si="35"/>
        <v>1</v>
      </c>
      <c r="U185" s="110" t="s">
        <v>987</v>
      </c>
      <c r="V185" s="110">
        <v>2</v>
      </c>
      <c r="W185" s="110">
        <v>0</v>
      </c>
      <c r="X185" s="110">
        <v>0</v>
      </c>
      <c r="Y185" s="110">
        <v>0</v>
      </c>
      <c r="Z185" s="110">
        <v>0</v>
      </c>
      <c r="AA185" s="2">
        <f t="shared" si="36"/>
        <v>1</v>
      </c>
      <c r="AB185" s="2">
        <f t="shared" si="37"/>
        <v>0</v>
      </c>
      <c r="AC185" s="2">
        <f t="shared" si="38"/>
        <v>1</v>
      </c>
      <c r="AD185" s="2">
        <f t="shared" si="39"/>
        <v>0</v>
      </c>
      <c r="AE185" s="2">
        <f t="shared" si="40"/>
        <v>0</v>
      </c>
      <c r="AF185" s="2">
        <f t="shared" si="41"/>
        <v>0</v>
      </c>
      <c r="AG185" s="2">
        <f t="shared" si="42"/>
        <v>0</v>
      </c>
      <c r="AH185" s="2">
        <f t="shared" si="43"/>
        <v>2</v>
      </c>
      <c r="AI185" s="2">
        <f t="shared" si="44"/>
        <v>2</v>
      </c>
      <c r="AJ185" s="2">
        <f t="shared" si="45"/>
        <v>2</v>
      </c>
      <c r="AK185" s="2">
        <f t="shared" si="46"/>
        <v>0</v>
      </c>
      <c r="AL185" s="2">
        <f t="shared" si="47"/>
        <v>0</v>
      </c>
      <c r="AM185" s="115"/>
      <c r="AN185" s="115"/>
      <c r="AO185" s="63"/>
    </row>
    <row r="186" spans="1:41" ht="28.8" x14ac:dyDescent="0.55000000000000004">
      <c r="A186" s="36">
        <v>5825</v>
      </c>
      <c r="B186" s="113" t="s">
        <v>208</v>
      </c>
      <c r="C186" s="113" t="s">
        <v>1051</v>
      </c>
      <c r="D186" s="114" t="s">
        <v>52</v>
      </c>
      <c r="E186" s="115"/>
      <c r="F186" s="116"/>
      <c r="G186" s="113" t="s">
        <v>985</v>
      </c>
      <c r="H186" s="113" t="s">
        <v>1052</v>
      </c>
      <c r="I186" s="113" t="s">
        <v>1053</v>
      </c>
      <c r="J186" s="117" t="s">
        <v>732</v>
      </c>
      <c r="K186" s="118"/>
      <c r="L186" s="109">
        <v>1</v>
      </c>
      <c r="M186" s="109">
        <v>3</v>
      </c>
      <c r="N186" s="109"/>
      <c r="O186" s="119"/>
      <c r="P186" s="2">
        <f t="shared" si="32"/>
        <v>1</v>
      </c>
      <c r="Q186" s="110" t="str">
        <f>IF(AND(Drops!$D$45&gt;1,OR(U186&lt;&gt;U185,AND(ROW()=5,U185=U186))),VLOOKUP(U186,Drops!$D$26:$E$44,2,FALSE),"")</f>
        <v/>
      </c>
      <c r="R186" s="2" t="str">
        <f t="shared" si="33"/>
        <v/>
      </c>
      <c r="S186" s="2">
        <f t="shared" ca="1" si="34"/>
        <v>1</v>
      </c>
      <c r="T186" s="2">
        <f t="shared" si="35"/>
        <v>1</v>
      </c>
      <c r="U186" s="110" t="s">
        <v>987</v>
      </c>
      <c r="V186" s="110">
        <v>3</v>
      </c>
      <c r="W186" s="110">
        <v>0</v>
      </c>
      <c r="X186" s="110">
        <v>0</v>
      </c>
      <c r="Y186" s="110">
        <v>0</v>
      </c>
      <c r="Z186" s="110">
        <v>0</v>
      </c>
      <c r="AA186" s="2">
        <f t="shared" si="36"/>
        <v>1</v>
      </c>
      <c r="AB186" s="2">
        <f t="shared" si="37"/>
        <v>0</v>
      </c>
      <c r="AC186" s="2">
        <f t="shared" si="38"/>
        <v>1</v>
      </c>
      <c r="AD186" s="2">
        <f t="shared" si="39"/>
        <v>0</v>
      </c>
      <c r="AE186" s="2">
        <f t="shared" si="40"/>
        <v>0</v>
      </c>
      <c r="AF186" s="2">
        <f t="shared" si="41"/>
        <v>0</v>
      </c>
      <c r="AG186" s="2">
        <f t="shared" si="42"/>
        <v>0</v>
      </c>
      <c r="AH186" s="2">
        <f t="shared" si="43"/>
        <v>2</v>
      </c>
      <c r="AI186" s="2">
        <f t="shared" si="44"/>
        <v>2</v>
      </c>
      <c r="AJ186" s="2">
        <f t="shared" si="45"/>
        <v>2</v>
      </c>
      <c r="AK186" s="2">
        <f t="shared" si="46"/>
        <v>0</v>
      </c>
      <c r="AL186" s="2">
        <f t="shared" si="47"/>
        <v>0</v>
      </c>
      <c r="AM186" s="115"/>
      <c r="AN186" s="115"/>
      <c r="AO186" s="63"/>
    </row>
    <row r="187" spans="1:41" ht="409.5" x14ac:dyDescent="0.55000000000000004">
      <c r="A187" s="36">
        <v>312</v>
      </c>
      <c r="B187" s="113" t="s">
        <v>214</v>
      </c>
      <c r="C187" s="113" t="s">
        <v>1054</v>
      </c>
      <c r="D187" s="114" t="s">
        <v>52</v>
      </c>
      <c r="E187" s="115" t="s">
        <v>1055</v>
      </c>
      <c r="F187" s="116"/>
      <c r="G187" s="113" t="s">
        <v>1056</v>
      </c>
      <c r="H187" s="113" t="s">
        <v>1057</v>
      </c>
      <c r="I187" s="113"/>
      <c r="J187" s="117" t="s">
        <v>1058</v>
      </c>
      <c r="K187" s="118"/>
      <c r="L187" s="109">
        <v>1</v>
      </c>
      <c r="M187" s="109">
        <v>2</v>
      </c>
      <c r="N187" s="109"/>
      <c r="O187" s="119"/>
      <c r="P187" s="2">
        <f t="shared" si="32"/>
        <v>1</v>
      </c>
      <c r="Q187" s="110" t="str">
        <f>IF(AND(Drops!$D$45&gt;1,OR(U187&lt;&gt;U186,AND(ROW()=5,U186=U187))),VLOOKUP(U187,Drops!$D$26:$E$44,2,FALSE),"")</f>
        <v>F. Physical and Environmental</v>
      </c>
      <c r="R187" s="2">
        <f t="shared" si="33"/>
        <v>187</v>
      </c>
      <c r="S187" s="2">
        <f t="shared" ca="1" si="34"/>
        <v>1</v>
      </c>
      <c r="T187" s="2">
        <f t="shared" si="35"/>
        <v>1</v>
      </c>
      <c r="U187" s="110" t="s">
        <v>1059</v>
      </c>
      <c r="V187" s="110">
        <v>1</v>
      </c>
      <c r="W187" s="110">
        <v>0</v>
      </c>
      <c r="X187" s="110">
        <v>0</v>
      </c>
      <c r="Y187" s="110">
        <v>0</v>
      </c>
      <c r="Z187" s="110">
        <v>0</v>
      </c>
      <c r="AA187" s="2">
        <f t="shared" si="36"/>
        <v>1</v>
      </c>
      <c r="AB187" s="2">
        <f t="shared" si="37"/>
        <v>1</v>
      </c>
      <c r="AC187" s="2">
        <f t="shared" si="38"/>
        <v>1</v>
      </c>
      <c r="AD187" s="2">
        <f t="shared" si="39"/>
        <v>0</v>
      </c>
      <c r="AE187" s="2">
        <f t="shared" si="40"/>
        <v>0</v>
      </c>
      <c r="AF187" s="2">
        <f t="shared" si="41"/>
        <v>0</v>
      </c>
      <c r="AG187" s="2">
        <f t="shared" si="42"/>
        <v>0</v>
      </c>
      <c r="AH187" s="2">
        <f t="shared" si="43"/>
        <v>2</v>
      </c>
      <c r="AI187" s="2">
        <f t="shared" si="44"/>
        <v>0</v>
      </c>
      <c r="AJ187" s="2">
        <f t="shared" si="45"/>
        <v>0</v>
      </c>
      <c r="AK187" s="2">
        <f t="shared" si="46"/>
        <v>0</v>
      </c>
      <c r="AL187" s="2">
        <f t="shared" si="47"/>
        <v>0</v>
      </c>
      <c r="AM187" s="115"/>
      <c r="AN187" s="115"/>
      <c r="AO187" s="63"/>
    </row>
    <row r="188" spans="1:41" ht="57.6" x14ac:dyDescent="0.55000000000000004">
      <c r="A188" s="36">
        <v>26</v>
      </c>
      <c r="B188" s="113" t="s">
        <v>1060</v>
      </c>
      <c r="C188" s="138" t="s">
        <v>1061</v>
      </c>
      <c r="D188" s="114" t="s">
        <v>52</v>
      </c>
      <c r="E188" s="115"/>
      <c r="F188" s="116"/>
      <c r="G188" s="113" t="s">
        <v>1056</v>
      </c>
      <c r="H188" s="113" t="s">
        <v>1057</v>
      </c>
      <c r="I188" s="113" t="s">
        <v>1062</v>
      </c>
      <c r="J188" s="117" t="s">
        <v>1063</v>
      </c>
      <c r="K188" s="118"/>
      <c r="L188" s="109">
        <v>2</v>
      </c>
      <c r="M188" s="109">
        <v>3</v>
      </c>
      <c r="N188" s="109"/>
      <c r="O188" s="119"/>
      <c r="P188" s="2">
        <f t="shared" si="32"/>
        <v>1</v>
      </c>
      <c r="Q188" s="110" t="str">
        <f>IF(AND(Drops!$D$45&gt;1,OR(U188&lt;&gt;U187,AND(ROW()=5,U187=U188))),VLOOKUP(U188,Drops!$D$26:$E$44,2,FALSE),"")</f>
        <v/>
      </c>
      <c r="R188" s="2" t="str">
        <f t="shared" si="33"/>
        <v/>
      </c>
      <c r="S188" s="2">
        <f t="shared" ca="1" si="34"/>
        <v>1</v>
      </c>
      <c r="T188" s="2">
        <f t="shared" si="35"/>
        <v>0</v>
      </c>
      <c r="U188" s="110" t="s">
        <v>1059</v>
      </c>
      <c r="V188" s="110">
        <v>1</v>
      </c>
      <c r="W188" s="110">
        <v>1</v>
      </c>
      <c r="X188" s="110">
        <v>0</v>
      </c>
      <c r="Y188" s="110">
        <v>0</v>
      </c>
      <c r="Z188" s="110">
        <v>0</v>
      </c>
      <c r="AA188" s="2">
        <f t="shared" si="36"/>
        <v>1</v>
      </c>
      <c r="AB188" s="2">
        <f t="shared" si="37"/>
        <v>0</v>
      </c>
      <c r="AC188" s="2">
        <f t="shared" si="38"/>
        <v>1</v>
      </c>
      <c r="AD188" s="2">
        <f t="shared" si="39"/>
        <v>1</v>
      </c>
      <c r="AE188" s="2">
        <f t="shared" si="40"/>
        <v>0</v>
      </c>
      <c r="AF188" s="2">
        <f t="shared" si="41"/>
        <v>0</v>
      </c>
      <c r="AG188" s="2">
        <f t="shared" si="42"/>
        <v>0</v>
      </c>
      <c r="AH188" s="2">
        <f t="shared" si="43"/>
        <v>2</v>
      </c>
      <c r="AI188" s="2">
        <f t="shared" si="44"/>
        <v>2</v>
      </c>
      <c r="AJ188" s="2">
        <f t="shared" si="45"/>
        <v>0</v>
      </c>
      <c r="AK188" s="2">
        <f t="shared" si="46"/>
        <v>0</v>
      </c>
      <c r="AL188" s="2">
        <f t="shared" si="47"/>
        <v>0</v>
      </c>
      <c r="AM188" s="115"/>
      <c r="AN188" s="115"/>
      <c r="AO188" s="63"/>
    </row>
    <row r="189" spans="1:41" ht="57.6" x14ac:dyDescent="0.55000000000000004">
      <c r="A189" s="36">
        <v>4714</v>
      </c>
      <c r="B189" s="113" t="s">
        <v>1064</v>
      </c>
      <c r="C189" s="138" t="s">
        <v>1065</v>
      </c>
      <c r="D189" s="114" t="s">
        <v>52</v>
      </c>
      <c r="E189" s="115"/>
      <c r="F189" s="116"/>
      <c r="G189" s="113" t="s">
        <v>1056</v>
      </c>
      <c r="H189" s="113" t="s">
        <v>1057</v>
      </c>
      <c r="I189" s="113" t="s">
        <v>1066</v>
      </c>
      <c r="J189" s="117" t="s">
        <v>1067</v>
      </c>
      <c r="K189" s="118"/>
      <c r="L189" s="109">
        <v>2</v>
      </c>
      <c r="M189" s="109">
        <v>2</v>
      </c>
      <c r="N189" s="109"/>
      <c r="O189" s="119"/>
      <c r="P189" s="2">
        <f t="shared" si="32"/>
        <v>1</v>
      </c>
      <c r="Q189" s="110" t="str">
        <f>IF(AND(Drops!$D$45&gt;1,OR(U189&lt;&gt;U188,AND(ROW()=5,U188=U189))),VLOOKUP(U189,Drops!$D$26:$E$44,2,FALSE),"")</f>
        <v/>
      </c>
      <c r="R189" s="2" t="str">
        <f t="shared" si="33"/>
        <v/>
      </c>
      <c r="S189" s="2">
        <f t="shared" ca="1" si="34"/>
        <v>1</v>
      </c>
      <c r="T189" s="2">
        <f t="shared" si="35"/>
        <v>0</v>
      </c>
      <c r="U189" s="110" t="s">
        <v>1059</v>
      </c>
      <c r="V189" s="110">
        <v>1</v>
      </c>
      <c r="W189" s="110">
        <v>2</v>
      </c>
      <c r="X189" s="110">
        <v>0</v>
      </c>
      <c r="Y189" s="110">
        <v>0</v>
      </c>
      <c r="Z189" s="110">
        <v>0</v>
      </c>
      <c r="AA189" s="2">
        <f t="shared" si="36"/>
        <v>1</v>
      </c>
      <c r="AB189" s="2">
        <f t="shared" si="37"/>
        <v>1</v>
      </c>
      <c r="AC189" s="2">
        <f t="shared" si="38"/>
        <v>1</v>
      </c>
      <c r="AD189" s="2">
        <f t="shared" si="39"/>
        <v>1</v>
      </c>
      <c r="AE189" s="2">
        <f t="shared" si="40"/>
        <v>0</v>
      </c>
      <c r="AF189" s="2">
        <f t="shared" si="41"/>
        <v>0</v>
      </c>
      <c r="AG189" s="2">
        <f t="shared" si="42"/>
        <v>0</v>
      </c>
      <c r="AH189" s="2">
        <f t="shared" si="43"/>
        <v>2</v>
      </c>
      <c r="AI189" s="2">
        <f t="shared" si="44"/>
        <v>2</v>
      </c>
      <c r="AJ189" s="2">
        <f t="shared" si="45"/>
        <v>0</v>
      </c>
      <c r="AK189" s="2">
        <f t="shared" si="46"/>
        <v>0</v>
      </c>
      <c r="AL189" s="2">
        <f t="shared" si="47"/>
        <v>0</v>
      </c>
      <c r="AM189" s="115"/>
      <c r="AN189" s="115"/>
      <c r="AO189" s="63"/>
    </row>
    <row r="190" spans="1:41" ht="72" x14ac:dyDescent="0.55000000000000004">
      <c r="A190" s="36">
        <v>387</v>
      </c>
      <c r="B190" s="113" t="s">
        <v>1068</v>
      </c>
      <c r="C190" s="139" t="s">
        <v>1069</v>
      </c>
      <c r="D190" s="114" t="s">
        <v>48</v>
      </c>
      <c r="E190" s="115" t="s">
        <v>1070</v>
      </c>
      <c r="F190" s="116"/>
      <c r="G190" s="113" t="s">
        <v>1056</v>
      </c>
      <c r="H190" s="113" t="s">
        <v>1057</v>
      </c>
      <c r="I190" s="113" t="s">
        <v>1066</v>
      </c>
      <c r="J190" s="117" t="s">
        <v>1071</v>
      </c>
      <c r="K190" s="118"/>
      <c r="L190" s="109">
        <v>3</v>
      </c>
      <c r="M190" s="109">
        <v>2</v>
      </c>
      <c r="N190" s="109"/>
      <c r="O190" s="119"/>
      <c r="P190" s="2">
        <f t="shared" si="32"/>
        <v>3</v>
      </c>
      <c r="Q190" s="110" t="str">
        <f>IF(AND(Drops!$D$45&gt;1,OR(U190&lt;&gt;U189,AND(ROW()=5,U189=U190))),VLOOKUP(U190,Drops!$D$26:$E$44,2,FALSE),"")</f>
        <v/>
      </c>
      <c r="R190" s="2" t="str">
        <f t="shared" si="33"/>
        <v/>
      </c>
      <c r="S190" s="2">
        <f t="shared" ca="1" si="34"/>
        <v>3</v>
      </c>
      <c r="T190" s="2">
        <f t="shared" si="35"/>
        <v>0</v>
      </c>
      <c r="U190" s="110" t="s">
        <v>1059</v>
      </c>
      <c r="V190" s="110">
        <v>1</v>
      </c>
      <c r="W190" s="110">
        <v>2</v>
      </c>
      <c r="X190" s="110">
        <v>1</v>
      </c>
      <c r="Y190" s="110">
        <v>0</v>
      </c>
      <c r="Z190" s="110">
        <v>0</v>
      </c>
      <c r="AA190" s="2">
        <f t="shared" si="36"/>
        <v>1</v>
      </c>
      <c r="AB190" s="2">
        <f t="shared" si="37"/>
        <v>0</v>
      </c>
      <c r="AC190" s="2">
        <f t="shared" si="38"/>
        <v>1</v>
      </c>
      <c r="AD190" s="2">
        <f t="shared" si="39"/>
        <v>1</v>
      </c>
      <c r="AE190" s="2">
        <f t="shared" si="40"/>
        <v>3</v>
      </c>
      <c r="AF190" s="2">
        <f t="shared" si="41"/>
        <v>3</v>
      </c>
      <c r="AG190" s="2">
        <f t="shared" si="42"/>
        <v>3</v>
      </c>
      <c r="AH190" s="2">
        <f t="shared" si="43"/>
        <v>2</v>
      </c>
      <c r="AI190" s="2">
        <f t="shared" si="44"/>
        <v>2</v>
      </c>
      <c r="AJ190" s="2">
        <f t="shared" si="45"/>
        <v>1</v>
      </c>
      <c r="AK190" s="2">
        <f t="shared" si="46"/>
        <v>0</v>
      </c>
      <c r="AL190" s="2">
        <f t="shared" si="47"/>
        <v>0</v>
      </c>
      <c r="AM190" s="115"/>
      <c r="AN190" s="115"/>
      <c r="AO190" s="63"/>
    </row>
    <row r="191" spans="1:41" ht="72" x14ac:dyDescent="0.55000000000000004">
      <c r="A191" s="36">
        <v>391</v>
      </c>
      <c r="B191" s="113" t="s">
        <v>1072</v>
      </c>
      <c r="C191" s="139" t="s">
        <v>1073</v>
      </c>
      <c r="D191" s="114" t="s">
        <v>48</v>
      </c>
      <c r="E191" s="115" t="s">
        <v>1070</v>
      </c>
      <c r="F191" s="116"/>
      <c r="G191" s="113" t="s">
        <v>1056</v>
      </c>
      <c r="H191" s="113" t="s">
        <v>1057</v>
      </c>
      <c r="I191" s="113"/>
      <c r="J191" s="117" t="s">
        <v>1071</v>
      </c>
      <c r="K191" s="118"/>
      <c r="L191" s="109">
        <v>3</v>
      </c>
      <c r="M191" s="109">
        <v>3</v>
      </c>
      <c r="N191" s="109"/>
      <c r="O191" s="119"/>
      <c r="P191" s="2">
        <f t="shared" si="32"/>
        <v>3</v>
      </c>
      <c r="Q191" s="110" t="str">
        <f>IF(AND(Drops!$D$45&gt;1,OR(U191&lt;&gt;U190,AND(ROW()=5,U190=U191))),VLOOKUP(U191,Drops!$D$26:$E$44,2,FALSE),"")</f>
        <v/>
      </c>
      <c r="R191" s="2" t="str">
        <f t="shared" si="33"/>
        <v/>
      </c>
      <c r="S191" s="2">
        <f t="shared" ca="1" si="34"/>
        <v>3</v>
      </c>
      <c r="T191" s="2">
        <f t="shared" si="35"/>
        <v>0</v>
      </c>
      <c r="U191" s="110" t="s">
        <v>1059</v>
      </c>
      <c r="V191" s="110">
        <v>1</v>
      </c>
      <c r="W191" s="110">
        <v>2</v>
      </c>
      <c r="X191" s="110">
        <v>2</v>
      </c>
      <c r="Y191" s="110">
        <v>0</v>
      </c>
      <c r="Z191" s="110">
        <v>0</v>
      </c>
      <c r="AA191" s="2">
        <f t="shared" si="36"/>
        <v>1</v>
      </c>
      <c r="AB191" s="2">
        <f t="shared" si="37"/>
        <v>0</v>
      </c>
      <c r="AC191" s="2">
        <f t="shared" si="38"/>
        <v>1</v>
      </c>
      <c r="AD191" s="2">
        <f t="shared" si="39"/>
        <v>1</v>
      </c>
      <c r="AE191" s="2">
        <f t="shared" si="40"/>
        <v>3</v>
      </c>
      <c r="AF191" s="2">
        <f t="shared" si="41"/>
        <v>3</v>
      </c>
      <c r="AG191" s="2">
        <f t="shared" si="42"/>
        <v>3</v>
      </c>
      <c r="AH191" s="2">
        <f t="shared" si="43"/>
        <v>2</v>
      </c>
      <c r="AI191" s="2">
        <f t="shared" si="44"/>
        <v>2</v>
      </c>
      <c r="AJ191" s="2">
        <f t="shared" si="45"/>
        <v>1</v>
      </c>
      <c r="AK191" s="2">
        <f t="shared" si="46"/>
        <v>0</v>
      </c>
      <c r="AL191" s="2">
        <f t="shared" si="47"/>
        <v>0</v>
      </c>
      <c r="AM191" s="115"/>
      <c r="AN191" s="115"/>
      <c r="AO191" s="63"/>
    </row>
    <row r="192" spans="1:41" ht="72" x14ac:dyDescent="0.55000000000000004">
      <c r="A192" s="36">
        <v>374</v>
      </c>
      <c r="B192" s="113" t="s">
        <v>1074</v>
      </c>
      <c r="C192" s="139" t="s">
        <v>1075</v>
      </c>
      <c r="D192" s="114" t="s">
        <v>48</v>
      </c>
      <c r="E192" s="115" t="s">
        <v>1070</v>
      </c>
      <c r="F192" s="116"/>
      <c r="G192" s="113" t="s">
        <v>1056</v>
      </c>
      <c r="H192" s="113" t="s">
        <v>1057</v>
      </c>
      <c r="I192" s="113" t="s">
        <v>1076</v>
      </c>
      <c r="J192" s="117" t="s">
        <v>1071</v>
      </c>
      <c r="K192" s="118"/>
      <c r="L192" s="109">
        <v>3</v>
      </c>
      <c r="M192" s="109">
        <v>3</v>
      </c>
      <c r="N192" s="109"/>
      <c r="O192" s="119"/>
      <c r="P192" s="2">
        <f t="shared" si="32"/>
        <v>3</v>
      </c>
      <c r="Q192" s="110" t="str">
        <f>IF(AND(Drops!$D$45&gt;1,OR(U192&lt;&gt;U191,AND(ROW()=5,U191=U192))),VLOOKUP(U192,Drops!$D$26:$E$44,2,FALSE),"")</f>
        <v/>
      </c>
      <c r="R192" s="2" t="str">
        <f t="shared" si="33"/>
        <v/>
      </c>
      <c r="S192" s="2">
        <f t="shared" ca="1" si="34"/>
        <v>3</v>
      </c>
      <c r="T192" s="2">
        <f t="shared" si="35"/>
        <v>0</v>
      </c>
      <c r="U192" s="110" t="s">
        <v>1059</v>
      </c>
      <c r="V192" s="110">
        <v>1</v>
      </c>
      <c r="W192" s="110">
        <v>2</v>
      </c>
      <c r="X192" s="110">
        <v>3</v>
      </c>
      <c r="Y192" s="110">
        <v>0</v>
      </c>
      <c r="Z192" s="110">
        <v>0</v>
      </c>
      <c r="AA192" s="2">
        <f t="shared" si="36"/>
        <v>1</v>
      </c>
      <c r="AB192" s="2">
        <f t="shared" si="37"/>
        <v>0</v>
      </c>
      <c r="AC192" s="2">
        <f t="shared" si="38"/>
        <v>1</v>
      </c>
      <c r="AD192" s="2">
        <f t="shared" si="39"/>
        <v>1</v>
      </c>
      <c r="AE192" s="2">
        <f t="shared" si="40"/>
        <v>3</v>
      </c>
      <c r="AF192" s="2">
        <f t="shared" si="41"/>
        <v>3</v>
      </c>
      <c r="AG192" s="2">
        <f t="shared" si="42"/>
        <v>3</v>
      </c>
      <c r="AH192" s="2">
        <f t="shared" si="43"/>
        <v>2</v>
      </c>
      <c r="AI192" s="2">
        <f t="shared" si="44"/>
        <v>2</v>
      </c>
      <c r="AJ192" s="2">
        <f t="shared" si="45"/>
        <v>1</v>
      </c>
      <c r="AK192" s="2">
        <f t="shared" si="46"/>
        <v>0</v>
      </c>
      <c r="AL192" s="2">
        <f t="shared" si="47"/>
        <v>0</v>
      </c>
      <c r="AM192" s="115"/>
      <c r="AN192" s="115"/>
      <c r="AO192" s="63"/>
    </row>
    <row r="193" spans="1:41" ht="72" x14ac:dyDescent="0.55000000000000004">
      <c r="A193" s="36">
        <v>3288</v>
      </c>
      <c r="B193" s="113" t="s">
        <v>1077</v>
      </c>
      <c r="C193" s="139" t="s">
        <v>1078</v>
      </c>
      <c r="D193" s="114" t="s">
        <v>48</v>
      </c>
      <c r="E193" s="115" t="s">
        <v>1070</v>
      </c>
      <c r="F193" s="116"/>
      <c r="G193" s="113" t="s">
        <v>1056</v>
      </c>
      <c r="H193" s="113" t="s">
        <v>1057</v>
      </c>
      <c r="I193" s="113" t="s">
        <v>1076</v>
      </c>
      <c r="J193" s="117" t="s">
        <v>1071</v>
      </c>
      <c r="K193" s="118"/>
      <c r="L193" s="109">
        <v>3</v>
      </c>
      <c r="M193" s="109">
        <v>3</v>
      </c>
      <c r="N193" s="109"/>
      <c r="O193" s="119"/>
      <c r="P193" s="2">
        <f t="shared" si="32"/>
        <v>3</v>
      </c>
      <c r="Q193" s="110" t="str">
        <f>IF(AND(Drops!$D$45&gt;1,OR(U193&lt;&gt;U192,AND(ROW()=5,U192=U193))),VLOOKUP(U193,Drops!$D$26:$E$44,2,FALSE),"")</f>
        <v/>
      </c>
      <c r="R193" s="2" t="str">
        <f t="shared" si="33"/>
        <v/>
      </c>
      <c r="S193" s="2">
        <f t="shared" ca="1" si="34"/>
        <v>3</v>
      </c>
      <c r="T193" s="2">
        <f t="shared" si="35"/>
        <v>0</v>
      </c>
      <c r="U193" s="110" t="s">
        <v>1059</v>
      </c>
      <c r="V193" s="110">
        <v>1</v>
      </c>
      <c r="W193" s="110">
        <v>2</v>
      </c>
      <c r="X193" s="110">
        <v>4</v>
      </c>
      <c r="Y193" s="110">
        <v>0</v>
      </c>
      <c r="Z193" s="110">
        <v>0</v>
      </c>
      <c r="AA193" s="2">
        <f t="shared" si="36"/>
        <v>1</v>
      </c>
      <c r="AB193" s="2">
        <f t="shared" si="37"/>
        <v>0</v>
      </c>
      <c r="AC193" s="2">
        <f t="shared" si="38"/>
        <v>1</v>
      </c>
      <c r="AD193" s="2">
        <f t="shared" si="39"/>
        <v>1</v>
      </c>
      <c r="AE193" s="2">
        <f t="shared" si="40"/>
        <v>3</v>
      </c>
      <c r="AF193" s="2">
        <f t="shared" si="41"/>
        <v>3</v>
      </c>
      <c r="AG193" s="2">
        <f t="shared" si="42"/>
        <v>3</v>
      </c>
      <c r="AH193" s="2">
        <f t="shared" si="43"/>
        <v>2</v>
      </c>
      <c r="AI193" s="2">
        <f t="shared" si="44"/>
        <v>2</v>
      </c>
      <c r="AJ193" s="2">
        <f t="shared" si="45"/>
        <v>1</v>
      </c>
      <c r="AK193" s="2">
        <f t="shared" si="46"/>
        <v>0</v>
      </c>
      <c r="AL193" s="2">
        <f t="shared" si="47"/>
        <v>0</v>
      </c>
      <c r="AM193" s="115"/>
      <c r="AN193" s="115"/>
      <c r="AO193" s="63"/>
    </row>
    <row r="194" spans="1:41" ht="72" x14ac:dyDescent="0.55000000000000004">
      <c r="A194" s="36">
        <v>371</v>
      </c>
      <c r="B194" s="113" t="s">
        <v>1079</v>
      </c>
      <c r="C194" s="139" t="s">
        <v>1080</v>
      </c>
      <c r="D194" s="114" t="s">
        <v>48</v>
      </c>
      <c r="E194" s="115" t="s">
        <v>1070</v>
      </c>
      <c r="F194" s="116"/>
      <c r="G194" s="113" t="s">
        <v>1056</v>
      </c>
      <c r="H194" s="113" t="s">
        <v>1057</v>
      </c>
      <c r="I194" s="113"/>
      <c r="J194" s="117" t="s">
        <v>1071</v>
      </c>
      <c r="K194" s="118"/>
      <c r="L194" s="109">
        <v>3</v>
      </c>
      <c r="M194" s="109">
        <v>2</v>
      </c>
      <c r="N194" s="109"/>
      <c r="O194" s="119"/>
      <c r="P194" s="2">
        <f t="shared" si="32"/>
        <v>3</v>
      </c>
      <c r="Q194" s="110" t="str">
        <f>IF(AND(Drops!$D$45&gt;1,OR(U194&lt;&gt;U193,AND(ROW()=5,U193=U194))),VLOOKUP(U194,Drops!$D$26:$E$44,2,FALSE),"")</f>
        <v/>
      </c>
      <c r="R194" s="2" t="str">
        <f t="shared" si="33"/>
        <v/>
      </c>
      <c r="S194" s="2">
        <f t="shared" ca="1" si="34"/>
        <v>3</v>
      </c>
      <c r="T194" s="2">
        <f t="shared" si="35"/>
        <v>0</v>
      </c>
      <c r="U194" s="110" t="s">
        <v>1059</v>
      </c>
      <c r="V194" s="110">
        <v>1</v>
      </c>
      <c r="W194" s="110">
        <v>2</v>
      </c>
      <c r="X194" s="110">
        <v>5</v>
      </c>
      <c r="Y194" s="110">
        <v>0</v>
      </c>
      <c r="Z194" s="110">
        <v>0</v>
      </c>
      <c r="AA194" s="2">
        <f t="shared" si="36"/>
        <v>1</v>
      </c>
      <c r="AB194" s="2">
        <f t="shared" si="37"/>
        <v>0</v>
      </c>
      <c r="AC194" s="2">
        <f t="shared" si="38"/>
        <v>1</v>
      </c>
      <c r="AD194" s="2">
        <f t="shared" si="39"/>
        <v>1</v>
      </c>
      <c r="AE194" s="2">
        <f t="shared" si="40"/>
        <v>3</v>
      </c>
      <c r="AF194" s="2">
        <f t="shared" si="41"/>
        <v>3</v>
      </c>
      <c r="AG194" s="2">
        <f t="shared" si="42"/>
        <v>3</v>
      </c>
      <c r="AH194" s="2">
        <f t="shared" si="43"/>
        <v>2</v>
      </c>
      <c r="AI194" s="2">
        <f t="shared" si="44"/>
        <v>2</v>
      </c>
      <c r="AJ194" s="2">
        <f t="shared" si="45"/>
        <v>1</v>
      </c>
      <c r="AK194" s="2">
        <f t="shared" si="46"/>
        <v>0</v>
      </c>
      <c r="AL194" s="2">
        <f t="shared" si="47"/>
        <v>0</v>
      </c>
      <c r="AM194" s="115"/>
      <c r="AN194" s="115"/>
      <c r="AO194" s="63"/>
    </row>
    <row r="195" spans="1:41" ht="72" x14ac:dyDescent="0.55000000000000004">
      <c r="A195" s="36">
        <v>395</v>
      </c>
      <c r="B195" s="113" t="s">
        <v>1081</v>
      </c>
      <c r="C195" s="139" t="s">
        <v>1082</v>
      </c>
      <c r="D195" s="114" t="s">
        <v>48</v>
      </c>
      <c r="E195" s="115" t="s">
        <v>1070</v>
      </c>
      <c r="F195" s="116"/>
      <c r="G195" s="113" t="s">
        <v>1056</v>
      </c>
      <c r="H195" s="113" t="s">
        <v>1057</v>
      </c>
      <c r="I195" s="113" t="s">
        <v>1076</v>
      </c>
      <c r="J195" s="117"/>
      <c r="K195" s="118"/>
      <c r="L195" s="109">
        <v>3</v>
      </c>
      <c r="M195" s="109">
        <v>3</v>
      </c>
      <c r="N195" s="109"/>
      <c r="O195" s="119"/>
      <c r="P195" s="2">
        <f t="shared" si="32"/>
        <v>3</v>
      </c>
      <c r="Q195" s="110" t="str">
        <f>IF(AND(Drops!$D$45&gt;1,OR(U195&lt;&gt;U194,AND(ROW()=5,U194=U195))),VLOOKUP(U195,Drops!$D$26:$E$44,2,FALSE),"")</f>
        <v/>
      </c>
      <c r="R195" s="2" t="str">
        <f t="shared" si="33"/>
        <v/>
      </c>
      <c r="S195" s="2">
        <f t="shared" ca="1" si="34"/>
        <v>3</v>
      </c>
      <c r="T195" s="2">
        <f t="shared" si="35"/>
        <v>0</v>
      </c>
      <c r="U195" s="110" t="s">
        <v>1059</v>
      </c>
      <c r="V195" s="110">
        <v>1</v>
      </c>
      <c r="W195" s="110">
        <v>2</v>
      </c>
      <c r="X195" s="110">
        <v>6</v>
      </c>
      <c r="Y195" s="110">
        <v>0</v>
      </c>
      <c r="Z195" s="110">
        <v>0</v>
      </c>
      <c r="AA195" s="2">
        <f t="shared" si="36"/>
        <v>1</v>
      </c>
      <c r="AB195" s="2">
        <f t="shared" si="37"/>
        <v>0</v>
      </c>
      <c r="AC195" s="2">
        <f t="shared" si="38"/>
        <v>1</v>
      </c>
      <c r="AD195" s="2">
        <f t="shared" si="39"/>
        <v>1</v>
      </c>
      <c r="AE195" s="2">
        <f t="shared" si="40"/>
        <v>3</v>
      </c>
      <c r="AF195" s="2">
        <f t="shared" si="41"/>
        <v>3</v>
      </c>
      <c r="AG195" s="2">
        <f t="shared" si="42"/>
        <v>3</v>
      </c>
      <c r="AH195" s="2">
        <f t="shared" si="43"/>
        <v>2</v>
      </c>
      <c r="AI195" s="2">
        <f t="shared" si="44"/>
        <v>2</v>
      </c>
      <c r="AJ195" s="2">
        <f t="shared" si="45"/>
        <v>1</v>
      </c>
      <c r="AK195" s="2">
        <f t="shared" si="46"/>
        <v>0</v>
      </c>
      <c r="AL195" s="2">
        <f t="shared" si="47"/>
        <v>0</v>
      </c>
      <c r="AM195" s="115"/>
      <c r="AN195" s="115"/>
      <c r="AO195" s="63"/>
    </row>
    <row r="196" spans="1:41" ht="72" x14ac:dyDescent="0.55000000000000004">
      <c r="A196" s="36">
        <v>365</v>
      </c>
      <c r="B196" s="113" t="s">
        <v>1083</v>
      </c>
      <c r="C196" s="139" t="s">
        <v>1084</v>
      </c>
      <c r="D196" s="114" t="s">
        <v>48</v>
      </c>
      <c r="E196" s="115" t="s">
        <v>1070</v>
      </c>
      <c r="F196" s="116"/>
      <c r="G196" s="113" t="s">
        <v>1056</v>
      </c>
      <c r="H196" s="113" t="s">
        <v>1057</v>
      </c>
      <c r="I196" s="113"/>
      <c r="J196" s="117" t="s">
        <v>1071</v>
      </c>
      <c r="K196" s="118"/>
      <c r="L196" s="109">
        <v>3</v>
      </c>
      <c r="M196" s="109">
        <v>3</v>
      </c>
      <c r="N196" s="109"/>
      <c r="O196" s="119"/>
      <c r="P196" s="2">
        <f t="shared" si="32"/>
        <v>3</v>
      </c>
      <c r="Q196" s="110" t="str">
        <f>IF(AND(Drops!$D$45&gt;1,OR(U196&lt;&gt;U195,AND(ROW()=5,U195=U196))),VLOOKUP(U196,Drops!$D$26:$E$44,2,FALSE),"")</f>
        <v/>
      </c>
      <c r="R196" s="2" t="str">
        <f t="shared" si="33"/>
        <v/>
      </c>
      <c r="S196" s="2">
        <f t="shared" ca="1" si="34"/>
        <v>3</v>
      </c>
      <c r="T196" s="2">
        <f t="shared" si="35"/>
        <v>0</v>
      </c>
      <c r="U196" s="110" t="s">
        <v>1059</v>
      </c>
      <c r="V196" s="110">
        <v>1</v>
      </c>
      <c r="W196" s="110">
        <v>2</v>
      </c>
      <c r="X196" s="110">
        <v>9</v>
      </c>
      <c r="Y196" s="110">
        <v>0</v>
      </c>
      <c r="Z196" s="110">
        <v>0</v>
      </c>
      <c r="AA196" s="2">
        <f t="shared" si="36"/>
        <v>1</v>
      </c>
      <c r="AB196" s="2">
        <f t="shared" si="37"/>
        <v>0</v>
      </c>
      <c r="AC196" s="2">
        <f t="shared" si="38"/>
        <v>1</v>
      </c>
      <c r="AD196" s="2">
        <f t="shared" si="39"/>
        <v>1</v>
      </c>
      <c r="AE196" s="2">
        <f t="shared" si="40"/>
        <v>3</v>
      </c>
      <c r="AF196" s="2">
        <f t="shared" si="41"/>
        <v>3</v>
      </c>
      <c r="AG196" s="2">
        <f t="shared" si="42"/>
        <v>3</v>
      </c>
      <c r="AH196" s="2">
        <f t="shared" si="43"/>
        <v>2</v>
      </c>
      <c r="AI196" s="2">
        <f t="shared" si="44"/>
        <v>2</v>
      </c>
      <c r="AJ196" s="2">
        <f t="shared" si="45"/>
        <v>1</v>
      </c>
      <c r="AK196" s="2">
        <f t="shared" si="46"/>
        <v>0</v>
      </c>
      <c r="AL196" s="2">
        <f t="shared" si="47"/>
        <v>0</v>
      </c>
      <c r="AM196" s="115"/>
      <c r="AN196" s="115"/>
      <c r="AO196" s="63"/>
    </row>
    <row r="197" spans="1:41" ht="72" x14ac:dyDescent="0.55000000000000004">
      <c r="A197" s="36">
        <v>358</v>
      </c>
      <c r="B197" s="113" t="s">
        <v>1085</v>
      </c>
      <c r="C197" s="139" t="s">
        <v>1086</v>
      </c>
      <c r="D197" s="114" t="s">
        <v>48</v>
      </c>
      <c r="E197" s="115" t="s">
        <v>1070</v>
      </c>
      <c r="F197" s="116"/>
      <c r="G197" s="113" t="s">
        <v>1056</v>
      </c>
      <c r="H197" s="113" t="s">
        <v>1057</v>
      </c>
      <c r="I197" s="113"/>
      <c r="J197" s="117" t="s">
        <v>1071</v>
      </c>
      <c r="K197" s="118"/>
      <c r="L197" s="109">
        <v>3</v>
      </c>
      <c r="M197" s="109">
        <v>3</v>
      </c>
      <c r="N197" s="109"/>
      <c r="O197" s="119"/>
      <c r="P197" s="2">
        <f t="shared" si="32"/>
        <v>3</v>
      </c>
      <c r="Q197" s="110" t="str">
        <f>IF(AND(Drops!$D$45&gt;1,OR(U197&lt;&gt;U196,AND(ROW()=5,U196=U197))),VLOOKUP(U197,Drops!$D$26:$E$44,2,FALSE),"")</f>
        <v/>
      </c>
      <c r="R197" s="2" t="str">
        <f t="shared" si="33"/>
        <v/>
      </c>
      <c r="S197" s="2">
        <f t="shared" ca="1" si="34"/>
        <v>3</v>
      </c>
      <c r="T197" s="2">
        <f t="shared" si="35"/>
        <v>0</v>
      </c>
      <c r="U197" s="110" t="s">
        <v>1059</v>
      </c>
      <c r="V197" s="110">
        <v>1</v>
      </c>
      <c r="W197" s="110">
        <v>2</v>
      </c>
      <c r="X197" s="110">
        <v>10</v>
      </c>
      <c r="Y197" s="110">
        <v>0</v>
      </c>
      <c r="Z197" s="110">
        <v>0</v>
      </c>
      <c r="AA197" s="2">
        <f t="shared" si="36"/>
        <v>1</v>
      </c>
      <c r="AB197" s="2">
        <f t="shared" si="37"/>
        <v>0</v>
      </c>
      <c r="AC197" s="2">
        <f t="shared" si="38"/>
        <v>1</v>
      </c>
      <c r="AD197" s="2">
        <f t="shared" si="39"/>
        <v>1</v>
      </c>
      <c r="AE197" s="2">
        <f t="shared" si="40"/>
        <v>3</v>
      </c>
      <c r="AF197" s="2">
        <f t="shared" si="41"/>
        <v>3</v>
      </c>
      <c r="AG197" s="2">
        <f t="shared" si="42"/>
        <v>3</v>
      </c>
      <c r="AH197" s="2">
        <f t="shared" si="43"/>
        <v>2</v>
      </c>
      <c r="AI197" s="2">
        <f t="shared" si="44"/>
        <v>2</v>
      </c>
      <c r="AJ197" s="2">
        <f t="shared" si="45"/>
        <v>1</v>
      </c>
      <c r="AK197" s="2">
        <f t="shared" si="46"/>
        <v>0</v>
      </c>
      <c r="AL197" s="2">
        <f t="shared" si="47"/>
        <v>0</v>
      </c>
      <c r="AM197" s="115"/>
      <c r="AN197" s="115"/>
      <c r="AO197" s="63"/>
    </row>
    <row r="198" spans="1:41" ht="72" x14ac:dyDescent="0.55000000000000004">
      <c r="A198" s="36">
        <v>366</v>
      </c>
      <c r="B198" s="113" t="s">
        <v>1087</v>
      </c>
      <c r="C198" s="139" t="s">
        <v>1088</v>
      </c>
      <c r="D198" s="114" t="s">
        <v>48</v>
      </c>
      <c r="E198" s="115" t="s">
        <v>1070</v>
      </c>
      <c r="F198" s="116"/>
      <c r="G198" s="113" t="s">
        <v>1056</v>
      </c>
      <c r="H198" s="113" t="s">
        <v>1057</v>
      </c>
      <c r="I198" s="113" t="s">
        <v>1066</v>
      </c>
      <c r="J198" s="117"/>
      <c r="K198" s="118"/>
      <c r="L198" s="109">
        <v>3</v>
      </c>
      <c r="M198" s="109">
        <v>3</v>
      </c>
      <c r="N198" s="109"/>
      <c r="O198" s="119"/>
      <c r="P198" s="2">
        <f t="shared" ref="P198:P261" si="48">IF($L198="","",IF($D198="Yes",1,IF($D198="No",2,IF($D198="N/A",3,0))))</f>
        <v>3</v>
      </c>
      <c r="Q198" s="110" t="str">
        <f>IF(AND(Drops!$D$45&gt;1,OR(U198&lt;&gt;U197,AND(ROW()=5,U197=U198))),VLOOKUP(U198,Drops!$D$26:$E$44,2,FALSE),"")</f>
        <v/>
      </c>
      <c r="R198" s="2" t="str">
        <f t="shared" ref="R198:R261" si="49">IF(Q198&lt;&gt;"",ROW(),"")</f>
        <v/>
      </c>
      <c r="S198" s="2">
        <f t="shared" ref="S198:S261" ca="1" si="50">OFFSET(AC198,,L198-1)</f>
        <v>3</v>
      </c>
      <c r="T198" s="2">
        <f t="shared" ref="T198:T261" si="51">IF(OR(V198&lt;&gt;V197,U198&lt;&gt;U197,AND(V198&lt;&gt;V197,W198&lt;&gt;W197),AND(V198&lt;&gt;V197,W198&lt;&gt;W197,X198&lt;&gt;X197),AND(V198&lt;&gt;V197,W198&lt;&gt;W197,X198&lt;&gt;X197,Y198&lt;&gt;Y197),AND(V198&lt;&gt;V197,W198&lt;&gt;W197,X198&lt;&gt;X197,Y198&lt;&gt;Y197,Z198&lt;&gt;Z197),L198-L197&gt;1),1,0)</f>
        <v>0</v>
      </c>
      <c r="U198" s="110" t="s">
        <v>1059</v>
      </c>
      <c r="V198" s="110">
        <v>1</v>
      </c>
      <c r="W198" s="110">
        <v>2</v>
      </c>
      <c r="X198" s="110">
        <v>11</v>
      </c>
      <c r="Y198" s="110">
        <v>0</v>
      </c>
      <c r="Z198" s="110">
        <v>0</v>
      </c>
      <c r="AA198" s="2">
        <f t="shared" ref="AA198:AA261" si="52">IF(ROW()=5,1,IF(OR(AH198=1,P198&gt;0,T198=1),1,IF(OR(AND(AH198=2,AI198=1),AND(AI198=2,AJ198=1),AND(AJ198=2,AK198=1),AND(AK198=2,AL198=1)),1,0)))</f>
        <v>1</v>
      </c>
      <c r="AB198" s="2">
        <f t="shared" ref="AB198:AB261" si="53">IF(L199&gt;L198,1,0)</f>
        <v>0</v>
      </c>
      <c r="AC198" s="2">
        <f t="shared" ref="AC198:AC261" si="54">IF(ROW()=5,P198,IF(AND($P198&gt;1,AC$4=$L198),$P198,IF(AND($U198=$U197,V198=V197),AC197,IF(AND($L198=AC$4,P198=1),P198,0))))</f>
        <v>1</v>
      </c>
      <c r="AD198" s="2">
        <f t="shared" ref="AD198:AD261" si="55">IF(AC198&gt;1,AC198,IF(AND($P198&gt;1,AD$4=$L198),$P198,IF(AND($U198=$U197,W198=W197),AD197,IF(AND($L198=AD$4,P198=1),P198,0))))</f>
        <v>1</v>
      </c>
      <c r="AE198" s="2">
        <f t="shared" ref="AE198:AE261" si="56">IF(AD198&gt;1,AD198,IF(AND($P198&gt;1,AE$4=$L198),$P198,IF(AND($U198=$U197,X198=X197),AE197,IF(AND($L198=AE$4,P198=1),P198,0))))</f>
        <v>3</v>
      </c>
      <c r="AF198" s="2">
        <f t="shared" ref="AF198:AF261" si="57">IF(AE198&gt;1,AE198,IF(AND($P198&gt;1,AF$4=$L198),$P198,IF(AND($U198=$U197,Y198=Y197),AF197,IF(AND($L198=AF$4,P198=1),P198,0))))</f>
        <v>3</v>
      </c>
      <c r="AG198" s="2">
        <f t="shared" ref="AG198:AG261" si="58">IF(AF198&gt;1,AF198,IF(AND($P198&gt;1,AG$4=$L198),$P198,IF(AND($U198=$U197,Z198=Z197),AG197,IF(AND($L198=AG$4,P198=1),P198,0))))</f>
        <v>3</v>
      </c>
      <c r="AH198" s="2">
        <f t="shared" ref="AH198:AH261" si="59">IF(AND($P198=1,$L198=AH$4),2,IF(AND($L198&lt;&gt;AH$4,AH197=2),AH197,IF($L198&lt;&gt;AH$4,0,1)))</f>
        <v>2</v>
      </c>
      <c r="AI198" s="2">
        <f t="shared" ref="AI198:AI261" si="60">IF(OR(ROW()=5,$U197&lt;&gt;$U198),0,IF(AND($P198=1,$L198=AI$4),2,IF(AND($L198&lt;&gt;AI$4,AI197=2),AI197,IF($L198&lt;&gt;AI$4,0,1))))</f>
        <v>2</v>
      </c>
      <c r="AJ198" s="2">
        <f t="shared" ref="AJ198:AJ261" si="61">IF(OR(ROW()=5,$U197&lt;&gt;$U198),0,IF(AND($P198=1,$L198=AJ$4),2,IF(AND($L198&lt;&gt;AJ$4,AJ197=2),AJ197,IF($L198&lt;&gt;AJ$4,0,1))))</f>
        <v>1</v>
      </c>
      <c r="AK198" s="2">
        <f t="shared" ref="AK198:AK261" si="62">IF(OR(ROW()=5,$U197&lt;&gt;$U198),0,IF(AND($P198=1,$L198=AK$4),2,IF(AND($L198&lt;&gt;AK$4,AK197=2),AK197,IF($L198&lt;&gt;AK$4,0,1))))</f>
        <v>0</v>
      </c>
      <c r="AL198" s="2">
        <f t="shared" ref="AL198:AL261" si="63">IF(OR(ROW()=5,$U197&lt;&gt;$U198),0,IF(AND($P198=1,$L198=AL$4),2,IF(AND($L198&lt;&gt;AL$4,AL197=2),AL197,IF($L198&lt;&gt;AL$4,0,1))))</f>
        <v>0</v>
      </c>
      <c r="AM198" s="115"/>
      <c r="AN198" s="115"/>
      <c r="AO198" s="63"/>
    </row>
    <row r="199" spans="1:41" ht="86.4" x14ac:dyDescent="0.55000000000000004">
      <c r="A199" s="36">
        <v>381</v>
      </c>
      <c r="B199" s="113" t="s">
        <v>1089</v>
      </c>
      <c r="C199" s="139" t="s">
        <v>1090</v>
      </c>
      <c r="D199" s="114" t="s">
        <v>48</v>
      </c>
      <c r="E199" s="115" t="s">
        <v>1070</v>
      </c>
      <c r="F199" s="116"/>
      <c r="G199" s="113" t="s">
        <v>1056</v>
      </c>
      <c r="H199" s="113" t="s">
        <v>1091</v>
      </c>
      <c r="I199" s="113" t="s">
        <v>1076</v>
      </c>
      <c r="J199" s="117" t="s">
        <v>1092</v>
      </c>
      <c r="K199" s="118"/>
      <c r="L199" s="109">
        <v>3</v>
      </c>
      <c r="M199" s="109">
        <v>2</v>
      </c>
      <c r="N199" s="109"/>
      <c r="O199" s="119"/>
      <c r="P199" s="2">
        <f t="shared" si="48"/>
        <v>3</v>
      </c>
      <c r="Q199" s="110" t="str">
        <f>IF(AND(Drops!$D$45&gt;1,OR(U199&lt;&gt;U198,AND(ROW()=5,U198=U199))),VLOOKUP(U199,Drops!$D$26:$E$44,2,FALSE),"")</f>
        <v/>
      </c>
      <c r="R199" s="2" t="str">
        <f t="shared" si="49"/>
        <v/>
      </c>
      <c r="S199" s="2">
        <f t="shared" ca="1" si="50"/>
        <v>3</v>
      </c>
      <c r="T199" s="2">
        <f t="shared" si="51"/>
        <v>0</v>
      </c>
      <c r="U199" s="110" t="s">
        <v>1059</v>
      </c>
      <c r="V199" s="110">
        <v>1</v>
      </c>
      <c r="W199" s="110">
        <v>2</v>
      </c>
      <c r="X199" s="110">
        <v>14</v>
      </c>
      <c r="Y199" s="110">
        <v>0</v>
      </c>
      <c r="Z199" s="110">
        <v>0</v>
      </c>
      <c r="AA199" s="2">
        <f t="shared" si="52"/>
        <v>1</v>
      </c>
      <c r="AB199" s="2">
        <f t="shared" si="53"/>
        <v>1</v>
      </c>
      <c r="AC199" s="2">
        <f t="shared" si="54"/>
        <v>1</v>
      </c>
      <c r="AD199" s="2">
        <f t="shared" si="55"/>
        <v>1</v>
      </c>
      <c r="AE199" s="2">
        <f t="shared" si="56"/>
        <v>3</v>
      </c>
      <c r="AF199" s="2">
        <f t="shared" si="57"/>
        <v>3</v>
      </c>
      <c r="AG199" s="2">
        <f t="shared" si="58"/>
        <v>3</v>
      </c>
      <c r="AH199" s="2">
        <f t="shared" si="59"/>
        <v>2</v>
      </c>
      <c r="AI199" s="2">
        <f t="shared" si="60"/>
        <v>2</v>
      </c>
      <c r="AJ199" s="2">
        <f t="shared" si="61"/>
        <v>1</v>
      </c>
      <c r="AK199" s="2">
        <f t="shared" si="62"/>
        <v>0</v>
      </c>
      <c r="AL199" s="2">
        <f t="shared" si="63"/>
        <v>0</v>
      </c>
      <c r="AM199" s="115"/>
      <c r="AN199" s="115"/>
      <c r="AO199" s="63"/>
    </row>
    <row r="200" spans="1:41" ht="72" x14ac:dyDescent="0.55000000000000004">
      <c r="A200" s="36">
        <v>389</v>
      </c>
      <c r="B200" s="113" t="s">
        <v>1093</v>
      </c>
      <c r="C200" s="140" t="s">
        <v>1094</v>
      </c>
      <c r="D200" s="114" t="s">
        <v>48</v>
      </c>
      <c r="E200" s="115" t="s">
        <v>1070</v>
      </c>
      <c r="F200" s="116"/>
      <c r="G200" s="113" t="s">
        <v>1056</v>
      </c>
      <c r="H200" s="113" t="s">
        <v>1091</v>
      </c>
      <c r="I200" s="113" t="s">
        <v>792</v>
      </c>
      <c r="J200" s="117" t="s">
        <v>1095</v>
      </c>
      <c r="K200" s="118"/>
      <c r="L200" s="109">
        <v>4</v>
      </c>
      <c r="M200" s="109">
        <v>2</v>
      </c>
      <c r="N200" s="109"/>
      <c r="O200" s="119"/>
      <c r="P200" s="2">
        <f t="shared" si="48"/>
        <v>3</v>
      </c>
      <c r="Q200" s="110" t="str">
        <f>IF(AND(Drops!$D$45&gt;1,OR(U200&lt;&gt;U199,AND(ROW()=5,U199=U200))),VLOOKUP(U200,Drops!$D$26:$E$44,2,FALSE),"")</f>
        <v/>
      </c>
      <c r="R200" s="2" t="str">
        <f t="shared" si="49"/>
        <v/>
      </c>
      <c r="S200" s="2">
        <f t="shared" ca="1" si="50"/>
        <v>3</v>
      </c>
      <c r="T200" s="2">
        <f t="shared" si="51"/>
        <v>0</v>
      </c>
      <c r="U200" s="110" t="s">
        <v>1059</v>
      </c>
      <c r="V200" s="110">
        <v>1</v>
      </c>
      <c r="W200" s="110">
        <v>2</v>
      </c>
      <c r="X200" s="110">
        <v>14</v>
      </c>
      <c r="Y200" s="110">
        <v>1</v>
      </c>
      <c r="Z200" s="110">
        <v>0</v>
      </c>
      <c r="AA200" s="2">
        <f t="shared" si="52"/>
        <v>1</v>
      </c>
      <c r="AB200" s="2">
        <f t="shared" si="53"/>
        <v>0</v>
      </c>
      <c r="AC200" s="2">
        <f t="shared" si="54"/>
        <v>1</v>
      </c>
      <c r="AD200" s="2">
        <f t="shared" si="55"/>
        <v>1</v>
      </c>
      <c r="AE200" s="2">
        <f t="shared" si="56"/>
        <v>3</v>
      </c>
      <c r="AF200" s="2">
        <f t="shared" si="57"/>
        <v>3</v>
      </c>
      <c r="AG200" s="2">
        <f t="shared" si="58"/>
        <v>3</v>
      </c>
      <c r="AH200" s="2">
        <f t="shared" si="59"/>
        <v>2</v>
      </c>
      <c r="AI200" s="2">
        <f t="shared" si="60"/>
        <v>2</v>
      </c>
      <c r="AJ200" s="2">
        <f t="shared" si="61"/>
        <v>0</v>
      </c>
      <c r="AK200" s="2">
        <f t="shared" si="62"/>
        <v>1</v>
      </c>
      <c r="AL200" s="2">
        <f t="shared" si="63"/>
        <v>0</v>
      </c>
      <c r="AM200" s="115"/>
      <c r="AN200" s="115"/>
      <c r="AO200" s="63"/>
    </row>
    <row r="201" spans="1:41" ht="72" x14ac:dyDescent="0.55000000000000004">
      <c r="A201" s="36">
        <v>382</v>
      </c>
      <c r="B201" s="113" t="s">
        <v>1096</v>
      </c>
      <c r="C201" s="140" t="s">
        <v>1097</v>
      </c>
      <c r="D201" s="114" t="s">
        <v>48</v>
      </c>
      <c r="E201" s="115" t="s">
        <v>1070</v>
      </c>
      <c r="F201" s="116"/>
      <c r="G201" s="113" t="s">
        <v>1056</v>
      </c>
      <c r="H201" s="113" t="s">
        <v>1091</v>
      </c>
      <c r="I201" s="113" t="s">
        <v>1098</v>
      </c>
      <c r="J201" s="117" t="s">
        <v>1099</v>
      </c>
      <c r="K201" s="118"/>
      <c r="L201" s="109">
        <v>4</v>
      </c>
      <c r="M201" s="109">
        <v>2</v>
      </c>
      <c r="N201" s="109"/>
      <c r="O201" s="119"/>
      <c r="P201" s="2">
        <f t="shared" si="48"/>
        <v>3</v>
      </c>
      <c r="Q201" s="110" t="str">
        <f>IF(AND(Drops!$D$45&gt;1,OR(U201&lt;&gt;U200,AND(ROW()=5,U200=U201))),VLOOKUP(U201,Drops!$D$26:$E$44,2,FALSE),"")</f>
        <v/>
      </c>
      <c r="R201" s="2" t="str">
        <f t="shared" si="49"/>
        <v/>
      </c>
      <c r="S201" s="2">
        <f t="shared" ca="1" si="50"/>
        <v>3</v>
      </c>
      <c r="T201" s="2">
        <f t="shared" si="51"/>
        <v>0</v>
      </c>
      <c r="U201" s="110" t="s">
        <v>1059</v>
      </c>
      <c r="V201" s="110">
        <v>1</v>
      </c>
      <c r="W201" s="110">
        <v>2</v>
      </c>
      <c r="X201" s="110">
        <v>14</v>
      </c>
      <c r="Y201" s="110">
        <v>2</v>
      </c>
      <c r="Z201" s="110">
        <v>0</v>
      </c>
      <c r="AA201" s="2">
        <f t="shared" si="52"/>
        <v>1</v>
      </c>
      <c r="AB201" s="2">
        <f t="shared" si="53"/>
        <v>0</v>
      </c>
      <c r="AC201" s="2">
        <f t="shared" si="54"/>
        <v>1</v>
      </c>
      <c r="AD201" s="2">
        <f t="shared" si="55"/>
        <v>1</v>
      </c>
      <c r="AE201" s="2">
        <f t="shared" si="56"/>
        <v>3</v>
      </c>
      <c r="AF201" s="2">
        <f t="shared" si="57"/>
        <v>3</v>
      </c>
      <c r="AG201" s="2">
        <f t="shared" si="58"/>
        <v>3</v>
      </c>
      <c r="AH201" s="2">
        <f t="shared" si="59"/>
        <v>2</v>
      </c>
      <c r="AI201" s="2">
        <f t="shared" si="60"/>
        <v>2</v>
      </c>
      <c r="AJ201" s="2">
        <f t="shared" si="61"/>
        <v>0</v>
      </c>
      <c r="AK201" s="2">
        <f t="shared" si="62"/>
        <v>1</v>
      </c>
      <c r="AL201" s="2">
        <f t="shared" si="63"/>
        <v>0</v>
      </c>
      <c r="AM201" s="115"/>
      <c r="AN201" s="115"/>
      <c r="AO201" s="63"/>
    </row>
    <row r="202" spans="1:41" ht="72" x14ac:dyDescent="0.55000000000000004">
      <c r="A202" s="36">
        <v>383</v>
      </c>
      <c r="B202" s="113" t="s">
        <v>1100</v>
      </c>
      <c r="C202" s="140" t="s">
        <v>1101</v>
      </c>
      <c r="D202" s="114" t="s">
        <v>48</v>
      </c>
      <c r="E202" s="115" t="s">
        <v>1070</v>
      </c>
      <c r="F202" s="116"/>
      <c r="G202" s="113" t="s">
        <v>1056</v>
      </c>
      <c r="H202" s="113" t="s">
        <v>1091</v>
      </c>
      <c r="I202" s="113" t="s">
        <v>1098</v>
      </c>
      <c r="J202" s="117" t="s">
        <v>1102</v>
      </c>
      <c r="K202" s="118"/>
      <c r="L202" s="109">
        <v>4</v>
      </c>
      <c r="M202" s="109">
        <v>3</v>
      </c>
      <c r="N202" s="109"/>
      <c r="O202" s="119"/>
      <c r="P202" s="2">
        <f t="shared" si="48"/>
        <v>3</v>
      </c>
      <c r="Q202" s="110" t="str">
        <f>IF(AND(Drops!$D$45&gt;1,OR(U202&lt;&gt;U201,AND(ROW()=5,U201=U202))),VLOOKUP(U202,Drops!$D$26:$E$44,2,FALSE),"")</f>
        <v/>
      </c>
      <c r="R202" s="2" t="str">
        <f t="shared" si="49"/>
        <v/>
      </c>
      <c r="S202" s="2">
        <f t="shared" ca="1" si="50"/>
        <v>3</v>
      </c>
      <c r="T202" s="2">
        <f t="shared" si="51"/>
        <v>0</v>
      </c>
      <c r="U202" s="110" t="s">
        <v>1059</v>
      </c>
      <c r="V202" s="110">
        <v>1</v>
      </c>
      <c r="W202" s="110">
        <v>2</v>
      </c>
      <c r="X202" s="110">
        <v>14</v>
      </c>
      <c r="Y202" s="110">
        <v>3</v>
      </c>
      <c r="Z202" s="110">
        <v>0</v>
      </c>
      <c r="AA202" s="2">
        <f t="shared" si="52"/>
        <v>1</v>
      </c>
      <c r="AB202" s="2">
        <f t="shared" si="53"/>
        <v>0</v>
      </c>
      <c r="AC202" s="2">
        <f t="shared" si="54"/>
        <v>1</v>
      </c>
      <c r="AD202" s="2">
        <f t="shared" si="55"/>
        <v>1</v>
      </c>
      <c r="AE202" s="2">
        <f t="shared" si="56"/>
        <v>3</v>
      </c>
      <c r="AF202" s="2">
        <f t="shared" si="57"/>
        <v>3</v>
      </c>
      <c r="AG202" s="2">
        <f t="shared" si="58"/>
        <v>3</v>
      </c>
      <c r="AH202" s="2">
        <f t="shared" si="59"/>
        <v>2</v>
      </c>
      <c r="AI202" s="2">
        <f t="shared" si="60"/>
        <v>2</v>
      </c>
      <c r="AJ202" s="2">
        <f t="shared" si="61"/>
        <v>0</v>
      </c>
      <c r="AK202" s="2">
        <f t="shared" si="62"/>
        <v>1</v>
      </c>
      <c r="AL202" s="2">
        <f t="shared" si="63"/>
        <v>0</v>
      </c>
      <c r="AM202" s="115"/>
      <c r="AN202" s="115"/>
      <c r="AO202" s="63"/>
    </row>
    <row r="203" spans="1:41" ht="72" x14ac:dyDescent="0.55000000000000004">
      <c r="A203" s="36">
        <v>384</v>
      </c>
      <c r="B203" s="113" t="s">
        <v>1103</v>
      </c>
      <c r="C203" s="140" t="s">
        <v>1104</v>
      </c>
      <c r="D203" s="114" t="s">
        <v>48</v>
      </c>
      <c r="E203" s="115" t="s">
        <v>1070</v>
      </c>
      <c r="F203" s="116"/>
      <c r="G203" s="113" t="s">
        <v>1056</v>
      </c>
      <c r="H203" s="113" t="s">
        <v>1091</v>
      </c>
      <c r="I203" s="113" t="s">
        <v>1098</v>
      </c>
      <c r="J203" s="117" t="s">
        <v>1099</v>
      </c>
      <c r="K203" s="118"/>
      <c r="L203" s="109">
        <v>4</v>
      </c>
      <c r="M203" s="109">
        <v>3</v>
      </c>
      <c r="N203" s="109"/>
      <c r="O203" s="119"/>
      <c r="P203" s="2">
        <f t="shared" si="48"/>
        <v>3</v>
      </c>
      <c r="Q203" s="110" t="str">
        <f>IF(AND(Drops!$D$45&gt;1,OR(U203&lt;&gt;U202,AND(ROW()=5,U202=U203))),VLOOKUP(U203,Drops!$D$26:$E$44,2,FALSE),"")</f>
        <v/>
      </c>
      <c r="R203" s="2" t="str">
        <f t="shared" si="49"/>
        <v/>
      </c>
      <c r="S203" s="2">
        <f t="shared" ca="1" si="50"/>
        <v>3</v>
      </c>
      <c r="T203" s="2">
        <f t="shared" si="51"/>
        <v>0</v>
      </c>
      <c r="U203" s="110" t="s">
        <v>1059</v>
      </c>
      <c r="V203" s="110">
        <v>1</v>
      </c>
      <c r="W203" s="110">
        <v>2</v>
      </c>
      <c r="X203" s="110">
        <v>14</v>
      </c>
      <c r="Y203" s="110">
        <v>4</v>
      </c>
      <c r="Z203" s="110">
        <v>0</v>
      </c>
      <c r="AA203" s="2">
        <f t="shared" si="52"/>
        <v>1</v>
      </c>
      <c r="AB203" s="2">
        <f t="shared" si="53"/>
        <v>0</v>
      </c>
      <c r="AC203" s="2">
        <f t="shared" si="54"/>
        <v>1</v>
      </c>
      <c r="AD203" s="2">
        <f t="shared" si="55"/>
        <v>1</v>
      </c>
      <c r="AE203" s="2">
        <f t="shared" si="56"/>
        <v>3</v>
      </c>
      <c r="AF203" s="2">
        <f t="shared" si="57"/>
        <v>3</v>
      </c>
      <c r="AG203" s="2">
        <f t="shared" si="58"/>
        <v>3</v>
      </c>
      <c r="AH203" s="2">
        <f t="shared" si="59"/>
        <v>2</v>
      </c>
      <c r="AI203" s="2">
        <f t="shared" si="60"/>
        <v>2</v>
      </c>
      <c r="AJ203" s="2">
        <f t="shared" si="61"/>
        <v>0</v>
      </c>
      <c r="AK203" s="2">
        <f t="shared" si="62"/>
        <v>1</v>
      </c>
      <c r="AL203" s="2">
        <f t="shared" si="63"/>
        <v>0</v>
      </c>
      <c r="AM203" s="115"/>
      <c r="AN203" s="115"/>
      <c r="AO203" s="63"/>
    </row>
    <row r="204" spans="1:41" ht="72" x14ac:dyDescent="0.55000000000000004">
      <c r="A204" s="36">
        <v>390</v>
      </c>
      <c r="B204" s="113" t="s">
        <v>1105</v>
      </c>
      <c r="C204" s="140" t="s">
        <v>1106</v>
      </c>
      <c r="D204" s="114" t="s">
        <v>48</v>
      </c>
      <c r="E204" s="115" t="s">
        <v>1070</v>
      </c>
      <c r="F204" s="116"/>
      <c r="G204" s="113" t="s">
        <v>1056</v>
      </c>
      <c r="H204" s="113" t="s">
        <v>1091</v>
      </c>
      <c r="I204" s="113"/>
      <c r="J204" s="117" t="s">
        <v>1107</v>
      </c>
      <c r="K204" s="118"/>
      <c r="L204" s="109">
        <v>4</v>
      </c>
      <c r="M204" s="109">
        <v>2</v>
      </c>
      <c r="N204" s="109"/>
      <c r="O204" s="119"/>
      <c r="P204" s="2">
        <f t="shared" si="48"/>
        <v>3</v>
      </c>
      <c r="Q204" s="110" t="str">
        <f>IF(AND(Drops!$D$45&gt;1,OR(U204&lt;&gt;U203,AND(ROW()=5,U203=U204))),VLOOKUP(U204,Drops!$D$26:$E$44,2,FALSE),"")</f>
        <v/>
      </c>
      <c r="R204" s="2" t="str">
        <f t="shared" si="49"/>
        <v/>
      </c>
      <c r="S204" s="2">
        <f t="shared" ca="1" si="50"/>
        <v>3</v>
      </c>
      <c r="T204" s="2">
        <f t="shared" si="51"/>
        <v>0</v>
      </c>
      <c r="U204" s="110" t="s">
        <v>1059</v>
      </c>
      <c r="V204" s="110">
        <v>1</v>
      </c>
      <c r="W204" s="110">
        <v>2</v>
      </c>
      <c r="X204" s="110">
        <v>14</v>
      </c>
      <c r="Y204" s="110">
        <v>5</v>
      </c>
      <c r="Z204" s="110">
        <v>0</v>
      </c>
      <c r="AA204" s="2">
        <f t="shared" si="52"/>
        <v>1</v>
      </c>
      <c r="AB204" s="2">
        <f t="shared" si="53"/>
        <v>0</v>
      </c>
      <c r="AC204" s="2">
        <f t="shared" si="54"/>
        <v>1</v>
      </c>
      <c r="AD204" s="2">
        <f t="shared" si="55"/>
        <v>1</v>
      </c>
      <c r="AE204" s="2">
        <f t="shared" si="56"/>
        <v>3</v>
      </c>
      <c r="AF204" s="2">
        <f t="shared" si="57"/>
        <v>3</v>
      </c>
      <c r="AG204" s="2">
        <f t="shared" si="58"/>
        <v>3</v>
      </c>
      <c r="AH204" s="2">
        <f t="shared" si="59"/>
        <v>2</v>
      </c>
      <c r="AI204" s="2">
        <f t="shared" si="60"/>
        <v>2</v>
      </c>
      <c r="AJ204" s="2">
        <f t="shared" si="61"/>
        <v>0</v>
      </c>
      <c r="AK204" s="2">
        <f t="shared" si="62"/>
        <v>1</v>
      </c>
      <c r="AL204" s="2">
        <f t="shared" si="63"/>
        <v>0</v>
      </c>
      <c r="AM204" s="115"/>
      <c r="AN204" s="115"/>
      <c r="AO204" s="63"/>
    </row>
    <row r="205" spans="1:41" ht="72" x14ac:dyDescent="0.55000000000000004">
      <c r="A205" s="36">
        <v>4715</v>
      </c>
      <c r="B205" s="113" t="s">
        <v>1108</v>
      </c>
      <c r="C205" s="138" t="s">
        <v>1109</v>
      </c>
      <c r="D205" s="114" t="s">
        <v>48</v>
      </c>
      <c r="E205" s="115" t="s">
        <v>1070</v>
      </c>
      <c r="F205" s="116"/>
      <c r="G205" s="113" t="s">
        <v>1056</v>
      </c>
      <c r="H205" s="113" t="s">
        <v>1110</v>
      </c>
      <c r="I205" s="113" t="s">
        <v>1111</v>
      </c>
      <c r="J205" s="117" t="s">
        <v>1112</v>
      </c>
      <c r="K205" s="118"/>
      <c r="L205" s="109">
        <v>2</v>
      </c>
      <c r="M205" s="109">
        <v>2</v>
      </c>
      <c r="N205" s="109"/>
      <c r="O205" s="119"/>
      <c r="P205" s="2">
        <f t="shared" si="48"/>
        <v>3</v>
      </c>
      <c r="Q205" s="110" t="str">
        <f>IF(AND(Drops!$D$45&gt;1,OR(U205&lt;&gt;U204,AND(ROW()=5,U204=U205))),VLOOKUP(U205,Drops!$D$26:$E$44,2,FALSE),"")</f>
        <v/>
      </c>
      <c r="R205" s="2" t="str">
        <f t="shared" si="49"/>
        <v/>
      </c>
      <c r="S205" s="2">
        <f t="shared" ca="1" si="50"/>
        <v>3</v>
      </c>
      <c r="T205" s="2">
        <f t="shared" si="51"/>
        <v>0</v>
      </c>
      <c r="U205" s="110" t="s">
        <v>1059</v>
      </c>
      <c r="V205" s="110">
        <v>1</v>
      </c>
      <c r="W205" s="110">
        <v>3</v>
      </c>
      <c r="X205" s="110">
        <v>0</v>
      </c>
      <c r="Y205" s="110">
        <v>0</v>
      </c>
      <c r="Z205" s="110">
        <v>0</v>
      </c>
      <c r="AA205" s="2">
        <f t="shared" si="52"/>
        <v>1</v>
      </c>
      <c r="AB205" s="2">
        <f t="shared" si="53"/>
        <v>1</v>
      </c>
      <c r="AC205" s="2">
        <f t="shared" si="54"/>
        <v>1</v>
      </c>
      <c r="AD205" s="2">
        <f t="shared" si="55"/>
        <v>3</v>
      </c>
      <c r="AE205" s="2">
        <f t="shared" si="56"/>
        <v>3</v>
      </c>
      <c r="AF205" s="2">
        <f t="shared" si="57"/>
        <v>3</v>
      </c>
      <c r="AG205" s="2">
        <f t="shared" si="58"/>
        <v>3</v>
      </c>
      <c r="AH205" s="2">
        <f t="shared" si="59"/>
        <v>2</v>
      </c>
      <c r="AI205" s="2">
        <f t="shared" si="60"/>
        <v>1</v>
      </c>
      <c r="AJ205" s="2">
        <f t="shared" si="61"/>
        <v>0</v>
      </c>
      <c r="AK205" s="2">
        <f t="shared" si="62"/>
        <v>0</v>
      </c>
      <c r="AL205" s="2">
        <f t="shared" si="63"/>
        <v>0</v>
      </c>
      <c r="AM205" s="115"/>
      <c r="AN205" s="115"/>
      <c r="AO205" s="63"/>
    </row>
    <row r="206" spans="1:41" ht="57.6" hidden="1" x14ac:dyDescent="0.55000000000000004">
      <c r="A206" s="36">
        <v>4716</v>
      </c>
      <c r="B206" s="113" t="s">
        <v>1113</v>
      </c>
      <c r="C206" s="139" t="s">
        <v>1114</v>
      </c>
      <c r="D206" s="114"/>
      <c r="E206" s="115"/>
      <c r="F206" s="116"/>
      <c r="G206" s="113" t="s">
        <v>1056</v>
      </c>
      <c r="H206" s="113" t="s">
        <v>1110</v>
      </c>
      <c r="I206" s="113" t="s">
        <v>1115</v>
      </c>
      <c r="J206" s="117" t="s">
        <v>1116</v>
      </c>
      <c r="K206" s="118"/>
      <c r="L206" s="109">
        <v>3</v>
      </c>
      <c r="M206" s="109">
        <v>3</v>
      </c>
      <c r="N206" s="109"/>
      <c r="O206" s="119"/>
      <c r="P206" s="2">
        <f t="shared" si="48"/>
        <v>0</v>
      </c>
      <c r="Q206" s="110" t="str">
        <f>IF(AND(Drops!$D$45&gt;1,OR(U206&lt;&gt;U205,AND(ROW()=5,U205=U206))),VLOOKUP(U206,Drops!$D$26:$E$44,2,FALSE),"")</f>
        <v/>
      </c>
      <c r="R206" s="2" t="str">
        <f t="shared" si="49"/>
        <v/>
      </c>
      <c r="S206" s="2">
        <f t="shared" ca="1" si="50"/>
        <v>3</v>
      </c>
      <c r="T206" s="2">
        <f t="shared" si="51"/>
        <v>0</v>
      </c>
      <c r="U206" s="110" t="s">
        <v>1059</v>
      </c>
      <c r="V206" s="110">
        <v>1</v>
      </c>
      <c r="W206" s="110">
        <v>3</v>
      </c>
      <c r="X206" s="110">
        <v>1</v>
      </c>
      <c r="Y206" s="110">
        <v>0</v>
      </c>
      <c r="Z206" s="110">
        <v>0</v>
      </c>
      <c r="AA206" s="2">
        <f t="shared" si="52"/>
        <v>0</v>
      </c>
      <c r="AB206" s="2">
        <f t="shared" si="53"/>
        <v>0</v>
      </c>
      <c r="AC206" s="2">
        <f t="shared" si="54"/>
        <v>1</v>
      </c>
      <c r="AD206" s="2">
        <f t="shared" si="55"/>
        <v>3</v>
      </c>
      <c r="AE206" s="2">
        <f t="shared" si="56"/>
        <v>3</v>
      </c>
      <c r="AF206" s="2">
        <f t="shared" si="57"/>
        <v>3</v>
      </c>
      <c r="AG206" s="2">
        <f t="shared" si="58"/>
        <v>3</v>
      </c>
      <c r="AH206" s="2">
        <f t="shared" si="59"/>
        <v>2</v>
      </c>
      <c r="AI206" s="2">
        <f t="shared" si="60"/>
        <v>0</v>
      </c>
      <c r="AJ206" s="2">
        <f t="shared" si="61"/>
        <v>1</v>
      </c>
      <c r="AK206" s="2">
        <f t="shared" si="62"/>
        <v>0</v>
      </c>
      <c r="AL206" s="2">
        <f t="shared" si="63"/>
        <v>0</v>
      </c>
      <c r="AM206" s="115"/>
      <c r="AN206" s="115"/>
      <c r="AO206" s="63"/>
    </row>
    <row r="207" spans="1:41" ht="43.2" hidden="1" x14ac:dyDescent="0.55000000000000004">
      <c r="A207" s="36">
        <v>4717</v>
      </c>
      <c r="B207" s="113" t="s">
        <v>1117</v>
      </c>
      <c r="C207" s="139" t="s">
        <v>1118</v>
      </c>
      <c r="D207" s="114"/>
      <c r="E207" s="115"/>
      <c r="F207" s="116"/>
      <c r="G207" s="113" t="s">
        <v>1056</v>
      </c>
      <c r="H207" s="113" t="s">
        <v>1110</v>
      </c>
      <c r="I207" s="113"/>
      <c r="J207" s="117" t="s">
        <v>1119</v>
      </c>
      <c r="K207" s="118"/>
      <c r="L207" s="109">
        <v>3</v>
      </c>
      <c r="M207" s="109">
        <v>3</v>
      </c>
      <c r="N207" s="109"/>
      <c r="O207" s="119"/>
      <c r="P207" s="2">
        <f t="shared" si="48"/>
        <v>0</v>
      </c>
      <c r="Q207" s="110" t="str">
        <f>IF(AND(Drops!$D$45&gt;1,OR(U207&lt;&gt;U206,AND(ROW()=5,U206=U207))),VLOOKUP(U207,Drops!$D$26:$E$44,2,FALSE),"")</f>
        <v/>
      </c>
      <c r="R207" s="2" t="str">
        <f t="shared" si="49"/>
        <v/>
      </c>
      <c r="S207" s="2">
        <f t="shared" ca="1" si="50"/>
        <v>3</v>
      </c>
      <c r="T207" s="2">
        <f t="shared" si="51"/>
        <v>0</v>
      </c>
      <c r="U207" s="110" t="s">
        <v>1059</v>
      </c>
      <c r="V207" s="110">
        <v>1</v>
      </c>
      <c r="W207" s="110">
        <v>3</v>
      </c>
      <c r="X207" s="110">
        <v>2</v>
      </c>
      <c r="Y207" s="110">
        <v>0</v>
      </c>
      <c r="Z207" s="110">
        <v>0</v>
      </c>
      <c r="AA207" s="2">
        <f t="shared" si="52"/>
        <v>0</v>
      </c>
      <c r="AB207" s="2">
        <f t="shared" si="53"/>
        <v>0</v>
      </c>
      <c r="AC207" s="2">
        <f t="shared" si="54"/>
        <v>1</v>
      </c>
      <c r="AD207" s="2">
        <f t="shared" si="55"/>
        <v>3</v>
      </c>
      <c r="AE207" s="2">
        <f t="shared" si="56"/>
        <v>3</v>
      </c>
      <c r="AF207" s="2">
        <f t="shared" si="57"/>
        <v>3</v>
      </c>
      <c r="AG207" s="2">
        <f t="shared" si="58"/>
        <v>3</v>
      </c>
      <c r="AH207" s="2">
        <f t="shared" si="59"/>
        <v>2</v>
      </c>
      <c r="AI207" s="2">
        <f t="shared" si="60"/>
        <v>0</v>
      </c>
      <c r="AJ207" s="2">
        <f t="shared" si="61"/>
        <v>1</v>
      </c>
      <c r="AK207" s="2">
        <f t="shared" si="62"/>
        <v>0</v>
      </c>
      <c r="AL207" s="2">
        <f t="shared" si="63"/>
        <v>0</v>
      </c>
      <c r="AM207" s="115"/>
      <c r="AN207" s="115"/>
      <c r="AO207" s="63"/>
    </row>
    <row r="208" spans="1:41" ht="43.2" hidden="1" x14ac:dyDescent="0.55000000000000004">
      <c r="A208" s="36">
        <v>5650</v>
      </c>
      <c r="B208" s="113" t="s">
        <v>1120</v>
      </c>
      <c r="C208" s="139" t="s">
        <v>1121</v>
      </c>
      <c r="D208" s="114"/>
      <c r="E208" s="115"/>
      <c r="F208" s="116"/>
      <c r="G208" s="113" t="s">
        <v>1056</v>
      </c>
      <c r="H208" s="113" t="s">
        <v>1110</v>
      </c>
      <c r="I208" s="113"/>
      <c r="J208" s="117"/>
      <c r="K208" s="118"/>
      <c r="L208" s="109">
        <v>3</v>
      </c>
      <c r="M208" s="109">
        <v>3</v>
      </c>
      <c r="N208" s="109"/>
      <c r="O208" s="119"/>
      <c r="P208" s="2">
        <f t="shared" si="48"/>
        <v>0</v>
      </c>
      <c r="Q208" s="110" t="str">
        <f>IF(AND(Drops!$D$45&gt;1,OR(U208&lt;&gt;U207,AND(ROW()=5,U207=U208))),VLOOKUP(U208,Drops!$D$26:$E$44,2,FALSE),"")</f>
        <v/>
      </c>
      <c r="R208" s="2" t="str">
        <f t="shared" si="49"/>
        <v/>
      </c>
      <c r="S208" s="2">
        <f t="shared" ca="1" si="50"/>
        <v>3</v>
      </c>
      <c r="T208" s="2">
        <f t="shared" si="51"/>
        <v>0</v>
      </c>
      <c r="U208" s="110" t="s">
        <v>1059</v>
      </c>
      <c r="V208" s="110">
        <v>1</v>
      </c>
      <c r="W208" s="110">
        <v>3</v>
      </c>
      <c r="X208" s="110">
        <v>3</v>
      </c>
      <c r="Y208" s="110">
        <v>0</v>
      </c>
      <c r="Z208" s="110">
        <v>0</v>
      </c>
      <c r="AA208" s="2">
        <f t="shared" si="52"/>
        <v>0</v>
      </c>
      <c r="AB208" s="2">
        <f t="shared" si="53"/>
        <v>0</v>
      </c>
      <c r="AC208" s="2">
        <f t="shared" si="54"/>
        <v>1</v>
      </c>
      <c r="AD208" s="2">
        <f t="shared" si="55"/>
        <v>3</v>
      </c>
      <c r="AE208" s="2">
        <f t="shared" si="56"/>
        <v>3</v>
      </c>
      <c r="AF208" s="2">
        <f t="shared" si="57"/>
        <v>3</v>
      </c>
      <c r="AG208" s="2">
        <f t="shared" si="58"/>
        <v>3</v>
      </c>
      <c r="AH208" s="2">
        <f t="shared" si="59"/>
        <v>2</v>
      </c>
      <c r="AI208" s="2">
        <f t="shared" si="60"/>
        <v>0</v>
      </c>
      <c r="AJ208" s="2">
        <f t="shared" si="61"/>
        <v>1</v>
      </c>
      <c r="AK208" s="2">
        <f t="shared" si="62"/>
        <v>0</v>
      </c>
      <c r="AL208" s="2">
        <f t="shared" si="63"/>
        <v>0</v>
      </c>
      <c r="AM208" s="115"/>
      <c r="AN208" s="115"/>
      <c r="AO208" s="63"/>
    </row>
    <row r="209" spans="1:41" ht="72" x14ac:dyDescent="0.55000000000000004">
      <c r="A209" s="36">
        <v>566</v>
      </c>
      <c r="B209" s="113" t="s">
        <v>1122</v>
      </c>
      <c r="C209" s="139" t="s">
        <v>1123</v>
      </c>
      <c r="D209" s="114" t="s">
        <v>48</v>
      </c>
      <c r="E209" s="115" t="s">
        <v>1070</v>
      </c>
      <c r="F209" s="116"/>
      <c r="G209" s="113" t="s">
        <v>1056</v>
      </c>
      <c r="H209" s="113" t="s">
        <v>1110</v>
      </c>
      <c r="I209" s="113" t="s">
        <v>1111</v>
      </c>
      <c r="J209" s="117" t="s">
        <v>1112</v>
      </c>
      <c r="K209" s="118"/>
      <c r="L209" s="109">
        <v>3</v>
      </c>
      <c r="M209" s="109">
        <v>3</v>
      </c>
      <c r="N209" s="109"/>
      <c r="O209" s="119"/>
      <c r="P209" s="2">
        <f t="shared" si="48"/>
        <v>3</v>
      </c>
      <c r="Q209" s="110" t="str">
        <f>IF(AND(Drops!$D$45&gt;1,OR(U209&lt;&gt;U208,AND(ROW()=5,U208=U209))),VLOOKUP(U209,Drops!$D$26:$E$44,2,FALSE),"")</f>
        <v/>
      </c>
      <c r="R209" s="2" t="str">
        <f t="shared" si="49"/>
        <v/>
      </c>
      <c r="S209" s="2">
        <f t="shared" ca="1" si="50"/>
        <v>3</v>
      </c>
      <c r="T209" s="2">
        <f t="shared" si="51"/>
        <v>0</v>
      </c>
      <c r="U209" s="110" t="s">
        <v>1059</v>
      </c>
      <c r="V209" s="110">
        <v>1</v>
      </c>
      <c r="W209" s="110">
        <v>3</v>
      </c>
      <c r="X209" s="110">
        <v>4</v>
      </c>
      <c r="Y209" s="110">
        <v>0</v>
      </c>
      <c r="Z209" s="110">
        <v>0</v>
      </c>
      <c r="AA209" s="2">
        <f t="shared" si="52"/>
        <v>1</v>
      </c>
      <c r="AB209" s="2">
        <f t="shared" si="53"/>
        <v>0</v>
      </c>
      <c r="AC209" s="2">
        <f t="shared" si="54"/>
        <v>1</v>
      </c>
      <c r="AD209" s="2">
        <f t="shared" si="55"/>
        <v>3</v>
      </c>
      <c r="AE209" s="2">
        <f t="shared" si="56"/>
        <v>3</v>
      </c>
      <c r="AF209" s="2">
        <f t="shared" si="57"/>
        <v>3</v>
      </c>
      <c r="AG209" s="2">
        <f t="shared" si="58"/>
        <v>3</v>
      </c>
      <c r="AH209" s="2">
        <f t="shared" si="59"/>
        <v>2</v>
      </c>
      <c r="AI209" s="2">
        <f t="shared" si="60"/>
        <v>0</v>
      </c>
      <c r="AJ209" s="2">
        <f t="shared" si="61"/>
        <v>1</v>
      </c>
      <c r="AK209" s="2">
        <f t="shared" si="62"/>
        <v>0</v>
      </c>
      <c r="AL209" s="2">
        <f t="shared" si="63"/>
        <v>0</v>
      </c>
      <c r="AM209" s="115"/>
      <c r="AN209" s="115"/>
      <c r="AO209" s="63"/>
    </row>
    <row r="210" spans="1:41" ht="72" x14ac:dyDescent="0.55000000000000004">
      <c r="A210" s="36">
        <v>3297</v>
      </c>
      <c r="B210" s="113" t="s">
        <v>1124</v>
      </c>
      <c r="C210" s="139" t="s">
        <v>1125</v>
      </c>
      <c r="D210" s="114" t="s">
        <v>48</v>
      </c>
      <c r="E210" s="115" t="s">
        <v>1070</v>
      </c>
      <c r="F210" s="116"/>
      <c r="G210" s="113" t="s">
        <v>1056</v>
      </c>
      <c r="H210" s="113" t="s">
        <v>1110</v>
      </c>
      <c r="I210" s="113"/>
      <c r="J210" s="117" t="s">
        <v>1112</v>
      </c>
      <c r="K210" s="118"/>
      <c r="L210" s="109">
        <v>3</v>
      </c>
      <c r="M210" s="109">
        <v>3</v>
      </c>
      <c r="N210" s="109"/>
      <c r="O210" s="119"/>
      <c r="P210" s="2">
        <f t="shared" si="48"/>
        <v>3</v>
      </c>
      <c r="Q210" s="110" t="str">
        <f>IF(AND(Drops!$D$45&gt;1,OR(U210&lt;&gt;U209,AND(ROW()=5,U209=U210))),VLOOKUP(U210,Drops!$D$26:$E$44,2,FALSE),"")</f>
        <v/>
      </c>
      <c r="R210" s="2" t="str">
        <f t="shared" si="49"/>
        <v/>
      </c>
      <c r="S210" s="2">
        <f t="shared" ca="1" si="50"/>
        <v>3</v>
      </c>
      <c r="T210" s="2">
        <f t="shared" si="51"/>
        <v>0</v>
      </c>
      <c r="U210" s="110" t="s">
        <v>1059</v>
      </c>
      <c r="V210" s="110">
        <v>1</v>
      </c>
      <c r="W210" s="110">
        <v>3</v>
      </c>
      <c r="X210" s="110">
        <v>5</v>
      </c>
      <c r="Y210" s="110">
        <v>0</v>
      </c>
      <c r="Z210" s="110">
        <v>0</v>
      </c>
      <c r="AA210" s="2">
        <f t="shared" si="52"/>
        <v>1</v>
      </c>
      <c r="AB210" s="2">
        <f t="shared" si="53"/>
        <v>0</v>
      </c>
      <c r="AC210" s="2">
        <f t="shared" si="54"/>
        <v>1</v>
      </c>
      <c r="AD210" s="2">
        <f t="shared" si="55"/>
        <v>3</v>
      </c>
      <c r="AE210" s="2">
        <f t="shared" si="56"/>
        <v>3</v>
      </c>
      <c r="AF210" s="2">
        <f t="shared" si="57"/>
        <v>3</v>
      </c>
      <c r="AG210" s="2">
        <f t="shared" si="58"/>
        <v>3</v>
      </c>
      <c r="AH210" s="2">
        <f t="shared" si="59"/>
        <v>2</v>
      </c>
      <c r="AI210" s="2">
        <f t="shared" si="60"/>
        <v>0</v>
      </c>
      <c r="AJ210" s="2">
        <f t="shared" si="61"/>
        <v>1</v>
      </c>
      <c r="AK210" s="2">
        <f t="shared" si="62"/>
        <v>0</v>
      </c>
      <c r="AL210" s="2">
        <f t="shared" si="63"/>
        <v>0</v>
      </c>
      <c r="AM210" s="115"/>
      <c r="AN210" s="115"/>
      <c r="AO210" s="63"/>
    </row>
    <row r="211" spans="1:41" ht="72" x14ac:dyDescent="0.55000000000000004">
      <c r="A211" s="36">
        <v>3298</v>
      </c>
      <c r="B211" s="113" t="s">
        <v>1126</v>
      </c>
      <c r="C211" s="139" t="s">
        <v>1127</v>
      </c>
      <c r="D211" s="114" t="s">
        <v>48</v>
      </c>
      <c r="E211" s="115" t="s">
        <v>1070</v>
      </c>
      <c r="F211" s="116"/>
      <c r="G211" s="113" t="s">
        <v>1056</v>
      </c>
      <c r="H211" s="113" t="s">
        <v>1110</v>
      </c>
      <c r="I211" s="113" t="s">
        <v>1111</v>
      </c>
      <c r="J211" s="117" t="s">
        <v>1112</v>
      </c>
      <c r="K211" s="118"/>
      <c r="L211" s="109">
        <v>3</v>
      </c>
      <c r="M211" s="109">
        <v>3</v>
      </c>
      <c r="N211" s="109"/>
      <c r="O211" s="119"/>
      <c r="P211" s="2">
        <f t="shared" si="48"/>
        <v>3</v>
      </c>
      <c r="Q211" s="110" t="str">
        <f>IF(AND(Drops!$D$45&gt;1,OR(U211&lt;&gt;U210,AND(ROW()=5,U210=U211))),VLOOKUP(U211,Drops!$D$26:$E$44,2,FALSE),"")</f>
        <v/>
      </c>
      <c r="R211" s="2" t="str">
        <f t="shared" si="49"/>
        <v/>
      </c>
      <c r="S211" s="2">
        <f t="shared" ca="1" si="50"/>
        <v>3</v>
      </c>
      <c r="T211" s="2">
        <f t="shared" si="51"/>
        <v>0</v>
      </c>
      <c r="U211" s="110" t="s">
        <v>1059</v>
      </c>
      <c r="V211" s="110">
        <v>1</v>
      </c>
      <c r="W211" s="110">
        <v>3</v>
      </c>
      <c r="X211" s="110">
        <v>6</v>
      </c>
      <c r="Y211" s="110">
        <v>0</v>
      </c>
      <c r="Z211" s="110">
        <v>0</v>
      </c>
      <c r="AA211" s="2">
        <f t="shared" si="52"/>
        <v>1</v>
      </c>
      <c r="AB211" s="2">
        <f t="shared" si="53"/>
        <v>0</v>
      </c>
      <c r="AC211" s="2">
        <f t="shared" si="54"/>
        <v>1</v>
      </c>
      <c r="AD211" s="2">
        <f t="shared" si="55"/>
        <v>3</v>
      </c>
      <c r="AE211" s="2">
        <f t="shared" si="56"/>
        <v>3</v>
      </c>
      <c r="AF211" s="2">
        <f t="shared" si="57"/>
        <v>3</v>
      </c>
      <c r="AG211" s="2">
        <f t="shared" si="58"/>
        <v>3</v>
      </c>
      <c r="AH211" s="2">
        <f t="shared" si="59"/>
        <v>2</v>
      </c>
      <c r="AI211" s="2">
        <f t="shared" si="60"/>
        <v>0</v>
      </c>
      <c r="AJ211" s="2">
        <f t="shared" si="61"/>
        <v>1</v>
      </c>
      <c r="AK211" s="2">
        <f t="shared" si="62"/>
        <v>0</v>
      </c>
      <c r="AL211" s="2">
        <f t="shared" si="63"/>
        <v>0</v>
      </c>
      <c r="AM211" s="115"/>
      <c r="AN211" s="115"/>
      <c r="AO211" s="63"/>
    </row>
    <row r="212" spans="1:41" ht="72" x14ac:dyDescent="0.55000000000000004">
      <c r="A212" s="36">
        <v>569</v>
      </c>
      <c r="B212" s="113" t="s">
        <v>1128</v>
      </c>
      <c r="C212" s="139" t="s">
        <v>1129</v>
      </c>
      <c r="D212" s="114" t="s">
        <v>48</v>
      </c>
      <c r="E212" s="115" t="s">
        <v>1070</v>
      </c>
      <c r="F212" s="116"/>
      <c r="G212" s="113" t="s">
        <v>1056</v>
      </c>
      <c r="H212" s="113" t="s">
        <v>1110</v>
      </c>
      <c r="I212" s="113" t="s">
        <v>1111</v>
      </c>
      <c r="J212" s="117" t="s">
        <v>1112</v>
      </c>
      <c r="K212" s="118"/>
      <c r="L212" s="109">
        <v>3</v>
      </c>
      <c r="M212" s="109">
        <v>3</v>
      </c>
      <c r="N212" s="109"/>
      <c r="O212" s="119"/>
      <c r="P212" s="2">
        <f t="shared" si="48"/>
        <v>3</v>
      </c>
      <c r="Q212" s="110" t="str">
        <f>IF(AND(Drops!$D$45&gt;1,OR(U212&lt;&gt;U211,AND(ROW()=5,U211=U212))),VLOOKUP(U212,Drops!$D$26:$E$44,2,FALSE),"")</f>
        <v/>
      </c>
      <c r="R212" s="2" t="str">
        <f t="shared" si="49"/>
        <v/>
      </c>
      <c r="S212" s="2">
        <f t="shared" ca="1" si="50"/>
        <v>3</v>
      </c>
      <c r="T212" s="2">
        <f t="shared" si="51"/>
        <v>0</v>
      </c>
      <c r="U212" s="110" t="s">
        <v>1059</v>
      </c>
      <c r="V212" s="110">
        <v>1</v>
      </c>
      <c r="W212" s="110">
        <v>3</v>
      </c>
      <c r="X212" s="110">
        <v>7</v>
      </c>
      <c r="Y212" s="110">
        <v>0</v>
      </c>
      <c r="Z212" s="110">
        <v>0</v>
      </c>
      <c r="AA212" s="2">
        <f t="shared" si="52"/>
        <v>1</v>
      </c>
      <c r="AB212" s="2">
        <f t="shared" si="53"/>
        <v>0</v>
      </c>
      <c r="AC212" s="2">
        <f t="shared" si="54"/>
        <v>1</v>
      </c>
      <c r="AD212" s="2">
        <f t="shared" si="55"/>
        <v>3</v>
      </c>
      <c r="AE212" s="2">
        <f t="shared" si="56"/>
        <v>3</v>
      </c>
      <c r="AF212" s="2">
        <f t="shared" si="57"/>
        <v>3</v>
      </c>
      <c r="AG212" s="2">
        <f t="shared" si="58"/>
        <v>3</v>
      </c>
      <c r="AH212" s="2">
        <f t="shared" si="59"/>
        <v>2</v>
      </c>
      <c r="AI212" s="2">
        <f t="shared" si="60"/>
        <v>0</v>
      </c>
      <c r="AJ212" s="2">
        <f t="shared" si="61"/>
        <v>1</v>
      </c>
      <c r="AK212" s="2">
        <f t="shared" si="62"/>
        <v>0</v>
      </c>
      <c r="AL212" s="2">
        <f t="shared" si="63"/>
        <v>0</v>
      </c>
      <c r="AM212" s="115"/>
      <c r="AN212" s="115"/>
      <c r="AO212" s="63"/>
    </row>
    <row r="213" spans="1:41" ht="72" x14ac:dyDescent="0.55000000000000004">
      <c r="A213" s="36">
        <v>3303</v>
      </c>
      <c r="B213" s="113" t="s">
        <v>1130</v>
      </c>
      <c r="C213" s="139" t="s">
        <v>1131</v>
      </c>
      <c r="D213" s="114" t="s">
        <v>48</v>
      </c>
      <c r="E213" s="115" t="s">
        <v>1070</v>
      </c>
      <c r="F213" s="116"/>
      <c r="G213" s="113" t="s">
        <v>1056</v>
      </c>
      <c r="H213" s="113" t="s">
        <v>1110</v>
      </c>
      <c r="I213" s="113" t="s">
        <v>1111</v>
      </c>
      <c r="J213" s="117" t="s">
        <v>1112</v>
      </c>
      <c r="K213" s="118"/>
      <c r="L213" s="109">
        <v>3</v>
      </c>
      <c r="M213" s="109">
        <v>3</v>
      </c>
      <c r="N213" s="109"/>
      <c r="O213" s="119"/>
      <c r="P213" s="2">
        <f t="shared" si="48"/>
        <v>3</v>
      </c>
      <c r="Q213" s="110" t="str">
        <f>IF(AND(Drops!$D$45&gt;1,OR(U213&lt;&gt;U212,AND(ROW()=5,U212=U213))),VLOOKUP(U213,Drops!$D$26:$E$44,2,FALSE),"")</f>
        <v/>
      </c>
      <c r="R213" s="2" t="str">
        <f t="shared" si="49"/>
        <v/>
      </c>
      <c r="S213" s="2">
        <f t="shared" ca="1" si="50"/>
        <v>3</v>
      </c>
      <c r="T213" s="2">
        <f t="shared" si="51"/>
        <v>0</v>
      </c>
      <c r="U213" s="110" t="s">
        <v>1059</v>
      </c>
      <c r="V213" s="110">
        <v>1</v>
      </c>
      <c r="W213" s="110">
        <v>3</v>
      </c>
      <c r="X213" s="110">
        <v>8</v>
      </c>
      <c r="Y213" s="110">
        <v>0</v>
      </c>
      <c r="Z213" s="110">
        <v>0</v>
      </c>
      <c r="AA213" s="2">
        <f t="shared" si="52"/>
        <v>1</v>
      </c>
      <c r="AB213" s="2">
        <f t="shared" si="53"/>
        <v>0</v>
      </c>
      <c r="AC213" s="2">
        <f t="shared" si="54"/>
        <v>1</v>
      </c>
      <c r="AD213" s="2">
        <f t="shared" si="55"/>
        <v>3</v>
      </c>
      <c r="AE213" s="2">
        <f t="shared" si="56"/>
        <v>3</v>
      </c>
      <c r="AF213" s="2">
        <f t="shared" si="57"/>
        <v>3</v>
      </c>
      <c r="AG213" s="2">
        <f t="shared" si="58"/>
        <v>3</v>
      </c>
      <c r="AH213" s="2">
        <f t="shared" si="59"/>
        <v>2</v>
      </c>
      <c r="AI213" s="2">
        <f t="shared" si="60"/>
        <v>0</v>
      </c>
      <c r="AJ213" s="2">
        <f t="shared" si="61"/>
        <v>1</v>
      </c>
      <c r="AK213" s="2">
        <f t="shared" si="62"/>
        <v>0</v>
      </c>
      <c r="AL213" s="2">
        <f t="shared" si="63"/>
        <v>0</v>
      </c>
      <c r="AM213" s="115"/>
      <c r="AN213" s="115"/>
      <c r="AO213" s="63"/>
    </row>
    <row r="214" spans="1:41" ht="72" x14ac:dyDescent="0.55000000000000004">
      <c r="A214" s="36">
        <v>396</v>
      </c>
      <c r="B214" s="113" t="s">
        <v>216</v>
      </c>
      <c r="C214" s="113" t="s">
        <v>1132</v>
      </c>
      <c r="D214" s="114" t="s">
        <v>48</v>
      </c>
      <c r="E214" s="115" t="s">
        <v>1070</v>
      </c>
      <c r="F214" s="116"/>
      <c r="G214" s="113" t="s">
        <v>1056</v>
      </c>
      <c r="H214" s="113" t="s">
        <v>1133</v>
      </c>
      <c r="I214" s="113"/>
      <c r="J214" s="117"/>
      <c r="K214" s="118"/>
      <c r="L214" s="109">
        <v>1</v>
      </c>
      <c r="M214" s="109">
        <v>2</v>
      </c>
      <c r="N214" s="109"/>
      <c r="O214" s="119"/>
      <c r="P214" s="2">
        <f t="shared" si="48"/>
        <v>3</v>
      </c>
      <c r="Q214" s="110" t="str">
        <f>IF(AND(Drops!$D$45&gt;1,OR(U214&lt;&gt;U213,AND(ROW()=5,U213=U214))),VLOOKUP(U214,Drops!$D$26:$E$44,2,FALSE),"")</f>
        <v/>
      </c>
      <c r="R214" s="2" t="str">
        <f t="shared" si="49"/>
        <v/>
      </c>
      <c r="S214" s="2">
        <f t="shared" ca="1" si="50"/>
        <v>3</v>
      </c>
      <c r="T214" s="2">
        <f t="shared" si="51"/>
        <v>1</v>
      </c>
      <c r="U214" s="110" t="s">
        <v>1059</v>
      </c>
      <c r="V214" s="110">
        <v>2</v>
      </c>
      <c r="W214" s="110">
        <v>0</v>
      </c>
      <c r="X214" s="110">
        <v>0</v>
      </c>
      <c r="Y214" s="110">
        <v>0</v>
      </c>
      <c r="Z214" s="110">
        <v>0</v>
      </c>
      <c r="AA214" s="2">
        <f t="shared" si="52"/>
        <v>1</v>
      </c>
      <c r="AB214" s="2">
        <f t="shared" si="53"/>
        <v>1</v>
      </c>
      <c r="AC214" s="2">
        <f t="shared" si="54"/>
        <v>3</v>
      </c>
      <c r="AD214" s="2">
        <f t="shared" si="55"/>
        <v>3</v>
      </c>
      <c r="AE214" s="2">
        <f t="shared" si="56"/>
        <v>3</v>
      </c>
      <c r="AF214" s="2">
        <f t="shared" si="57"/>
        <v>3</v>
      </c>
      <c r="AG214" s="2">
        <f t="shared" si="58"/>
        <v>3</v>
      </c>
      <c r="AH214" s="2">
        <f t="shared" si="59"/>
        <v>1</v>
      </c>
      <c r="AI214" s="2">
        <f t="shared" si="60"/>
        <v>0</v>
      </c>
      <c r="AJ214" s="2">
        <f t="shared" si="61"/>
        <v>0</v>
      </c>
      <c r="AK214" s="2">
        <f t="shared" si="62"/>
        <v>0</v>
      </c>
      <c r="AL214" s="2">
        <f t="shared" si="63"/>
        <v>0</v>
      </c>
      <c r="AM214" s="115"/>
      <c r="AN214" s="115"/>
      <c r="AO214" s="63"/>
    </row>
    <row r="215" spans="1:41" ht="72" x14ac:dyDescent="0.55000000000000004">
      <c r="A215" s="36">
        <v>397</v>
      </c>
      <c r="B215" s="113" t="s">
        <v>1134</v>
      </c>
      <c r="C215" s="138" t="s">
        <v>1135</v>
      </c>
      <c r="D215" s="114" t="s">
        <v>48</v>
      </c>
      <c r="E215" s="115" t="s">
        <v>1070</v>
      </c>
      <c r="F215" s="116"/>
      <c r="G215" s="113" t="s">
        <v>1056</v>
      </c>
      <c r="H215" s="113" t="s">
        <v>1133</v>
      </c>
      <c r="I215" s="113" t="s">
        <v>1136</v>
      </c>
      <c r="J215" s="117"/>
      <c r="K215" s="118"/>
      <c r="L215" s="109">
        <v>2</v>
      </c>
      <c r="M215" s="109">
        <v>3</v>
      </c>
      <c r="N215" s="109"/>
      <c r="O215" s="119"/>
      <c r="P215" s="2">
        <f t="shared" si="48"/>
        <v>3</v>
      </c>
      <c r="Q215" s="110" t="str">
        <f>IF(AND(Drops!$D$45&gt;1,OR(U215&lt;&gt;U214,AND(ROW()=5,U214=U215))),VLOOKUP(U215,Drops!$D$26:$E$44,2,FALSE),"")</f>
        <v/>
      </c>
      <c r="R215" s="2" t="str">
        <f t="shared" si="49"/>
        <v/>
      </c>
      <c r="S215" s="2">
        <f t="shared" ca="1" si="50"/>
        <v>3</v>
      </c>
      <c r="T215" s="2">
        <f t="shared" si="51"/>
        <v>0</v>
      </c>
      <c r="U215" s="110" t="s">
        <v>1059</v>
      </c>
      <c r="V215" s="110">
        <v>2</v>
      </c>
      <c r="W215" s="110">
        <v>1</v>
      </c>
      <c r="X215" s="110">
        <v>0</v>
      </c>
      <c r="Y215" s="110">
        <v>0</v>
      </c>
      <c r="Z215" s="110">
        <v>0</v>
      </c>
      <c r="AA215" s="2">
        <f t="shared" si="52"/>
        <v>1</v>
      </c>
      <c r="AB215" s="2">
        <f t="shared" si="53"/>
        <v>0</v>
      </c>
      <c r="AC215" s="2">
        <f t="shared" si="54"/>
        <v>3</v>
      </c>
      <c r="AD215" s="2">
        <f t="shared" si="55"/>
        <v>3</v>
      </c>
      <c r="AE215" s="2">
        <f t="shared" si="56"/>
        <v>3</v>
      </c>
      <c r="AF215" s="2">
        <f t="shared" si="57"/>
        <v>3</v>
      </c>
      <c r="AG215" s="2">
        <f t="shared" si="58"/>
        <v>3</v>
      </c>
      <c r="AH215" s="2">
        <f t="shared" si="59"/>
        <v>0</v>
      </c>
      <c r="AI215" s="2">
        <f t="shared" si="60"/>
        <v>1</v>
      </c>
      <c r="AJ215" s="2">
        <f t="shared" si="61"/>
        <v>0</v>
      </c>
      <c r="AK215" s="2">
        <f t="shared" si="62"/>
        <v>0</v>
      </c>
      <c r="AL215" s="2">
        <f t="shared" si="63"/>
        <v>0</v>
      </c>
      <c r="AM215" s="115"/>
      <c r="AN215" s="115"/>
      <c r="AO215" s="63"/>
    </row>
    <row r="216" spans="1:41" ht="72" x14ac:dyDescent="0.55000000000000004">
      <c r="A216" s="36">
        <v>398</v>
      </c>
      <c r="B216" s="113" t="s">
        <v>1137</v>
      </c>
      <c r="C216" s="138" t="s">
        <v>1138</v>
      </c>
      <c r="D216" s="114" t="s">
        <v>48</v>
      </c>
      <c r="E216" s="115" t="s">
        <v>1070</v>
      </c>
      <c r="F216" s="116"/>
      <c r="G216" s="113" t="s">
        <v>1056</v>
      </c>
      <c r="H216" s="113" t="s">
        <v>1133</v>
      </c>
      <c r="I216" s="113" t="s">
        <v>1136</v>
      </c>
      <c r="J216" s="117"/>
      <c r="K216" s="118"/>
      <c r="L216" s="109">
        <v>2</v>
      </c>
      <c r="M216" s="109">
        <v>3</v>
      </c>
      <c r="N216" s="109"/>
      <c r="O216" s="119"/>
      <c r="P216" s="2">
        <f t="shared" si="48"/>
        <v>3</v>
      </c>
      <c r="Q216" s="110" t="str">
        <f>IF(AND(Drops!$D$45&gt;1,OR(U216&lt;&gt;U215,AND(ROW()=5,U215=U216))),VLOOKUP(U216,Drops!$D$26:$E$44,2,FALSE),"")</f>
        <v/>
      </c>
      <c r="R216" s="2" t="str">
        <f t="shared" si="49"/>
        <v/>
      </c>
      <c r="S216" s="2">
        <f t="shared" ca="1" si="50"/>
        <v>3</v>
      </c>
      <c r="T216" s="2">
        <f t="shared" si="51"/>
        <v>0</v>
      </c>
      <c r="U216" s="110" t="s">
        <v>1059</v>
      </c>
      <c r="V216" s="110">
        <v>2</v>
      </c>
      <c r="W216" s="110">
        <v>2</v>
      </c>
      <c r="X216" s="110">
        <v>0</v>
      </c>
      <c r="Y216" s="110">
        <v>0</v>
      </c>
      <c r="Z216" s="110">
        <v>0</v>
      </c>
      <c r="AA216" s="2">
        <f t="shared" si="52"/>
        <v>1</v>
      </c>
      <c r="AB216" s="2">
        <f t="shared" si="53"/>
        <v>0</v>
      </c>
      <c r="AC216" s="2">
        <f t="shared" si="54"/>
        <v>3</v>
      </c>
      <c r="AD216" s="2">
        <f t="shared" si="55"/>
        <v>3</v>
      </c>
      <c r="AE216" s="2">
        <f t="shared" si="56"/>
        <v>3</v>
      </c>
      <c r="AF216" s="2">
        <f t="shared" si="57"/>
        <v>3</v>
      </c>
      <c r="AG216" s="2">
        <f t="shared" si="58"/>
        <v>3</v>
      </c>
      <c r="AH216" s="2">
        <f t="shared" si="59"/>
        <v>0</v>
      </c>
      <c r="AI216" s="2">
        <f t="shared" si="60"/>
        <v>1</v>
      </c>
      <c r="AJ216" s="2">
        <f t="shared" si="61"/>
        <v>0</v>
      </c>
      <c r="AK216" s="2">
        <f t="shared" si="62"/>
        <v>0</v>
      </c>
      <c r="AL216" s="2">
        <f t="shared" si="63"/>
        <v>0</v>
      </c>
      <c r="AM216" s="115"/>
      <c r="AN216" s="115"/>
      <c r="AO216" s="63"/>
    </row>
    <row r="217" spans="1:41" ht="72" x14ac:dyDescent="0.55000000000000004">
      <c r="A217" s="36">
        <v>399</v>
      </c>
      <c r="B217" s="113" t="s">
        <v>1139</v>
      </c>
      <c r="C217" s="138" t="s">
        <v>1140</v>
      </c>
      <c r="D217" s="114" t="s">
        <v>48</v>
      </c>
      <c r="E217" s="115" t="s">
        <v>1070</v>
      </c>
      <c r="F217" s="116"/>
      <c r="G217" s="113" t="s">
        <v>1056</v>
      </c>
      <c r="H217" s="113" t="s">
        <v>1133</v>
      </c>
      <c r="I217" s="113" t="s">
        <v>1136</v>
      </c>
      <c r="J217" s="117"/>
      <c r="K217" s="118"/>
      <c r="L217" s="109">
        <v>2</v>
      </c>
      <c r="M217" s="109">
        <v>3</v>
      </c>
      <c r="N217" s="109"/>
      <c r="O217" s="119"/>
      <c r="P217" s="2">
        <f t="shared" si="48"/>
        <v>3</v>
      </c>
      <c r="Q217" s="110" t="str">
        <f>IF(AND(Drops!$D$45&gt;1,OR(U217&lt;&gt;U216,AND(ROW()=5,U216=U217))),VLOOKUP(U217,Drops!$D$26:$E$44,2,FALSE),"")</f>
        <v/>
      </c>
      <c r="R217" s="2" t="str">
        <f t="shared" si="49"/>
        <v/>
      </c>
      <c r="S217" s="2">
        <f t="shared" ca="1" si="50"/>
        <v>3</v>
      </c>
      <c r="T217" s="2">
        <f t="shared" si="51"/>
        <v>0</v>
      </c>
      <c r="U217" s="110" t="s">
        <v>1059</v>
      </c>
      <c r="V217" s="110">
        <v>2</v>
      </c>
      <c r="W217" s="110">
        <v>3</v>
      </c>
      <c r="X217" s="110">
        <v>0</v>
      </c>
      <c r="Y217" s="110">
        <v>0</v>
      </c>
      <c r="Z217" s="110">
        <v>0</v>
      </c>
      <c r="AA217" s="2">
        <f t="shared" si="52"/>
        <v>1</v>
      </c>
      <c r="AB217" s="2">
        <f t="shared" si="53"/>
        <v>0</v>
      </c>
      <c r="AC217" s="2">
        <f t="shared" si="54"/>
        <v>3</v>
      </c>
      <c r="AD217" s="2">
        <f t="shared" si="55"/>
        <v>3</v>
      </c>
      <c r="AE217" s="2">
        <f t="shared" si="56"/>
        <v>3</v>
      </c>
      <c r="AF217" s="2">
        <f t="shared" si="57"/>
        <v>3</v>
      </c>
      <c r="AG217" s="2">
        <f t="shared" si="58"/>
        <v>3</v>
      </c>
      <c r="AH217" s="2">
        <f t="shared" si="59"/>
        <v>0</v>
      </c>
      <c r="AI217" s="2">
        <f t="shared" si="60"/>
        <v>1</v>
      </c>
      <c r="AJ217" s="2">
        <f t="shared" si="61"/>
        <v>0</v>
      </c>
      <c r="AK217" s="2">
        <f t="shared" si="62"/>
        <v>0</v>
      </c>
      <c r="AL217" s="2">
        <f t="shared" si="63"/>
        <v>0</v>
      </c>
      <c r="AM217" s="115"/>
      <c r="AN217" s="115"/>
      <c r="AO217" s="63"/>
    </row>
    <row r="218" spans="1:41" ht="72" x14ac:dyDescent="0.55000000000000004">
      <c r="A218" s="36">
        <v>2944</v>
      </c>
      <c r="B218" s="113" t="s">
        <v>1141</v>
      </c>
      <c r="C218" s="138" t="s">
        <v>1142</v>
      </c>
      <c r="D218" s="114" t="s">
        <v>48</v>
      </c>
      <c r="E218" s="115" t="s">
        <v>1070</v>
      </c>
      <c r="F218" s="116"/>
      <c r="G218" s="113" t="s">
        <v>1056</v>
      </c>
      <c r="H218" s="113" t="s">
        <v>1133</v>
      </c>
      <c r="I218" s="113"/>
      <c r="J218" s="117"/>
      <c r="K218" s="118"/>
      <c r="L218" s="109">
        <v>2</v>
      </c>
      <c r="M218" s="109">
        <v>3</v>
      </c>
      <c r="N218" s="109"/>
      <c r="O218" s="119"/>
      <c r="P218" s="2">
        <f t="shared" si="48"/>
        <v>3</v>
      </c>
      <c r="Q218" s="110" t="str">
        <f>IF(AND(Drops!$D$45&gt;1,OR(U218&lt;&gt;U217,AND(ROW()=5,U217=U218))),VLOOKUP(U218,Drops!$D$26:$E$44,2,FALSE),"")</f>
        <v/>
      </c>
      <c r="R218" s="2" t="str">
        <f t="shared" si="49"/>
        <v/>
      </c>
      <c r="S218" s="2">
        <f t="shared" ca="1" si="50"/>
        <v>3</v>
      </c>
      <c r="T218" s="2">
        <f t="shared" si="51"/>
        <v>0</v>
      </c>
      <c r="U218" s="110" t="s">
        <v>1059</v>
      </c>
      <c r="V218" s="110">
        <v>2</v>
      </c>
      <c r="W218" s="110">
        <v>4</v>
      </c>
      <c r="X218" s="110">
        <v>0</v>
      </c>
      <c r="Y218" s="110">
        <v>0</v>
      </c>
      <c r="Z218" s="110">
        <v>0</v>
      </c>
      <c r="AA218" s="2">
        <f t="shared" si="52"/>
        <v>1</v>
      </c>
      <c r="AB218" s="2">
        <f t="shared" si="53"/>
        <v>0</v>
      </c>
      <c r="AC218" s="2">
        <f t="shared" si="54"/>
        <v>3</v>
      </c>
      <c r="AD218" s="2">
        <f t="shared" si="55"/>
        <v>3</v>
      </c>
      <c r="AE218" s="2">
        <f t="shared" si="56"/>
        <v>3</v>
      </c>
      <c r="AF218" s="2">
        <f t="shared" si="57"/>
        <v>3</v>
      </c>
      <c r="AG218" s="2">
        <f t="shared" si="58"/>
        <v>3</v>
      </c>
      <c r="AH218" s="2">
        <f t="shared" si="59"/>
        <v>0</v>
      </c>
      <c r="AI218" s="2">
        <f t="shared" si="60"/>
        <v>1</v>
      </c>
      <c r="AJ218" s="2">
        <f t="shared" si="61"/>
        <v>0</v>
      </c>
      <c r="AK218" s="2">
        <f t="shared" si="62"/>
        <v>0</v>
      </c>
      <c r="AL218" s="2">
        <f t="shared" si="63"/>
        <v>0</v>
      </c>
      <c r="AM218" s="115"/>
      <c r="AN218" s="115"/>
      <c r="AO218" s="63"/>
    </row>
    <row r="219" spans="1:41" ht="72" x14ac:dyDescent="0.55000000000000004">
      <c r="A219" s="36">
        <v>400</v>
      </c>
      <c r="B219" s="113" t="s">
        <v>1143</v>
      </c>
      <c r="C219" s="138" t="s">
        <v>1144</v>
      </c>
      <c r="D219" s="114" t="s">
        <v>48</v>
      </c>
      <c r="E219" s="115" t="s">
        <v>1070</v>
      </c>
      <c r="F219" s="116"/>
      <c r="G219" s="113" t="s">
        <v>1056</v>
      </c>
      <c r="H219" s="113" t="s">
        <v>1133</v>
      </c>
      <c r="I219" s="113" t="s">
        <v>1136</v>
      </c>
      <c r="J219" s="117" t="s">
        <v>1145</v>
      </c>
      <c r="K219" s="118"/>
      <c r="L219" s="109">
        <v>2</v>
      </c>
      <c r="M219" s="109">
        <v>3</v>
      </c>
      <c r="N219" s="109"/>
      <c r="O219" s="119"/>
      <c r="P219" s="2">
        <f t="shared" si="48"/>
        <v>3</v>
      </c>
      <c r="Q219" s="110" t="str">
        <f>IF(AND(Drops!$D$45&gt;1,OR(U219&lt;&gt;U218,AND(ROW()=5,U218=U219))),VLOOKUP(U219,Drops!$D$26:$E$44,2,FALSE),"")</f>
        <v/>
      </c>
      <c r="R219" s="2" t="str">
        <f t="shared" si="49"/>
        <v/>
      </c>
      <c r="S219" s="2">
        <f t="shared" ca="1" si="50"/>
        <v>3</v>
      </c>
      <c r="T219" s="2">
        <f t="shared" si="51"/>
        <v>0</v>
      </c>
      <c r="U219" s="110" t="s">
        <v>1059</v>
      </c>
      <c r="V219" s="110">
        <v>2</v>
      </c>
      <c r="W219" s="110">
        <v>5</v>
      </c>
      <c r="X219" s="110">
        <v>0</v>
      </c>
      <c r="Y219" s="110">
        <v>0</v>
      </c>
      <c r="Z219" s="110">
        <v>0</v>
      </c>
      <c r="AA219" s="2">
        <f t="shared" si="52"/>
        <v>1</v>
      </c>
      <c r="AB219" s="2">
        <f t="shared" si="53"/>
        <v>0</v>
      </c>
      <c r="AC219" s="2">
        <f t="shared" si="54"/>
        <v>3</v>
      </c>
      <c r="AD219" s="2">
        <f t="shared" si="55"/>
        <v>3</v>
      </c>
      <c r="AE219" s="2">
        <f t="shared" si="56"/>
        <v>3</v>
      </c>
      <c r="AF219" s="2">
        <f t="shared" si="57"/>
        <v>3</v>
      </c>
      <c r="AG219" s="2">
        <f t="shared" si="58"/>
        <v>3</v>
      </c>
      <c r="AH219" s="2">
        <f t="shared" si="59"/>
        <v>0</v>
      </c>
      <c r="AI219" s="2">
        <f t="shared" si="60"/>
        <v>1</v>
      </c>
      <c r="AJ219" s="2">
        <f t="shared" si="61"/>
        <v>0</v>
      </c>
      <c r="AK219" s="2">
        <f t="shared" si="62"/>
        <v>0</v>
      </c>
      <c r="AL219" s="2">
        <f t="shared" si="63"/>
        <v>0</v>
      </c>
      <c r="AM219" s="115"/>
      <c r="AN219" s="115"/>
      <c r="AO219" s="63"/>
    </row>
    <row r="220" spans="1:41" ht="72" x14ac:dyDescent="0.55000000000000004">
      <c r="A220" s="36">
        <v>492</v>
      </c>
      <c r="B220" s="113" t="s">
        <v>218</v>
      </c>
      <c r="C220" s="113" t="s">
        <v>1146</v>
      </c>
      <c r="D220" s="114" t="s">
        <v>48</v>
      </c>
      <c r="E220" s="115" t="s">
        <v>1070</v>
      </c>
      <c r="F220" s="116"/>
      <c r="G220" s="113" t="s">
        <v>1147</v>
      </c>
      <c r="H220" s="113" t="s">
        <v>1148</v>
      </c>
      <c r="I220" s="113"/>
      <c r="J220" s="117" t="s">
        <v>1149</v>
      </c>
      <c r="K220" s="118"/>
      <c r="L220" s="109">
        <v>1</v>
      </c>
      <c r="M220" s="109">
        <v>3</v>
      </c>
      <c r="N220" s="109"/>
      <c r="O220" s="119"/>
      <c r="P220" s="2">
        <f t="shared" si="48"/>
        <v>3</v>
      </c>
      <c r="Q220" s="110" t="str">
        <f>IF(AND(Drops!$D$45&gt;1,OR(U220&lt;&gt;U219,AND(ROW()=5,U219=U220))),VLOOKUP(U220,Drops!$D$26:$E$44,2,FALSE),"")</f>
        <v/>
      </c>
      <c r="R220" s="2" t="str">
        <f t="shared" si="49"/>
        <v/>
      </c>
      <c r="S220" s="2">
        <f t="shared" ca="1" si="50"/>
        <v>3</v>
      </c>
      <c r="T220" s="2">
        <f t="shared" si="51"/>
        <v>1</v>
      </c>
      <c r="U220" s="110" t="s">
        <v>1059</v>
      </c>
      <c r="V220" s="110">
        <v>3</v>
      </c>
      <c r="W220" s="110">
        <v>0</v>
      </c>
      <c r="X220" s="110">
        <v>0</v>
      </c>
      <c r="Y220" s="110">
        <v>0</v>
      </c>
      <c r="Z220" s="110">
        <v>0</v>
      </c>
      <c r="AA220" s="2">
        <f t="shared" si="52"/>
        <v>1</v>
      </c>
      <c r="AB220" s="2">
        <f t="shared" si="53"/>
        <v>0</v>
      </c>
      <c r="AC220" s="2">
        <f t="shared" si="54"/>
        <v>3</v>
      </c>
      <c r="AD220" s="2">
        <f t="shared" si="55"/>
        <v>3</v>
      </c>
      <c r="AE220" s="2">
        <f t="shared" si="56"/>
        <v>3</v>
      </c>
      <c r="AF220" s="2">
        <f t="shared" si="57"/>
        <v>3</v>
      </c>
      <c r="AG220" s="2">
        <f t="shared" si="58"/>
        <v>3</v>
      </c>
      <c r="AH220" s="2">
        <f t="shared" si="59"/>
        <v>1</v>
      </c>
      <c r="AI220" s="2">
        <f t="shared" si="60"/>
        <v>0</v>
      </c>
      <c r="AJ220" s="2">
        <f t="shared" si="61"/>
        <v>0</v>
      </c>
      <c r="AK220" s="2">
        <f t="shared" si="62"/>
        <v>0</v>
      </c>
      <c r="AL220" s="2">
        <f t="shared" si="63"/>
        <v>0</v>
      </c>
      <c r="AM220" s="115"/>
      <c r="AN220" s="115"/>
      <c r="AO220" s="63"/>
    </row>
    <row r="221" spans="1:41" ht="72" x14ac:dyDescent="0.55000000000000004">
      <c r="A221" s="36">
        <v>541</v>
      </c>
      <c r="B221" s="113" t="s">
        <v>220</v>
      </c>
      <c r="C221" s="113" t="s">
        <v>1150</v>
      </c>
      <c r="D221" s="114" t="s">
        <v>48</v>
      </c>
      <c r="E221" s="115" t="s">
        <v>1070</v>
      </c>
      <c r="F221" s="116"/>
      <c r="G221" s="113" t="s">
        <v>1151</v>
      </c>
      <c r="H221" s="113" t="s">
        <v>1152</v>
      </c>
      <c r="I221" s="113"/>
      <c r="J221" s="117" t="s">
        <v>1153</v>
      </c>
      <c r="K221" s="118"/>
      <c r="L221" s="109">
        <v>1</v>
      </c>
      <c r="M221" s="109">
        <v>3</v>
      </c>
      <c r="N221" s="109"/>
      <c r="O221" s="119"/>
      <c r="P221" s="2">
        <f t="shared" si="48"/>
        <v>3</v>
      </c>
      <c r="Q221" s="110" t="str">
        <f>IF(AND(Drops!$D$45&gt;1,OR(U221&lt;&gt;U220,AND(ROW()=5,U220=U221))),VLOOKUP(U221,Drops!$D$26:$E$44,2,FALSE),"")</f>
        <v/>
      </c>
      <c r="R221" s="2" t="str">
        <f t="shared" si="49"/>
        <v/>
      </c>
      <c r="S221" s="2">
        <f t="shared" ca="1" si="50"/>
        <v>3</v>
      </c>
      <c r="T221" s="2">
        <f t="shared" si="51"/>
        <v>1</v>
      </c>
      <c r="U221" s="110" t="s">
        <v>1059</v>
      </c>
      <c r="V221" s="110">
        <v>4</v>
      </c>
      <c r="W221" s="110">
        <v>0</v>
      </c>
      <c r="X221" s="110">
        <v>0</v>
      </c>
      <c r="Y221" s="110">
        <v>0</v>
      </c>
      <c r="Z221" s="110">
        <v>0</v>
      </c>
      <c r="AA221" s="2">
        <f t="shared" si="52"/>
        <v>1</v>
      </c>
      <c r="AB221" s="2">
        <f t="shared" si="53"/>
        <v>0</v>
      </c>
      <c r="AC221" s="2">
        <f t="shared" si="54"/>
        <v>3</v>
      </c>
      <c r="AD221" s="2">
        <f t="shared" si="55"/>
        <v>3</v>
      </c>
      <c r="AE221" s="2">
        <f t="shared" si="56"/>
        <v>3</v>
      </c>
      <c r="AF221" s="2">
        <f t="shared" si="57"/>
        <v>3</v>
      </c>
      <c r="AG221" s="2">
        <f t="shared" si="58"/>
        <v>3</v>
      </c>
      <c r="AH221" s="2">
        <f t="shared" si="59"/>
        <v>1</v>
      </c>
      <c r="AI221" s="2">
        <f t="shared" si="60"/>
        <v>0</v>
      </c>
      <c r="AJ221" s="2">
        <f t="shared" si="61"/>
        <v>0</v>
      </c>
      <c r="AK221" s="2">
        <f t="shared" si="62"/>
        <v>0</v>
      </c>
      <c r="AL221" s="2">
        <f t="shared" si="63"/>
        <v>0</v>
      </c>
      <c r="AM221" s="115"/>
      <c r="AN221" s="115"/>
      <c r="AO221" s="63"/>
    </row>
    <row r="222" spans="1:41" ht="72" x14ac:dyDescent="0.55000000000000004">
      <c r="A222" s="36">
        <v>621</v>
      </c>
      <c r="B222" s="113" t="s">
        <v>222</v>
      </c>
      <c r="C222" s="113" t="s">
        <v>1154</v>
      </c>
      <c r="D222" s="114" t="s">
        <v>48</v>
      </c>
      <c r="E222" s="115" t="s">
        <v>1070</v>
      </c>
      <c r="F222" s="116"/>
      <c r="G222" s="113" t="s">
        <v>1155</v>
      </c>
      <c r="H222" s="113" t="s">
        <v>1152</v>
      </c>
      <c r="I222" s="113"/>
      <c r="J222" s="117" t="s">
        <v>1156</v>
      </c>
      <c r="K222" s="118"/>
      <c r="L222" s="109">
        <v>1</v>
      </c>
      <c r="M222" s="109">
        <v>3</v>
      </c>
      <c r="N222" s="109"/>
      <c r="O222" s="119"/>
      <c r="P222" s="2">
        <f t="shared" si="48"/>
        <v>3</v>
      </c>
      <c r="Q222" s="110" t="str">
        <f>IF(AND(Drops!$D$45&gt;1,OR(U222&lt;&gt;U221,AND(ROW()=5,U221=U222))),VLOOKUP(U222,Drops!$D$26:$E$44,2,FALSE),"")</f>
        <v/>
      </c>
      <c r="R222" s="2" t="str">
        <f t="shared" si="49"/>
        <v/>
      </c>
      <c r="S222" s="2">
        <f t="shared" ca="1" si="50"/>
        <v>3</v>
      </c>
      <c r="T222" s="2">
        <f t="shared" si="51"/>
        <v>1</v>
      </c>
      <c r="U222" s="110" t="s">
        <v>1059</v>
      </c>
      <c r="V222" s="110">
        <v>5</v>
      </c>
      <c r="W222" s="110">
        <v>0</v>
      </c>
      <c r="X222" s="110">
        <v>0</v>
      </c>
      <c r="Y222" s="110">
        <v>0</v>
      </c>
      <c r="Z222" s="110">
        <v>0</v>
      </c>
      <c r="AA222" s="2">
        <f t="shared" si="52"/>
        <v>1</v>
      </c>
      <c r="AB222" s="2">
        <f t="shared" si="53"/>
        <v>0</v>
      </c>
      <c r="AC222" s="2">
        <f t="shared" si="54"/>
        <v>3</v>
      </c>
      <c r="AD222" s="2">
        <f t="shared" si="55"/>
        <v>3</v>
      </c>
      <c r="AE222" s="2">
        <f t="shared" si="56"/>
        <v>3</v>
      </c>
      <c r="AF222" s="2">
        <f t="shared" si="57"/>
        <v>3</v>
      </c>
      <c r="AG222" s="2">
        <f t="shared" si="58"/>
        <v>3</v>
      </c>
      <c r="AH222" s="2">
        <f t="shared" si="59"/>
        <v>1</v>
      </c>
      <c r="AI222" s="2">
        <f t="shared" si="60"/>
        <v>0</v>
      </c>
      <c r="AJ222" s="2">
        <f t="shared" si="61"/>
        <v>0</v>
      </c>
      <c r="AK222" s="2">
        <f t="shared" si="62"/>
        <v>0</v>
      </c>
      <c r="AL222" s="2">
        <f t="shared" si="63"/>
        <v>0</v>
      </c>
      <c r="AM222" s="115"/>
      <c r="AN222" s="115"/>
      <c r="AO222" s="63"/>
    </row>
    <row r="223" spans="1:41" ht="72" x14ac:dyDescent="0.55000000000000004">
      <c r="A223" s="36">
        <v>685</v>
      </c>
      <c r="B223" s="113" t="s">
        <v>226</v>
      </c>
      <c r="C223" s="113" t="s">
        <v>1157</v>
      </c>
      <c r="D223" s="114" t="s">
        <v>48</v>
      </c>
      <c r="E223" s="115" t="s">
        <v>1070</v>
      </c>
      <c r="F223" s="116"/>
      <c r="G223" s="113" t="s">
        <v>1158</v>
      </c>
      <c r="H223" s="113" t="s">
        <v>1152</v>
      </c>
      <c r="I223" s="113"/>
      <c r="J223" s="117" t="s">
        <v>1159</v>
      </c>
      <c r="K223" s="118"/>
      <c r="L223" s="109">
        <v>1</v>
      </c>
      <c r="M223" s="109">
        <v>3</v>
      </c>
      <c r="N223" s="109"/>
      <c r="O223" s="119"/>
      <c r="P223" s="2">
        <f t="shared" si="48"/>
        <v>3</v>
      </c>
      <c r="Q223" s="110" t="str">
        <f>IF(AND(Drops!$D$45&gt;1,OR(U223&lt;&gt;U222,AND(ROW()=5,U222=U223))),VLOOKUP(U223,Drops!$D$26:$E$44,2,FALSE),"")</f>
        <v/>
      </c>
      <c r="R223" s="2" t="str">
        <f t="shared" si="49"/>
        <v/>
      </c>
      <c r="S223" s="2">
        <f t="shared" ca="1" si="50"/>
        <v>3</v>
      </c>
      <c r="T223" s="2">
        <f t="shared" si="51"/>
        <v>1</v>
      </c>
      <c r="U223" s="110" t="s">
        <v>1059</v>
      </c>
      <c r="V223" s="110">
        <v>7</v>
      </c>
      <c r="W223" s="110">
        <v>0</v>
      </c>
      <c r="X223" s="110">
        <v>0</v>
      </c>
      <c r="Y223" s="110">
        <v>0</v>
      </c>
      <c r="Z223" s="110">
        <v>0</v>
      </c>
      <c r="AA223" s="2">
        <f t="shared" si="52"/>
        <v>1</v>
      </c>
      <c r="AB223" s="2">
        <f t="shared" si="53"/>
        <v>0</v>
      </c>
      <c r="AC223" s="2">
        <f t="shared" si="54"/>
        <v>3</v>
      </c>
      <c r="AD223" s="2">
        <f t="shared" si="55"/>
        <v>3</v>
      </c>
      <c r="AE223" s="2">
        <f t="shared" si="56"/>
        <v>3</v>
      </c>
      <c r="AF223" s="2">
        <f t="shared" si="57"/>
        <v>3</v>
      </c>
      <c r="AG223" s="2">
        <f t="shared" si="58"/>
        <v>3</v>
      </c>
      <c r="AH223" s="2">
        <f t="shared" si="59"/>
        <v>1</v>
      </c>
      <c r="AI223" s="2">
        <f t="shared" si="60"/>
        <v>0</v>
      </c>
      <c r="AJ223" s="2">
        <f t="shared" si="61"/>
        <v>0</v>
      </c>
      <c r="AK223" s="2">
        <f t="shared" si="62"/>
        <v>0</v>
      </c>
      <c r="AL223" s="2">
        <f t="shared" si="63"/>
        <v>0</v>
      </c>
      <c r="AM223" s="115"/>
      <c r="AN223" s="115"/>
      <c r="AO223" s="63"/>
    </row>
    <row r="224" spans="1:41" ht="72" x14ac:dyDescent="0.55000000000000004">
      <c r="A224" s="36">
        <v>778</v>
      </c>
      <c r="B224" s="113" t="s">
        <v>228</v>
      </c>
      <c r="C224" s="113" t="s">
        <v>1160</v>
      </c>
      <c r="D224" s="114" t="s">
        <v>48</v>
      </c>
      <c r="E224" s="115" t="s">
        <v>1070</v>
      </c>
      <c r="F224" s="116"/>
      <c r="G224" s="113" t="s">
        <v>1161</v>
      </c>
      <c r="H224" s="113" t="s">
        <v>1152</v>
      </c>
      <c r="I224" s="113"/>
      <c r="J224" s="117" t="s">
        <v>1162</v>
      </c>
      <c r="K224" s="118"/>
      <c r="L224" s="109">
        <v>1</v>
      </c>
      <c r="M224" s="109">
        <v>3</v>
      </c>
      <c r="N224" s="109"/>
      <c r="O224" s="119"/>
      <c r="P224" s="2">
        <f t="shared" si="48"/>
        <v>3</v>
      </c>
      <c r="Q224" s="110" t="str">
        <f>IF(AND(Drops!$D$45&gt;1,OR(U224&lt;&gt;U223,AND(ROW()=5,U223=U224))),VLOOKUP(U224,Drops!$D$26:$E$44,2,FALSE),"")</f>
        <v/>
      </c>
      <c r="R224" s="2" t="str">
        <f t="shared" si="49"/>
        <v/>
      </c>
      <c r="S224" s="2">
        <f t="shared" ca="1" si="50"/>
        <v>3</v>
      </c>
      <c r="T224" s="2">
        <f t="shared" si="51"/>
        <v>1</v>
      </c>
      <c r="U224" s="110" t="s">
        <v>1059</v>
      </c>
      <c r="V224" s="110">
        <v>8</v>
      </c>
      <c r="W224" s="110">
        <v>0</v>
      </c>
      <c r="X224" s="110">
        <v>0</v>
      </c>
      <c r="Y224" s="110">
        <v>0</v>
      </c>
      <c r="Z224" s="110">
        <v>0</v>
      </c>
      <c r="AA224" s="2">
        <f t="shared" si="52"/>
        <v>1</v>
      </c>
      <c r="AB224" s="2">
        <f t="shared" si="53"/>
        <v>0</v>
      </c>
      <c r="AC224" s="2">
        <f t="shared" si="54"/>
        <v>3</v>
      </c>
      <c r="AD224" s="2">
        <f t="shared" si="55"/>
        <v>3</v>
      </c>
      <c r="AE224" s="2">
        <f t="shared" si="56"/>
        <v>3</v>
      </c>
      <c r="AF224" s="2">
        <f t="shared" si="57"/>
        <v>3</v>
      </c>
      <c r="AG224" s="2">
        <f t="shared" si="58"/>
        <v>3</v>
      </c>
      <c r="AH224" s="2">
        <f t="shared" si="59"/>
        <v>1</v>
      </c>
      <c r="AI224" s="2">
        <f t="shared" si="60"/>
        <v>0</v>
      </c>
      <c r="AJ224" s="2">
        <f t="shared" si="61"/>
        <v>0</v>
      </c>
      <c r="AK224" s="2">
        <f t="shared" si="62"/>
        <v>0</v>
      </c>
      <c r="AL224" s="2">
        <f t="shared" si="63"/>
        <v>0</v>
      </c>
      <c r="AM224" s="115"/>
      <c r="AN224" s="115"/>
      <c r="AO224" s="63"/>
    </row>
    <row r="225" spans="1:41" ht="72" x14ac:dyDescent="0.55000000000000004">
      <c r="A225" s="36">
        <v>457</v>
      </c>
      <c r="B225" s="113" t="s">
        <v>1163</v>
      </c>
      <c r="C225" s="113" t="s">
        <v>1164</v>
      </c>
      <c r="D225" s="114" t="s">
        <v>48</v>
      </c>
      <c r="E225" s="115" t="s">
        <v>1070</v>
      </c>
      <c r="F225" s="116"/>
      <c r="G225" s="113" t="s">
        <v>1165</v>
      </c>
      <c r="H225" s="113" t="s">
        <v>1152</v>
      </c>
      <c r="I225" s="113"/>
      <c r="J225" s="117" t="s">
        <v>1166</v>
      </c>
      <c r="K225" s="118"/>
      <c r="L225" s="109">
        <v>1</v>
      </c>
      <c r="M225" s="109">
        <v>3</v>
      </c>
      <c r="N225" s="109"/>
      <c r="O225" s="119"/>
      <c r="P225" s="2">
        <f t="shared" si="48"/>
        <v>3</v>
      </c>
      <c r="Q225" s="110" t="str">
        <f>IF(AND(Drops!$D$45&gt;1,OR(U225&lt;&gt;U224,AND(ROW()=5,U224=U225))),VLOOKUP(U225,Drops!$D$26:$E$44,2,FALSE),"")</f>
        <v/>
      </c>
      <c r="R225" s="2" t="str">
        <f t="shared" si="49"/>
        <v/>
      </c>
      <c r="S225" s="2">
        <f t="shared" ca="1" si="50"/>
        <v>3</v>
      </c>
      <c r="T225" s="2">
        <f t="shared" si="51"/>
        <v>1</v>
      </c>
      <c r="U225" s="110" t="s">
        <v>1059</v>
      </c>
      <c r="V225" s="110">
        <v>9</v>
      </c>
      <c r="W225" s="110">
        <v>0</v>
      </c>
      <c r="X225" s="110">
        <v>0</v>
      </c>
      <c r="Y225" s="110">
        <v>0</v>
      </c>
      <c r="Z225" s="110">
        <v>0</v>
      </c>
      <c r="AA225" s="2">
        <f t="shared" si="52"/>
        <v>1</v>
      </c>
      <c r="AB225" s="2">
        <f t="shared" si="53"/>
        <v>1</v>
      </c>
      <c r="AC225" s="2">
        <f t="shared" si="54"/>
        <v>3</v>
      </c>
      <c r="AD225" s="2">
        <f t="shared" si="55"/>
        <v>3</v>
      </c>
      <c r="AE225" s="2">
        <f t="shared" si="56"/>
        <v>3</v>
      </c>
      <c r="AF225" s="2">
        <f t="shared" si="57"/>
        <v>3</v>
      </c>
      <c r="AG225" s="2">
        <f t="shared" si="58"/>
        <v>3</v>
      </c>
      <c r="AH225" s="2">
        <f t="shared" si="59"/>
        <v>1</v>
      </c>
      <c r="AI225" s="2">
        <f t="shared" si="60"/>
        <v>0</v>
      </c>
      <c r="AJ225" s="2">
        <f t="shared" si="61"/>
        <v>0</v>
      </c>
      <c r="AK225" s="2">
        <f t="shared" si="62"/>
        <v>0</v>
      </c>
      <c r="AL225" s="2">
        <f t="shared" si="63"/>
        <v>0</v>
      </c>
      <c r="AM225" s="115"/>
      <c r="AN225" s="115"/>
      <c r="AO225" s="63"/>
    </row>
    <row r="226" spans="1:41" ht="72" x14ac:dyDescent="0.55000000000000004">
      <c r="A226" s="36">
        <v>479</v>
      </c>
      <c r="B226" s="113" t="s">
        <v>1167</v>
      </c>
      <c r="C226" s="138" t="s">
        <v>1168</v>
      </c>
      <c r="D226" s="114" t="s">
        <v>48</v>
      </c>
      <c r="E226" s="115" t="s">
        <v>1070</v>
      </c>
      <c r="F226" s="116"/>
      <c r="G226" s="113" t="s">
        <v>1165</v>
      </c>
      <c r="H226" s="113" t="s">
        <v>1152</v>
      </c>
      <c r="I226" s="113" t="s">
        <v>1076</v>
      </c>
      <c r="J226" s="117" t="s">
        <v>1169</v>
      </c>
      <c r="K226" s="118"/>
      <c r="L226" s="109">
        <v>2</v>
      </c>
      <c r="M226" s="109">
        <v>3</v>
      </c>
      <c r="N226" s="109"/>
      <c r="O226" s="119"/>
      <c r="P226" s="2">
        <f t="shared" si="48"/>
        <v>3</v>
      </c>
      <c r="Q226" s="110" t="str">
        <f>IF(AND(Drops!$D$45&gt;1,OR(U226&lt;&gt;U225,AND(ROW()=5,U225=U226))),VLOOKUP(U226,Drops!$D$26:$E$44,2,FALSE),"")</f>
        <v/>
      </c>
      <c r="R226" s="2" t="str">
        <f t="shared" si="49"/>
        <v/>
      </c>
      <c r="S226" s="2">
        <f t="shared" ca="1" si="50"/>
        <v>3</v>
      </c>
      <c r="T226" s="2">
        <f t="shared" si="51"/>
        <v>0</v>
      </c>
      <c r="U226" s="110" t="s">
        <v>1059</v>
      </c>
      <c r="V226" s="110">
        <v>9</v>
      </c>
      <c r="W226" s="110">
        <v>1</v>
      </c>
      <c r="X226" s="110">
        <v>0</v>
      </c>
      <c r="Y226" s="110">
        <v>0</v>
      </c>
      <c r="Z226" s="110">
        <v>0</v>
      </c>
      <c r="AA226" s="2">
        <f t="shared" si="52"/>
        <v>1</v>
      </c>
      <c r="AB226" s="2">
        <f t="shared" si="53"/>
        <v>0</v>
      </c>
      <c r="AC226" s="2">
        <f t="shared" si="54"/>
        <v>3</v>
      </c>
      <c r="AD226" s="2">
        <f t="shared" si="55"/>
        <v>3</v>
      </c>
      <c r="AE226" s="2">
        <f t="shared" si="56"/>
        <v>3</v>
      </c>
      <c r="AF226" s="2">
        <f t="shared" si="57"/>
        <v>3</v>
      </c>
      <c r="AG226" s="2">
        <f t="shared" si="58"/>
        <v>3</v>
      </c>
      <c r="AH226" s="2">
        <f t="shared" si="59"/>
        <v>0</v>
      </c>
      <c r="AI226" s="2">
        <f t="shared" si="60"/>
        <v>1</v>
      </c>
      <c r="AJ226" s="2">
        <f t="shared" si="61"/>
        <v>0</v>
      </c>
      <c r="AK226" s="2">
        <f t="shared" si="62"/>
        <v>0</v>
      </c>
      <c r="AL226" s="2">
        <f t="shared" si="63"/>
        <v>0</v>
      </c>
      <c r="AM226" s="115"/>
      <c r="AN226" s="115"/>
      <c r="AO226" s="63"/>
    </row>
    <row r="227" spans="1:41" ht="72" x14ac:dyDescent="0.55000000000000004">
      <c r="A227" s="36">
        <v>474</v>
      </c>
      <c r="B227" s="113" t="s">
        <v>1170</v>
      </c>
      <c r="C227" s="138" t="s">
        <v>1171</v>
      </c>
      <c r="D227" s="114" t="s">
        <v>48</v>
      </c>
      <c r="E227" s="115" t="s">
        <v>1070</v>
      </c>
      <c r="F227" s="116"/>
      <c r="G227" s="113" t="s">
        <v>1165</v>
      </c>
      <c r="H227" s="113" t="s">
        <v>1172</v>
      </c>
      <c r="I227" s="113" t="s">
        <v>1066</v>
      </c>
      <c r="J227" s="117" t="s">
        <v>1166</v>
      </c>
      <c r="K227" s="118"/>
      <c r="L227" s="109">
        <v>2</v>
      </c>
      <c r="M227" s="109">
        <v>3</v>
      </c>
      <c r="N227" s="109"/>
      <c r="O227" s="119"/>
      <c r="P227" s="2">
        <f t="shared" si="48"/>
        <v>3</v>
      </c>
      <c r="Q227" s="110" t="str">
        <f>IF(AND(Drops!$D$45&gt;1,OR(U227&lt;&gt;U226,AND(ROW()=5,U226=U227))),VLOOKUP(U227,Drops!$D$26:$E$44,2,FALSE),"")</f>
        <v/>
      </c>
      <c r="R227" s="2" t="str">
        <f t="shared" si="49"/>
        <v/>
      </c>
      <c r="S227" s="2">
        <f t="shared" ca="1" si="50"/>
        <v>3</v>
      </c>
      <c r="T227" s="2">
        <f t="shared" si="51"/>
        <v>0</v>
      </c>
      <c r="U227" s="110" t="s">
        <v>1059</v>
      </c>
      <c r="V227" s="110">
        <v>9</v>
      </c>
      <c r="W227" s="110">
        <v>2</v>
      </c>
      <c r="X227" s="110">
        <v>0</v>
      </c>
      <c r="Y227" s="110">
        <v>0</v>
      </c>
      <c r="Z227" s="110">
        <v>0</v>
      </c>
      <c r="AA227" s="2">
        <f t="shared" si="52"/>
        <v>1</v>
      </c>
      <c r="AB227" s="2">
        <f t="shared" si="53"/>
        <v>0</v>
      </c>
      <c r="AC227" s="2">
        <f t="shared" si="54"/>
        <v>3</v>
      </c>
      <c r="AD227" s="2">
        <f t="shared" si="55"/>
        <v>3</v>
      </c>
      <c r="AE227" s="2">
        <f t="shared" si="56"/>
        <v>3</v>
      </c>
      <c r="AF227" s="2">
        <f t="shared" si="57"/>
        <v>3</v>
      </c>
      <c r="AG227" s="2">
        <f t="shared" si="58"/>
        <v>3</v>
      </c>
      <c r="AH227" s="2">
        <f t="shared" si="59"/>
        <v>0</v>
      </c>
      <c r="AI227" s="2">
        <f t="shared" si="60"/>
        <v>1</v>
      </c>
      <c r="AJ227" s="2">
        <f t="shared" si="61"/>
        <v>0</v>
      </c>
      <c r="AK227" s="2">
        <f t="shared" si="62"/>
        <v>0</v>
      </c>
      <c r="AL227" s="2">
        <f t="shared" si="63"/>
        <v>0</v>
      </c>
      <c r="AM227" s="115"/>
      <c r="AN227" s="115"/>
      <c r="AO227" s="63"/>
    </row>
    <row r="228" spans="1:41" ht="72" x14ac:dyDescent="0.55000000000000004">
      <c r="A228" s="36">
        <v>401</v>
      </c>
      <c r="B228" s="113" t="s">
        <v>1173</v>
      </c>
      <c r="C228" s="113" t="s">
        <v>1174</v>
      </c>
      <c r="D228" s="114" t="s">
        <v>48</v>
      </c>
      <c r="E228" s="115" t="s">
        <v>1070</v>
      </c>
      <c r="F228" s="116"/>
      <c r="G228" s="113" t="s">
        <v>1175</v>
      </c>
      <c r="H228" s="113" t="s">
        <v>1152</v>
      </c>
      <c r="I228" s="113"/>
      <c r="J228" s="117"/>
      <c r="K228" s="118"/>
      <c r="L228" s="109">
        <v>1</v>
      </c>
      <c r="M228" s="109">
        <v>1</v>
      </c>
      <c r="N228" s="109"/>
      <c r="O228" s="119"/>
      <c r="P228" s="2">
        <f t="shared" si="48"/>
        <v>3</v>
      </c>
      <c r="Q228" s="110" t="str">
        <f>IF(AND(Drops!$D$45&gt;1,OR(U228&lt;&gt;U227,AND(ROW()=5,U227=U228))),VLOOKUP(U228,Drops!$D$26:$E$44,2,FALSE),"")</f>
        <v/>
      </c>
      <c r="R228" s="2" t="str">
        <f t="shared" si="49"/>
        <v/>
      </c>
      <c r="S228" s="2">
        <f t="shared" ca="1" si="50"/>
        <v>3</v>
      </c>
      <c r="T228" s="2">
        <f t="shared" si="51"/>
        <v>1</v>
      </c>
      <c r="U228" s="110" t="s">
        <v>1059</v>
      </c>
      <c r="V228" s="110">
        <v>10</v>
      </c>
      <c r="W228" s="110">
        <v>0</v>
      </c>
      <c r="X228" s="110">
        <v>0</v>
      </c>
      <c r="Y228" s="110">
        <v>0</v>
      </c>
      <c r="Z228" s="110">
        <v>0</v>
      </c>
      <c r="AA228" s="2">
        <f t="shared" si="52"/>
        <v>1</v>
      </c>
      <c r="AB228" s="2">
        <f t="shared" si="53"/>
        <v>1</v>
      </c>
      <c r="AC228" s="2">
        <f t="shared" si="54"/>
        <v>3</v>
      </c>
      <c r="AD228" s="2">
        <f t="shared" si="55"/>
        <v>3</v>
      </c>
      <c r="AE228" s="2">
        <f t="shared" si="56"/>
        <v>3</v>
      </c>
      <c r="AF228" s="2">
        <f t="shared" si="57"/>
        <v>3</v>
      </c>
      <c r="AG228" s="2">
        <f t="shared" si="58"/>
        <v>3</v>
      </c>
      <c r="AH228" s="2">
        <f t="shared" si="59"/>
        <v>1</v>
      </c>
      <c r="AI228" s="2">
        <f t="shared" si="60"/>
        <v>0</v>
      </c>
      <c r="AJ228" s="2">
        <f t="shared" si="61"/>
        <v>0</v>
      </c>
      <c r="AK228" s="2">
        <f t="shared" si="62"/>
        <v>0</v>
      </c>
      <c r="AL228" s="2">
        <f t="shared" si="63"/>
        <v>0</v>
      </c>
      <c r="AM228" s="115"/>
      <c r="AN228" s="115"/>
      <c r="AO228" s="63"/>
    </row>
    <row r="229" spans="1:41" ht="72" x14ac:dyDescent="0.55000000000000004">
      <c r="A229" s="36">
        <v>351</v>
      </c>
      <c r="B229" s="113" t="s">
        <v>1176</v>
      </c>
      <c r="C229" s="138" t="s">
        <v>1177</v>
      </c>
      <c r="D229" s="114" t="s">
        <v>48</v>
      </c>
      <c r="E229" s="115" t="s">
        <v>1070</v>
      </c>
      <c r="F229" s="116"/>
      <c r="G229" s="113" t="s">
        <v>1175</v>
      </c>
      <c r="H229" s="113" t="s">
        <v>1148</v>
      </c>
      <c r="I229" s="113"/>
      <c r="J229" s="117"/>
      <c r="K229" s="118"/>
      <c r="L229" s="109">
        <v>2</v>
      </c>
      <c r="M229" s="109">
        <v>3</v>
      </c>
      <c r="N229" s="109"/>
      <c r="O229" s="119"/>
      <c r="P229" s="2">
        <f t="shared" si="48"/>
        <v>3</v>
      </c>
      <c r="Q229" s="110" t="str">
        <f>IF(AND(Drops!$D$45&gt;1,OR(U229&lt;&gt;U228,AND(ROW()=5,U228=U229))),VLOOKUP(U229,Drops!$D$26:$E$44,2,FALSE),"")</f>
        <v/>
      </c>
      <c r="R229" s="2" t="str">
        <f t="shared" si="49"/>
        <v/>
      </c>
      <c r="S229" s="2">
        <f t="shared" ca="1" si="50"/>
        <v>3</v>
      </c>
      <c r="T229" s="2">
        <f t="shared" si="51"/>
        <v>0</v>
      </c>
      <c r="U229" s="110" t="s">
        <v>1059</v>
      </c>
      <c r="V229" s="110">
        <v>10</v>
      </c>
      <c r="W229" s="110">
        <v>1</v>
      </c>
      <c r="X229" s="110">
        <v>0</v>
      </c>
      <c r="Y229" s="110">
        <v>0</v>
      </c>
      <c r="Z229" s="110">
        <v>0</v>
      </c>
      <c r="AA229" s="2">
        <f t="shared" si="52"/>
        <v>1</v>
      </c>
      <c r="AB229" s="2">
        <f t="shared" si="53"/>
        <v>0</v>
      </c>
      <c r="AC229" s="2">
        <f t="shared" si="54"/>
        <v>3</v>
      </c>
      <c r="AD229" s="2">
        <f t="shared" si="55"/>
        <v>3</v>
      </c>
      <c r="AE229" s="2">
        <f t="shared" si="56"/>
        <v>3</v>
      </c>
      <c r="AF229" s="2">
        <f t="shared" si="57"/>
        <v>3</v>
      </c>
      <c r="AG229" s="2">
        <f t="shared" si="58"/>
        <v>3</v>
      </c>
      <c r="AH229" s="2">
        <f t="shared" si="59"/>
        <v>0</v>
      </c>
      <c r="AI229" s="2">
        <f t="shared" si="60"/>
        <v>1</v>
      </c>
      <c r="AJ229" s="2">
        <f t="shared" si="61"/>
        <v>0</v>
      </c>
      <c r="AK229" s="2">
        <f t="shared" si="62"/>
        <v>0</v>
      </c>
      <c r="AL229" s="2">
        <f t="shared" si="63"/>
        <v>0</v>
      </c>
      <c r="AM229" s="115"/>
      <c r="AN229" s="115"/>
      <c r="AO229" s="63"/>
    </row>
    <row r="230" spans="1:41" ht="86.4" x14ac:dyDescent="0.55000000000000004">
      <c r="A230" s="36">
        <v>4201</v>
      </c>
      <c r="B230" s="113" t="s">
        <v>1178</v>
      </c>
      <c r="C230" s="138" t="s">
        <v>1179</v>
      </c>
      <c r="D230" s="114" t="s">
        <v>48</v>
      </c>
      <c r="E230" s="115" t="s">
        <v>1070</v>
      </c>
      <c r="F230" s="116"/>
      <c r="G230" s="113" t="s">
        <v>1175</v>
      </c>
      <c r="H230" s="113" t="s">
        <v>1152</v>
      </c>
      <c r="I230" s="113" t="s">
        <v>1180</v>
      </c>
      <c r="J230" s="117" t="s">
        <v>1181</v>
      </c>
      <c r="K230" s="118"/>
      <c r="L230" s="109">
        <v>2</v>
      </c>
      <c r="M230" s="109">
        <v>2</v>
      </c>
      <c r="N230" s="109"/>
      <c r="O230" s="119"/>
      <c r="P230" s="2">
        <f t="shared" si="48"/>
        <v>3</v>
      </c>
      <c r="Q230" s="110" t="str">
        <f>IF(AND(Drops!$D$45&gt;1,OR(U230&lt;&gt;U229,AND(ROW()=5,U229=U230))),VLOOKUP(U230,Drops!$D$26:$E$44,2,FALSE),"")</f>
        <v/>
      </c>
      <c r="R230" s="2" t="str">
        <f t="shared" si="49"/>
        <v/>
      </c>
      <c r="S230" s="2">
        <f t="shared" ca="1" si="50"/>
        <v>3</v>
      </c>
      <c r="T230" s="2">
        <f t="shared" si="51"/>
        <v>0</v>
      </c>
      <c r="U230" s="110" t="s">
        <v>1059</v>
      </c>
      <c r="V230" s="110">
        <v>10</v>
      </c>
      <c r="W230" s="110">
        <v>2</v>
      </c>
      <c r="X230" s="110">
        <v>0</v>
      </c>
      <c r="Y230" s="110">
        <v>0</v>
      </c>
      <c r="Z230" s="110">
        <v>0</v>
      </c>
      <c r="AA230" s="2">
        <f t="shared" si="52"/>
        <v>1</v>
      </c>
      <c r="AB230" s="2">
        <f t="shared" si="53"/>
        <v>0</v>
      </c>
      <c r="AC230" s="2">
        <f t="shared" si="54"/>
        <v>3</v>
      </c>
      <c r="AD230" s="2">
        <f t="shared" si="55"/>
        <v>3</v>
      </c>
      <c r="AE230" s="2">
        <f t="shared" si="56"/>
        <v>3</v>
      </c>
      <c r="AF230" s="2">
        <f t="shared" si="57"/>
        <v>3</v>
      </c>
      <c r="AG230" s="2">
        <f t="shared" si="58"/>
        <v>3</v>
      </c>
      <c r="AH230" s="2">
        <f t="shared" si="59"/>
        <v>0</v>
      </c>
      <c r="AI230" s="2">
        <f t="shared" si="60"/>
        <v>1</v>
      </c>
      <c r="AJ230" s="2">
        <f t="shared" si="61"/>
        <v>0</v>
      </c>
      <c r="AK230" s="2">
        <f t="shared" si="62"/>
        <v>0</v>
      </c>
      <c r="AL230" s="2">
        <f t="shared" si="63"/>
        <v>0</v>
      </c>
      <c r="AM230" s="115"/>
      <c r="AN230" s="115"/>
      <c r="AO230" s="63"/>
    </row>
    <row r="231" spans="1:41" ht="72" x14ac:dyDescent="0.55000000000000004">
      <c r="A231" s="36">
        <v>491</v>
      </c>
      <c r="B231" s="113" t="s">
        <v>1182</v>
      </c>
      <c r="C231" s="138" t="s">
        <v>1183</v>
      </c>
      <c r="D231" s="114" t="s">
        <v>48</v>
      </c>
      <c r="E231" s="115" t="s">
        <v>1070</v>
      </c>
      <c r="F231" s="116"/>
      <c r="G231" s="113" t="s">
        <v>1175</v>
      </c>
      <c r="H231" s="113" t="s">
        <v>1152</v>
      </c>
      <c r="I231" s="113"/>
      <c r="J231" s="117" t="s">
        <v>1184</v>
      </c>
      <c r="K231" s="118"/>
      <c r="L231" s="109">
        <v>2</v>
      </c>
      <c r="M231" s="109">
        <v>2</v>
      </c>
      <c r="N231" s="109"/>
      <c r="O231" s="119"/>
      <c r="P231" s="2">
        <f t="shared" si="48"/>
        <v>3</v>
      </c>
      <c r="Q231" s="110" t="str">
        <f>IF(AND(Drops!$D$45&gt;1,OR(U231&lt;&gt;U230,AND(ROW()=5,U230=U231))),VLOOKUP(U231,Drops!$D$26:$E$44,2,FALSE),"")</f>
        <v/>
      </c>
      <c r="R231" s="2" t="str">
        <f t="shared" si="49"/>
        <v/>
      </c>
      <c r="S231" s="2">
        <f t="shared" ca="1" si="50"/>
        <v>3</v>
      </c>
      <c r="T231" s="2">
        <f t="shared" si="51"/>
        <v>0</v>
      </c>
      <c r="U231" s="110" t="s">
        <v>1059</v>
      </c>
      <c r="V231" s="110">
        <v>10</v>
      </c>
      <c r="W231" s="110">
        <v>3</v>
      </c>
      <c r="X231" s="110">
        <v>0</v>
      </c>
      <c r="Y231" s="110">
        <v>0</v>
      </c>
      <c r="Z231" s="110">
        <v>0</v>
      </c>
      <c r="AA231" s="2">
        <f t="shared" si="52"/>
        <v>1</v>
      </c>
      <c r="AB231" s="2">
        <f t="shared" si="53"/>
        <v>0</v>
      </c>
      <c r="AC231" s="2">
        <f t="shared" si="54"/>
        <v>3</v>
      </c>
      <c r="AD231" s="2">
        <f t="shared" si="55"/>
        <v>3</v>
      </c>
      <c r="AE231" s="2">
        <f t="shared" si="56"/>
        <v>3</v>
      </c>
      <c r="AF231" s="2">
        <f t="shared" si="57"/>
        <v>3</v>
      </c>
      <c r="AG231" s="2">
        <f t="shared" si="58"/>
        <v>3</v>
      </c>
      <c r="AH231" s="2">
        <f t="shared" si="59"/>
        <v>0</v>
      </c>
      <c r="AI231" s="2">
        <f t="shared" si="60"/>
        <v>1</v>
      </c>
      <c r="AJ231" s="2">
        <f t="shared" si="61"/>
        <v>0</v>
      </c>
      <c r="AK231" s="2">
        <f t="shared" si="62"/>
        <v>0</v>
      </c>
      <c r="AL231" s="2">
        <f t="shared" si="63"/>
        <v>0</v>
      </c>
      <c r="AM231" s="115"/>
      <c r="AN231" s="115"/>
      <c r="AO231" s="63"/>
    </row>
    <row r="232" spans="1:41" ht="72" x14ac:dyDescent="0.55000000000000004">
      <c r="A232" s="36">
        <v>526</v>
      </c>
      <c r="B232" s="113" t="s">
        <v>1185</v>
      </c>
      <c r="C232" s="138" t="s">
        <v>1186</v>
      </c>
      <c r="D232" s="114" t="s">
        <v>48</v>
      </c>
      <c r="E232" s="115" t="s">
        <v>1070</v>
      </c>
      <c r="F232" s="116"/>
      <c r="G232" s="113" t="s">
        <v>1175</v>
      </c>
      <c r="H232" s="113" t="s">
        <v>1187</v>
      </c>
      <c r="I232" s="113"/>
      <c r="J232" s="117" t="s">
        <v>1188</v>
      </c>
      <c r="K232" s="118"/>
      <c r="L232" s="109">
        <v>2</v>
      </c>
      <c r="M232" s="109">
        <v>3</v>
      </c>
      <c r="N232" s="109"/>
      <c r="O232" s="119"/>
      <c r="P232" s="2">
        <f t="shared" si="48"/>
        <v>3</v>
      </c>
      <c r="Q232" s="110" t="str">
        <f>IF(AND(Drops!$D$45&gt;1,OR(U232&lt;&gt;U231,AND(ROW()=5,U231=U232))),VLOOKUP(U232,Drops!$D$26:$E$44,2,FALSE),"")</f>
        <v/>
      </c>
      <c r="R232" s="2" t="str">
        <f t="shared" si="49"/>
        <v/>
      </c>
      <c r="S232" s="2">
        <f t="shared" ca="1" si="50"/>
        <v>3</v>
      </c>
      <c r="T232" s="2">
        <f t="shared" si="51"/>
        <v>0</v>
      </c>
      <c r="U232" s="110" t="s">
        <v>1059</v>
      </c>
      <c r="V232" s="110">
        <v>10</v>
      </c>
      <c r="W232" s="110">
        <v>4</v>
      </c>
      <c r="X232" s="110">
        <v>0</v>
      </c>
      <c r="Y232" s="110">
        <v>0</v>
      </c>
      <c r="Z232" s="110">
        <v>0</v>
      </c>
      <c r="AA232" s="2">
        <f t="shared" si="52"/>
        <v>1</v>
      </c>
      <c r="AB232" s="2">
        <f t="shared" si="53"/>
        <v>0</v>
      </c>
      <c r="AC232" s="2">
        <f t="shared" si="54"/>
        <v>3</v>
      </c>
      <c r="AD232" s="2">
        <f t="shared" si="55"/>
        <v>3</v>
      </c>
      <c r="AE232" s="2">
        <f t="shared" si="56"/>
        <v>3</v>
      </c>
      <c r="AF232" s="2">
        <f t="shared" si="57"/>
        <v>3</v>
      </c>
      <c r="AG232" s="2">
        <f t="shared" si="58"/>
        <v>3</v>
      </c>
      <c r="AH232" s="2">
        <f t="shared" si="59"/>
        <v>0</v>
      </c>
      <c r="AI232" s="2">
        <f t="shared" si="60"/>
        <v>1</v>
      </c>
      <c r="AJ232" s="2">
        <f t="shared" si="61"/>
        <v>0</v>
      </c>
      <c r="AK232" s="2">
        <f t="shared" si="62"/>
        <v>0</v>
      </c>
      <c r="AL232" s="2">
        <f t="shared" si="63"/>
        <v>0</v>
      </c>
      <c r="AM232" s="115"/>
      <c r="AN232" s="115"/>
      <c r="AO232" s="63"/>
    </row>
    <row r="233" spans="1:41" ht="72" x14ac:dyDescent="0.55000000000000004">
      <c r="A233" s="36">
        <v>534</v>
      </c>
      <c r="B233" s="113" t="s">
        <v>1189</v>
      </c>
      <c r="C233" s="138" t="s">
        <v>1190</v>
      </c>
      <c r="D233" s="114" t="s">
        <v>48</v>
      </c>
      <c r="E233" s="115" t="s">
        <v>1070</v>
      </c>
      <c r="F233" s="116"/>
      <c r="G233" s="113" t="s">
        <v>1175</v>
      </c>
      <c r="H233" s="113" t="s">
        <v>1191</v>
      </c>
      <c r="I233" s="113" t="s">
        <v>1115</v>
      </c>
      <c r="J233" s="117" t="s">
        <v>1192</v>
      </c>
      <c r="K233" s="118"/>
      <c r="L233" s="109">
        <v>2</v>
      </c>
      <c r="M233" s="109">
        <v>3</v>
      </c>
      <c r="N233" s="109"/>
      <c r="O233" s="119"/>
      <c r="P233" s="2">
        <f t="shared" si="48"/>
        <v>3</v>
      </c>
      <c r="Q233" s="110" t="str">
        <f>IF(AND(Drops!$D$45&gt;1,OR(U233&lt;&gt;U232,AND(ROW()=5,U232=U233))),VLOOKUP(U233,Drops!$D$26:$E$44,2,FALSE),"")</f>
        <v/>
      </c>
      <c r="R233" s="2" t="str">
        <f t="shared" si="49"/>
        <v/>
      </c>
      <c r="S233" s="2">
        <f t="shared" ca="1" si="50"/>
        <v>3</v>
      </c>
      <c r="T233" s="2">
        <f t="shared" si="51"/>
        <v>0</v>
      </c>
      <c r="U233" s="110" t="s">
        <v>1059</v>
      </c>
      <c r="V233" s="110">
        <v>10</v>
      </c>
      <c r="W233" s="110">
        <v>5</v>
      </c>
      <c r="X233" s="110">
        <v>0</v>
      </c>
      <c r="Y233" s="110">
        <v>0</v>
      </c>
      <c r="Z233" s="110">
        <v>0</v>
      </c>
      <c r="AA233" s="2">
        <f t="shared" si="52"/>
        <v>1</v>
      </c>
      <c r="AB233" s="2">
        <f t="shared" si="53"/>
        <v>1</v>
      </c>
      <c r="AC233" s="2">
        <f t="shared" si="54"/>
        <v>3</v>
      </c>
      <c r="AD233" s="2">
        <f t="shared" si="55"/>
        <v>3</v>
      </c>
      <c r="AE233" s="2">
        <f t="shared" si="56"/>
        <v>3</v>
      </c>
      <c r="AF233" s="2">
        <f t="shared" si="57"/>
        <v>3</v>
      </c>
      <c r="AG233" s="2">
        <f t="shared" si="58"/>
        <v>3</v>
      </c>
      <c r="AH233" s="2">
        <f t="shared" si="59"/>
        <v>0</v>
      </c>
      <c r="AI233" s="2">
        <f t="shared" si="60"/>
        <v>1</v>
      </c>
      <c r="AJ233" s="2">
        <f t="shared" si="61"/>
        <v>0</v>
      </c>
      <c r="AK233" s="2">
        <f t="shared" si="62"/>
        <v>0</v>
      </c>
      <c r="AL233" s="2">
        <f t="shared" si="63"/>
        <v>0</v>
      </c>
      <c r="AM233" s="115"/>
      <c r="AN233" s="115"/>
      <c r="AO233" s="63"/>
    </row>
    <row r="234" spans="1:41" ht="72" x14ac:dyDescent="0.55000000000000004">
      <c r="A234" s="36">
        <v>535</v>
      </c>
      <c r="B234" s="113" t="s">
        <v>1193</v>
      </c>
      <c r="C234" s="139" t="s">
        <v>1194</v>
      </c>
      <c r="D234" s="114" t="s">
        <v>48</v>
      </c>
      <c r="E234" s="115" t="s">
        <v>1070</v>
      </c>
      <c r="F234" s="116"/>
      <c r="G234" s="113" t="s">
        <v>1175</v>
      </c>
      <c r="H234" s="113" t="s">
        <v>1191</v>
      </c>
      <c r="I234" s="113" t="s">
        <v>1115</v>
      </c>
      <c r="J234" s="117" t="s">
        <v>1192</v>
      </c>
      <c r="K234" s="118"/>
      <c r="L234" s="109">
        <v>3</v>
      </c>
      <c r="M234" s="109">
        <v>3</v>
      </c>
      <c r="N234" s="109"/>
      <c r="O234" s="119"/>
      <c r="P234" s="2">
        <f t="shared" si="48"/>
        <v>3</v>
      </c>
      <c r="Q234" s="110" t="str">
        <f>IF(AND(Drops!$D$45&gt;1,OR(U234&lt;&gt;U233,AND(ROW()=5,U233=U234))),VLOOKUP(U234,Drops!$D$26:$E$44,2,FALSE),"")</f>
        <v/>
      </c>
      <c r="R234" s="2" t="str">
        <f t="shared" si="49"/>
        <v/>
      </c>
      <c r="S234" s="2">
        <f t="shared" ca="1" si="50"/>
        <v>3</v>
      </c>
      <c r="T234" s="2">
        <f t="shared" si="51"/>
        <v>0</v>
      </c>
      <c r="U234" s="110" t="s">
        <v>1059</v>
      </c>
      <c r="V234" s="110">
        <v>10</v>
      </c>
      <c r="W234" s="110">
        <v>5</v>
      </c>
      <c r="X234" s="110">
        <v>1</v>
      </c>
      <c r="Y234" s="110">
        <v>0</v>
      </c>
      <c r="Z234" s="110">
        <v>0</v>
      </c>
      <c r="AA234" s="2">
        <f t="shared" si="52"/>
        <v>1</v>
      </c>
      <c r="AB234" s="2">
        <f t="shared" si="53"/>
        <v>0</v>
      </c>
      <c r="AC234" s="2">
        <f t="shared" si="54"/>
        <v>3</v>
      </c>
      <c r="AD234" s="2">
        <f t="shared" si="55"/>
        <v>3</v>
      </c>
      <c r="AE234" s="2">
        <f t="shared" si="56"/>
        <v>3</v>
      </c>
      <c r="AF234" s="2">
        <f t="shared" si="57"/>
        <v>3</v>
      </c>
      <c r="AG234" s="2">
        <f t="shared" si="58"/>
        <v>3</v>
      </c>
      <c r="AH234" s="2">
        <f t="shared" si="59"/>
        <v>0</v>
      </c>
      <c r="AI234" s="2">
        <f t="shared" si="60"/>
        <v>0</v>
      </c>
      <c r="AJ234" s="2">
        <f t="shared" si="61"/>
        <v>1</v>
      </c>
      <c r="AK234" s="2">
        <f t="shared" si="62"/>
        <v>0</v>
      </c>
      <c r="AL234" s="2">
        <f t="shared" si="63"/>
        <v>0</v>
      </c>
      <c r="AM234" s="115"/>
      <c r="AN234" s="115"/>
      <c r="AO234" s="63"/>
    </row>
    <row r="235" spans="1:41" ht="72" x14ac:dyDescent="0.55000000000000004">
      <c r="A235" s="36">
        <v>536</v>
      </c>
      <c r="B235" s="113" t="s">
        <v>1195</v>
      </c>
      <c r="C235" s="139" t="s">
        <v>1196</v>
      </c>
      <c r="D235" s="114" t="s">
        <v>48</v>
      </c>
      <c r="E235" s="115" t="s">
        <v>1070</v>
      </c>
      <c r="F235" s="116"/>
      <c r="G235" s="113" t="s">
        <v>1175</v>
      </c>
      <c r="H235" s="113" t="s">
        <v>1191</v>
      </c>
      <c r="I235" s="113" t="s">
        <v>1115</v>
      </c>
      <c r="J235" s="117" t="s">
        <v>1192</v>
      </c>
      <c r="K235" s="118"/>
      <c r="L235" s="109">
        <v>3</v>
      </c>
      <c r="M235" s="109">
        <v>3</v>
      </c>
      <c r="N235" s="109"/>
      <c r="O235" s="119"/>
      <c r="P235" s="2">
        <f t="shared" si="48"/>
        <v>3</v>
      </c>
      <c r="Q235" s="110" t="str">
        <f>IF(AND(Drops!$D$45&gt;1,OR(U235&lt;&gt;U234,AND(ROW()=5,U234=U235))),VLOOKUP(U235,Drops!$D$26:$E$44,2,FALSE),"")</f>
        <v/>
      </c>
      <c r="R235" s="2" t="str">
        <f t="shared" si="49"/>
        <v/>
      </c>
      <c r="S235" s="2">
        <f t="shared" ca="1" si="50"/>
        <v>3</v>
      </c>
      <c r="T235" s="2">
        <f t="shared" si="51"/>
        <v>0</v>
      </c>
      <c r="U235" s="110" t="s">
        <v>1059</v>
      </c>
      <c r="V235" s="110">
        <v>10</v>
      </c>
      <c r="W235" s="110">
        <v>5</v>
      </c>
      <c r="X235" s="110">
        <v>2</v>
      </c>
      <c r="Y235" s="110">
        <v>0</v>
      </c>
      <c r="Z235" s="110">
        <v>0</v>
      </c>
      <c r="AA235" s="2">
        <f t="shared" si="52"/>
        <v>1</v>
      </c>
      <c r="AB235" s="2">
        <f t="shared" si="53"/>
        <v>0</v>
      </c>
      <c r="AC235" s="2">
        <f t="shared" si="54"/>
        <v>3</v>
      </c>
      <c r="AD235" s="2">
        <f t="shared" si="55"/>
        <v>3</v>
      </c>
      <c r="AE235" s="2">
        <f t="shared" si="56"/>
        <v>3</v>
      </c>
      <c r="AF235" s="2">
        <f t="shared" si="57"/>
        <v>3</v>
      </c>
      <c r="AG235" s="2">
        <f t="shared" si="58"/>
        <v>3</v>
      </c>
      <c r="AH235" s="2">
        <f t="shared" si="59"/>
        <v>0</v>
      </c>
      <c r="AI235" s="2">
        <f t="shared" si="60"/>
        <v>0</v>
      </c>
      <c r="AJ235" s="2">
        <f t="shared" si="61"/>
        <v>1</v>
      </c>
      <c r="AK235" s="2">
        <f t="shared" si="62"/>
        <v>0</v>
      </c>
      <c r="AL235" s="2">
        <f t="shared" si="63"/>
        <v>0</v>
      </c>
      <c r="AM235" s="115"/>
      <c r="AN235" s="115"/>
      <c r="AO235" s="63"/>
    </row>
    <row r="236" spans="1:41" ht="72" x14ac:dyDescent="0.55000000000000004">
      <c r="A236" s="36">
        <v>537</v>
      </c>
      <c r="B236" s="113" t="s">
        <v>1197</v>
      </c>
      <c r="C236" s="139" t="s">
        <v>1198</v>
      </c>
      <c r="D236" s="114" t="s">
        <v>48</v>
      </c>
      <c r="E236" s="115" t="s">
        <v>1070</v>
      </c>
      <c r="F236" s="116"/>
      <c r="G236" s="113" t="s">
        <v>1175</v>
      </c>
      <c r="H236" s="113" t="s">
        <v>1191</v>
      </c>
      <c r="I236" s="113" t="s">
        <v>1115</v>
      </c>
      <c r="J236" s="117" t="s">
        <v>1192</v>
      </c>
      <c r="K236" s="118"/>
      <c r="L236" s="109">
        <v>3</v>
      </c>
      <c r="M236" s="109">
        <v>3</v>
      </c>
      <c r="N236" s="109"/>
      <c r="O236" s="119"/>
      <c r="P236" s="2">
        <f t="shared" si="48"/>
        <v>3</v>
      </c>
      <c r="Q236" s="110" t="str">
        <f>IF(AND(Drops!$D$45&gt;1,OR(U236&lt;&gt;U235,AND(ROW()=5,U235=U236))),VLOOKUP(U236,Drops!$D$26:$E$44,2,FALSE),"")</f>
        <v/>
      </c>
      <c r="R236" s="2" t="str">
        <f t="shared" si="49"/>
        <v/>
      </c>
      <c r="S236" s="2">
        <f t="shared" ca="1" si="50"/>
        <v>3</v>
      </c>
      <c r="T236" s="2">
        <f t="shared" si="51"/>
        <v>0</v>
      </c>
      <c r="U236" s="110" t="s">
        <v>1059</v>
      </c>
      <c r="V236" s="110">
        <v>10</v>
      </c>
      <c r="W236" s="110">
        <v>5</v>
      </c>
      <c r="X236" s="110">
        <v>3</v>
      </c>
      <c r="Y236" s="110">
        <v>0</v>
      </c>
      <c r="Z236" s="110">
        <v>0</v>
      </c>
      <c r="AA236" s="2">
        <f t="shared" si="52"/>
        <v>1</v>
      </c>
      <c r="AB236" s="2">
        <f t="shared" si="53"/>
        <v>0</v>
      </c>
      <c r="AC236" s="2">
        <f t="shared" si="54"/>
        <v>3</v>
      </c>
      <c r="AD236" s="2">
        <f t="shared" si="55"/>
        <v>3</v>
      </c>
      <c r="AE236" s="2">
        <f t="shared" si="56"/>
        <v>3</v>
      </c>
      <c r="AF236" s="2">
        <f t="shared" si="57"/>
        <v>3</v>
      </c>
      <c r="AG236" s="2">
        <f t="shared" si="58"/>
        <v>3</v>
      </c>
      <c r="AH236" s="2">
        <f t="shared" si="59"/>
        <v>0</v>
      </c>
      <c r="AI236" s="2">
        <f t="shared" si="60"/>
        <v>0</v>
      </c>
      <c r="AJ236" s="2">
        <f t="shared" si="61"/>
        <v>1</v>
      </c>
      <c r="AK236" s="2">
        <f t="shared" si="62"/>
        <v>0</v>
      </c>
      <c r="AL236" s="2">
        <f t="shared" si="63"/>
        <v>0</v>
      </c>
      <c r="AM236" s="115"/>
      <c r="AN236" s="115"/>
      <c r="AO236" s="63"/>
    </row>
    <row r="237" spans="1:41" ht="72" x14ac:dyDescent="0.55000000000000004">
      <c r="A237" s="36">
        <v>538</v>
      </c>
      <c r="B237" s="113" t="s">
        <v>1199</v>
      </c>
      <c r="C237" s="139" t="s">
        <v>1200</v>
      </c>
      <c r="D237" s="114" t="s">
        <v>48</v>
      </c>
      <c r="E237" s="115" t="s">
        <v>1070</v>
      </c>
      <c r="F237" s="116"/>
      <c r="G237" s="113" t="s">
        <v>1175</v>
      </c>
      <c r="H237" s="113" t="s">
        <v>1191</v>
      </c>
      <c r="I237" s="113" t="s">
        <v>1115</v>
      </c>
      <c r="J237" s="117" t="s">
        <v>1192</v>
      </c>
      <c r="K237" s="118"/>
      <c r="L237" s="109">
        <v>3</v>
      </c>
      <c r="M237" s="109">
        <v>3</v>
      </c>
      <c r="N237" s="109"/>
      <c r="O237" s="119"/>
      <c r="P237" s="2">
        <f t="shared" si="48"/>
        <v>3</v>
      </c>
      <c r="Q237" s="110" t="str">
        <f>IF(AND(Drops!$D$45&gt;1,OR(U237&lt;&gt;U236,AND(ROW()=5,U236=U237))),VLOOKUP(U237,Drops!$D$26:$E$44,2,FALSE),"")</f>
        <v/>
      </c>
      <c r="R237" s="2" t="str">
        <f t="shared" si="49"/>
        <v/>
      </c>
      <c r="S237" s="2">
        <f t="shared" ca="1" si="50"/>
        <v>3</v>
      </c>
      <c r="T237" s="2">
        <f t="shared" si="51"/>
        <v>0</v>
      </c>
      <c r="U237" s="110" t="s">
        <v>1059</v>
      </c>
      <c r="V237" s="110">
        <v>10</v>
      </c>
      <c r="W237" s="110">
        <v>5</v>
      </c>
      <c r="X237" s="110">
        <v>4</v>
      </c>
      <c r="Y237" s="110">
        <v>0</v>
      </c>
      <c r="Z237" s="110">
        <v>0</v>
      </c>
      <c r="AA237" s="2">
        <f t="shared" si="52"/>
        <v>1</v>
      </c>
      <c r="AB237" s="2">
        <f t="shared" si="53"/>
        <v>0</v>
      </c>
      <c r="AC237" s="2">
        <f t="shared" si="54"/>
        <v>3</v>
      </c>
      <c r="AD237" s="2">
        <f t="shared" si="55"/>
        <v>3</v>
      </c>
      <c r="AE237" s="2">
        <f t="shared" si="56"/>
        <v>3</v>
      </c>
      <c r="AF237" s="2">
        <f t="shared" si="57"/>
        <v>3</v>
      </c>
      <c r="AG237" s="2">
        <f t="shared" si="58"/>
        <v>3</v>
      </c>
      <c r="AH237" s="2">
        <f t="shared" si="59"/>
        <v>0</v>
      </c>
      <c r="AI237" s="2">
        <f t="shared" si="60"/>
        <v>0</v>
      </c>
      <c r="AJ237" s="2">
        <f t="shared" si="61"/>
        <v>1</v>
      </c>
      <c r="AK237" s="2">
        <f t="shared" si="62"/>
        <v>0</v>
      </c>
      <c r="AL237" s="2">
        <f t="shared" si="63"/>
        <v>0</v>
      </c>
      <c r="AM237" s="115"/>
      <c r="AN237" s="115"/>
      <c r="AO237" s="63"/>
    </row>
    <row r="238" spans="1:41" ht="72" x14ac:dyDescent="0.55000000000000004">
      <c r="A238" s="36">
        <v>539</v>
      </c>
      <c r="B238" s="113" t="s">
        <v>1201</v>
      </c>
      <c r="C238" s="139" t="s">
        <v>1202</v>
      </c>
      <c r="D238" s="114" t="s">
        <v>48</v>
      </c>
      <c r="E238" s="115" t="s">
        <v>1070</v>
      </c>
      <c r="F238" s="116"/>
      <c r="G238" s="113" t="s">
        <v>1175</v>
      </c>
      <c r="H238" s="113" t="s">
        <v>1191</v>
      </c>
      <c r="I238" s="113" t="s">
        <v>1115</v>
      </c>
      <c r="J238" s="117" t="s">
        <v>1192</v>
      </c>
      <c r="K238" s="118"/>
      <c r="L238" s="109">
        <v>3</v>
      </c>
      <c r="M238" s="109">
        <v>3</v>
      </c>
      <c r="N238" s="109"/>
      <c r="O238" s="119"/>
      <c r="P238" s="2">
        <f t="shared" si="48"/>
        <v>3</v>
      </c>
      <c r="Q238" s="110" t="str">
        <f>IF(AND(Drops!$D$45&gt;1,OR(U238&lt;&gt;U237,AND(ROW()=5,U237=U238))),VLOOKUP(U238,Drops!$D$26:$E$44,2,FALSE),"")</f>
        <v/>
      </c>
      <c r="R238" s="2" t="str">
        <f t="shared" si="49"/>
        <v/>
      </c>
      <c r="S238" s="2">
        <f t="shared" ca="1" si="50"/>
        <v>3</v>
      </c>
      <c r="T238" s="2">
        <f t="shared" si="51"/>
        <v>0</v>
      </c>
      <c r="U238" s="110" t="s">
        <v>1059</v>
      </c>
      <c r="V238" s="110">
        <v>10</v>
      </c>
      <c r="W238" s="110">
        <v>5</v>
      </c>
      <c r="X238" s="110">
        <v>5</v>
      </c>
      <c r="Y238" s="110">
        <v>0</v>
      </c>
      <c r="Z238" s="110">
        <v>0</v>
      </c>
      <c r="AA238" s="2">
        <f t="shared" si="52"/>
        <v>1</v>
      </c>
      <c r="AB238" s="2">
        <f t="shared" si="53"/>
        <v>0</v>
      </c>
      <c r="AC238" s="2">
        <f t="shared" si="54"/>
        <v>3</v>
      </c>
      <c r="AD238" s="2">
        <f t="shared" si="55"/>
        <v>3</v>
      </c>
      <c r="AE238" s="2">
        <f t="shared" si="56"/>
        <v>3</v>
      </c>
      <c r="AF238" s="2">
        <f t="shared" si="57"/>
        <v>3</v>
      </c>
      <c r="AG238" s="2">
        <f t="shared" si="58"/>
        <v>3</v>
      </c>
      <c r="AH238" s="2">
        <f t="shared" si="59"/>
        <v>0</v>
      </c>
      <c r="AI238" s="2">
        <f t="shared" si="60"/>
        <v>0</v>
      </c>
      <c r="AJ238" s="2">
        <f t="shared" si="61"/>
        <v>1</v>
      </c>
      <c r="AK238" s="2">
        <f t="shared" si="62"/>
        <v>0</v>
      </c>
      <c r="AL238" s="2">
        <f t="shared" si="63"/>
        <v>0</v>
      </c>
      <c r="AM238" s="115"/>
      <c r="AN238" s="115"/>
      <c r="AO238" s="63"/>
    </row>
    <row r="239" spans="1:41" ht="72" x14ac:dyDescent="0.55000000000000004">
      <c r="A239" s="36">
        <v>540</v>
      </c>
      <c r="B239" s="113" t="s">
        <v>1203</v>
      </c>
      <c r="C239" s="139" t="s">
        <v>1204</v>
      </c>
      <c r="D239" s="114" t="s">
        <v>48</v>
      </c>
      <c r="E239" s="115" t="s">
        <v>1070</v>
      </c>
      <c r="F239" s="116"/>
      <c r="G239" s="113" t="s">
        <v>1175</v>
      </c>
      <c r="H239" s="113" t="s">
        <v>1191</v>
      </c>
      <c r="I239" s="113"/>
      <c r="J239" s="117" t="s">
        <v>1192</v>
      </c>
      <c r="K239" s="118"/>
      <c r="L239" s="109">
        <v>3</v>
      </c>
      <c r="M239" s="109">
        <v>3</v>
      </c>
      <c r="N239" s="109"/>
      <c r="O239" s="119"/>
      <c r="P239" s="2">
        <f t="shared" si="48"/>
        <v>3</v>
      </c>
      <c r="Q239" s="110" t="str">
        <f>IF(AND(Drops!$D$45&gt;1,OR(U239&lt;&gt;U238,AND(ROW()=5,U238=U239))),VLOOKUP(U239,Drops!$D$26:$E$44,2,FALSE),"")</f>
        <v/>
      </c>
      <c r="R239" s="2" t="str">
        <f t="shared" si="49"/>
        <v/>
      </c>
      <c r="S239" s="2">
        <f t="shared" ca="1" si="50"/>
        <v>3</v>
      </c>
      <c r="T239" s="2">
        <f t="shared" si="51"/>
        <v>0</v>
      </c>
      <c r="U239" s="110" t="s">
        <v>1059</v>
      </c>
      <c r="V239" s="110">
        <v>10</v>
      </c>
      <c r="W239" s="110">
        <v>5</v>
      </c>
      <c r="X239" s="110">
        <v>6</v>
      </c>
      <c r="Y239" s="110">
        <v>0</v>
      </c>
      <c r="Z239" s="110">
        <v>0</v>
      </c>
      <c r="AA239" s="2">
        <f t="shared" si="52"/>
        <v>1</v>
      </c>
      <c r="AB239" s="2">
        <f t="shared" si="53"/>
        <v>0</v>
      </c>
      <c r="AC239" s="2">
        <f t="shared" si="54"/>
        <v>3</v>
      </c>
      <c r="AD239" s="2">
        <f t="shared" si="55"/>
        <v>3</v>
      </c>
      <c r="AE239" s="2">
        <f t="shared" si="56"/>
        <v>3</v>
      </c>
      <c r="AF239" s="2">
        <f t="shared" si="57"/>
        <v>3</v>
      </c>
      <c r="AG239" s="2">
        <f t="shared" si="58"/>
        <v>3</v>
      </c>
      <c r="AH239" s="2">
        <f t="shared" si="59"/>
        <v>0</v>
      </c>
      <c r="AI239" s="2">
        <f t="shared" si="60"/>
        <v>0</v>
      </c>
      <c r="AJ239" s="2">
        <f t="shared" si="61"/>
        <v>1</v>
      </c>
      <c r="AK239" s="2">
        <f t="shared" si="62"/>
        <v>0</v>
      </c>
      <c r="AL239" s="2">
        <f t="shared" si="63"/>
        <v>0</v>
      </c>
      <c r="AM239" s="115"/>
      <c r="AN239" s="115"/>
      <c r="AO239" s="63"/>
    </row>
    <row r="240" spans="1:41" ht="43.2" x14ac:dyDescent="0.55000000000000004">
      <c r="A240" s="36">
        <v>2582</v>
      </c>
      <c r="B240" s="113" t="s">
        <v>231</v>
      </c>
      <c r="C240" s="113" t="s">
        <v>1205</v>
      </c>
      <c r="D240" s="114" t="s">
        <v>52</v>
      </c>
      <c r="E240" s="115"/>
      <c r="F240" s="116"/>
      <c r="G240" s="113" t="s">
        <v>1206</v>
      </c>
      <c r="H240" s="113" t="s">
        <v>1207</v>
      </c>
      <c r="I240" s="113" t="s">
        <v>1208</v>
      </c>
      <c r="J240" s="117" t="s">
        <v>1209</v>
      </c>
      <c r="K240" s="118"/>
      <c r="L240" s="109">
        <v>1</v>
      </c>
      <c r="M240" s="109">
        <v>1</v>
      </c>
      <c r="N240" s="109"/>
      <c r="O240" s="119"/>
      <c r="P240" s="2">
        <f t="shared" si="48"/>
        <v>1</v>
      </c>
      <c r="Q240" s="110" t="str">
        <f>IF(AND(Drops!$D$45&gt;1,OR(U240&lt;&gt;U239,AND(ROW()=5,U239=U240))),VLOOKUP(U240,Drops!$D$26:$E$44,2,FALSE),"")</f>
        <v>G. IT Operations Management</v>
      </c>
      <c r="R240" s="2">
        <f t="shared" si="49"/>
        <v>240</v>
      </c>
      <c r="S240" s="2">
        <f t="shared" ca="1" si="50"/>
        <v>1</v>
      </c>
      <c r="T240" s="2">
        <f t="shared" si="51"/>
        <v>1</v>
      </c>
      <c r="U240" s="110" t="s">
        <v>1210</v>
      </c>
      <c r="V240" s="110">
        <v>1</v>
      </c>
      <c r="W240" s="110">
        <v>0</v>
      </c>
      <c r="X240" s="110">
        <v>0</v>
      </c>
      <c r="Y240" s="110">
        <v>0</v>
      </c>
      <c r="Z240" s="110">
        <v>0</v>
      </c>
      <c r="AA240" s="2">
        <f t="shared" si="52"/>
        <v>1</v>
      </c>
      <c r="AB240" s="2">
        <f t="shared" si="53"/>
        <v>1</v>
      </c>
      <c r="AC240" s="2">
        <f t="shared" si="54"/>
        <v>1</v>
      </c>
      <c r="AD240" s="2">
        <f t="shared" si="55"/>
        <v>0</v>
      </c>
      <c r="AE240" s="2">
        <f t="shared" si="56"/>
        <v>0</v>
      </c>
      <c r="AF240" s="2">
        <f t="shared" si="57"/>
        <v>0</v>
      </c>
      <c r="AG240" s="2">
        <f t="shared" si="58"/>
        <v>0</v>
      </c>
      <c r="AH240" s="2">
        <f t="shared" si="59"/>
        <v>2</v>
      </c>
      <c r="AI240" s="2">
        <f t="shared" si="60"/>
        <v>0</v>
      </c>
      <c r="AJ240" s="2">
        <f t="shared" si="61"/>
        <v>0</v>
      </c>
      <c r="AK240" s="2">
        <f t="shared" si="62"/>
        <v>0</v>
      </c>
      <c r="AL240" s="2">
        <f t="shared" si="63"/>
        <v>0</v>
      </c>
      <c r="AM240" s="115"/>
      <c r="AN240" s="115"/>
      <c r="AO240" s="63"/>
    </row>
    <row r="241" spans="1:41" ht="43.2" x14ac:dyDescent="0.55000000000000004">
      <c r="A241" s="36">
        <v>2583</v>
      </c>
      <c r="B241" s="113" t="s">
        <v>1211</v>
      </c>
      <c r="C241" s="138" t="s">
        <v>1212</v>
      </c>
      <c r="D241" s="114" t="s">
        <v>52</v>
      </c>
      <c r="E241" s="115"/>
      <c r="F241" s="116"/>
      <c r="G241" s="113" t="s">
        <v>1206</v>
      </c>
      <c r="H241" s="113" t="s">
        <v>1207</v>
      </c>
      <c r="I241" s="113"/>
      <c r="J241" s="117" t="s">
        <v>1209</v>
      </c>
      <c r="K241" s="118"/>
      <c r="L241" s="109">
        <v>2</v>
      </c>
      <c r="M241" s="109">
        <v>3</v>
      </c>
      <c r="N241" s="109"/>
      <c r="O241" s="119"/>
      <c r="P241" s="2">
        <f t="shared" si="48"/>
        <v>1</v>
      </c>
      <c r="Q241" s="110" t="str">
        <f>IF(AND(Drops!$D$45&gt;1,OR(U241&lt;&gt;U240,AND(ROW()=5,U240=U241))),VLOOKUP(U241,Drops!$D$26:$E$44,2,FALSE),"")</f>
        <v/>
      </c>
      <c r="R241" s="2" t="str">
        <f t="shared" si="49"/>
        <v/>
      </c>
      <c r="S241" s="2">
        <f t="shared" ca="1" si="50"/>
        <v>1</v>
      </c>
      <c r="T241" s="2">
        <f t="shared" si="51"/>
        <v>0</v>
      </c>
      <c r="U241" s="110" t="s">
        <v>1210</v>
      </c>
      <c r="V241" s="110">
        <v>1</v>
      </c>
      <c r="W241" s="110">
        <v>1</v>
      </c>
      <c r="X241" s="110">
        <v>0</v>
      </c>
      <c r="Y241" s="110">
        <v>0</v>
      </c>
      <c r="Z241" s="110">
        <v>0</v>
      </c>
      <c r="AA241" s="2">
        <f t="shared" si="52"/>
        <v>1</v>
      </c>
      <c r="AB241" s="2">
        <f t="shared" si="53"/>
        <v>0</v>
      </c>
      <c r="AC241" s="2">
        <f t="shared" si="54"/>
        <v>1</v>
      </c>
      <c r="AD241" s="2">
        <f t="shared" si="55"/>
        <v>1</v>
      </c>
      <c r="AE241" s="2">
        <f t="shared" si="56"/>
        <v>0</v>
      </c>
      <c r="AF241" s="2">
        <f t="shared" si="57"/>
        <v>0</v>
      </c>
      <c r="AG241" s="2">
        <f t="shared" si="58"/>
        <v>0</v>
      </c>
      <c r="AH241" s="2">
        <f t="shared" si="59"/>
        <v>2</v>
      </c>
      <c r="AI241" s="2">
        <f t="shared" si="60"/>
        <v>2</v>
      </c>
      <c r="AJ241" s="2">
        <f t="shared" si="61"/>
        <v>0</v>
      </c>
      <c r="AK241" s="2">
        <f t="shared" si="62"/>
        <v>0</v>
      </c>
      <c r="AL241" s="2">
        <f t="shared" si="63"/>
        <v>0</v>
      </c>
      <c r="AM241" s="115"/>
      <c r="AN241" s="115"/>
      <c r="AO241" s="63"/>
    </row>
    <row r="242" spans="1:41" ht="57.6" x14ac:dyDescent="0.55000000000000004">
      <c r="A242" s="36">
        <v>3633</v>
      </c>
      <c r="B242" s="113" t="s">
        <v>233</v>
      </c>
      <c r="C242" s="113" t="s">
        <v>1213</v>
      </c>
      <c r="D242" s="114" t="s">
        <v>55</v>
      </c>
      <c r="E242" s="115" t="s">
        <v>1214</v>
      </c>
      <c r="F242" s="116"/>
      <c r="G242" s="113" t="s">
        <v>1215</v>
      </c>
      <c r="H242" s="113" t="s">
        <v>1216</v>
      </c>
      <c r="I242" s="113"/>
      <c r="J242" s="117" t="s">
        <v>1217</v>
      </c>
      <c r="K242" s="118"/>
      <c r="L242" s="109">
        <v>1</v>
      </c>
      <c r="M242" s="109">
        <v>3</v>
      </c>
      <c r="N242" s="109"/>
      <c r="O242" s="119"/>
      <c r="P242" s="2">
        <f t="shared" si="48"/>
        <v>2</v>
      </c>
      <c r="Q242" s="110" t="str">
        <f>IF(AND(Drops!$D$45&gt;1,OR(U242&lt;&gt;U241,AND(ROW()=5,U241=U242))),VLOOKUP(U242,Drops!$D$26:$E$44,2,FALSE),"")</f>
        <v/>
      </c>
      <c r="R242" s="2" t="str">
        <f t="shared" si="49"/>
        <v/>
      </c>
      <c r="S242" s="2">
        <f t="shared" ca="1" si="50"/>
        <v>2</v>
      </c>
      <c r="T242" s="2">
        <f t="shared" si="51"/>
        <v>1</v>
      </c>
      <c r="U242" s="110" t="s">
        <v>1210</v>
      </c>
      <c r="V242" s="110">
        <v>2</v>
      </c>
      <c r="W242" s="110">
        <v>0</v>
      </c>
      <c r="X242" s="110">
        <v>0</v>
      </c>
      <c r="Y242" s="110">
        <v>0</v>
      </c>
      <c r="Z242" s="110">
        <v>0</v>
      </c>
      <c r="AA242" s="2">
        <f t="shared" si="52"/>
        <v>1</v>
      </c>
      <c r="AB242" s="2">
        <f t="shared" si="53"/>
        <v>0</v>
      </c>
      <c r="AC242" s="2">
        <f t="shared" si="54"/>
        <v>2</v>
      </c>
      <c r="AD242" s="2">
        <f t="shared" si="55"/>
        <v>2</v>
      </c>
      <c r="AE242" s="2">
        <f t="shared" si="56"/>
        <v>2</v>
      </c>
      <c r="AF242" s="2">
        <f t="shared" si="57"/>
        <v>2</v>
      </c>
      <c r="AG242" s="2">
        <f t="shared" si="58"/>
        <v>2</v>
      </c>
      <c r="AH242" s="2">
        <f t="shared" si="59"/>
        <v>1</v>
      </c>
      <c r="AI242" s="2">
        <f t="shared" si="60"/>
        <v>2</v>
      </c>
      <c r="AJ242" s="2">
        <f t="shared" si="61"/>
        <v>0</v>
      </c>
      <c r="AK242" s="2">
        <f t="shared" si="62"/>
        <v>0</v>
      </c>
      <c r="AL242" s="2">
        <f t="shared" si="63"/>
        <v>0</v>
      </c>
      <c r="AM242" s="115"/>
      <c r="AN242" s="115"/>
      <c r="AO242" s="63"/>
    </row>
    <row r="243" spans="1:41" ht="57.6" x14ac:dyDescent="0.55000000000000004">
      <c r="A243" s="36">
        <v>816</v>
      </c>
      <c r="B243" s="113" t="s">
        <v>235</v>
      </c>
      <c r="C243" s="113" t="s">
        <v>1218</v>
      </c>
      <c r="D243" s="114" t="s">
        <v>52</v>
      </c>
      <c r="E243" s="115"/>
      <c r="F243" s="116"/>
      <c r="G243" s="113" t="s">
        <v>1206</v>
      </c>
      <c r="H243" s="113" t="s">
        <v>1219</v>
      </c>
      <c r="I243" s="113" t="s">
        <v>1208</v>
      </c>
      <c r="J243" s="117" t="s">
        <v>1220</v>
      </c>
      <c r="K243" s="118"/>
      <c r="L243" s="109">
        <v>1</v>
      </c>
      <c r="M243" s="109">
        <v>2</v>
      </c>
      <c r="N243" s="109"/>
      <c r="O243" s="119"/>
      <c r="P243" s="2">
        <f t="shared" si="48"/>
        <v>1</v>
      </c>
      <c r="Q243" s="110" t="str">
        <f>IF(AND(Drops!$D$45&gt;1,OR(U243&lt;&gt;U242,AND(ROW()=5,U242=U243))),VLOOKUP(U243,Drops!$D$26:$E$44,2,FALSE),"")</f>
        <v/>
      </c>
      <c r="R243" s="2" t="str">
        <f t="shared" si="49"/>
        <v/>
      </c>
      <c r="S243" s="2">
        <f t="shared" ca="1" si="50"/>
        <v>1</v>
      </c>
      <c r="T243" s="2">
        <f t="shared" si="51"/>
        <v>1</v>
      </c>
      <c r="U243" s="110" t="s">
        <v>1210</v>
      </c>
      <c r="V243" s="110">
        <v>3</v>
      </c>
      <c r="W243" s="110">
        <v>0</v>
      </c>
      <c r="X243" s="110">
        <v>0</v>
      </c>
      <c r="Y243" s="110">
        <v>0</v>
      </c>
      <c r="Z243" s="110">
        <v>0</v>
      </c>
      <c r="AA243" s="2">
        <f t="shared" si="52"/>
        <v>1</v>
      </c>
      <c r="AB243" s="2">
        <f t="shared" si="53"/>
        <v>1</v>
      </c>
      <c r="AC243" s="2">
        <f t="shared" si="54"/>
        <v>1</v>
      </c>
      <c r="AD243" s="2">
        <f t="shared" si="55"/>
        <v>2</v>
      </c>
      <c r="AE243" s="2">
        <f t="shared" si="56"/>
        <v>2</v>
      </c>
      <c r="AF243" s="2">
        <f t="shared" si="57"/>
        <v>2</v>
      </c>
      <c r="AG243" s="2">
        <f t="shared" si="58"/>
        <v>2</v>
      </c>
      <c r="AH243" s="2">
        <f t="shared" si="59"/>
        <v>2</v>
      </c>
      <c r="AI243" s="2">
        <f t="shared" si="60"/>
        <v>2</v>
      </c>
      <c r="AJ243" s="2">
        <f t="shared" si="61"/>
        <v>0</v>
      </c>
      <c r="AK243" s="2">
        <f t="shared" si="62"/>
        <v>0</v>
      </c>
      <c r="AL243" s="2">
        <f t="shared" si="63"/>
        <v>0</v>
      </c>
      <c r="AM243" s="115"/>
      <c r="AN243" s="115"/>
      <c r="AO243" s="63"/>
    </row>
    <row r="244" spans="1:41" ht="43.2" x14ac:dyDescent="0.55000000000000004">
      <c r="A244" s="36">
        <v>2593</v>
      </c>
      <c r="B244" s="113" t="s">
        <v>1221</v>
      </c>
      <c r="C244" s="138" t="s">
        <v>1222</v>
      </c>
      <c r="D244" s="114" t="s">
        <v>52</v>
      </c>
      <c r="E244" s="115"/>
      <c r="F244" s="116"/>
      <c r="G244" s="113" t="s">
        <v>1206</v>
      </c>
      <c r="H244" s="113" t="s">
        <v>1219</v>
      </c>
      <c r="I244" s="113"/>
      <c r="J244" s="117" t="s">
        <v>1223</v>
      </c>
      <c r="K244" s="118"/>
      <c r="L244" s="109">
        <v>2</v>
      </c>
      <c r="M244" s="109">
        <v>3</v>
      </c>
      <c r="N244" s="109"/>
      <c r="O244" s="119"/>
      <c r="P244" s="2">
        <f t="shared" si="48"/>
        <v>1</v>
      </c>
      <c r="Q244" s="110" t="str">
        <f>IF(AND(Drops!$D$45&gt;1,OR(U244&lt;&gt;U243,AND(ROW()=5,U243=U244))),VLOOKUP(U244,Drops!$D$26:$E$44,2,FALSE),"")</f>
        <v/>
      </c>
      <c r="R244" s="2" t="str">
        <f t="shared" si="49"/>
        <v/>
      </c>
      <c r="S244" s="2">
        <f t="shared" ca="1" si="50"/>
        <v>1</v>
      </c>
      <c r="T244" s="2">
        <f t="shared" si="51"/>
        <v>0</v>
      </c>
      <c r="U244" s="110" t="s">
        <v>1210</v>
      </c>
      <c r="V244" s="110">
        <v>3</v>
      </c>
      <c r="W244" s="110">
        <v>5</v>
      </c>
      <c r="X244" s="110">
        <v>0</v>
      </c>
      <c r="Y244" s="110">
        <v>0</v>
      </c>
      <c r="Z244" s="110">
        <v>0</v>
      </c>
      <c r="AA244" s="2">
        <f t="shared" si="52"/>
        <v>1</v>
      </c>
      <c r="AB244" s="2">
        <f t="shared" si="53"/>
        <v>0</v>
      </c>
      <c r="AC244" s="2">
        <f t="shared" si="54"/>
        <v>1</v>
      </c>
      <c r="AD244" s="2">
        <f t="shared" si="55"/>
        <v>1</v>
      </c>
      <c r="AE244" s="2">
        <f t="shared" si="56"/>
        <v>2</v>
      </c>
      <c r="AF244" s="2">
        <f t="shared" si="57"/>
        <v>2</v>
      </c>
      <c r="AG244" s="2">
        <f t="shared" si="58"/>
        <v>2</v>
      </c>
      <c r="AH244" s="2">
        <f t="shared" si="59"/>
        <v>2</v>
      </c>
      <c r="AI244" s="2">
        <f t="shared" si="60"/>
        <v>2</v>
      </c>
      <c r="AJ244" s="2">
        <f t="shared" si="61"/>
        <v>0</v>
      </c>
      <c r="AK244" s="2">
        <f t="shared" si="62"/>
        <v>0</v>
      </c>
      <c r="AL244" s="2">
        <f t="shared" si="63"/>
        <v>0</v>
      </c>
      <c r="AM244" s="115"/>
      <c r="AN244" s="115"/>
      <c r="AO244" s="63"/>
    </row>
    <row r="245" spans="1:41" ht="43.2" x14ac:dyDescent="0.55000000000000004">
      <c r="A245" s="36">
        <v>832</v>
      </c>
      <c r="B245" s="113" t="s">
        <v>1224</v>
      </c>
      <c r="C245" s="138" t="s">
        <v>1225</v>
      </c>
      <c r="D245" s="114" t="s">
        <v>52</v>
      </c>
      <c r="E245" s="115"/>
      <c r="F245" s="116"/>
      <c r="G245" s="113" t="s">
        <v>1206</v>
      </c>
      <c r="H245" s="113" t="s">
        <v>1219</v>
      </c>
      <c r="I245" s="113"/>
      <c r="J245" s="117" t="s">
        <v>1223</v>
      </c>
      <c r="K245" s="118"/>
      <c r="L245" s="109">
        <v>2</v>
      </c>
      <c r="M245" s="109">
        <v>2</v>
      </c>
      <c r="N245" s="109"/>
      <c r="O245" s="119"/>
      <c r="P245" s="2">
        <f t="shared" si="48"/>
        <v>1</v>
      </c>
      <c r="Q245" s="110" t="str">
        <f>IF(AND(Drops!$D$45&gt;1,OR(U245&lt;&gt;U244,AND(ROW()=5,U244=U245))),VLOOKUP(U245,Drops!$D$26:$E$44,2,FALSE),"")</f>
        <v/>
      </c>
      <c r="R245" s="2" t="str">
        <f t="shared" si="49"/>
        <v/>
      </c>
      <c r="S245" s="2">
        <f t="shared" ca="1" si="50"/>
        <v>1</v>
      </c>
      <c r="T245" s="2">
        <f t="shared" si="51"/>
        <v>0</v>
      </c>
      <c r="U245" s="110" t="s">
        <v>1210</v>
      </c>
      <c r="V245" s="110">
        <v>3</v>
      </c>
      <c r="W245" s="110">
        <v>10</v>
      </c>
      <c r="X245" s="110">
        <v>0</v>
      </c>
      <c r="Y245" s="110">
        <v>0</v>
      </c>
      <c r="Z245" s="110">
        <v>0</v>
      </c>
      <c r="AA245" s="2">
        <f t="shared" si="52"/>
        <v>1</v>
      </c>
      <c r="AB245" s="2">
        <f t="shared" si="53"/>
        <v>1</v>
      </c>
      <c r="AC245" s="2">
        <f t="shared" si="54"/>
        <v>1</v>
      </c>
      <c r="AD245" s="2">
        <f t="shared" si="55"/>
        <v>1</v>
      </c>
      <c r="AE245" s="2">
        <f t="shared" si="56"/>
        <v>2</v>
      </c>
      <c r="AF245" s="2">
        <f t="shared" si="57"/>
        <v>2</v>
      </c>
      <c r="AG245" s="2">
        <f t="shared" si="58"/>
        <v>2</v>
      </c>
      <c r="AH245" s="2">
        <f t="shared" si="59"/>
        <v>2</v>
      </c>
      <c r="AI245" s="2">
        <f t="shared" si="60"/>
        <v>2</v>
      </c>
      <c r="AJ245" s="2">
        <f t="shared" si="61"/>
        <v>0</v>
      </c>
      <c r="AK245" s="2">
        <f t="shared" si="62"/>
        <v>0</v>
      </c>
      <c r="AL245" s="2">
        <f t="shared" si="63"/>
        <v>0</v>
      </c>
      <c r="AM245" s="115"/>
      <c r="AN245" s="115"/>
      <c r="AO245" s="63"/>
    </row>
    <row r="246" spans="1:41" ht="43.2" x14ac:dyDescent="0.55000000000000004">
      <c r="A246" s="36">
        <v>838</v>
      </c>
      <c r="B246" s="113" t="s">
        <v>1226</v>
      </c>
      <c r="C246" s="139" t="s">
        <v>1227</v>
      </c>
      <c r="D246" s="114" t="s">
        <v>52</v>
      </c>
      <c r="E246" s="115"/>
      <c r="F246" s="116"/>
      <c r="G246" s="113" t="s">
        <v>1206</v>
      </c>
      <c r="H246" s="113" t="s">
        <v>1219</v>
      </c>
      <c r="I246" s="113" t="s">
        <v>1208</v>
      </c>
      <c r="J246" s="117" t="s">
        <v>1228</v>
      </c>
      <c r="K246" s="118"/>
      <c r="L246" s="109">
        <v>3</v>
      </c>
      <c r="M246" s="109">
        <v>3</v>
      </c>
      <c r="N246" s="109"/>
      <c r="O246" s="119"/>
      <c r="P246" s="2">
        <f t="shared" si="48"/>
        <v>1</v>
      </c>
      <c r="Q246" s="110" t="str">
        <f>IF(AND(Drops!$D$45&gt;1,OR(U246&lt;&gt;U245,AND(ROW()=5,U245=U246))),VLOOKUP(U246,Drops!$D$26:$E$44,2,FALSE),"")</f>
        <v/>
      </c>
      <c r="R246" s="2" t="str">
        <f t="shared" si="49"/>
        <v/>
      </c>
      <c r="S246" s="2">
        <f t="shared" ca="1" si="50"/>
        <v>1</v>
      </c>
      <c r="T246" s="2">
        <f t="shared" si="51"/>
        <v>0</v>
      </c>
      <c r="U246" s="110" t="s">
        <v>1210</v>
      </c>
      <c r="V246" s="110">
        <v>3</v>
      </c>
      <c r="W246" s="110">
        <v>10</v>
      </c>
      <c r="X246" s="110">
        <v>1</v>
      </c>
      <c r="Y246" s="110">
        <v>0</v>
      </c>
      <c r="Z246" s="110">
        <v>0</v>
      </c>
      <c r="AA246" s="2">
        <f t="shared" si="52"/>
        <v>1</v>
      </c>
      <c r="AB246" s="2">
        <f t="shared" si="53"/>
        <v>0</v>
      </c>
      <c r="AC246" s="2">
        <f t="shared" si="54"/>
        <v>1</v>
      </c>
      <c r="AD246" s="2">
        <f t="shared" si="55"/>
        <v>1</v>
      </c>
      <c r="AE246" s="2">
        <f t="shared" si="56"/>
        <v>1</v>
      </c>
      <c r="AF246" s="2">
        <f t="shared" si="57"/>
        <v>2</v>
      </c>
      <c r="AG246" s="2">
        <f t="shared" si="58"/>
        <v>2</v>
      </c>
      <c r="AH246" s="2">
        <f t="shared" si="59"/>
        <v>2</v>
      </c>
      <c r="AI246" s="2">
        <f t="shared" si="60"/>
        <v>2</v>
      </c>
      <c r="AJ246" s="2">
        <f t="shared" si="61"/>
        <v>2</v>
      </c>
      <c r="AK246" s="2">
        <f t="shared" si="62"/>
        <v>0</v>
      </c>
      <c r="AL246" s="2">
        <f t="shared" si="63"/>
        <v>0</v>
      </c>
      <c r="AM246" s="115"/>
      <c r="AN246" s="115"/>
      <c r="AO246" s="63"/>
    </row>
    <row r="247" spans="1:41" ht="201.6" x14ac:dyDescent="0.55000000000000004">
      <c r="A247" s="36">
        <v>3401</v>
      </c>
      <c r="B247" s="113" t="s">
        <v>1229</v>
      </c>
      <c r="C247" s="139" t="s">
        <v>1230</v>
      </c>
      <c r="D247" s="114" t="s">
        <v>52</v>
      </c>
      <c r="E247" s="115" t="s">
        <v>1231</v>
      </c>
      <c r="F247" s="116"/>
      <c r="G247" s="113" t="s">
        <v>1206</v>
      </c>
      <c r="H247" s="113" t="s">
        <v>1219</v>
      </c>
      <c r="I247" s="113" t="s">
        <v>1208</v>
      </c>
      <c r="J247" s="117"/>
      <c r="K247" s="118"/>
      <c r="L247" s="109">
        <v>3</v>
      </c>
      <c r="M247" s="109">
        <v>2</v>
      </c>
      <c r="N247" s="109"/>
      <c r="O247" s="119"/>
      <c r="P247" s="2">
        <f t="shared" si="48"/>
        <v>1</v>
      </c>
      <c r="Q247" s="110" t="str">
        <f>IF(AND(Drops!$D$45&gt;1,OR(U247&lt;&gt;U246,AND(ROW()=5,U246=U247))),VLOOKUP(U247,Drops!$D$26:$E$44,2,FALSE),"")</f>
        <v/>
      </c>
      <c r="R247" s="2" t="str">
        <f t="shared" si="49"/>
        <v/>
      </c>
      <c r="S247" s="2">
        <f t="shared" ca="1" si="50"/>
        <v>1</v>
      </c>
      <c r="T247" s="2">
        <f t="shared" si="51"/>
        <v>0</v>
      </c>
      <c r="U247" s="110" t="s">
        <v>1210</v>
      </c>
      <c r="V247" s="110">
        <v>3</v>
      </c>
      <c r="W247" s="110">
        <v>10</v>
      </c>
      <c r="X247" s="110">
        <v>2</v>
      </c>
      <c r="Y247" s="110">
        <v>0</v>
      </c>
      <c r="Z247" s="110">
        <v>0</v>
      </c>
      <c r="AA247" s="2">
        <f t="shared" si="52"/>
        <v>1</v>
      </c>
      <c r="AB247" s="2">
        <f t="shared" si="53"/>
        <v>0</v>
      </c>
      <c r="AC247" s="2">
        <f t="shared" si="54"/>
        <v>1</v>
      </c>
      <c r="AD247" s="2">
        <f t="shared" si="55"/>
        <v>1</v>
      </c>
      <c r="AE247" s="2">
        <f t="shared" si="56"/>
        <v>1</v>
      </c>
      <c r="AF247" s="2">
        <f t="shared" si="57"/>
        <v>2</v>
      </c>
      <c r="AG247" s="2">
        <f t="shared" si="58"/>
        <v>2</v>
      </c>
      <c r="AH247" s="2">
        <f t="shared" si="59"/>
        <v>2</v>
      </c>
      <c r="AI247" s="2">
        <f t="shared" si="60"/>
        <v>2</v>
      </c>
      <c r="AJ247" s="2">
        <f t="shared" si="61"/>
        <v>2</v>
      </c>
      <c r="AK247" s="2">
        <f t="shared" si="62"/>
        <v>0</v>
      </c>
      <c r="AL247" s="2">
        <f t="shared" si="63"/>
        <v>0</v>
      </c>
      <c r="AM247" s="115"/>
      <c r="AN247" s="115"/>
      <c r="AO247" s="63"/>
    </row>
    <row r="248" spans="1:41" ht="115.2" x14ac:dyDescent="0.55000000000000004">
      <c r="A248" s="36">
        <v>3406</v>
      </c>
      <c r="B248" s="113" t="s">
        <v>1232</v>
      </c>
      <c r="C248" s="139" t="s">
        <v>1233</v>
      </c>
      <c r="D248" s="114" t="s">
        <v>52</v>
      </c>
      <c r="E248" s="115" t="s">
        <v>1234</v>
      </c>
      <c r="F248" s="116"/>
      <c r="G248" s="113" t="s">
        <v>1206</v>
      </c>
      <c r="H248" s="113" t="s">
        <v>1219</v>
      </c>
      <c r="I248" s="113"/>
      <c r="J248" s="117"/>
      <c r="K248" s="118"/>
      <c r="L248" s="109">
        <v>3</v>
      </c>
      <c r="M248" s="109">
        <v>2</v>
      </c>
      <c r="N248" s="109"/>
      <c r="O248" s="119"/>
      <c r="P248" s="2">
        <f t="shared" si="48"/>
        <v>1</v>
      </c>
      <c r="Q248" s="110" t="str">
        <f>IF(AND(Drops!$D$45&gt;1,OR(U248&lt;&gt;U247,AND(ROW()=5,U247=U248))),VLOOKUP(U248,Drops!$D$26:$E$44,2,FALSE),"")</f>
        <v/>
      </c>
      <c r="R248" s="2" t="str">
        <f t="shared" si="49"/>
        <v/>
      </c>
      <c r="S248" s="2">
        <f t="shared" ca="1" si="50"/>
        <v>1</v>
      </c>
      <c r="T248" s="2">
        <f t="shared" si="51"/>
        <v>0</v>
      </c>
      <c r="U248" s="110" t="s">
        <v>1210</v>
      </c>
      <c r="V248" s="110">
        <v>3</v>
      </c>
      <c r="W248" s="110">
        <v>10</v>
      </c>
      <c r="X248" s="110">
        <v>3</v>
      </c>
      <c r="Y248" s="110">
        <v>0</v>
      </c>
      <c r="Z248" s="110">
        <v>0</v>
      </c>
      <c r="AA248" s="2">
        <f t="shared" si="52"/>
        <v>1</v>
      </c>
      <c r="AB248" s="2">
        <f t="shared" si="53"/>
        <v>1</v>
      </c>
      <c r="AC248" s="2">
        <f t="shared" si="54"/>
        <v>1</v>
      </c>
      <c r="AD248" s="2">
        <f t="shared" si="55"/>
        <v>1</v>
      </c>
      <c r="AE248" s="2">
        <f t="shared" si="56"/>
        <v>1</v>
      </c>
      <c r="AF248" s="2">
        <f t="shared" si="57"/>
        <v>2</v>
      </c>
      <c r="AG248" s="2">
        <f t="shared" si="58"/>
        <v>2</v>
      </c>
      <c r="AH248" s="2">
        <f t="shared" si="59"/>
        <v>2</v>
      </c>
      <c r="AI248" s="2">
        <f t="shared" si="60"/>
        <v>2</v>
      </c>
      <c r="AJ248" s="2">
        <f t="shared" si="61"/>
        <v>2</v>
      </c>
      <c r="AK248" s="2">
        <f t="shared" si="62"/>
        <v>0</v>
      </c>
      <c r="AL248" s="2">
        <f t="shared" si="63"/>
        <v>0</v>
      </c>
      <c r="AM248" s="115"/>
      <c r="AN248" s="115"/>
      <c r="AO248" s="63"/>
    </row>
    <row r="249" spans="1:41" ht="43.2" x14ac:dyDescent="0.55000000000000004">
      <c r="A249" s="36">
        <v>3412</v>
      </c>
      <c r="B249" s="113" t="s">
        <v>1235</v>
      </c>
      <c r="C249" s="140" t="s">
        <v>1236</v>
      </c>
      <c r="D249" s="114" t="s">
        <v>52</v>
      </c>
      <c r="E249" s="115" t="s">
        <v>1237</v>
      </c>
      <c r="F249" s="116"/>
      <c r="G249" s="113" t="s">
        <v>1206</v>
      </c>
      <c r="H249" s="113" t="s">
        <v>1219</v>
      </c>
      <c r="I249" s="113"/>
      <c r="J249" s="117"/>
      <c r="K249" s="118"/>
      <c r="L249" s="109">
        <v>4</v>
      </c>
      <c r="M249" s="109">
        <v>2</v>
      </c>
      <c r="N249" s="109"/>
      <c r="O249" s="119"/>
      <c r="P249" s="2">
        <f t="shared" si="48"/>
        <v>1</v>
      </c>
      <c r="Q249" s="110" t="str">
        <f>IF(AND(Drops!$D$45&gt;1,OR(U249&lt;&gt;U248,AND(ROW()=5,U248=U249))),VLOOKUP(U249,Drops!$D$26:$E$44,2,FALSE),"")</f>
        <v/>
      </c>
      <c r="R249" s="2" t="str">
        <f t="shared" si="49"/>
        <v/>
      </c>
      <c r="S249" s="2">
        <f t="shared" ca="1" si="50"/>
        <v>1</v>
      </c>
      <c r="T249" s="2">
        <f t="shared" si="51"/>
        <v>0</v>
      </c>
      <c r="U249" s="110" t="s">
        <v>1210</v>
      </c>
      <c r="V249" s="110">
        <v>3</v>
      </c>
      <c r="W249" s="110">
        <v>10</v>
      </c>
      <c r="X249" s="110">
        <v>3</v>
      </c>
      <c r="Y249" s="110">
        <v>1</v>
      </c>
      <c r="Z249" s="110">
        <v>0</v>
      </c>
      <c r="AA249" s="2">
        <f t="shared" si="52"/>
        <v>1</v>
      </c>
      <c r="AB249" s="2">
        <f t="shared" si="53"/>
        <v>0</v>
      </c>
      <c r="AC249" s="2">
        <f t="shared" si="54"/>
        <v>1</v>
      </c>
      <c r="AD249" s="2">
        <f t="shared" si="55"/>
        <v>1</v>
      </c>
      <c r="AE249" s="2">
        <f t="shared" si="56"/>
        <v>1</v>
      </c>
      <c r="AF249" s="2">
        <f t="shared" si="57"/>
        <v>1</v>
      </c>
      <c r="AG249" s="2">
        <f t="shared" si="58"/>
        <v>2</v>
      </c>
      <c r="AH249" s="2">
        <f t="shared" si="59"/>
        <v>2</v>
      </c>
      <c r="AI249" s="2">
        <f t="shared" si="60"/>
        <v>2</v>
      </c>
      <c r="AJ249" s="2">
        <f t="shared" si="61"/>
        <v>2</v>
      </c>
      <c r="AK249" s="2">
        <f t="shared" si="62"/>
        <v>2</v>
      </c>
      <c r="AL249" s="2">
        <f t="shared" si="63"/>
        <v>0</v>
      </c>
      <c r="AM249" s="115"/>
      <c r="AN249" s="115"/>
      <c r="AO249" s="63"/>
    </row>
    <row r="250" spans="1:41" ht="43.2" x14ac:dyDescent="0.55000000000000004">
      <c r="A250" s="36">
        <v>3425</v>
      </c>
      <c r="B250" s="113" t="s">
        <v>1238</v>
      </c>
      <c r="C250" s="139" t="s">
        <v>1239</v>
      </c>
      <c r="D250" s="114" t="s">
        <v>52</v>
      </c>
      <c r="E250" s="115"/>
      <c r="F250" s="116"/>
      <c r="G250" s="113" t="s">
        <v>1206</v>
      </c>
      <c r="H250" s="113" t="s">
        <v>1219</v>
      </c>
      <c r="I250" s="113"/>
      <c r="J250" s="117"/>
      <c r="K250" s="118"/>
      <c r="L250" s="109">
        <v>3</v>
      </c>
      <c r="M250" s="109">
        <v>3</v>
      </c>
      <c r="N250" s="109"/>
      <c r="O250" s="119"/>
      <c r="P250" s="2">
        <f t="shared" si="48"/>
        <v>1</v>
      </c>
      <c r="Q250" s="110" t="str">
        <f>IF(AND(Drops!$D$45&gt;1,OR(U250&lt;&gt;U249,AND(ROW()=5,U249=U250))),VLOOKUP(U250,Drops!$D$26:$E$44,2,FALSE),"")</f>
        <v/>
      </c>
      <c r="R250" s="2" t="str">
        <f t="shared" si="49"/>
        <v/>
      </c>
      <c r="S250" s="2">
        <f t="shared" ca="1" si="50"/>
        <v>1</v>
      </c>
      <c r="T250" s="2">
        <f t="shared" si="51"/>
        <v>0</v>
      </c>
      <c r="U250" s="110" t="s">
        <v>1210</v>
      </c>
      <c r="V250" s="110">
        <v>3</v>
      </c>
      <c r="W250" s="110">
        <v>10</v>
      </c>
      <c r="X250" s="110">
        <v>5</v>
      </c>
      <c r="Y250" s="110">
        <v>0</v>
      </c>
      <c r="Z250" s="110">
        <v>0</v>
      </c>
      <c r="AA250" s="2">
        <f t="shared" si="52"/>
        <v>1</v>
      </c>
      <c r="AB250" s="2">
        <f t="shared" si="53"/>
        <v>0</v>
      </c>
      <c r="AC250" s="2">
        <f t="shared" si="54"/>
        <v>1</v>
      </c>
      <c r="AD250" s="2">
        <f t="shared" si="55"/>
        <v>1</v>
      </c>
      <c r="AE250" s="2">
        <f t="shared" si="56"/>
        <v>1</v>
      </c>
      <c r="AF250" s="2">
        <f t="shared" si="57"/>
        <v>0</v>
      </c>
      <c r="AG250" s="2">
        <f t="shared" si="58"/>
        <v>2</v>
      </c>
      <c r="AH250" s="2">
        <f t="shared" si="59"/>
        <v>2</v>
      </c>
      <c r="AI250" s="2">
        <f t="shared" si="60"/>
        <v>2</v>
      </c>
      <c r="AJ250" s="2">
        <f t="shared" si="61"/>
        <v>2</v>
      </c>
      <c r="AK250" s="2">
        <f t="shared" si="62"/>
        <v>2</v>
      </c>
      <c r="AL250" s="2">
        <f t="shared" si="63"/>
        <v>0</v>
      </c>
      <c r="AM250" s="115"/>
      <c r="AN250" s="115"/>
      <c r="AO250" s="63"/>
    </row>
    <row r="251" spans="1:41" ht="43.2" x14ac:dyDescent="0.55000000000000004">
      <c r="A251" s="36">
        <v>2880</v>
      </c>
      <c r="B251" s="113" t="s">
        <v>1240</v>
      </c>
      <c r="C251" s="139" t="s">
        <v>1241</v>
      </c>
      <c r="D251" s="114" t="s">
        <v>52</v>
      </c>
      <c r="E251" s="115"/>
      <c r="F251" s="116"/>
      <c r="G251" s="113" t="s">
        <v>1206</v>
      </c>
      <c r="H251" s="113" t="s">
        <v>1219</v>
      </c>
      <c r="I251" s="113" t="s">
        <v>1208</v>
      </c>
      <c r="J251" s="117" t="s">
        <v>1242</v>
      </c>
      <c r="K251" s="118"/>
      <c r="L251" s="109">
        <v>3</v>
      </c>
      <c r="M251" s="109">
        <v>3</v>
      </c>
      <c r="N251" s="109"/>
      <c r="O251" s="119"/>
      <c r="P251" s="2">
        <f t="shared" si="48"/>
        <v>1</v>
      </c>
      <c r="Q251" s="110" t="str">
        <f>IF(AND(Drops!$D$45&gt;1,OR(U251&lt;&gt;U250,AND(ROW()=5,U250=U251))),VLOOKUP(U251,Drops!$D$26:$E$44,2,FALSE),"")</f>
        <v/>
      </c>
      <c r="R251" s="2" t="str">
        <f t="shared" si="49"/>
        <v/>
      </c>
      <c r="S251" s="2">
        <f t="shared" ca="1" si="50"/>
        <v>1</v>
      </c>
      <c r="T251" s="2">
        <f t="shared" si="51"/>
        <v>0</v>
      </c>
      <c r="U251" s="110" t="s">
        <v>1210</v>
      </c>
      <c r="V251" s="110">
        <v>3</v>
      </c>
      <c r="W251" s="110">
        <v>10</v>
      </c>
      <c r="X251" s="110">
        <v>6</v>
      </c>
      <c r="Y251" s="110">
        <v>0</v>
      </c>
      <c r="Z251" s="110">
        <v>0</v>
      </c>
      <c r="AA251" s="2">
        <f t="shared" si="52"/>
        <v>1</v>
      </c>
      <c r="AB251" s="2">
        <f t="shared" si="53"/>
        <v>0</v>
      </c>
      <c r="AC251" s="2">
        <f t="shared" si="54"/>
        <v>1</v>
      </c>
      <c r="AD251" s="2">
        <f t="shared" si="55"/>
        <v>1</v>
      </c>
      <c r="AE251" s="2">
        <f t="shared" si="56"/>
        <v>1</v>
      </c>
      <c r="AF251" s="2">
        <f t="shared" si="57"/>
        <v>0</v>
      </c>
      <c r="AG251" s="2">
        <f t="shared" si="58"/>
        <v>2</v>
      </c>
      <c r="AH251" s="2">
        <f t="shared" si="59"/>
        <v>2</v>
      </c>
      <c r="AI251" s="2">
        <f t="shared" si="60"/>
        <v>2</v>
      </c>
      <c r="AJ251" s="2">
        <f t="shared" si="61"/>
        <v>2</v>
      </c>
      <c r="AK251" s="2">
        <f t="shared" si="62"/>
        <v>2</v>
      </c>
      <c r="AL251" s="2">
        <f t="shared" si="63"/>
        <v>0</v>
      </c>
      <c r="AM251" s="115"/>
      <c r="AN251" s="115"/>
      <c r="AO251" s="63"/>
    </row>
    <row r="252" spans="1:41" ht="43.2" x14ac:dyDescent="0.55000000000000004">
      <c r="A252" s="36">
        <v>4439</v>
      </c>
      <c r="B252" s="113" t="s">
        <v>237</v>
      </c>
      <c r="C252" s="113" t="s">
        <v>1243</v>
      </c>
      <c r="D252" s="114" t="s">
        <v>52</v>
      </c>
      <c r="E252" s="115"/>
      <c r="F252" s="116"/>
      <c r="G252" s="113" t="s">
        <v>1206</v>
      </c>
      <c r="H252" s="113" t="s">
        <v>1244</v>
      </c>
      <c r="I252" s="113" t="s">
        <v>1245</v>
      </c>
      <c r="J252" s="117" t="s">
        <v>1246</v>
      </c>
      <c r="K252" s="118"/>
      <c r="L252" s="109">
        <v>1</v>
      </c>
      <c r="M252" s="109">
        <v>2</v>
      </c>
      <c r="N252" s="109"/>
      <c r="O252" s="119"/>
      <c r="P252" s="2">
        <f t="shared" si="48"/>
        <v>1</v>
      </c>
      <c r="Q252" s="110" t="str">
        <f>IF(AND(Drops!$D$45&gt;1,OR(U252&lt;&gt;U251,AND(ROW()=5,U251=U252))),VLOOKUP(U252,Drops!$D$26:$E$44,2,FALSE),"")</f>
        <v/>
      </c>
      <c r="R252" s="2" t="str">
        <f t="shared" si="49"/>
        <v/>
      </c>
      <c r="S252" s="2">
        <f t="shared" ca="1" si="50"/>
        <v>1</v>
      </c>
      <c r="T252" s="2">
        <f t="shared" si="51"/>
        <v>1</v>
      </c>
      <c r="U252" s="110" t="s">
        <v>1210</v>
      </c>
      <c r="V252" s="110">
        <v>4</v>
      </c>
      <c r="W252" s="110">
        <v>0</v>
      </c>
      <c r="X252" s="110">
        <v>0</v>
      </c>
      <c r="Y252" s="110">
        <v>0</v>
      </c>
      <c r="Z252" s="110">
        <v>0</v>
      </c>
      <c r="AA252" s="2">
        <f t="shared" si="52"/>
        <v>1</v>
      </c>
      <c r="AB252" s="2">
        <f t="shared" si="53"/>
        <v>1</v>
      </c>
      <c r="AC252" s="2">
        <f t="shared" si="54"/>
        <v>1</v>
      </c>
      <c r="AD252" s="2">
        <f t="shared" si="55"/>
        <v>0</v>
      </c>
      <c r="AE252" s="2">
        <f t="shared" si="56"/>
        <v>0</v>
      </c>
      <c r="AF252" s="2">
        <f t="shared" si="57"/>
        <v>0</v>
      </c>
      <c r="AG252" s="2">
        <f t="shared" si="58"/>
        <v>2</v>
      </c>
      <c r="AH252" s="2">
        <f t="shared" si="59"/>
        <v>2</v>
      </c>
      <c r="AI252" s="2">
        <f t="shared" si="60"/>
        <v>2</v>
      </c>
      <c r="AJ252" s="2">
        <f t="shared" si="61"/>
        <v>2</v>
      </c>
      <c r="AK252" s="2">
        <f t="shared" si="62"/>
        <v>2</v>
      </c>
      <c r="AL252" s="2">
        <f t="shared" si="63"/>
        <v>0</v>
      </c>
      <c r="AM252" s="115"/>
      <c r="AN252" s="115"/>
      <c r="AO252" s="63"/>
    </row>
    <row r="253" spans="1:41" ht="43.2" x14ac:dyDescent="0.55000000000000004">
      <c r="A253" s="36">
        <v>2666</v>
      </c>
      <c r="B253" s="113" t="s">
        <v>1247</v>
      </c>
      <c r="C253" s="138" t="s">
        <v>1248</v>
      </c>
      <c r="D253" s="114" t="s">
        <v>52</v>
      </c>
      <c r="E253" s="115"/>
      <c r="F253" s="116"/>
      <c r="G253" s="113" t="s">
        <v>1206</v>
      </c>
      <c r="H253" s="113" t="s">
        <v>1244</v>
      </c>
      <c r="I253" s="113"/>
      <c r="J253" s="117" t="s">
        <v>1246</v>
      </c>
      <c r="K253" s="118"/>
      <c r="L253" s="109">
        <v>2</v>
      </c>
      <c r="M253" s="109">
        <v>2</v>
      </c>
      <c r="N253" s="109"/>
      <c r="O253" s="119"/>
      <c r="P253" s="2">
        <f t="shared" si="48"/>
        <v>1</v>
      </c>
      <c r="Q253" s="110" t="str">
        <f>IF(AND(Drops!$D$45&gt;1,OR(U253&lt;&gt;U252,AND(ROW()=5,U252=U253))),VLOOKUP(U253,Drops!$D$26:$E$44,2,FALSE),"")</f>
        <v/>
      </c>
      <c r="R253" s="2" t="str">
        <f t="shared" si="49"/>
        <v/>
      </c>
      <c r="S253" s="2">
        <f t="shared" ca="1" si="50"/>
        <v>1</v>
      </c>
      <c r="T253" s="2">
        <f t="shared" si="51"/>
        <v>0</v>
      </c>
      <c r="U253" s="110" t="s">
        <v>1210</v>
      </c>
      <c r="V253" s="110">
        <v>4</v>
      </c>
      <c r="W253" s="110">
        <v>1</v>
      </c>
      <c r="X253" s="110">
        <v>0</v>
      </c>
      <c r="Y253" s="110">
        <v>0</v>
      </c>
      <c r="Z253" s="110">
        <v>0</v>
      </c>
      <c r="AA253" s="2">
        <f t="shared" si="52"/>
        <v>1</v>
      </c>
      <c r="AB253" s="2">
        <f t="shared" si="53"/>
        <v>0</v>
      </c>
      <c r="AC253" s="2">
        <f t="shared" si="54"/>
        <v>1</v>
      </c>
      <c r="AD253" s="2">
        <f t="shared" si="55"/>
        <v>1</v>
      </c>
      <c r="AE253" s="2">
        <f t="shared" si="56"/>
        <v>0</v>
      </c>
      <c r="AF253" s="2">
        <f t="shared" si="57"/>
        <v>0</v>
      </c>
      <c r="AG253" s="2">
        <f t="shared" si="58"/>
        <v>2</v>
      </c>
      <c r="AH253" s="2">
        <f t="shared" si="59"/>
        <v>2</v>
      </c>
      <c r="AI253" s="2">
        <f t="shared" si="60"/>
        <v>2</v>
      </c>
      <c r="AJ253" s="2">
        <f t="shared" si="61"/>
        <v>2</v>
      </c>
      <c r="AK253" s="2">
        <f t="shared" si="62"/>
        <v>2</v>
      </c>
      <c r="AL253" s="2">
        <f t="shared" si="63"/>
        <v>0</v>
      </c>
      <c r="AM253" s="115"/>
      <c r="AN253" s="115"/>
      <c r="AO253" s="63"/>
    </row>
    <row r="254" spans="1:41" ht="72" x14ac:dyDescent="0.55000000000000004">
      <c r="A254" s="36">
        <v>4440</v>
      </c>
      <c r="B254" s="113" t="s">
        <v>1249</v>
      </c>
      <c r="C254" s="138" t="s">
        <v>1250</v>
      </c>
      <c r="D254" s="114" t="s">
        <v>52</v>
      </c>
      <c r="E254" s="115"/>
      <c r="F254" s="116"/>
      <c r="G254" s="113" t="s">
        <v>1206</v>
      </c>
      <c r="H254" s="113" t="s">
        <v>1244</v>
      </c>
      <c r="I254" s="113"/>
      <c r="J254" s="117" t="s">
        <v>1251</v>
      </c>
      <c r="K254" s="118"/>
      <c r="L254" s="109">
        <v>2</v>
      </c>
      <c r="M254" s="109">
        <v>3</v>
      </c>
      <c r="N254" s="109"/>
      <c r="O254" s="119"/>
      <c r="P254" s="2">
        <f t="shared" si="48"/>
        <v>1</v>
      </c>
      <c r="Q254" s="110" t="str">
        <f>IF(AND(Drops!$D$45&gt;1,OR(U254&lt;&gt;U253,AND(ROW()=5,U253=U254))),VLOOKUP(U254,Drops!$D$26:$E$44,2,FALSE),"")</f>
        <v/>
      </c>
      <c r="R254" s="2" t="str">
        <f t="shared" si="49"/>
        <v/>
      </c>
      <c r="S254" s="2">
        <f t="shared" ca="1" si="50"/>
        <v>1</v>
      </c>
      <c r="T254" s="2">
        <f t="shared" si="51"/>
        <v>0</v>
      </c>
      <c r="U254" s="110" t="s">
        <v>1210</v>
      </c>
      <c r="V254" s="110">
        <v>4</v>
      </c>
      <c r="W254" s="110">
        <v>2</v>
      </c>
      <c r="X254" s="110">
        <v>0</v>
      </c>
      <c r="Y254" s="110">
        <v>0</v>
      </c>
      <c r="Z254" s="110">
        <v>0</v>
      </c>
      <c r="AA254" s="2">
        <f t="shared" si="52"/>
        <v>1</v>
      </c>
      <c r="AB254" s="2">
        <f t="shared" si="53"/>
        <v>0</v>
      </c>
      <c r="AC254" s="2">
        <f t="shared" si="54"/>
        <v>1</v>
      </c>
      <c r="AD254" s="2">
        <f t="shared" si="55"/>
        <v>1</v>
      </c>
      <c r="AE254" s="2">
        <f t="shared" si="56"/>
        <v>0</v>
      </c>
      <c r="AF254" s="2">
        <f t="shared" si="57"/>
        <v>0</v>
      </c>
      <c r="AG254" s="2">
        <f t="shared" si="58"/>
        <v>2</v>
      </c>
      <c r="AH254" s="2">
        <f t="shared" si="59"/>
        <v>2</v>
      </c>
      <c r="AI254" s="2">
        <f t="shared" si="60"/>
        <v>2</v>
      </c>
      <c r="AJ254" s="2">
        <f t="shared" si="61"/>
        <v>2</v>
      </c>
      <c r="AK254" s="2">
        <f t="shared" si="62"/>
        <v>2</v>
      </c>
      <c r="AL254" s="2">
        <f t="shared" si="63"/>
        <v>0</v>
      </c>
      <c r="AM254" s="115"/>
      <c r="AN254" s="115"/>
      <c r="AO254" s="63"/>
    </row>
    <row r="255" spans="1:41" ht="43.2" x14ac:dyDescent="0.55000000000000004">
      <c r="A255" s="36">
        <v>4441</v>
      </c>
      <c r="B255" s="113" t="s">
        <v>1252</v>
      </c>
      <c r="C255" s="138" t="s">
        <v>1253</v>
      </c>
      <c r="D255" s="114" t="s">
        <v>52</v>
      </c>
      <c r="E255" s="115"/>
      <c r="F255" s="116"/>
      <c r="G255" s="113" t="s">
        <v>1206</v>
      </c>
      <c r="H255" s="113" t="s">
        <v>1244</v>
      </c>
      <c r="I255" s="113"/>
      <c r="J255" s="117" t="s">
        <v>1246</v>
      </c>
      <c r="K255" s="118"/>
      <c r="L255" s="109">
        <v>2</v>
      </c>
      <c r="M255" s="109">
        <v>3</v>
      </c>
      <c r="N255" s="109"/>
      <c r="O255" s="119"/>
      <c r="P255" s="2">
        <f t="shared" si="48"/>
        <v>1</v>
      </c>
      <c r="Q255" s="110" t="str">
        <f>IF(AND(Drops!$D$45&gt;1,OR(U255&lt;&gt;U254,AND(ROW()=5,U254=U255))),VLOOKUP(U255,Drops!$D$26:$E$44,2,FALSE),"")</f>
        <v/>
      </c>
      <c r="R255" s="2" t="str">
        <f t="shared" si="49"/>
        <v/>
      </c>
      <c r="S255" s="2">
        <f t="shared" ca="1" si="50"/>
        <v>1</v>
      </c>
      <c r="T255" s="2">
        <f t="shared" si="51"/>
        <v>0</v>
      </c>
      <c r="U255" s="110" t="s">
        <v>1210</v>
      </c>
      <c r="V255" s="110">
        <v>4</v>
      </c>
      <c r="W255" s="110">
        <v>3</v>
      </c>
      <c r="X255" s="110">
        <v>0</v>
      </c>
      <c r="Y255" s="110">
        <v>0</v>
      </c>
      <c r="Z255" s="110">
        <v>0</v>
      </c>
      <c r="AA255" s="2">
        <f t="shared" si="52"/>
        <v>1</v>
      </c>
      <c r="AB255" s="2">
        <f t="shared" si="53"/>
        <v>0</v>
      </c>
      <c r="AC255" s="2">
        <f t="shared" si="54"/>
        <v>1</v>
      </c>
      <c r="AD255" s="2">
        <f t="shared" si="55"/>
        <v>1</v>
      </c>
      <c r="AE255" s="2">
        <f t="shared" si="56"/>
        <v>0</v>
      </c>
      <c r="AF255" s="2">
        <f t="shared" si="57"/>
        <v>0</v>
      </c>
      <c r="AG255" s="2">
        <f t="shared" si="58"/>
        <v>2</v>
      </c>
      <c r="AH255" s="2">
        <f t="shared" si="59"/>
        <v>2</v>
      </c>
      <c r="AI255" s="2">
        <f t="shared" si="60"/>
        <v>2</v>
      </c>
      <c r="AJ255" s="2">
        <f t="shared" si="61"/>
        <v>2</v>
      </c>
      <c r="AK255" s="2">
        <f t="shared" si="62"/>
        <v>2</v>
      </c>
      <c r="AL255" s="2">
        <f t="shared" si="63"/>
        <v>0</v>
      </c>
      <c r="AM255" s="115"/>
      <c r="AN255" s="115"/>
      <c r="AO255" s="63"/>
    </row>
    <row r="256" spans="1:41" ht="43.2" x14ac:dyDescent="0.55000000000000004">
      <c r="A256" s="36">
        <v>4205</v>
      </c>
      <c r="B256" s="113" t="s">
        <v>1254</v>
      </c>
      <c r="C256" s="138" t="s">
        <v>1255</v>
      </c>
      <c r="D256" s="114" t="s">
        <v>52</v>
      </c>
      <c r="E256" s="115"/>
      <c r="F256" s="116"/>
      <c r="G256" s="113" t="s">
        <v>1206</v>
      </c>
      <c r="H256" s="113" t="s">
        <v>1244</v>
      </c>
      <c r="I256" s="113"/>
      <c r="J256" s="117" t="s">
        <v>1246</v>
      </c>
      <c r="K256" s="118"/>
      <c r="L256" s="109">
        <v>2</v>
      </c>
      <c r="M256" s="109">
        <v>3</v>
      </c>
      <c r="N256" s="109"/>
      <c r="O256" s="119"/>
      <c r="P256" s="2">
        <f t="shared" si="48"/>
        <v>1</v>
      </c>
      <c r="Q256" s="110" t="str">
        <f>IF(AND(Drops!$D$45&gt;1,OR(U256&lt;&gt;U255,AND(ROW()=5,U255=U256))),VLOOKUP(U256,Drops!$D$26:$E$44,2,FALSE),"")</f>
        <v/>
      </c>
      <c r="R256" s="2" t="str">
        <f t="shared" si="49"/>
        <v/>
      </c>
      <c r="S256" s="2">
        <f t="shared" ca="1" si="50"/>
        <v>1</v>
      </c>
      <c r="T256" s="2">
        <f t="shared" si="51"/>
        <v>0</v>
      </c>
      <c r="U256" s="110" t="s">
        <v>1210</v>
      </c>
      <c r="V256" s="110">
        <v>4</v>
      </c>
      <c r="W256" s="110">
        <v>4</v>
      </c>
      <c r="X256" s="110">
        <v>0</v>
      </c>
      <c r="Y256" s="110">
        <v>0</v>
      </c>
      <c r="Z256" s="110">
        <v>0</v>
      </c>
      <c r="AA256" s="2">
        <f t="shared" si="52"/>
        <v>1</v>
      </c>
      <c r="AB256" s="2">
        <f t="shared" si="53"/>
        <v>0</v>
      </c>
      <c r="AC256" s="2">
        <f t="shared" si="54"/>
        <v>1</v>
      </c>
      <c r="AD256" s="2">
        <f t="shared" si="55"/>
        <v>1</v>
      </c>
      <c r="AE256" s="2">
        <f t="shared" si="56"/>
        <v>0</v>
      </c>
      <c r="AF256" s="2">
        <f t="shared" si="57"/>
        <v>0</v>
      </c>
      <c r="AG256" s="2">
        <f t="shared" si="58"/>
        <v>2</v>
      </c>
      <c r="AH256" s="2">
        <f t="shared" si="59"/>
        <v>2</v>
      </c>
      <c r="AI256" s="2">
        <f t="shared" si="60"/>
        <v>2</v>
      </c>
      <c r="AJ256" s="2">
        <f t="shared" si="61"/>
        <v>2</v>
      </c>
      <c r="AK256" s="2">
        <f t="shared" si="62"/>
        <v>2</v>
      </c>
      <c r="AL256" s="2">
        <f t="shared" si="63"/>
        <v>0</v>
      </c>
      <c r="AM256" s="115"/>
      <c r="AN256" s="115"/>
      <c r="AO256" s="63"/>
    </row>
    <row r="257" spans="1:41" ht="43.2" x14ac:dyDescent="0.55000000000000004">
      <c r="A257" s="36">
        <v>2879</v>
      </c>
      <c r="B257" s="113" t="s">
        <v>1256</v>
      </c>
      <c r="C257" s="138" t="s">
        <v>1257</v>
      </c>
      <c r="D257" s="114" t="s">
        <v>52</v>
      </c>
      <c r="E257" s="115"/>
      <c r="F257" s="116"/>
      <c r="G257" s="113" t="s">
        <v>1206</v>
      </c>
      <c r="H257" s="113" t="s">
        <v>1244</v>
      </c>
      <c r="I257" s="113" t="s">
        <v>1258</v>
      </c>
      <c r="J257" s="117" t="s">
        <v>1242</v>
      </c>
      <c r="K257" s="118"/>
      <c r="L257" s="109">
        <v>2</v>
      </c>
      <c r="M257" s="109">
        <v>3</v>
      </c>
      <c r="N257" s="109"/>
      <c r="O257" s="119"/>
      <c r="P257" s="2">
        <f t="shared" si="48"/>
        <v>1</v>
      </c>
      <c r="Q257" s="110" t="str">
        <f>IF(AND(Drops!$D$45&gt;1,OR(U257&lt;&gt;U256,AND(ROW()=5,U256=U257))),VLOOKUP(U257,Drops!$D$26:$E$44,2,FALSE),"")</f>
        <v/>
      </c>
      <c r="R257" s="2" t="str">
        <f t="shared" si="49"/>
        <v/>
      </c>
      <c r="S257" s="2">
        <f t="shared" ca="1" si="50"/>
        <v>1</v>
      </c>
      <c r="T257" s="2">
        <f t="shared" si="51"/>
        <v>0</v>
      </c>
      <c r="U257" s="110" t="s">
        <v>1210</v>
      </c>
      <c r="V257" s="110">
        <v>4</v>
      </c>
      <c r="W257" s="110">
        <v>6</v>
      </c>
      <c r="X257" s="110">
        <v>0</v>
      </c>
      <c r="Y257" s="110">
        <v>0</v>
      </c>
      <c r="Z257" s="110">
        <v>0</v>
      </c>
      <c r="AA257" s="2">
        <f t="shared" si="52"/>
        <v>1</v>
      </c>
      <c r="AB257" s="2">
        <f t="shared" si="53"/>
        <v>0</v>
      </c>
      <c r="AC257" s="2">
        <f t="shared" si="54"/>
        <v>1</v>
      </c>
      <c r="AD257" s="2">
        <f t="shared" si="55"/>
        <v>1</v>
      </c>
      <c r="AE257" s="2">
        <f t="shared" si="56"/>
        <v>0</v>
      </c>
      <c r="AF257" s="2">
        <f t="shared" si="57"/>
        <v>0</v>
      </c>
      <c r="AG257" s="2">
        <f t="shared" si="58"/>
        <v>2</v>
      </c>
      <c r="AH257" s="2">
        <f t="shared" si="59"/>
        <v>2</v>
      </c>
      <c r="AI257" s="2">
        <f t="shared" si="60"/>
        <v>2</v>
      </c>
      <c r="AJ257" s="2">
        <f t="shared" si="61"/>
        <v>2</v>
      </c>
      <c r="AK257" s="2">
        <f t="shared" si="62"/>
        <v>2</v>
      </c>
      <c r="AL257" s="2">
        <f t="shared" si="63"/>
        <v>0</v>
      </c>
      <c r="AM257" s="115"/>
      <c r="AN257" s="115"/>
      <c r="AO257" s="63"/>
    </row>
    <row r="258" spans="1:41" ht="43.2" x14ac:dyDescent="0.55000000000000004">
      <c r="A258" s="36">
        <v>2874</v>
      </c>
      <c r="B258" s="113" t="s">
        <v>1259</v>
      </c>
      <c r="C258" s="138" t="s">
        <v>1260</v>
      </c>
      <c r="D258" s="114" t="s">
        <v>52</v>
      </c>
      <c r="E258" s="115"/>
      <c r="F258" s="116"/>
      <c r="G258" s="113" t="s">
        <v>1206</v>
      </c>
      <c r="H258" s="113" t="s">
        <v>1244</v>
      </c>
      <c r="I258" s="113" t="s">
        <v>1208</v>
      </c>
      <c r="J258" s="117" t="s">
        <v>1242</v>
      </c>
      <c r="K258" s="118"/>
      <c r="L258" s="109">
        <v>2</v>
      </c>
      <c r="M258" s="109">
        <v>3</v>
      </c>
      <c r="N258" s="109"/>
      <c r="O258" s="119"/>
      <c r="P258" s="2">
        <f t="shared" si="48"/>
        <v>1</v>
      </c>
      <c r="Q258" s="110" t="str">
        <f>IF(AND(Drops!$D$45&gt;1,OR(U258&lt;&gt;U257,AND(ROW()=5,U257=U258))),VLOOKUP(U258,Drops!$D$26:$E$44,2,FALSE),"")</f>
        <v/>
      </c>
      <c r="R258" s="2" t="str">
        <f t="shared" si="49"/>
        <v/>
      </c>
      <c r="S258" s="2">
        <f t="shared" ca="1" si="50"/>
        <v>1</v>
      </c>
      <c r="T258" s="2">
        <f t="shared" si="51"/>
        <v>0</v>
      </c>
      <c r="U258" s="110" t="s">
        <v>1210</v>
      </c>
      <c r="V258" s="110">
        <v>4</v>
      </c>
      <c r="W258" s="110">
        <v>7</v>
      </c>
      <c r="X258" s="110">
        <v>0</v>
      </c>
      <c r="Y258" s="110">
        <v>0</v>
      </c>
      <c r="Z258" s="110">
        <v>0</v>
      </c>
      <c r="AA258" s="2">
        <f t="shared" si="52"/>
        <v>1</v>
      </c>
      <c r="AB258" s="2">
        <f t="shared" si="53"/>
        <v>0</v>
      </c>
      <c r="AC258" s="2">
        <f t="shared" si="54"/>
        <v>1</v>
      </c>
      <c r="AD258" s="2">
        <f t="shared" si="55"/>
        <v>1</v>
      </c>
      <c r="AE258" s="2">
        <f t="shared" si="56"/>
        <v>0</v>
      </c>
      <c r="AF258" s="2">
        <f t="shared" si="57"/>
        <v>0</v>
      </c>
      <c r="AG258" s="2">
        <f t="shared" si="58"/>
        <v>2</v>
      </c>
      <c r="AH258" s="2">
        <f t="shared" si="59"/>
        <v>2</v>
      </c>
      <c r="AI258" s="2">
        <f t="shared" si="60"/>
        <v>2</v>
      </c>
      <c r="AJ258" s="2">
        <f t="shared" si="61"/>
        <v>2</v>
      </c>
      <c r="AK258" s="2">
        <f t="shared" si="62"/>
        <v>2</v>
      </c>
      <c r="AL258" s="2">
        <f t="shared" si="63"/>
        <v>0</v>
      </c>
      <c r="AM258" s="115"/>
      <c r="AN258" s="115"/>
      <c r="AO258" s="63"/>
    </row>
    <row r="259" spans="1:41" ht="43.2" x14ac:dyDescent="0.55000000000000004">
      <c r="A259" s="36">
        <v>1272</v>
      </c>
      <c r="B259" s="113" t="s">
        <v>239</v>
      </c>
      <c r="C259" s="113" t="s">
        <v>1261</v>
      </c>
      <c r="D259" s="114" t="s">
        <v>52</v>
      </c>
      <c r="E259" s="115"/>
      <c r="F259" s="116"/>
      <c r="G259" s="113" t="s">
        <v>1206</v>
      </c>
      <c r="H259" s="113" t="s">
        <v>1262</v>
      </c>
      <c r="I259" s="113" t="s">
        <v>1263</v>
      </c>
      <c r="J259" s="117" t="s">
        <v>1264</v>
      </c>
      <c r="K259" s="118"/>
      <c r="L259" s="109">
        <v>1</v>
      </c>
      <c r="M259" s="109">
        <v>2</v>
      </c>
      <c r="N259" s="109"/>
      <c r="O259" s="119"/>
      <c r="P259" s="2">
        <f t="shared" si="48"/>
        <v>1</v>
      </c>
      <c r="Q259" s="110" t="str">
        <f>IF(AND(Drops!$D$45&gt;1,OR(U259&lt;&gt;U258,AND(ROW()=5,U258=U259))),VLOOKUP(U259,Drops!$D$26:$E$44,2,FALSE),"")</f>
        <v/>
      </c>
      <c r="R259" s="2" t="str">
        <f t="shared" si="49"/>
        <v/>
      </c>
      <c r="S259" s="2">
        <f t="shared" ca="1" si="50"/>
        <v>1</v>
      </c>
      <c r="T259" s="2">
        <f t="shared" si="51"/>
        <v>1</v>
      </c>
      <c r="U259" s="110" t="s">
        <v>1210</v>
      </c>
      <c r="V259" s="110">
        <v>5</v>
      </c>
      <c r="W259" s="110">
        <v>0</v>
      </c>
      <c r="X259" s="110">
        <v>0</v>
      </c>
      <c r="Y259" s="110">
        <v>0</v>
      </c>
      <c r="Z259" s="110">
        <v>0</v>
      </c>
      <c r="AA259" s="2">
        <f t="shared" si="52"/>
        <v>1</v>
      </c>
      <c r="AB259" s="2">
        <f t="shared" si="53"/>
        <v>0</v>
      </c>
      <c r="AC259" s="2">
        <f t="shared" si="54"/>
        <v>1</v>
      </c>
      <c r="AD259" s="2">
        <f t="shared" si="55"/>
        <v>0</v>
      </c>
      <c r="AE259" s="2">
        <f t="shared" si="56"/>
        <v>0</v>
      </c>
      <c r="AF259" s="2">
        <f t="shared" si="57"/>
        <v>0</v>
      </c>
      <c r="AG259" s="2">
        <f t="shared" si="58"/>
        <v>2</v>
      </c>
      <c r="AH259" s="2">
        <f t="shared" si="59"/>
        <v>2</v>
      </c>
      <c r="AI259" s="2">
        <f t="shared" si="60"/>
        <v>2</v>
      </c>
      <c r="AJ259" s="2">
        <f t="shared" si="61"/>
        <v>2</v>
      </c>
      <c r="AK259" s="2">
        <f t="shared" si="62"/>
        <v>2</v>
      </c>
      <c r="AL259" s="2">
        <f t="shared" si="63"/>
        <v>0</v>
      </c>
      <c r="AM259" s="115"/>
      <c r="AN259" s="115"/>
      <c r="AO259" s="63"/>
    </row>
    <row r="260" spans="1:41" ht="43.2" x14ac:dyDescent="0.55000000000000004">
      <c r="A260" s="36">
        <v>5827</v>
      </c>
      <c r="B260" s="113" t="s">
        <v>241</v>
      </c>
      <c r="C260" s="113" t="s">
        <v>1265</v>
      </c>
      <c r="D260" s="114" t="s">
        <v>52</v>
      </c>
      <c r="E260" s="115"/>
      <c r="F260" s="116"/>
      <c r="G260" s="113" t="s">
        <v>1266</v>
      </c>
      <c r="H260" s="113" t="s">
        <v>1267</v>
      </c>
      <c r="I260" s="113" t="s">
        <v>1268</v>
      </c>
      <c r="J260" s="117" t="s">
        <v>1269</v>
      </c>
      <c r="K260" s="118"/>
      <c r="L260" s="109">
        <v>1</v>
      </c>
      <c r="M260" s="109">
        <v>3</v>
      </c>
      <c r="N260" s="109"/>
      <c r="O260" s="119"/>
      <c r="P260" s="2">
        <f t="shared" si="48"/>
        <v>1</v>
      </c>
      <c r="Q260" s="110" t="str">
        <f>IF(AND(Drops!$D$45&gt;1,OR(U260&lt;&gt;U259,AND(ROW()=5,U259=U260))),VLOOKUP(U260,Drops!$D$26:$E$44,2,FALSE),"")</f>
        <v/>
      </c>
      <c r="R260" s="2" t="str">
        <f t="shared" si="49"/>
        <v/>
      </c>
      <c r="S260" s="2">
        <f t="shared" ca="1" si="50"/>
        <v>1</v>
      </c>
      <c r="T260" s="2">
        <f t="shared" si="51"/>
        <v>1</v>
      </c>
      <c r="U260" s="110" t="s">
        <v>1210</v>
      </c>
      <c r="V260" s="110">
        <v>6</v>
      </c>
      <c r="W260" s="110">
        <v>0</v>
      </c>
      <c r="X260" s="110">
        <v>0</v>
      </c>
      <c r="Y260" s="110">
        <v>0</v>
      </c>
      <c r="Z260" s="110">
        <v>0</v>
      </c>
      <c r="AA260" s="2">
        <f t="shared" si="52"/>
        <v>1</v>
      </c>
      <c r="AB260" s="2">
        <f t="shared" si="53"/>
        <v>0</v>
      </c>
      <c r="AC260" s="2">
        <f t="shared" si="54"/>
        <v>1</v>
      </c>
      <c r="AD260" s="2">
        <f t="shared" si="55"/>
        <v>0</v>
      </c>
      <c r="AE260" s="2">
        <f t="shared" si="56"/>
        <v>0</v>
      </c>
      <c r="AF260" s="2">
        <f t="shared" si="57"/>
        <v>0</v>
      </c>
      <c r="AG260" s="2">
        <f t="shared" si="58"/>
        <v>2</v>
      </c>
      <c r="AH260" s="2">
        <f t="shared" si="59"/>
        <v>2</v>
      </c>
      <c r="AI260" s="2">
        <f t="shared" si="60"/>
        <v>2</v>
      </c>
      <c r="AJ260" s="2">
        <f t="shared" si="61"/>
        <v>2</v>
      </c>
      <c r="AK260" s="2">
        <f t="shared" si="62"/>
        <v>2</v>
      </c>
      <c r="AL260" s="2">
        <f t="shared" si="63"/>
        <v>0</v>
      </c>
      <c r="AM260" s="115"/>
      <c r="AN260" s="115"/>
      <c r="AO260" s="63"/>
    </row>
    <row r="261" spans="1:41" ht="57.6" x14ac:dyDescent="0.55000000000000004">
      <c r="A261" s="36">
        <v>1903</v>
      </c>
      <c r="B261" s="113" t="s">
        <v>247</v>
      </c>
      <c r="C261" s="113" t="s">
        <v>1270</v>
      </c>
      <c r="D261" s="114" t="s">
        <v>52</v>
      </c>
      <c r="E261" s="115"/>
      <c r="F261" s="116"/>
      <c r="G261" s="113" t="s">
        <v>1271</v>
      </c>
      <c r="H261" s="113" t="s">
        <v>1272</v>
      </c>
      <c r="I261" s="113" t="s">
        <v>1273</v>
      </c>
      <c r="J261" s="117" t="s">
        <v>1274</v>
      </c>
      <c r="K261" s="118"/>
      <c r="L261" s="109">
        <v>1</v>
      </c>
      <c r="M261" s="109">
        <v>2</v>
      </c>
      <c r="N261" s="109"/>
      <c r="O261" s="119"/>
      <c r="P261" s="2">
        <f t="shared" si="48"/>
        <v>1</v>
      </c>
      <c r="Q261" s="110" t="str">
        <f>IF(AND(Drops!$D$45&gt;1,OR(U261&lt;&gt;U260,AND(ROW()=5,U260=U261))),VLOOKUP(U261,Drops!$D$26:$E$44,2,FALSE),"")</f>
        <v>H. Access Control</v>
      </c>
      <c r="R261" s="2">
        <f t="shared" si="49"/>
        <v>261</v>
      </c>
      <c r="S261" s="2">
        <f t="shared" ca="1" si="50"/>
        <v>1</v>
      </c>
      <c r="T261" s="2">
        <f t="shared" si="51"/>
        <v>1</v>
      </c>
      <c r="U261" s="110" t="s">
        <v>1275</v>
      </c>
      <c r="V261" s="110">
        <v>1</v>
      </c>
      <c r="W261" s="110">
        <v>0</v>
      </c>
      <c r="X261" s="110">
        <v>0</v>
      </c>
      <c r="Y261" s="110">
        <v>0</v>
      </c>
      <c r="Z261" s="110">
        <v>0</v>
      </c>
      <c r="AA261" s="2">
        <f t="shared" si="52"/>
        <v>1</v>
      </c>
      <c r="AB261" s="2">
        <f t="shared" si="53"/>
        <v>1</v>
      </c>
      <c r="AC261" s="2">
        <f t="shared" si="54"/>
        <v>1</v>
      </c>
      <c r="AD261" s="2">
        <f t="shared" si="55"/>
        <v>0</v>
      </c>
      <c r="AE261" s="2">
        <f t="shared" si="56"/>
        <v>0</v>
      </c>
      <c r="AF261" s="2">
        <f t="shared" si="57"/>
        <v>0</v>
      </c>
      <c r="AG261" s="2">
        <f t="shared" si="58"/>
        <v>0</v>
      </c>
      <c r="AH261" s="2">
        <f t="shared" si="59"/>
        <v>2</v>
      </c>
      <c r="AI261" s="2">
        <f t="shared" si="60"/>
        <v>0</v>
      </c>
      <c r="AJ261" s="2">
        <f t="shared" si="61"/>
        <v>0</v>
      </c>
      <c r="AK261" s="2">
        <f t="shared" si="62"/>
        <v>0</v>
      </c>
      <c r="AL261" s="2">
        <f t="shared" si="63"/>
        <v>0</v>
      </c>
      <c r="AM261" s="115"/>
      <c r="AN261" s="115"/>
      <c r="AO261" s="63"/>
    </row>
    <row r="262" spans="1:41" ht="28.8" x14ac:dyDescent="0.55000000000000004">
      <c r="A262" s="36">
        <v>4721</v>
      </c>
      <c r="B262" s="113" t="s">
        <v>1276</v>
      </c>
      <c r="C262" s="138" t="s">
        <v>1277</v>
      </c>
      <c r="D262" s="114" t="s">
        <v>52</v>
      </c>
      <c r="E262" s="115"/>
      <c r="F262" s="116"/>
      <c r="G262" s="113" t="s">
        <v>1271</v>
      </c>
      <c r="H262" s="113" t="s">
        <v>1272</v>
      </c>
      <c r="I262" s="113"/>
      <c r="J262" s="117" t="s">
        <v>1278</v>
      </c>
      <c r="K262" s="118"/>
      <c r="L262" s="109">
        <v>2</v>
      </c>
      <c r="M262" s="109">
        <v>3</v>
      </c>
      <c r="N262" s="109"/>
      <c r="O262" s="119"/>
      <c r="P262" s="2">
        <f t="shared" ref="P262:P325" si="64">IF($L262="","",IF($D262="Yes",1,IF($D262="No",2,IF($D262="N/A",3,0))))</f>
        <v>1</v>
      </c>
      <c r="Q262" s="110" t="str">
        <f>IF(AND(Drops!$D$45&gt;1,OR(U262&lt;&gt;U261,AND(ROW()=5,U261=U262))),VLOOKUP(U262,Drops!$D$26:$E$44,2,FALSE),"")</f>
        <v/>
      </c>
      <c r="R262" s="2" t="str">
        <f t="shared" ref="R262:R325" si="65">IF(Q262&lt;&gt;"",ROW(),"")</f>
        <v/>
      </c>
      <c r="S262" s="2">
        <f t="shared" ref="S262:S325" ca="1" si="66">OFFSET(AC262,,L262-1)</f>
        <v>1</v>
      </c>
      <c r="T262" s="2">
        <f t="shared" ref="T262:T325" si="67">IF(OR(V262&lt;&gt;V261,U262&lt;&gt;U261,AND(V262&lt;&gt;V261,W262&lt;&gt;W261),AND(V262&lt;&gt;V261,W262&lt;&gt;W261,X262&lt;&gt;X261),AND(V262&lt;&gt;V261,W262&lt;&gt;W261,X262&lt;&gt;X261,Y262&lt;&gt;Y261),AND(V262&lt;&gt;V261,W262&lt;&gt;W261,X262&lt;&gt;X261,Y262&lt;&gt;Y261,Z262&lt;&gt;Z261),L262-L261&gt;1),1,0)</f>
        <v>0</v>
      </c>
      <c r="U262" s="110" t="s">
        <v>1275</v>
      </c>
      <c r="V262" s="110">
        <v>1</v>
      </c>
      <c r="W262" s="110">
        <v>1</v>
      </c>
      <c r="X262" s="110">
        <v>0</v>
      </c>
      <c r="Y262" s="110">
        <v>0</v>
      </c>
      <c r="Z262" s="110">
        <v>0</v>
      </c>
      <c r="AA262" s="2">
        <f t="shared" ref="AA262:AA325" si="68">IF(ROW()=5,1,IF(OR(AH262=1,P262&gt;0,T262=1),1,IF(OR(AND(AH262=2,AI262=1),AND(AI262=2,AJ262=1),AND(AJ262=2,AK262=1),AND(AK262=2,AL262=1)),1,0)))</f>
        <v>1</v>
      </c>
      <c r="AB262" s="2">
        <f t="shared" ref="AB262:AB325" si="69">IF(L263&gt;L262,1,0)</f>
        <v>0</v>
      </c>
      <c r="AC262" s="2">
        <f t="shared" ref="AC262:AC325" si="70">IF(ROW()=5,P262,IF(AND($P262&gt;1,AC$4=$L262),$P262,IF(AND($U262=$U261,V262=V261),AC261,IF(AND($L262=AC$4,P262=1),P262,0))))</f>
        <v>1</v>
      </c>
      <c r="AD262" s="2">
        <f t="shared" ref="AD262:AD325" si="71">IF(AC262&gt;1,AC262,IF(AND($P262&gt;1,AD$4=$L262),$P262,IF(AND($U262=$U261,W262=W261),AD261,IF(AND($L262=AD$4,P262=1),P262,0))))</f>
        <v>1</v>
      </c>
      <c r="AE262" s="2">
        <f t="shared" ref="AE262:AE325" si="72">IF(AD262&gt;1,AD262,IF(AND($P262&gt;1,AE$4=$L262),$P262,IF(AND($U262=$U261,X262=X261),AE261,IF(AND($L262=AE$4,P262=1),P262,0))))</f>
        <v>0</v>
      </c>
      <c r="AF262" s="2">
        <f t="shared" ref="AF262:AF325" si="73">IF(AE262&gt;1,AE262,IF(AND($P262&gt;1,AF$4=$L262),$P262,IF(AND($U262=$U261,Y262=Y261),AF261,IF(AND($L262=AF$4,P262=1),P262,0))))</f>
        <v>0</v>
      </c>
      <c r="AG262" s="2">
        <f t="shared" ref="AG262:AG325" si="74">IF(AF262&gt;1,AF262,IF(AND($P262&gt;1,AG$4=$L262),$P262,IF(AND($U262=$U261,Z262=Z261),AG261,IF(AND($L262=AG$4,P262=1),P262,0))))</f>
        <v>0</v>
      </c>
      <c r="AH262" s="2">
        <f t="shared" ref="AH262:AH325" si="75">IF(AND($P262=1,$L262=AH$4),2,IF(AND($L262&lt;&gt;AH$4,AH261=2),AH261,IF($L262&lt;&gt;AH$4,0,1)))</f>
        <v>2</v>
      </c>
      <c r="AI262" s="2">
        <f t="shared" ref="AI262:AI325" si="76">IF(OR(ROW()=5,$U261&lt;&gt;$U262),0,IF(AND($P262=1,$L262=AI$4),2,IF(AND($L262&lt;&gt;AI$4,AI261=2),AI261,IF($L262&lt;&gt;AI$4,0,1))))</f>
        <v>2</v>
      </c>
      <c r="AJ262" s="2">
        <f t="shared" ref="AJ262:AJ325" si="77">IF(OR(ROW()=5,$U261&lt;&gt;$U262),0,IF(AND($P262=1,$L262=AJ$4),2,IF(AND($L262&lt;&gt;AJ$4,AJ261=2),AJ261,IF($L262&lt;&gt;AJ$4,0,1))))</f>
        <v>0</v>
      </c>
      <c r="AK262" s="2">
        <f t="shared" ref="AK262:AK325" si="78">IF(OR(ROW()=5,$U261&lt;&gt;$U262),0,IF(AND($P262=1,$L262=AK$4),2,IF(AND($L262&lt;&gt;AK$4,AK261=2),AK261,IF($L262&lt;&gt;AK$4,0,1))))</f>
        <v>0</v>
      </c>
      <c r="AL262" s="2">
        <f t="shared" ref="AL262:AL325" si="79">IF(OR(ROW()=5,$U261&lt;&gt;$U262),0,IF(AND($P262=1,$L262=AL$4),2,IF(AND($L262&lt;&gt;AL$4,AL261=2),AL261,IF($L262&lt;&gt;AL$4,0,1))))</f>
        <v>0</v>
      </c>
      <c r="AM262" s="115"/>
      <c r="AN262" s="115"/>
      <c r="AO262" s="63"/>
    </row>
    <row r="263" spans="1:41" ht="14.4" x14ac:dyDescent="0.55000000000000004">
      <c r="A263" s="36">
        <v>3543</v>
      </c>
      <c r="B263" s="113" t="s">
        <v>249</v>
      </c>
      <c r="C263" s="113" t="s">
        <v>1279</v>
      </c>
      <c r="D263" s="114" t="s">
        <v>52</v>
      </c>
      <c r="E263" s="115" t="s">
        <v>1280</v>
      </c>
      <c r="F263" s="116"/>
      <c r="G263" s="113" t="s">
        <v>1271</v>
      </c>
      <c r="H263" s="113" t="s">
        <v>965</v>
      </c>
      <c r="I263" s="113"/>
      <c r="J263" s="117"/>
      <c r="K263" s="118"/>
      <c r="L263" s="109">
        <v>1</v>
      </c>
      <c r="M263" s="109">
        <v>1</v>
      </c>
      <c r="N263" s="109"/>
      <c r="O263" s="119"/>
      <c r="P263" s="2">
        <f t="shared" si="64"/>
        <v>1</v>
      </c>
      <c r="Q263" s="110" t="str">
        <f>IF(AND(Drops!$D$45&gt;1,OR(U263&lt;&gt;U262,AND(ROW()=5,U262=U263))),VLOOKUP(U263,Drops!$D$26:$E$44,2,FALSE),"")</f>
        <v/>
      </c>
      <c r="R263" s="2" t="str">
        <f t="shared" si="65"/>
        <v/>
      </c>
      <c r="S263" s="2">
        <f t="shared" ca="1" si="66"/>
        <v>1</v>
      </c>
      <c r="T263" s="2">
        <f t="shared" si="67"/>
        <v>1</v>
      </c>
      <c r="U263" s="110" t="s">
        <v>1275</v>
      </c>
      <c r="V263" s="110">
        <v>2</v>
      </c>
      <c r="W263" s="110">
        <v>0</v>
      </c>
      <c r="X263" s="110">
        <v>0</v>
      </c>
      <c r="Y263" s="110">
        <v>0</v>
      </c>
      <c r="Z263" s="110">
        <v>0</v>
      </c>
      <c r="AA263" s="2">
        <f t="shared" si="68"/>
        <v>1</v>
      </c>
      <c r="AB263" s="2">
        <f t="shared" si="69"/>
        <v>1</v>
      </c>
      <c r="AC263" s="2">
        <f t="shared" si="70"/>
        <v>1</v>
      </c>
      <c r="AD263" s="2">
        <f t="shared" si="71"/>
        <v>0</v>
      </c>
      <c r="AE263" s="2">
        <f t="shared" si="72"/>
        <v>0</v>
      </c>
      <c r="AF263" s="2">
        <f t="shared" si="73"/>
        <v>0</v>
      </c>
      <c r="AG263" s="2">
        <f t="shared" si="74"/>
        <v>0</v>
      </c>
      <c r="AH263" s="2">
        <f t="shared" si="75"/>
        <v>2</v>
      </c>
      <c r="AI263" s="2">
        <f t="shared" si="76"/>
        <v>2</v>
      </c>
      <c r="AJ263" s="2">
        <f t="shared" si="77"/>
        <v>0</v>
      </c>
      <c r="AK263" s="2">
        <f t="shared" si="78"/>
        <v>0</v>
      </c>
      <c r="AL263" s="2">
        <f t="shared" si="79"/>
        <v>0</v>
      </c>
      <c r="AM263" s="115"/>
      <c r="AN263" s="115"/>
      <c r="AO263" s="63"/>
    </row>
    <row r="264" spans="1:41" ht="28.8" x14ac:dyDescent="0.55000000000000004">
      <c r="A264" s="36">
        <v>3554</v>
      </c>
      <c r="B264" s="113" t="s">
        <v>1281</v>
      </c>
      <c r="C264" s="138" t="s">
        <v>1282</v>
      </c>
      <c r="D264" s="114" t="s">
        <v>55</v>
      </c>
      <c r="E264" s="115" t="s">
        <v>1283</v>
      </c>
      <c r="F264" s="116"/>
      <c r="G264" s="113" t="s">
        <v>1271</v>
      </c>
      <c r="H264" s="113" t="s">
        <v>965</v>
      </c>
      <c r="I264" s="113"/>
      <c r="J264" s="117"/>
      <c r="K264" s="118"/>
      <c r="L264" s="109">
        <v>2</v>
      </c>
      <c r="M264" s="109">
        <v>3</v>
      </c>
      <c r="N264" s="109"/>
      <c r="O264" s="119"/>
      <c r="P264" s="2">
        <f t="shared" si="64"/>
        <v>2</v>
      </c>
      <c r="Q264" s="110" t="str">
        <f>IF(AND(Drops!$D$45&gt;1,OR(U264&lt;&gt;U263,AND(ROW()=5,U263=U264))),VLOOKUP(U264,Drops!$D$26:$E$44,2,FALSE),"")</f>
        <v/>
      </c>
      <c r="R264" s="2" t="str">
        <f t="shared" si="65"/>
        <v/>
      </c>
      <c r="S264" s="2">
        <f t="shared" ca="1" si="66"/>
        <v>2</v>
      </c>
      <c r="T264" s="2">
        <f t="shared" si="67"/>
        <v>0</v>
      </c>
      <c r="U264" s="110" t="s">
        <v>1275</v>
      </c>
      <c r="V264" s="110">
        <v>2</v>
      </c>
      <c r="W264" s="110">
        <v>1</v>
      </c>
      <c r="X264" s="110">
        <v>0</v>
      </c>
      <c r="Y264" s="110">
        <v>0</v>
      </c>
      <c r="Z264" s="110">
        <v>0</v>
      </c>
      <c r="AA264" s="2">
        <f t="shared" si="68"/>
        <v>1</v>
      </c>
      <c r="AB264" s="2">
        <f t="shared" si="69"/>
        <v>0</v>
      </c>
      <c r="AC264" s="2">
        <f t="shared" si="70"/>
        <v>1</v>
      </c>
      <c r="AD264" s="2">
        <f t="shared" si="71"/>
        <v>2</v>
      </c>
      <c r="AE264" s="2">
        <f t="shared" si="72"/>
        <v>2</v>
      </c>
      <c r="AF264" s="2">
        <f t="shared" si="73"/>
        <v>2</v>
      </c>
      <c r="AG264" s="2">
        <f t="shared" si="74"/>
        <v>2</v>
      </c>
      <c r="AH264" s="2">
        <f t="shared" si="75"/>
        <v>2</v>
      </c>
      <c r="AI264" s="2">
        <f t="shared" si="76"/>
        <v>1</v>
      </c>
      <c r="AJ264" s="2">
        <f t="shared" si="77"/>
        <v>0</v>
      </c>
      <c r="AK264" s="2">
        <f t="shared" si="78"/>
        <v>0</v>
      </c>
      <c r="AL264" s="2">
        <f t="shared" si="79"/>
        <v>0</v>
      </c>
      <c r="AM264" s="115"/>
      <c r="AN264" s="115"/>
      <c r="AO264" s="63"/>
    </row>
    <row r="265" spans="1:41" ht="28.8" x14ac:dyDescent="0.55000000000000004">
      <c r="A265" s="36">
        <v>4722</v>
      </c>
      <c r="B265" s="113" t="s">
        <v>251</v>
      </c>
      <c r="C265" s="113" t="s">
        <v>1284</v>
      </c>
      <c r="D265" s="114" t="s">
        <v>52</v>
      </c>
      <c r="E265" s="115" t="s">
        <v>1285</v>
      </c>
      <c r="F265" s="116"/>
      <c r="G265" s="113" t="s">
        <v>1271</v>
      </c>
      <c r="H265" s="113" t="s">
        <v>1286</v>
      </c>
      <c r="I265" s="113" t="s">
        <v>1287</v>
      </c>
      <c r="J265" s="117"/>
      <c r="K265" s="118"/>
      <c r="L265" s="109">
        <v>1</v>
      </c>
      <c r="M265" s="109">
        <v>2</v>
      </c>
      <c r="N265" s="109"/>
      <c r="O265" s="119"/>
      <c r="P265" s="2">
        <f t="shared" si="64"/>
        <v>1</v>
      </c>
      <c r="Q265" s="110" t="str">
        <f>IF(AND(Drops!$D$45&gt;1,OR(U265&lt;&gt;U264,AND(ROW()=5,U264=U265))),VLOOKUP(U265,Drops!$D$26:$E$44,2,FALSE),"")</f>
        <v/>
      </c>
      <c r="R265" s="2" t="str">
        <f t="shared" si="65"/>
        <v/>
      </c>
      <c r="S265" s="2">
        <f t="shared" ca="1" si="66"/>
        <v>1</v>
      </c>
      <c r="T265" s="2">
        <f t="shared" si="67"/>
        <v>1</v>
      </c>
      <c r="U265" s="110" t="s">
        <v>1275</v>
      </c>
      <c r="V265" s="110">
        <v>3</v>
      </c>
      <c r="W265" s="110">
        <v>0</v>
      </c>
      <c r="X265" s="110">
        <v>0</v>
      </c>
      <c r="Y265" s="110">
        <v>0</v>
      </c>
      <c r="Z265" s="110">
        <v>0</v>
      </c>
      <c r="AA265" s="2">
        <f t="shared" si="68"/>
        <v>1</v>
      </c>
      <c r="AB265" s="2">
        <f t="shared" si="69"/>
        <v>1</v>
      </c>
      <c r="AC265" s="2">
        <f t="shared" si="70"/>
        <v>1</v>
      </c>
      <c r="AD265" s="2">
        <f t="shared" si="71"/>
        <v>0</v>
      </c>
      <c r="AE265" s="2">
        <f t="shared" si="72"/>
        <v>2</v>
      </c>
      <c r="AF265" s="2">
        <f t="shared" si="73"/>
        <v>2</v>
      </c>
      <c r="AG265" s="2">
        <f t="shared" si="74"/>
        <v>2</v>
      </c>
      <c r="AH265" s="2">
        <f t="shared" si="75"/>
        <v>2</v>
      </c>
      <c r="AI265" s="2">
        <f t="shared" si="76"/>
        <v>0</v>
      </c>
      <c r="AJ265" s="2">
        <f t="shared" si="77"/>
        <v>0</v>
      </c>
      <c r="AK265" s="2">
        <f t="shared" si="78"/>
        <v>0</v>
      </c>
      <c r="AL265" s="2">
        <f t="shared" si="79"/>
        <v>0</v>
      </c>
      <c r="AM265" s="115"/>
      <c r="AN265" s="115"/>
      <c r="AO265" s="63"/>
    </row>
    <row r="266" spans="1:41" ht="28.8" x14ac:dyDescent="0.55000000000000004">
      <c r="A266" s="36">
        <v>3355</v>
      </c>
      <c r="B266" s="113" t="s">
        <v>1288</v>
      </c>
      <c r="C266" s="138" t="s">
        <v>1289</v>
      </c>
      <c r="D266" s="114" t="s">
        <v>52</v>
      </c>
      <c r="E266" s="115" t="s">
        <v>1290</v>
      </c>
      <c r="F266" s="116"/>
      <c r="G266" s="113" t="s">
        <v>1271</v>
      </c>
      <c r="H266" s="113" t="s">
        <v>1286</v>
      </c>
      <c r="I266" s="113"/>
      <c r="J266" s="117"/>
      <c r="K266" s="118"/>
      <c r="L266" s="109">
        <v>2</v>
      </c>
      <c r="M266" s="109">
        <v>3</v>
      </c>
      <c r="N266" s="109"/>
      <c r="O266" s="119"/>
      <c r="P266" s="2">
        <f t="shared" si="64"/>
        <v>1</v>
      </c>
      <c r="Q266" s="110" t="str">
        <f>IF(AND(Drops!$D$45&gt;1,OR(U266&lt;&gt;U265,AND(ROW()=5,U265=U266))),VLOOKUP(U266,Drops!$D$26:$E$44,2,FALSE),"")</f>
        <v/>
      </c>
      <c r="R266" s="2" t="str">
        <f t="shared" si="65"/>
        <v/>
      </c>
      <c r="S266" s="2">
        <f t="shared" ca="1" si="66"/>
        <v>1</v>
      </c>
      <c r="T266" s="2">
        <f t="shared" si="67"/>
        <v>0</v>
      </c>
      <c r="U266" s="110" t="s">
        <v>1275</v>
      </c>
      <c r="V266" s="110">
        <v>3</v>
      </c>
      <c r="W266" s="110">
        <v>1</v>
      </c>
      <c r="X266" s="110">
        <v>0</v>
      </c>
      <c r="Y266" s="110">
        <v>0</v>
      </c>
      <c r="Z266" s="110">
        <v>0</v>
      </c>
      <c r="AA266" s="2">
        <f t="shared" si="68"/>
        <v>1</v>
      </c>
      <c r="AB266" s="2">
        <f t="shared" si="69"/>
        <v>0</v>
      </c>
      <c r="AC266" s="2">
        <f t="shared" si="70"/>
        <v>1</v>
      </c>
      <c r="AD266" s="2">
        <f t="shared" si="71"/>
        <v>1</v>
      </c>
      <c r="AE266" s="2">
        <f t="shared" si="72"/>
        <v>2</v>
      </c>
      <c r="AF266" s="2">
        <f t="shared" si="73"/>
        <v>2</v>
      </c>
      <c r="AG266" s="2">
        <f t="shared" si="74"/>
        <v>2</v>
      </c>
      <c r="AH266" s="2">
        <f t="shared" si="75"/>
        <v>2</v>
      </c>
      <c r="AI266" s="2">
        <f t="shared" si="76"/>
        <v>2</v>
      </c>
      <c r="AJ266" s="2">
        <f t="shared" si="77"/>
        <v>0</v>
      </c>
      <c r="AK266" s="2">
        <f t="shared" si="78"/>
        <v>0</v>
      </c>
      <c r="AL266" s="2">
        <f t="shared" si="79"/>
        <v>0</v>
      </c>
      <c r="AM266" s="115"/>
      <c r="AN266" s="115"/>
      <c r="AO266" s="63"/>
    </row>
    <row r="267" spans="1:41" ht="28.8" x14ac:dyDescent="0.55000000000000004">
      <c r="A267" s="36">
        <v>4238</v>
      </c>
      <c r="B267" s="113" t="s">
        <v>1291</v>
      </c>
      <c r="C267" s="138" t="s">
        <v>1292</v>
      </c>
      <c r="D267" s="114" t="s">
        <v>52</v>
      </c>
      <c r="E267" s="115"/>
      <c r="F267" s="116"/>
      <c r="G267" s="113" t="s">
        <v>1271</v>
      </c>
      <c r="H267" s="113" t="s">
        <v>1286</v>
      </c>
      <c r="I267" s="113"/>
      <c r="J267" s="117"/>
      <c r="K267" s="118"/>
      <c r="L267" s="109">
        <v>2</v>
      </c>
      <c r="M267" s="109">
        <v>3</v>
      </c>
      <c r="N267" s="109"/>
      <c r="O267" s="119"/>
      <c r="P267" s="2">
        <f t="shared" si="64"/>
        <v>1</v>
      </c>
      <c r="Q267" s="110" t="str">
        <f>IF(AND(Drops!$D$45&gt;1,OR(U267&lt;&gt;U266,AND(ROW()=5,U266=U267))),VLOOKUP(U267,Drops!$D$26:$E$44,2,FALSE),"")</f>
        <v/>
      </c>
      <c r="R267" s="2" t="str">
        <f t="shared" si="65"/>
        <v/>
      </c>
      <c r="S267" s="2">
        <f t="shared" ca="1" si="66"/>
        <v>1</v>
      </c>
      <c r="T267" s="2">
        <f t="shared" si="67"/>
        <v>0</v>
      </c>
      <c r="U267" s="110" t="s">
        <v>1275</v>
      </c>
      <c r="V267" s="110">
        <v>3</v>
      </c>
      <c r="W267" s="110">
        <v>2</v>
      </c>
      <c r="X267" s="110">
        <v>0</v>
      </c>
      <c r="Y267" s="110">
        <v>0</v>
      </c>
      <c r="Z267" s="110">
        <v>0</v>
      </c>
      <c r="AA267" s="2">
        <f t="shared" si="68"/>
        <v>1</v>
      </c>
      <c r="AB267" s="2">
        <f t="shared" si="69"/>
        <v>0</v>
      </c>
      <c r="AC267" s="2">
        <f t="shared" si="70"/>
        <v>1</v>
      </c>
      <c r="AD267" s="2">
        <f t="shared" si="71"/>
        <v>1</v>
      </c>
      <c r="AE267" s="2">
        <f t="shared" si="72"/>
        <v>2</v>
      </c>
      <c r="AF267" s="2">
        <f t="shared" si="73"/>
        <v>2</v>
      </c>
      <c r="AG267" s="2">
        <f t="shared" si="74"/>
        <v>2</v>
      </c>
      <c r="AH267" s="2">
        <f t="shared" si="75"/>
        <v>2</v>
      </c>
      <c r="AI267" s="2">
        <f t="shared" si="76"/>
        <v>2</v>
      </c>
      <c r="AJ267" s="2">
        <f t="shared" si="77"/>
        <v>0</v>
      </c>
      <c r="AK267" s="2">
        <f t="shared" si="78"/>
        <v>0</v>
      </c>
      <c r="AL267" s="2">
        <f t="shared" si="79"/>
        <v>0</v>
      </c>
      <c r="AM267" s="115"/>
      <c r="AN267" s="115"/>
      <c r="AO267" s="63"/>
    </row>
    <row r="268" spans="1:41" ht="28.8" x14ac:dyDescent="0.55000000000000004">
      <c r="A268" s="36">
        <v>2657</v>
      </c>
      <c r="B268" s="113" t="s">
        <v>253</v>
      </c>
      <c r="C268" s="113" t="s">
        <v>1293</v>
      </c>
      <c r="D268" s="114" t="s">
        <v>52</v>
      </c>
      <c r="E268" s="115"/>
      <c r="F268" s="116"/>
      <c r="G268" s="113" t="s">
        <v>1271</v>
      </c>
      <c r="H268" s="113" t="s">
        <v>1294</v>
      </c>
      <c r="I268" s="113"/>
      <c r="J268" s="117" t="s">
        <v>1295</v>
      </c>
      <c r="K268" s="118"/>
      <c r="L268" s="109">
        <v>1</v>
      </c>
      <c r="M268" s="109">
        <v>3</v>
      </c>
      <c r="N268" s="109"/>
      <c r="O268" s="119"/>
      <c r="P268" s="2">
        <f t="shared" si="64"/>
        <v>1</v>
      </c>
      <c r="Q268" s="110" t="str">
        <f>IF(AND(Drops!$D$45&gt;1,OR(U268&lt;&gt;U267,AND(ROW()=5,U267=U268))),VLOOKUP(U268,Drops!$D$26:$E$44,2,FALSE),"")</f>
        <v/>
      </c>
      <c r="R268" s="2" t="str">
        <f t="shared" si="65"/>
        <v/>
      </c>
      <c r="S268" s="2">
        <f t="shared" ca="1" si="66"/>
        <v>1</v>
      </c>
      <c r="T268" s="2">
        <f t="shared" si="67"/>
        <v>1</v>
      </c>
      <c r="U268" s="110" t="s">
        <v>1275</v>
      </c>
      <c r="V268" s="110">
        <v>4</v>
      </c>
      <c r="W268" s="110">
        <v>0</v>
      </c>
      <c r="X268" s="110">
        <v>0</v>
      </c>
      <c r="Y268" s="110">
        <v>0</v>
      </c>
      <c r="Z268" s="110">
        <v>0</v>
      </c>
      <c r="AA268" s="2">
        <f t="shared" si="68"/>
        <v>1</v>
      </c>
      <c r="AB268" s="2">
        <f t="shared" si="69"/>
        <v>0</v>
      </c>
      <c r="AC268" s="2">
        <f t="shared" si="70"/>
        <v>1</v>
      </c>
      <c r="AD268" s="2">
        <f t="shared" si="71"/>
        <v>0</v>
      </c>
      <c r="AE268" s="2">
        <f t="shared" si="72"/>
        <v>2</v>
      </c>
      <c r="AF268" s="2">
        <f t="shared" si="73"/>
        <v>2</v>
      </c>
      <c r="AG268" s="2">
        <f t="shared" si="74"/>
        <v>2</v>
      </c>
      <c r="AH268" s="2">
        <f t="shared" si="75"/>
        <v>2</v>
      </c>
      <c r="AI268" s="2">
        <f t="shared" si="76"/>
        <v>2</v>
      </c>
      <c r="AJ268" s="2">
        <f t="shared" si="77"/>
        <v>0</v>
      </c>
      <c r="AK268" s="2">
        <f t="shared" si="78"/>
        <v>0</v>
      </c>
      <c r="AL268" s="2">
        <f t="shared" si="79"/>
        <v>0</v>
      </c>
      <c r="AM268" s="115"/>
      <c r="AN268" s="115"/>
      <c r="AO268" s="63"/>
    </row>
    <row r="269" spans="1:41" ht="43.2" x14ac:dyDescent="0.55000000000000004">
      <c r="A269" s="36">
        <v>4723</v>
      </c>
      <c r="B269" s="113" t="s">
        <v>255</v>
      </c>
      <c r="C269" s="113" t="s">
        <v>1296</v>
      </c>
      <c r="D269" s="114" t="s">
        <v>52</v>
      </c>
      <c r="E269" s="115"/>
      <c r="F269" s="116"/>
      <c r="G269" s="113" t="s">
        <v>1297</v>
      </c>
      <c r="H269" s="113" t="s">
        <v>1298</v>
      </c>
      <c r="I269" s="113"/>
      <c r="J269" s="117" t="s">
        <v>1299</v>
      </c>
      <c r="K269" s="118"/>
      <c r="L269" s="109">
        <v>1</v>
      </c>
      <c r="M269" s="109">
        <v>2</v>
      </c>
      <c r="N269" s="109"/>
      <c r="O269" s="119"/>
      <c r="P269" s="2">
        <f t="shared" si="64"/>
        <v>1</v>
      </c>
      <c r="Q269" s="110" t="str">
        <f>IF(AND(Drops!$D$45&gt;1,OR(U269&lt;&gt;U268,AND(ROW()=5,U268=U269))),VLOOKUP(U269,Drops!$D$26:$E$44,2,FALSE),"")</f>
        <v/>
      </c>
      <c r="R269" s="2" t="str">
        <f t="shared" si="65"/>
        <v/>
      </c>
      <c r="S269" s="2">
        <f t="shared" ca="1" si="66"/>
        <v>1</v>
      </c>
      <c r="T269" s="2">
        <f t="shared" si="67"/>
        <v>1</v>
      </c>
      <c r="U269" s="110" t="s">
        <v>1275</v>
      </c>
      <c r="V269" s="110">
        <v>5</v>
      </c>
      <c r="W269" s="110">
        <v>0</v>
      </c>
      <c r="X269" s="110">
        <v>0</v>
      </c>
      <c r="Y269" s="110">
        <v>0</v>
      </c>
      <c r="Z269" s="110">
        <v>0</v>
      </c>
      <c r="AA269" s="2">
        <f t="shared" si="68"/>
        <v>1</v>
      </c>
      <c r="AB269" s="2">
        <f t="shared" si="69"/>
        <v>1</v>
      </c>
      <c r="AC269" s="2">
        <f t="shared" si="70"/>
        <v>1</v>
      </c>
      <c r="AD269" s="2">
        <f t="shared" si="71"/>
        <v>0</v>
      </c>
      <c r="AE269" s="2">
        <f t="shared" si="72"/>
        <v>2</v>
      </c>
      <c r="AF269" s="2">
        <f t="shared" si="73"/>
        <v>2</v>
      </c>
      <c r="AG269" s="2">
        <f t="shared" si="74"/>
        <v>2</v>
      </c>
      <c r="AH269" s="2">
        <f t="shared" si="75"/>
        <v>2</v>
      </c>
      <c r="AI269" s="2">
        <f t="shared" si="76"/>
        <v>2</v>
      </c>
      <c r="AJ269" s="2">
        <f t="shared" si="77"/>
        <v>0</v>
      </c>
      <c r="AK269" s="2">
        <f t="shared" si="78"/>
        <v>0</v>
      </c>
      <c r="AL269" s="2">
        <f t="shared" si="79"/>
        <v>0</v>
      </c>
      <c r="AM269" s="115"/>
      <c r="AN269" s="115"/>
      <c r="AO269" s="63"/>
    </row>
    <row r="270" spans="1:41" ht="57.6" x14ac:dyDescent="0.55000000000000004">
      <c r="A270" s="36">
        <v>1911</v>
      </c>
      <c r="B270" s="113" t="s">
        <v>1300</v>
      </c>
      <c r="C270" s="138" t="s">
        <v>1301</v>
      </c>
      <c r="D270" s="114" t="s">
        <v>52</v>
      </c>
      <c r="E270" s="115" t="s">
        <v>1302</v>
      </c>
      <c r="F270" s="116"/>
      <c r="G270" s="113" t="s">
        <v>1297</v>
      </c>
      <c r="H270" s="113" t="s">
        <v>1298</v>
      </c>
      <c r="I270" s="113"/>
      <c r="J270" s="117" t="s">
        <v>1303</v>
      </c>
      <c r="K270" s="118"/>
      <c r="L270" s="109">
        <v>2</v>
      </c>
      <c r="M270" s="109">
        <v>2</v>
      </c>
      <c r="N270" s="109"/>
      <c r="O270" s="119"/>
      <c r="P270" s="2">
        <f t="shared" si="64"/>
        <v>1</v>
      </c>
      <c r="Q270" s="110" t="str">
        <f>IF(AND(Drops!$D$45&gt;1,OR(U270&lt;&gt;U269,AND(ROW()=5,U269=U270))),VLOOKUP(U270,Drops!$D$26:$E$44,2,FALSE),"")</f>
        <v/>
      </c>
      <c r="R270" s="2" t="str">
        <f t="shared" si="65"/>
        <v/>
      </c>
      <c r="S270" s="2">
        <f t="shared" ca="1" si="66"/>
        <v>1</v>
      </c>
      <c r="T270" s="2">
        <f t="shared" si="67"/>
        <v>0</v>
      </c>
      <c r="U270" s="110" t="s">
        <v>1275</v>
      </c>
      <c r="V270" s="110">
        <v>5</v>
      </c>
      <c r="W270" s="110">
        <v>1</v>
      </c>
      <c r="X270" s="110">
        <v>0</v>
      </c>
      <c r="Y270" s="110">
        <v>0</v>
      </c>
      <c r="Z270" s="110">
        <v>0</v>
      </c>
      <c r="AA270" s="2">
        <f t="shared" si="68"/>
        <v>1</v>
      </c>
      <c r="AB270" s="2">
        <f t="shared" si="69"/>
        <v>1</v>
      </c>
      <c r="AC270" s="2">
        <f t="shared" si="70"/>
        <v>1</v>
      </c>
      <c r="AD270" s="2">
        <f t="shared" si="71"/>
        <v>1</v>
      </c>
      <c r="AE270" s="2">
        <f t="shared" si="72"/>
        <v>2</v>
      </c>
      <c r="AF270" s="2">
        <f t="shared" si="73"/>
        <v>2</v>
      </c>
      <c r="AG270" s="2">
        <f t="shared" si="74"/>
        <v>2</v>
      </c>
      <c r="AH270" s="2">
        <f t="shared" si="75"/>
        <v>2</v>
      </c>
      <c r="AI270" s="2">
        <f t="shared" si="76"/>
        <v>2</v>
      </c>
      <c r="AJ270" s="2">
        <f t="shared" si="77"/>
        <v>0</v>
      </c>
      <c r="AK270" s="2">
        <f t="shared" si="78"/>
        <v>0</v>
      </c>
      <c r="AL270" s="2">
        <f t="shared" si="79"/>
        <v>0</v>
      </c>
      <c r="AM270" s="115"/>
      <c r="AN270" s="115"/>
      <c r="AO270" s="63"/>
    </row>
    <row r="271" spans="1:41" ht="57.6" x14ac:dyDescent="0.55000000000000004">
      <c r="A271" s="36">
        <v>1913</v>
      </c>
      <c r="B271" s="113" t="s">
        <v>1304</v>
      </c>
      <c r="C271" s="139" t="s">
        <v>1305</v>
      </c>
      <c r="D271" s="114" t="s">
        <v>52</v>
      </c>
      <c r="E271" s="115"/>
      <c r="F271" s="116"/>
      <c r="G271" s="113" t="s">
        <v>1297</v>
      </c>
      <c r="H271" s="113" t="s">
        <v>1298</v>
      </c>
      <c r="I271" s="113"/>
      <c r="J271" s="117"/>
      <c r="K271" s="118"/>
      <c r="L271" s="109">
        <v>3</v>
      </c>
      <c r="M271" s="109">
        <v>3</v>
      </c>
      <c r="N271" s="109"/>
      <c r="O271" s="119"/>
      <c r="P271" s="2">
        <f t="shared" si="64"/>
        <v>1</v>
      </c>
      <c r="Q271" s="110" t="str">
        <f>IF(AND(Drops!$D$45&gt;1,OR(U271&lt;&gt;U270,AND(ROW()=5,U270=U271))),VLOOKUP(U271,Drops!$D$26:$E$44,2,FALSE),"")</f>
        <v/>
      </c>
      <c r="R271" s="2" t="str">
        <f t="shared" si="65"/>
        <v/>
      </c>
      <c r="S271" s="2">
        <f t="shared" ca="1" si="66"/>
        <v>1</v>
      </c>
      <c r="T271" s="2">
        <f t="shared" si="67"/>
        <v>0</v>
      </c>
      <c r="U271" s="110" t="s">
        <v>1275</v>
      </c>
      <c r="V271" s="110">
        <v>5</v>
      </c>
      <c r="W271" s="110">
        <v>1</v>
      </c>
      <c r="X271" s="110">
        <v>1</v>
      </c>
      <c r="Y271" s="110">
        <v>0</v>
      </c>
      <c r="Z271" s="110">
        <v>0</v>
      </c>
      <c r="AA271" s="2">
        <f t="shared" si="68"/>
        <v>1</v>
      </c>
      <c r="AB271" s="2">
        <f t="shared" si="69"/>
        <v>0</v>
      </c>
      <c r="AC271" s="2">
        <f t="shared" si="70"/>
        <v>1</v>
      </c>
      <c r="AD271" s="2">
        <f t="shared" si="71"/>
        <v>1</v>
      </c>
      <c r="AE271" s="2">
        <f t="shared" si="72"/>
        <v>1</v>
      </c>
      <c r="AF271" s="2">
        <f t="shared" si="73"/>
        <v>2</v>
      </c>
      <c r="AG271" s="2">
        <f t="shared" si="74"/>
        <v>2</v>
      </c>
      <c r="AH271" s="2">
        <f t="shared" si="75"/>
        <v>2</v>
      </c>
      <c r="AI271" s="2">
        <f t="shared" si="76"/>
        <v>2</v>
      </c>
      <c r="AJ271" s="2">
        <f t="shared" si="77"/>
        <v>2</v>
      </c>
      <c r="AK271" s="2">
        <f t="shared" si="78"/>
        <v>0</v>
      </c>
      <c r="AL271" s="2">
        <f t="shared" si="79"/>
        <v>0</v>
      </c>
      <c r="AM271" s="115"/>
      <c r="AN271" s="115"/>
      <c r="AO271" s="63"/>
    </row>
    <row r="272" spans="1:41" ht="28.8" x14ac:dyDescent="0.55000000000000004">
      <c r="A272" s="36">
        <v>1916</v>
      </c>
      <c r="B272" s="113" t="s">
        <v>1306</v>
      </c>
      <c r="C272" s="138" t="s">
        <v>1307</v>
      </c>
      <c r="D272" s="114" t="s">
        <v>52</v>
      </c>
      <c r="E272" s="115"/>
      <c r="F272" s="116"/>
      <c r="G272" s="113" t="s">
        <v>1297</v>
      </c>
      <c r="H272" s="113" t="s">
        <v>1308</v>
      </c>
      <c r="I272" s="113" t="s">
        <v>1309</v>
      </c>
      <c r="J272" s="117" t="s">
        <v>1310</v>
      </c>
      <c r="K272" s="118"/>
      <c r="L272" s="109">
        <v>2</v>
      </c>
      <c r="M272" s="109">
        <v>2</v>
      </c>
      <c r="N272" s="109"/>
      <c r="O272" s="119"/>
      <c r="P272" s="2">
        <f t="shared" si="64"/>
        <v>1</v>
      </c>
      <c r="Q272" s="110" t="str">
        <f>IF(AND(Drops!$D$45&gt;1,OR(U272&lt;&gt;U271,AND(ROW()=5,U271=U272))),VLOOKUP(U272,Drops!$D$26:$E$44,2,FALSE),"")</f>
        <v/>
      </c>
      <c r="R272" s="2" t="str">
        <f t="shared" si="65"/>
        <v/>
      </c>
      <c r="S272" s="2">
        <f t="shared" ca="1" si="66"/>
        <v>1</v>
      </c>
      <c r="T272" s="2">
        <f t="shared" si="67"/>
        <v>0</v>
      </c>
      <c r="U272" s="110" t="s">
        <v>1275</v>
      </c>
      <c r="V272" s="110">
        <v>5</v>
      </c>
      <c r="W272" s="110">
        <v>2</v>
      </c>
      <c r="X272" s="110">
        <v>0</v>
      </c>
      <c r="Y272" s="110">
        <v>0</v>
      </c>
      <c r="Z272" s="110">
        <v>0</v>
      </c>
      <c r="AA272" s="2">
        <f t="shared" si="68"/>
        <v>1</v>
      </c>
      <c r="AB272" s="2">
        <f t="shared" si="69"/>
        <v>1</v>
      </c>
      <c r="AC272" s="2">
        <f t="shared" si="70"/>
        <v>1</v>
      </c>
      <c r="AD272" s="2">
        <f t="shared" si="71"/>
        <v>1</v>
      </c>
      <c r="AE272" s="2">
        <f t="shared" si="72"/>
        <v>0</v>
      </c>
      <c r="AF272" s="2">
        <f t="shared" si="73"/>
        <v>2</v>
      </c>
      <c r="AG272" s="2">
        <f t="shared" si="74"/>
        <v>2</v>
      </c>
      <c r="AH272" s="2">
        <f t="shared" si="75"/>
        <v>2</v>
      </c>
      <c r="AI272" s="2">
        <f t="shared" si="76"/>
        <v>2</v>
      </c>
      <c r="AJ272" s="2">
        <f t="shared" si="77"/>
        <v>2</v>
      </c>
      <c r="AK272" s="2">
        <f t="shared" si="78"/>
        <v>0</v>
      </c>
      <c r="AL272" s="2">
        <f t="shared" si="79"/>
        <v>0</v>
      </c>
      <c r="AM272" s="115"/>
      <c r="AN272" s="115"/>
      <c r="AO272" s="63"/>
    </row>
    <row r="273" spans="1:41" ht="86.4" x14ac:dyDescent="0.55000000000000004">
      <c r="A273" s="36">
        <v>1908</v>
      </c>
      <c r="B273" s="113" t="s">
        <v>1311</v>
      </c>
      <c r="C273" s="139" t="s">
        <v>1312</v>
      </c>
      <c r="D273" s="114" t="s">
        <v>52</v>
      </c>
      <c r="E273" s="115"/>
      <c r="F273" s="116"/>
      <c r="G273" s="113" t="s">
        <v>1297</v>
      </c>
      <c r="H273" s="113" t="s">
        <v>1308</v>
      </c>
      <c r="I273" s="113" t="s">
        <v>1309</v>
      </c>
      <c r="J273" s="117" t="s">
        <v>1313</v>
      </c>
      <c r="K273" s="118"/>
      <c r="L273" s="109">
        <v>3</v>
      </c>
      <c r="M273" s="109">
        <v>2</v>
      </c>
      <c r="N273" s="109"/>
      <c r="O273" s="119"/>
      <c r="P273" s="2">
        <f t="shared" si="64"/>
        <v>1</v>
      </c>
      <c r="Q273" s="110" t="str">
        <f>IF(AND(Drops!$D$45&gt;1,OR(U273&lt;&gt;U272,AND(ROW()=5,U272=U273))),VLOOKUP(U273,Drops!$D$26:$E$44,2,FALSE),"")</f>
        <v/>
      </c>
      <c r="R273" s="2" t="str">
        <f t="shared" si="65"/>
        <v/>
      </c>
      <c r="S273" s="2">
        <f t="shared" ca="1" si="66"/>
        <v>1</v>
      </c>
      <c r="T273" s="2">
        <f t="shared" si="67"/>
        <v>0</v>
      </c>
      <c r="U273" s="110" t="s">
        <v>1275</v>
      </c>
      <c r="V273" s="110">
        <v>5</v>
      </c>
      <c r="W273" s="110">
        <v>2</v>
      </c>
      <c r="X273" s="110">
        <v>1</v>
      </c>
      <c r="Y273" s="110">
        <v>0</v>
      </c>
      <c r="Z273" s="110">
        <v>0</v>
      </c>
      <c r="AA273" s="2">
        <f t="shared" si="68"/>
        <v>1</v>
      </c>
      <c r="AB273" s="2">
        <f t="shared" si="69"/>
        <v>0</v>
      </c>
      <c r="AC273" s="2">
        <f t="shared" si="70"/>
        <v>1</v>
      </c>
      <c r="AD273" s="2">
        <f t="shared" si="71"/>
        <v>1</v>
      </c>
      <c r="AE273" s="2">
        <f t="shared" si="72"/>
        <v>1</v>
      </c>
      <c r="AF273" s="2">
        <f t="shared" si="73"/>
        <v>2</v>
      </c>
      <c r="AG273" s="2">
        <f t="shared" si="74"/>
        <v>2</v>
      </c>
      <c r="AH273" s="2">
        <f t="shared" si="75"/>
        <v>2</v>
      </c>
      <c r="AI273" s="2">
        <f t="shared" si="76"/>
        <v>2</v>
      </c>
      <c r="AJ273" s="2">
        <f t="shared" si="77"/>
        <v>2</v>
      </c>
      <c r="AK273" s="2">
        <f t="shared" si="78"/>
        <v>0</v>
      </c>
      <c r="AL273" s="2">
        <f t="shared" si="79"/>
        <v>0</v>
      </c>
      <c r="AM273" s="115"/>
      <c r="AN273" s="115"/>
      <c r="AO273" s="63"/>
    </row>
    <row r="274" spans="1:41" ht="43.2" x14ac:dyDescent="0.55000000000000004">
      <c r="A274" s="36">
        <v>842</v>
      </c>
      <c r="B274" s="113" t="s">
        <v>1314</v>
      </c>
      <c r="C274" s="139" t="s">
        <v>1315</v>
      </c>
      <c r="D274" s="114" t="s">
        <v>52</v>
      </c>
      <c r="E274" s="115"/>
      <c r="F274" s="116"/>
      <c r="G274" s="113" t="s">
        <v>1297</v>
      </c>
      <c r="H274" s="113" t="s">
        <v>1308</v>
      </c>
      <c r="I274" s="113" t="s">
        <v>1309</v>
      </c>
      <c r="J274" s="117" t="s">
        <v>1316</v>
      </c>
      <c r="K274" s="118"/>
      <c r="L274" s="109">
        <v>3</v>
      </c>
      <c r="M274" s="109">
        <v>2</v>
      </c>
      <c r="N274" s="109"/>
      <c r="O274" s="119"/>
      <c r="P274" s="2">
        <f t="shared" si="64"/>
        <v>1</v>
      </c>
      <c r="Q274" s="110" t="str">
        <f>IF(AND(Drops!$D$45&gt;1,OR(U274&lt;&gt;U273,AND(ROW()=5,U273=U274))),VLOOKUP(U274,Drops!$D$26:$E$44,2,FALSE),"")</f>
        <v/>
      </c>
      <c r="R274" s="2" t="str">
        <f t="shared" si="65"/>
        <v/>
      </c>
      <c r="S274" s="2">
        <f t="shared" ca="1" si="66"/>
        <v>1</v>
      </c>
      <c r="T274" s="2">
        <f t="shared" si="67"/>
        <v>0</v>
      </c>
      <c r="U274" s="110" t="s">
        <v>1275</v>
      </c>
      <c r="V274" s="110">
        <v>5</v>
      </c>
      <c r="W274" s="110">
        <v>2</v>
      </c>
      <c r="X274" s="110">
        <v>2</v>
      </c>
      <c r="Y274" s="110">
        <v>0</v>
      </c>
      <c r="Z274" s="110">
        <v>0</v>
      </c>
      <c r="AA274" s="2">
        <f t="shared" si="68"/>
        <v>1</v>
      </c>
      <c r="AB274" s="2">
        <f t="shared" si="69"/>
        <v>0</v>
      </c>
      <c r="AC274" s="2">
        <f t="shared" si="70"/>
        <v>1</v>
      </c>
      <c r="AD274" s="2">
        <f t="shared" si="71"/>
        <v>1</v>
      </c>
      <c r="AE274" s="2">
        <f t="shared" si="72"/>
        <v>1</v>
      </c>
      <c r="AF274" s="2">
        <f t="shared" si="73"/>
        <v>2</v>
      </c>
      <c r="AG274" s="2">
        <f t="shared" si="74"/>
        <v>2</v>
      </c>
      <c r="AH274" s="2">
        <f t="shared" si="75"/>
        <v>2</v>
      </c>
      <c r="AI274" s="2">
        <f t="shared" si="76"/>
        <v>2</v>
      </c>
      <c r="AJ274" s="2">
        <f t="shared" si="77"/>
        <v>2</v>
      </c>
      <c r="AK274" s="2">
        <f t="shared" si="78"/>
        <v>0</v>
      </c>
      <c r="AL274" s="2">
        <f t="shared" si="79"/>
        <v>0</v>
      </c>
      <c r="AM274" s="115"/>
      <c r="AN274" s="115"/>
      <c r="AO274" s="63"/>
    </row>
    <row r="275" spans="1:41" ht="43.2" x14ac:dyDescent="0.55000000000000004">
      <c r="A275" s="36">
        <v>845</v>
      </c>
      <c r="B275" s="113" t="s">
        <v>1317</v>
      </c>
      <c r="C275" s="139" t="s">
        <v>1318</v>
      </c>
      <c r="D275" s="114" t="s">
        <v>52</v>
      </c>
      <c r="E275" s="115"/>
      <c r="F275" s="116"/>
      <c r="G275" s="113" t="s">
        <v>1297</v>
      </c>
      <c r="H275" s="113" t="s">
        <v>1308</v>
      </c>
      <c r="I275" s="113" t="s">
        <v>1309</v>
      </c>
      <c r="J275" s="117" t="s">
        <v>1316</v>
      </c>
      <c r="K275" s="118"/>
      <c r="L275" s="109">
        <v>3</v>
      </c>
      <c r="M275" s="109">
        <v>2</v>
      </c>
      <c r="N275" s="109"/>
      <c r="O275" s="119"/>
      <c r="P275" s="2">
        <f t="shared" si="64"/>
        <v>1</v>
      </c>
      <c r="Q275" s="110" t="str">
        <f>IF(AND(Drops!$D$45&gt;1,OR(U275&lt;&gt;U274,AND(ROW()=5,U274=U275))),VLOOKUP(U275,Drops!$D$26:$E$44,2,FALSE),"")</f>
        <v/>
      </c>
      <c r="R275" s="2" t="str">
        <f t="shared" si="65"/>
        <v/>
      </c>
      <c r="S275" s="2">
        <f t="shared" ca="1" si="66"/>
        <v>1</v>
      </c>
      <c r="T275" s="2">
        <f t="shared" si="67"/>
        <v>0</v>
      </c>
      <c r="U275" s="110" t="s">
        <v>1275</v>
      </c>
      <c r="V275" s="110">
        <v>5</v>
      </c>
      <c r="W275" s="110">
        <v>2</v>
      </c>
      <c r="X275" s="110">
        <v>3</v>
      </c>
      <c r="Y275" s="110">
        <v>0</v>
      </c>
      <c r="Z275" s="110">
        <v>0</v>
      </c>
      <c r="AA275" s="2">
        <f t="shared" si="68"/>
        <v>1</v>
      </c>
      <c r="AB275" s="2">
        <f t="shared" si="69"/>
        <v>0</v>
      </c>
      <c r="AC275" s="2">
        <f t="shared" si="70"/>
        <v>1</v>
      </c>
      <c r="AD275" s="2">
        <f t="shared" si="71"/>
        <v>1</v>
      </c>
      <c r="AE275" s="2">
        <f t="shared" si="72"/>
        <v>1</v>
      </c>
      <c r="AF275" s="2">
        <f t="shared" si="73"/>
        <v>2</v>
      </c>
      <c r="AG275" s="2">
        <f t="shared" si="74"/>
        <v>2</v>
      </c>
      <c r="AH275" s="2">
        <f t="shared" si="75"/>
        <v>2</v>
      </c>
      <c r="AI275" s="2">
        <f t="shared" si="76"/>
        <v>2</v>
      </c>
      <c r="AJ275" s="2">
        <f t="shared" si="77"/>
        <v>2</v>
      </c>
      <c r="AK275" s="2">
        <f t="shared" si="78"/>
        <v>0</v>
      </c>
      <c r="AL275" s="2">
        <f t="shared" si="79"/>
        <v>0</v>
      </c>
      <c r="AM275" s="115"/>
      <c r="AN275" s="115"/>
      <c r="AO275" s="63"/>
    </row>
    <row r="276" spans="1:41" ht="43.2" x14ac:dyDescent="0.55000000000000004">
      <c r="A276" s="36">
        <v>4443</v>
      </c>
      <c r="B276" s="113" t="s">
        <v>1319</v>
      </c>
      <c r="C276" s="139" t="s">
        <v>1320</v>
      </c>
      <c r="D276" s="114" t="s">
        <v>52</v>
      </c>
      <c r="E276" s="115"/>
      <c r="F276" s="116"/>
      <c r="G276" s="113" t="s">
        <v>1297</v>
      </c>
      <c r="H276" s="113" t="s">
        <v>1308</v>
      </c>
      <c r="I276" s="113"/>
      <c r="J276" s="117" t="s">
        <v>1316</v>
      </c>
      <c r="K276" s="118"/>
      <c r="L276" s="109">
        <v>3</v>
      </c>
      <c r="M276" s="109">
        <v>3</v>
      </c>
      <c r="N276" s="109"/>
      <c r="O276" s="119"/>
      <c r="P276" s="2">
        <f t="shared" si="64"/>
        <v>1</v>
      </c>
      <c r="Q276" s="110" t="str">
        <f>IF(AND(Drops!$D$45&gt;1,OR(U276&lt;&gt;U275,AND(ROW()=5,U275=U276))),VLOOKUP(U276,Drops!$D$26:$E$44,2,FALSE),"")</f>
        <v/>
      </c>
      <c r="R276" s="2" t="str">
        <f t="shared" si="65"/>
        <v/>
      </c>
      <c r="S276" s="2">
        <f t="shared" ca="1" si="66"/>
        <v>1</v>
      </c>
      <c r="T276" s="2">
        <f t="shared" si="67"/>
        <v>0</v>
      </c>
      <c r="U276" s="110" t="s">
        <v>1275</v>
      </c>
      <c r="V276" s="110">
        <v>5</v>
      </c>
      <c r="W276" s="110">
        <v>2</v>
      </c>
      <c r="X276" s="110">
        <v>4</v>
      </c>
      <c r="Y276" s="110">
        <v>0</v>
      </c>
      <c r="Z276" s="110">
        <v>0</v>
      </c>
      <c r="AA276" s="2">
        <f t="shared" si="68"/>
        <v>1</v>
      </c>
      <c r="AB276" s="2">
        <f t="shared" si="69"/>
        <v>0</v>
      </c>
      <c r="AC276" s="2">
        <f t="shared" si="70"/>
        <v>1</v>
      </c>
      <c r="AD276" s="2">
        <f t="shared" si="71"/>
        <v>1</v>
      </c>
      <c r="AE276" s="2">
        <f t="shared" si="72"/>
        <v>1</v>
      </c>
      <c r="AF276" s="2">
        <f t="shared" si="73"/>
        <v>2</v>
      </c>
      <c r="AG276" s="2">
        <f t="shared" si="74"/>
        <v>2</v>
      </c>
      <c r="AH276" s="2">
        <f t="shared" si="75"/>
        <v>2</v>
      </c>
      <c r="AI276" s="2">
        <f t="shared" si="76"/>
        <v>2</v>
      </c>
      <c r="AJ276" s="2">
        <f t="shared" si="77"/>
        <v>2</v>
      </c>
      <c r="AK276" s="2">
        <f t="shared" si="78"/>
        <v>0</v>
      </c>
      <c r="AL276" s="2">
        <f t="shared" si="79"/>
        <v>0</v>
      </c>
      <c r="AM276" s="115"/>
      <c r="AN276" s="115"/>
      <c r="AO276" s="63"/>
    </row>
    <row r="277" spans="1:41" ht="28.8" x14ac:dyDescent="0.55000000000000004">
      <c r="A277" s="36">
        <v>1922</v>
      </c>
      <c r="B277" s="113" t="s">
        <v>1321</v>
      </c>
      <c r="C277" s="139" t="s">
        <v>1322</v>
      </c>
      <c r="D277" s="114" t="s">
        <v>52</v>
      </c>
      <c r="E277" s="115"/>
      <c r="F277" s="116"/>
      <c r="G277" s="113" t="s">
        <v>1297</v>
      </c>
      <c r="H277" s="113" t="s">
        <v>1308</v>
      </c>
      <c r="I277" s="113"/>
      <c r="J277" s="117" t="s">
        <v>1278</v>
      </c>
      <c r="K277" s="118"/>
      <c r="L277" s="109">
        <v>3</v>
      </c>
      <c r="M277" s="109">
        <v>3</v>
      </c>
      <c r="N277" s="109"/>
      <c r="O277" s="119"/>
      <c r="P277" s="2">
        <f t="shared" si="64"/>
        <v>1</v>
      </c>
      <c r="Q277" s="110" t="str">
        <f>IF(AND(Drops!$D$45&gt;1,OR(U277&lt;&gt;U276,AND(ROW()=5,U276=U277))),VLOOKUP(U277,Drops!$D$26:$E$44,2,FALSE),"")</f>
        <v/>
      </c>
      <c r="R277" s="2" t="str">
        <f t="shared" si="65"/>
        <v/>
      </c>
      <c r="S277" s="2">
        <f t="shared" ca="1" si="66"/>
        <v>1</v>
      </c>
      <c r="T277" s="2">
        <f t="shared" si="67"/>
        <v>0</v>
      </c>
      <c r="U277" s="110" t="s">
        <v>1275</v>
      </c>
      <c r="V277" s="110">
        <v>5</v>
      </c>
      <c r="W277" s="110">
        <v>2</v>
      </c>
      <c r="X277" s="110">
        <v>5</v>
      </c>
      <c r="Y277" s="110">
        <v>0</v>
      </c>
      <c r="Z277" s="110">
        <v>0</v>
      </c>
      <c r="AA277" s="2">
        <f t="shared" si="68"/>
        <v>1</v>
      </c>
      <c r="AB277" s="2">
        <f t="shared" si="69"/>
        <v>0</v>
      </c>
      <c r="AC277" s="2">
        <f t="shared" si="70"/>
        <v>1</v>
      </c>
      <c r="AD277" s="2">
        <f t="shared" si="71"/>
        <v>1</v>
      </c>
      <c r="AE277" s="2">
        <f t="shared" si="72"/>
        <v>1</v>
      </c>
      <c r="AF277" s="2">
        <f t="shared" si="73"/>
        <v>2</v>
      </c>
      <c r="AG277" s="2">
        <f t="shared" si="74"/>
        <v>2</v>
      </c>
      <c r="AH277" s="2">
        <f t="shared" si="75"/>
        <v>2</v>
      </c>
      <c r="AI277" s="2">
        <f t="shared" si="76"/>
        <v>2</v>
      </c>
      <c r="AJ277" s="2">
        <f t="shared" si="77"/>
        <v>2</v>
      </c>
      <c r="AK277" s="2">
        <f t="shared" si="78"/>
        <v>0</v>
      </c>
      <c r="AL277" s="2">
        <f t="shared" si="79"/>
        <v>0</v>
      </c>
      <c r="AM277" s="115"/>
      <c r="AN277" s="115"/>
      <c r="AO277" s="63"/>
    </row>
    <row r="278" spans="1:41" ht="28.8" x14ac:dyDescent="0.55000000000000004">
      <c r="A278" s="36">
        <v>1939</v>
      </c>
      <c r="B278" s="113" t="s">
        <v>257</v>
      </c>
      <c r="C278" s="113" t="s">
        <v>1323</v>
      </c>
      <c r="D278" s="114" t="s">
        <v>52</v>
      </c>
      <c r="E278" s="115"/>
      <c r="F278" s="116"/>
      <c r="G278" s="113" t="s">
        <v>1324</v>
      </c>
      <c r="H278" s="113" t="s">
        <v>1325</v>
      </c>
      <c r="I278" s="113"/>
      <c r="J278" s="117" t="s">
        <v>1326</v>
      </c>
      <c r="K278" s="118"/>
      <c r="L278" s="109">
        <v>1</v>
      </c>
      <c r="M278" s="109">
        <v>2</v>
      </c>
      <c r="N278" s="109"/>
      <c r="O278" s="119"/>
      <c r="P278" s="2">
        <f t="shared" si="64"/>
        <v>1</v>
      </c>
      <c r="Q278" s="110" t="str">
        <f>IF(AND(Drops!$D$45&gt;1,OR(U278&lt;&gt;U277,AND(ROW()=5,U277=U278))),VLOOKUP(U278,Drops!$D$26:$E$44,2,FALSE),"")</f>
        <v/>
      </c>
      <c r="R278" s="2" t="str">
        <f t="shared" si="65"/>
        <v/>
      </c>
      <c r="S278" s="2">
        <f t="shared" ca="1" si="66"/>
        <v>1</v>
      </c>
      <c r="T278" s="2">
        <f t="shared" si="67"/>
        <v>1</v>
      </c>
      <c r="U278" s="110" t="s">
        <v>1275</v>
      </c>
      <c r="V278" s="110">
        <v>6</v>
      </c>
      <c r="W278" s="110">
        <v>0</v>
      </c>
      <c r="X278" s="110">
        <v>0</v>
      </c>
      <c r="Y278" s="110">
        <v>0</v>
      </c>
      <c r="Z278" s="110">
        <v>0</v>
      </c>
      <c r="AA278" s="2">
        <f t="shared" si="68"/>
        <v>1</v>
      </c>
      <c r="AB278" s="2">
        <f t="shared" si="69"/>
        <v>0</v>
      </c>
      <c r="AC278" s="2">
        <f t="shared" si="70"/>
        <v>1</v>
      </c>
      <c r="AD278" s="2">
        <f t="shared" si="71"/>
        <v>0</v>
      </c>
      <c r="AE278" s="2">
        <f t="shared" si="72"/>
        <v>0</v>
      </c>
      <c r="AF278" s="2">
        <f t="shared" si="73"/>
        <v>2</v>
      </c>
      <c r="AG278" s="2">
        <f t="shared" si="74"/>
        <v>2</v>
      </c>
      <c r="AH278" s="2">
        <f t="shared" si="75"/>
        <v>2</v>
      </c>
      <c r="AI278" s="2">
        <f t="shared" si="76"/>
        <v>2</v>
      </c>
      <c r="AJ278" s="2">
        <f t="shared" si="77"/>
        <v>2</v>
      </c>
      <c r="AK278" s="2">
        <f t="shared" si="78"/>
        <v>0</v>
      </c>
      <c r="AL278" s="2">
        <f t="shared" si="79"/>
        <v>0</v>
      </c>
      <c r="AM278" s="115"/>
      <c r="AN278" s="115"/>
      <c r="AO278" s="63"/>
    </row>
    <row r="279" spans="1:41" ht="43.2" x14ac:dyDescent="0.55000000000000004">
      <c r="A279" s="36">
        <v>4408</v>
      </c>
      <c r="B279" s="113" t="s">
        <v>259</v>
      </c>
      <c r="C279" s="113" t="s">
        <v>1327</v>
      </c>
      <c r="D279" s="114" t="s">
        <v>52</v>
      </c>
      <c r="E279" s="115" t="s">
        <v>1328</v>
      </c>
      <c r="F279" s="116"/>
      <c r="G279" s="113" t="s">
        <v>1324</v>
      </c>
      <c r="H279" s="113" t="s">
        <v>1329</v>
      </c>
      <c r="I279" s="113"/>
      <c r="J279" s="117" t="s">
        <v>1330</v>
      </c>
      <c r="K279" s="118"/>
      <c r="L279" s="109">
        <v>1</v>
      </c>
      <c r="M279" s="109">
        <v>1</v>
      </c>
      <c r="N279" s="109"/>
      <c r="O279" s="119"/>
      <c r="P279" s="2">
        <f t="shared" si="64"/>
        <v>1</v>
      </c>
      <c r="Q279" s="110" t="str">
        <f>IF(AND(Drops!$D$45&gt;1,OR(U279&lt;&gt;U278,AND(ROW()=5,U278=U279))),VLOOKUP(U279,Drops!$D$26:$E$44,2,FALSE),"")</f>
        <v/>
      </c>
      <c r="R279" s="2" t="str">
        <f t="shared" si="65"/>
        <v/>
      </c>
      <c r="S279" s="2">
        <f t="shared" ca="1" si="66"/>
        <v>1</v>
      </c>
      <c r="T279" s="2">
        <f t="shared" si="67"/>
        <v>1</v>
      </c>
      <c r="U279" s="110" t="s">
        <v>1275</v>
      </c>
      <c r="V279" s="110">
        <v>7</v>
      </c>
      <c r="W279" s="110">
        <v>0</v>
      </c>
      <c r="X279" s="110">
        <v>0</v>
      </c>
      <c r="Y279" s="110">
        <v>0</v>
      </c>
      <c r="Z279" s="110">
        <v>0</v>
      </c>
      <c r="AA279" s="2">
        <f t="shared" si="68"/>
        <v>1</v>
      </c>
      <c r="AB279" s="2">
        <f t="shared" si="69"/>
        <v>1</v>
      </c>
      <c r="AC279" s="2">
        <f t="shared" si="70"/>
        <v>1</v>
      </c>
      <c r="AD279" s="2">
        <f t="shared" si="71"/>
        <v>0</v>
      </c>
      <c r="AE279" s="2">
        <f t="shared" si="72"/>
        <v>0</v>
      </c>
      <c r="AF279" s="2">
        <f t="shared" si="73"/>
        <v>2</v>
      </c>
      <c r="AG279" s="2">
        <f t="shared" si="74"/>
        <v>2</v>
      </c>
      <c r="AH279" s="2">
        <f t="shared" si="75"/>
        <v>2</v>
      </c>
      <c r="AI279" s="2">
        <f t="shared" si="76"/>
        <v>2</v>
      </c>
      <c r="AJ279" s="2">
        <f t="shared" si="77"/>
        <v>2</v>
      </c>
      <c r="AK279" s="2">
        <f t="shared" si="78"/>
        <v>0</v>
      </c>
      <c r="AL279" s="2">
        <f t="shared" si="79"/>
        <v>0</v>
      </c>
      <c r="AM279" s="115"/>
      <c r="AN279" s="115"/>
      <c r="AO279" s="63"/>
    </row>
    <row r="280" spans="1:41" ht="100.8" x14ac:dyDescent="0.55000000000000004">
      <c r="A280" s="36">
        <v>1949</v>
      </c>
      <c r="B280" s="113" t="s">
        <v>1331</v>
      </c>
      <c r="C280" s="138" t="s">
        <v>1332</v>
      </c>
      <c r="D280" s="114" t="s">
        <v>52</v>
      </c>
      <c r="E280" s="115" t="s">
        <v>1333</v>
      </c>
      <c r="F280" s="116"/>
      <c r="G280" s="113" t="s">
        <v>1324</v>
      </c>
      <c r="H280" s="113" t="s">
        <v>1329</v>
      </c>
      <c r="I280" s="113" t="s">
        <v>1334</v>
      </c>
      <c r="J280" s="117" t="s">
        <v>1335</v>
      </c>
      <c r="K280" s="118"/>
      <c r="L280" s="109">
        <v>2</v>
      </c>
      <c r="M280" s="109">
        <v>2</v>
      </c>
      <c r="N280" s="109"/>
      <c r="O280" s="119"/>
      <c r="P280" s="2">
        <f t="shared" si="64"/>
        <v>1</v>
      </c>
      <c r="Q280" s="110" t="str">
        <f>IF(AND(Drops!$D$45&gt;1,OR(U280&lt;&gt;U279,AND(ROW()=5,U279=U280))),VLOOKUP(U280,Drops!$D$26:$E$44,2,FALSE),"")</f>
        <v/>
      </c>
      <c r="R280" s="2" t="str">
        <f t="shared" si="65"/>
        <v/>
      </c>
      <c r="S280" s="2">
        <f t="shared" ca="1" si="66"/>
        <v>1</v>
      </c>
      <c r="T280" s="2">
        <f t="shared" si="67"/>
        <v>0</v>
      </c>
      <c r="U280" s="110" t="s">
        <v>1275</v>
      </c>
      <c r="V280" s="110">
        <v>7</v>
      </c>
      <c r="W280" s="110">
        <v>1</v>
      </c>
      <c r="X280" s="110">
        <v>0</v>
      </c>
      <c r="Y280" s="110">
        <v>0</v>
      </c>
      <c r="Z280" s="110">
        <v>0</v>
      </c>
      <c r="AA280" s="2">
        <f t="shared" si="68"/>
        <v>1</v>
      </c>
      <c r="AB280" s="2">
        <f t="shared" si="69"/>
        <v>1</v>
      </c>
      <c r="AC280" s="2">
        <f t="shared" si="70"/>
        <v>1</v>
      </c>
      <c r="AD280" s="2">
        <f t="shared" si="71"/>
        <v>1</v>
      </c>
      <c r="AE280" s="2">
        <f t="shared" si="72"/>
        <v>0</v>
      </c>
      <c r="AF280" s="2">
        <f t="shared" si="73"/>
        <v>2</v>
      </c>
      <c r="AG280" s="2">
        <f t="shared" si="74"/>
        <v>2</v>
      </c>
      <c r="AH280" s="2">
        <f t="shared" si="75"/>
        <v>2</v>
      </c>
      <c r="AI280" s="2">
        <f t="shared" si="76"/>
        <v>2</v>
      </c>
      <c r="AJ280" s="2">
        <f t="shared" si="77"/>
        <v>2</v>
      </c>
      <c r="AK280" s="2">
        <f t="shared" si="78"/>
        <v>0</v>
      </c>
      <c r="AL280" s="2">
        <f t="shared" si="79"/>
        <v>0</v>
      </c>
      <c r="AM280" s="115"/>
      <c r="AN280" s="115"/>
      <c r="AO280" s="63"/>
    </row>
    <row r="281" spans="1:41" ht="86.4" x14ac:dyDescent="0.55000000000000004">
      <c r="A281" s="36">
        <v>4724</v>
      </c>
      <c r="B281" s="113" t="s">
        <v>1336</v>
      </c>
      <c r="C281" s="139" t="s">
        <v>1337</v>
      </c>
      <c r="D281" s="114" t="s">
        <v>52</v>
      </c>
      <c r="E281" s="115" t="s">
        <v>1338</v>
      </c>
      <c r="F281" s="116"/>
      <c r="G281" s="113" t="s">
        <v>1324</v>
      </c>
      <c r="H281" s="113" t="s">
        <v>1329</v>
      </c>
      <c r="I281" s="113"/>
      <c r="J281" s="117" t="s">
        <v>1339</v>
      </c>
      <c r="K281" s="118"/>
      <c r="L281" s="109">
        <v>3</v>
      </c>
      <c r="M281" s="109">
        <v>2</v>
      </c>
      <c r="N281" s="109"/>
      <c r="O281" s="119"/>
      <c r="P281" s="2">
        <f t="shared" si="64"/>
        <v>1</v>
      </c>
      <c r="Q281" s="110" t="str">
        <f>IF(AND(Drops!$D$45&gt;1,OR(U281&lt;&gt;U280,AND(ROW()=5,U280=U281))),VLOOKUP(U281,Drops!$D$26:$E$44,2,FALSE),"")</f>
        <v/>
      </c>
      <c r="R281" s="2" t="str">
        <f t="shared" si="65"/>
        <v/>
      </c>
      <c r="S281" s="2">
        <f t="shared" ca="1" si="66"/>
        <v>1</v>
      </c>
      <c r="T281" s="2">
        <f t="shared" si="67"/>
        <v>0</v>
      </c>
      <c r="U281" s="110" t="s">
        <v>1275</v>
      </c>
      <c r="V281" s="110">
        <v>7</v>
      </c>
      <c r="W281" s="110">
        <v>1</v>
      </c>
      <c r="X281" s="110">
        <v>1</v>
      </c>
      <c r="Y281" s="110">
        <v>0</v>
      </c>
      <c r="Z281" s="110">
        <v>0</v>
      </c>
      <c r="AA281" s="2">
        <f t="shared" si="68"/>
        <v>1</v>
      </c>
      <c r="AB281" s="2">
        <f t="shared" si="69"/>
        <v>0</v>
      </c>
      <c r="AC281" s="2">
        <f t="shared" si="70"/>
        <v>1</v>
      </c>
      <c r="AD281" s="2">
        <f t="shared" si="71"/>
        <v>1</v>
      </c>
      <c r="AE281" s="2">
        <f t="shared" si="72"/>
        <v>1</v>
      </c>
      <c r="AF281" s="2">
        <f t="shared" si="73"/>
        <v>2</v>
      </c>
      <c r="AG281" s="2">
        <f t="shared" si="74"/>
        <v>2</v>
      </c>
      <c r="AH281" s="2">
        <f t="shared" si="75"/>
        <v>2</v>
      </c>
      <c r="AI281" s="2">
        <f t="shared" si="76"/>
        <v>2</v>
      </c>
      <c r="AJ281" s="2">
        <f t="shared" si="77"/>
        <v>2</v>
      </c>
      <c r="AK281" s="2">
        <f t="shared" si="78"/>
        <v>0</v>
      </c>
      <c r="AL281" s="2">
        <f t="shared" si="79"/>
        <v>0</v>
      </c>
      <c r="AM281" s="115"/>
      <c r="AN281" s="115"/>
      <c r="AO281" s="63"/>
    </row>
    <row r="282" spans="1:41" ht="72" x14ac:dyDescent="0.55000000000000004">
      <c r="A282" s="36">
        <v>4725</v>
      </c>
      <c r="B282" s="113" t="s">
        <v>1340</v>
      </c>
      <c r="C282" s="138" t="s">
        <v>1341</v>
      </c>
      <c r="D282" s="114" t="s">
        <v>52</v>
      </c>
      <c r="E282" s="115" t="s">
        <v>1338</v>
      </c>
      <c r="F282" s="116"/>
      <c r="G282" s="113" t="s">
        <v>1324</v>
      </c>
      <c r="H282" s="113" t="s">
        <v>1342</v>
      </c>
      <c r="I282" s="113" t="s">
        <v>1334</v>
      </c>
      <c r="J282" s="117" t="s">
        <v>1343</v>
      </c>
      <c r="K282" s="118"/>
      <c r="L282" s="109">
        <v>2</v>
      </c>
      <c r="M282" s="109">
        <v>2</v>
      </c>
      <c r="N282" s="109"/>
      <c r="O282" s="119"/>
      <c r="P282" s="2">
        <f t="shared" si="64"/>
        <v>1</v>
      </c>
      <c r="Q282" s="110" t="str">
        <f>IF(AND(Drops!$D$45&gt;1,OR(U282&lt;&gt;U281,AND(ROW()=5,U281=U282))),VLOOKUP(U282,Drops!$D$26:$E$44,2,FALSE),"")</f>
        <v/>
      </c>
      <c r="R282" s="2" t="str">
        <f t="shared" si="65"/>
        <v/>
      </c>
      <c r="S282" s="2">
        <f t="shared" ca="1" si="66"/>
        <v>1</v>
      </c>
      <c r="T282" s="2">
        <f t="shared" si="67"/>
        <v>0</v>
      </c>
      <c r="U282" s="110" t="s">
        <v>1275</v>
      </c>
      <c r="V282" s="110">
        <v>7</v>
      </c>
      <c r="W282" s="110">
        <v>2</v>
      </c>
      <c r="X282" s="110">
        <v>0</v>
      </c>
      <c r="Y282" s="110">
        <v>0</v>
      </c>
      <c r="Z282" s="110">
        <v>0</v>
      </c>
      <c r="AA282" s="2">
        <f t="shared" si="68"/>
        <v>1</v>
      </c>
      <c r="AB282" s="2">
        <f t="shared" si="69"/>
        <v>1</v>
      </c>
      <c r="AC282" s="2">
        <f t="shared" si="70"/>
        <v>1</v>
      </c>
      <c r="AD282" s="2">
        <f t="shared" si="71"/>
        <v>1</v>
      </c>
      <c r="AE282" s="2">
        <f t="shared" si="72"/>
        <v>0</v>
      </c>
      <c r="AF282" s="2">
        <f t="shared" si="73"/>
        <v>2</v>
      </c>
      <c r="AG282" s="2">
        <f t="shared" si="74"/>
        <v>2</v>
      </c>
      <c r="AH282" s="2">
        <f t="shared" si="75"/>
        <v>2</v>
      </c>
      <c r="AI282" s="2">
        <f t="shared" si="76"/>
        <v>2</v>
      </c>
      <c r="AJ282" s="2">
        <f t="shared" si="77"/>
        <v>2</v>
      </c>
      <c r="AK282" s="2">
        <f t="shared" si="78"/>
        <v>0</v>
      </c>
      <c r="AL282" s="2">
        <f t="shared" si="79"/>
        <v>0</v>
      </c>
      <c r="AM282" s="115"/>
      <c r="AN282" s="115"/>
      <c r="AO282" s="63"/>
    </row>
    <row r="283" spans="1:41" ht="57.6" x14ac:dyDescent="0.55000000000000004">
      <c r="A283" s="36">
        <v>4227</v>
      </c>
      <c r="B283" s="113" t="s">
        <v>1344</v>
      </c>
      <c r="C283" s="139" t="s">
        <v>1345</v>
      </c>
      <c r="D283" s="114" t="s">
        <v>52</v>
      </c>
      <c r="E283" s="115"/>
      <c r="F283" s="116"/>
      <c r="G283" s="113" t="s">
        <v>1324</v>
      </c>
      <c r="H283" s="113" t="s">
        <v>1342</v>
      </c>
      <c r="I283" s="113"/>
      <c r="J283" s="117" t="s">
        <v>1346</v>
      </c>
      <c r="K283" s="118"/>
      <c r="L283" s="109">
        <v>3</v>
      </c>
      <c r="M283" s="109">
        <v>2</v>
      </c>
      <c r="N283" s="109"/>
      <c r="O283" s="119"/>
      <c r="P283" s="2">
        <f t="shared" si="64"/>
        <v>1</v>
      </c>
      <c r="Q283" s="110" t="str">
        <f>IF(AND(Drops!$D$45&gt;1,OR(U283&lt;&gt;U282,AND(ROW()=5,U282=U283))),VLOOKUP(U283,Drops!$D$26:$E$44,2,FALSE),"")</f>
        <v/>
      </c>
      <c r="R283" s="2" t="str">
        <f t="shared" si="65"/>
        <v/>
      </c>
      <c r="S283" s="2">
        <f t="shared" ca="1" si="66"/>
        <v>1</v>
      </c>
      <c r="T283" s="2">
        <f t="shared" si="67"/>
        <v>0</v>
      </c>
      <c r="U283" s="110" t="s">
        <v>1275</v>
      </c>
      <c r="V283" s="110">
        <v>7</v>
      </c>
      <c r="W283" s="110">
        <v>2</v>
      </c>
      <c r="X283" s="110">
        <v>1</v>
      </c>
      <c r="Y283" s="110">
        <v>0</v>
      </c>
      <c r="Z283" s="110">
        <v>0</v>
      </c>
      <c r="AA283" s="2">
        <f t="shared" si="68"/>
        <v>1</v>
      </c>
      <c r="AB283" s="2">
        <f t="shared" si="69"/>
        <v>0</v>
      </c>
      <c r="AC283" s="2">
        <f t="shared" si="70"/>
        <v>1</v>
      </c>
      <c r="AD283" s="2">
        <f t="shared" si="71"/>
        <v>1</v>
      </c>
      <c r="AE283" s="2">
        <f t="shared" si="72"/>
        <v>1</v>
      </c>
      <c r="AF283" s="2">
        <f t="shared" si="73"/>
        <v>2</v>
      </c>
      <c r="AG283" s="2">
        <f t="shared" si="74"/>
        <v>2</v>
      </c>
      <c r="AH283" s="2">
        <f t="shared" si="75"/>
        <v>2</v>
      </c>
      <c r="AI283" s="2">
        <f t="shared" si="76"/>
        <v>2</v>
      </c>
      <c r="AJ283" s="2">
        <f t="shared" si="77"/>
        <v>2</v>
      </c>
      <c r="AK283" s="2">
        <f t="shared" si="78"/>
        <v>0</v>
      </c>
      <c r="AL283" s="2">
        <f t="shared" si="79"/>
        <v>0</v>
      </c>
      <c r="AM283" s="115"/>
      <c r="AN283" s="115"/>
      <c r="AO283" s="63"/>
    </row>
    <row r="284" spans="1:41" ht="57.6" x14ac:dyDescent="0.55000000000000004">
      <c r="A284" s="36">
        <v>1975</v>
      </c>
      <c r="B284" s="113" t="s">
        <v>1347</v>
      </c>
      <c r="C284" s="139" t="s">
        <v>1348</v>
      </c>
      <c r="D284" s="114" t="s">
        <v>52</v>
      </c>
      <c r="E284" s="115"/>
      <c r="F284" s="116"/>
      <c r="G284" s="113" t="s">
        <v>1324</v>
      </c>
      <c r="H284" s="113" t="s">
        <v>1342</v>
      </c>
      <c r="I284" s="113"/>
      <c r="J284" s="117" t="s">
        <v>1346</v>
      </c>
      <c r="K284" s="118"/>
      <c r="L284" s="109">
        <v>3</v>
      </c>
      <c r="M284" s="109">
        <v>2</v>
      </c>
      <c r="N284" s="109"/>
      <c r="O284" s="119"/>
      <c r="P284" s="2">
        <f t="shared" si="64"/>
        <v>1</v>
      </c>
      <c r="Q284" s="110" t="str">
        <f>IF(AND(Drops!$D$45&gt;1,OR(U284&lt;&gt;U283,AND(ROW()=5,U283=U284))),VLOOKUP(U284,Drops!$D$26:$E$44,2,FALSE),"")</f>
        <v/>
      </c>
      <c r="R284" s="2" t="str">
        <f t="shared" si="65"/>
        <v/>
      </c>
      <c r="S284" s="2">
        <f t="shared" ca="1" si="66"/>
        <v>1</v>
      </c>
      <c r="T284" s="2">
        <f t="shared" si="67"/>
        <v>0</v>
      </c>
      <c r="U284" s="110" t="s">
        <v>1275</v>
      </c>
      <c r="V284" s="110">
        <v>7</v>
      </c>
      <c r="W284" s="110">
        <v>2</v>
      </c>
      <c r="X284" s="110">
        <v>3</v>
      </c>
      <c r="Y284" s="110">
        <v>0</v>
      </c>
      <c r="Z284" s="110">
        <v>0</v>
      </c>
      <c r="AA284" s="2">
        <f t="shared" si="68"/>
        <v>1</v>
      </c>
      <c r="AB284" s="2">
        <f t="shared" si="69"/>
        <v>0</v>
      </c>
      <c r="AC284" s="2">
        <f t="shared" si="70"/>
        <v>1</v>
      </c>
      <c r="AD284" s="2">
        <f t="shared" si="71"/>
        <v>1</v>
      </c>
      <c r="AE284" s="2">
        <f t="shared" si="72"/>
        <v>1</v>
      </c>
      <c r="AF284" s="2">
        <f t="shared" si="73"/>
        <v>2</v>
      </c>
      <c r="AG284" s="2">
        <f t="shared" si="74"/>
        <v>2</v>
      </c>
      <c r="AH284" s="2">
        <f t="shared" si="75"/>
        <v>2</v>
      </c>
      <c r="AI284" s="2">
        <f t="shared" si="76"/>
        <v>2</v>
      </c>
      <c r="AJ284" s="2">
        <f t="shared" si="77"/>
        <v>2</v>
      </c>
      <c r="AK284" s="2">
        <f t="shared" si="78"/>
        <v>0</v>
      </c>
      <c r="AL284" s="2">
        <f t="shared" si="79"/>
        <v>0</v>
      </c>
      <c r="AM284" s="115"/>
      <c r="AN284" s="115"/>
      <c r="AO284" s="63"/>
    </row>
    <row r="285" spans="1:41" ht="72" x14ac:dyDescent="0.55000000000000004">
      <c r="A285" s="36">
        <v>4232</v>
      </c>
      <c r="B285" s="113" t="s">
        <v>1349</v>
      </c>
      <c r="C285" s="139" t="s">
        <v>1350</v>
      </c>
      <c r="D285" s="114" t="s">
        <v>52</v>
      </c>
      <c r="E285" s="115"/>
      <c r="F285" s="116"/>
      <c r="G285" s="113" t="s">
        <v>1324</v>
      </c>
      <c r="H285" s="113" t="s">
        <v>1342</v>
      </c>
      <c r="I285" s="113"/>
      <c r="J285" s="117" t="s">
        <v>1343</v>
      </c>
      <c r="K285" s="118"/>
      <c r="L285" s="109">
        <v>3</v>
      </c>
      <c r="M285" s="109">
        <v>2</v>
      </c>
      <c r="N285" s="109"/>
      <c r="O285" s="119"/>
      <c r="P285" s="2">
        <f t="shared" si="64"/>
        <v>1</v>
      </c>
      <c r="Q285" s="110" t="str">
        <f>IF(AND(Drops!$D$45&gt;1,OR(U285&lt;&gt;U284,AND(ROW()=5,U284=U285))),VLOOKUP(U285,Drops!$D$26:$E$44,2,FALSE),"")</f>
        <v/>
      </c>
      <c r="R285" s="2" t="str">
        <f t="shared" si="65"/>
        <v/>
      </c>
      <c r="S285" s="2">
        <f t="shared" ca="1" si="66"/>
        <v>1</v>
      </c>
      <c r="T285" s="2">
        <f t="shared" si="67"/>
        <v>0</v>
      </c>
      <c r="U285" s="110" t="s">
        <v>1275</v>
      </c>
      <c r="V285" s="110">
        <v>7</v>
      </c>
      <c r="W285" s="110">
        <v>2</v>
      </c>
      <c r="X285" s="110">
        <v>4</v>
      </c>
      <c r="Y285" s="110">
        <v>0</v>
      </c>
      <c r="Z285" s="110">
        <v>0</v>
      </c>
      <c r="AA285" s="2">
        <f t="shared" si="68"/>
        <v>1</v>
      </c>
      <c r="AB285" s="2">
        <f t="shared" si="69"/>
        <v>0</v>
      </c>
      <c r="AC285" s="2">
        <f t="shared" si="70"/>
        <v>1</v>
      </c>
      <c r="AD285" s="2">
        <f t="shared" si="71"/>
        <v>1</v>
      </c>
      <c r="AE285" s="2">
        <f t="shared" si="72"/>
        <v>1</v>
      </c>
      <c r="AF285" s="2">
        <f t="shared" si="73"/>
        <v>2</v>
      </c>
      <c r="AG285" s="2">
        <f t="shared" si="74"/>
        <v>2</v>
      </c>
      <c r="AH285" s="2">
        <f t="shared" si="75"/>
        <v>2</v>
      </c>
      <c r="AI285" s="2">
        <f t="shared" si="76"/>
        <v>2</v>
      </c>
      <c r="AJ285" s="2">
        <f t="shared" si="77"/>
        <v>2</v>
      </c>
      <c r="AK285" s="2">
        <f t="shared" si="78"/>
        <v>0</v>
      </c>
      <c r="AL285" s="2">
        <f t="shared" si="79"/>
        <v>0</v>
      </c>
      <c r="AM285" s="115"/>
      <c r="AN285" s="115"/>
      <c r="AO285" s="63"/>
    </row>
    <row r="286" spans="1:41" ht="57.6" x14ac:dyDescent="0.55000000000000004">
      <c r="A286" s="36">
        <v>4727</v>
      </c>
      <c r="B286" s="113" t="s">
        <v>1351</v>
      </c>
      <c r="C286" s="138" t="s">
        <v>1352</v>
      </c>
      <c r="D286" s="114" t="s">
        <v>52</v>
      </c>
      <c r="E286" s="115"/>
      <c r="F286" s="116"/>
      <c r="G286" s="113" t="s">
        <v>1324</v>
      </c>
      <c r="H286" s="113" t="s">
        <v>1353</v>
      </c>
      <c r="I286" s="113" t="s">
        <v>1334</v>
      </c>
      <c r="J286" s="117" t="s">
        <v>1346</v>
      </c>
      <c r="K286" s="118"/>
      <c r="L286" s="109">
        <v>2</v>
      </c>
      <c r="M286" s="109">
        <v>2</v>
      </c>
      <c r="N286" s="109"/>
      <c r="O286" s="119"/>
      <c r="P286" s="2">
        <f t="shared" si="64"/>
        <v>1</v>
      </c>
      <c r="Q286" s="110" t="str">
        <f>IF(AND(Drops!$D$45&gt;1,OR(U286&lt;&gt;U285,AND(ROW()=5,U285=U286))),VLOOKUP(U286,Drops!$D$26:$E$44,2,FALSE),"")</f>
        <v/>
      </c>
      <c r="R286" s="2" t="str">
        <f t="shared" si="65"/>
        <v/>
      </c>
      <c r="S286" s="2">
        <f t="shared" ca="1" si="66"/>
        <v>1</v>
      </c>
      <c r="T286" s="2">
        <f t="shared" si="67"/>
        <v>0</v>
      </c>
      <c r="U286" s="110" t="s">
        <v>1275</v>
      </c>
      <c r="V286" s="110">
        <v>7</v>
      </c>
      <c r="W286" s="110">
        <v>3</v>
      </c>
      <c r="X286" s="110">
        <v>0</v>
      </c>
      <c r="Y286" s="110">
        <v>0</v>
      </c>
      <c r="Z286" s="110">
        <v>0</v>
      </c>
      <c r="AA286" s="2">
        <f t="shared" si="68"/>
        <v>1</v>
      </c>
      <c r="AB286" s="2">
        <f t="shared" si="69"/>
        <v>1</v>
      </c>
      <c r="AC286" s="2">
        <f t="shared" si="70"/>
        <v>1</v>
      </c>
      <c r="AD286" s="2">
        <f t="shared" si="71"/>
        <v>1</v>
      </c>
      <c r="AE286" s="2">
        <f t="shared" si="72"/>
        <v>0</v>
      </c>
      <c r="AF286" s="2">
        <f t="shared" si="73"/>
        <v>2</v>
      </c>
      <c r="AG286" s="2">
        <f t="shared" si="74"/>
        <v>2</v>
      </c>
      <c r="AH286" s="2">
        <f t="shared" si="75"/>
        <v>2</v>
      </c>
      <c r="AI286" s="2">
        <f t="shared" si="76"/>
        <v>2</v>
      </c>
      <c r="AJ286" s="2">
        <f t="shared" si="77"/>
        <v>2</v>
      </c>
      <c r="AK286" s="2">
        <f t="shared" si="78"/>
        <v>0</v>
      </c>
      <c r="AL286" s="2">
        <f t="shared" si="79"/>
        <v>0</v>
      </c>
      <c r="AM286" s="115"/>
      <c r="AN286" s="115"/>
      <c r="AO286" s="63"/>
    </row>
    <row r="287" spans="1:41" ht="57.6" x14ac:dyDescent="0.55000000000000004">
      <c r="A287" s="36">
        <v>4230</v>
      </c>
      <c r="B287" s="113" t="s">
        <v>1354</v>
      </c>
      <c r="C287" s="139" t="s">
        <v>1355</v>
      </c>
      <c r="D287" s="114" t="s">
        <v>52</v>
      </c>
      <c r="E287" s="115"/>
      <c r="F287" s="116"/>
      <c r="G287" s="113" t="s">
        <v>1324</v>
      </c>
      <c r="H287" s="113" t="s">
        <v>1353</v>
      </c>
      <c r="I287" s="113" t="s">
        <v>1334</v>
      </c>
      <c r="J287" s="117" t="s">
        <v>1346</v>
      </c>
      <c r="K287" s="118"/>
      <c r="L287" s="109">
        <v>3</v>
      </c>
      <c r="M287" s="109">
        <v>2</v>
      </c>
      <c r="N287" s="109"/>
      <c r="O287" s="119"/>
      <c r="P287" s="2">
        <f t="shared" si="64"/>
        <v>1</v>
      </c>
      <c r="Q287" s="110" t="str">
        <f>IF(AND(Drops!$D$45&gt;1,OR(U287&lt;&gt;U286,AND(ROW()=5,U286=U287))),VLOOKUP(U287,Drops!$D$26:$E$44,2,FALSE),"")</f>
        <v/>
      </c>
      <c r="R287" s="2" t="str">
        <f t="shared" si="65"/>
        <v/>
      </c>
      <c r="S287" s="2">
        <f t="shared" ca="1" si="66"/>
        <v>1</v>
      </c>
      <c r="T287" s="2">
        <f t="shared" si="67"/>
        <v>0</v>
      </c>
      <c r="U287" s="110" t="s">
        <v>1275</v>
      </c>
      <c r="V287" s="110">
        <v>7</v>
      </c>
      <c r="W287" s="110">
        <v>3</v>
      </c>
      <c r="X287" s="110">
        <v>1</v>
      </c>
      <c r="Y287" s="110">
        <v>0</v>
      </c>
      <c r="Z287" s="110">
        <v>0</v>
      </c>
      <c r="AA287" s="2">
        <f t="shared" si="68"/>
        <v>1</v>
      </c>
      <c r="AB287" s="2">
        <f t="shared" si="69"/>
        <v>0</v>
      </c>
      <c r="AC287" s="2">
        <f t="shared" si="70"/>
        <v>1</v>
      </c>
      <c r="AD287" s="2">
        <f t="shared" si="71"/>
        <v>1</v>
      </c>
      <c r="AE287" s="2">
        <f t="shared" si="72"/>
        <v>1</v>
      </c>
      <c r="AF287" s="2">
        <f t="shared" si="73"/>
        <v>2</v>
      </c>
      <c r="AG287" s="2">
        <f t="shared" si="74"/>
        <v>2</v>
      </c>
      <c r="AH287" s="2">
        <f t="shared" si="75"/>
        <v>2</v>
      </c>
      <c r="AI287" s="2">
        <f t="shared" si="76"/>
        <v>2</v>
      </c>
      <c r="AJ287" s="2">
        <f t="shared" si="77"/>
        <v>2</v>
      </c>
      <c r="AK287" s="2">
        <f t="shared" si="78"/>
        <v>0</v>
      </c>
      <c r="AL287" s="2">
        <f t="shared" si="79"/>
        <v>0</v>
      </c>
      <c r="AM287" s="115"/>
      <c r="AN287" s="115"/>
      <c r="AO287" s="63"/>
    </row>
    <row r="288" spans="1:41" ht="57.6" x14ac:dyDescent="0.55000000000000004">
      <c r="A288" s="36">
        <v>4231</v>
      </c>
      <c r="B288" s="113" t="s">
        <v>1356</v>
      </c>
      <c r="C288" s="139" t="s">
        <v>1357</v>
      </c>
      <c r="D288" s="114" t="s">
        <v>52</v>
      </c>
      <c r="E288" s="115"/>
      <c r="F288" s="116"/>
      <c r="G288" s="113" t="s">
        <v>1324</v>
      </c>
      <c r="H288" s="113" t="s">
        <v>1353</v>
      </c>
      <c r="I288" s="113"/>
      <c r="J288" s="117" t="s">
        <v>1346</v>
      </c>
      <c r="K288" s="118"/>
      <c r="L288" s="109">
        <v>3</v>
      </c>
      <c r="M288" s="109">
        <v>2</v>
      </c>
      <c r="N288" s="109"/>
      <c r="O288" s="119"/>
      <c r="P288" s="2">
        <f t="shared" si="64"/>
        <v>1</v>
      </c>
      <c r="Q288" s="110" t="str">
        <f>IF(AND(Drops!$D$45&gt;1,OR(U288&lt;&gt;U287,AND(ROW()=5,U287=U288))),VLOOKUP(U288,Drops!$D$26:$E$44,2,FALSE),"")</f>
        <v/>
      </c>
      <c r="R288" s="2" t="str">
        <f t="shared" si="65"/>
        <v/>
      </c>
      <c r="S288" s="2">
        <f t="shared" ca="1" si="66"/>
        <v>1</v>
      </c>
      <c r="T288" s="2">
        <f t="shared" si="67"/>
        <v>0</v>
      </c>
      <c r="U288" s="110" t="s">
        <v>1275</v>
      </c>
      <c r="V288" s="110">
        <v>7</v>
      </c>
      <c r="W288" s="110">
        <v>3</v>
      </c>
      <c r="X288" s="110">
        <v>2</v>
      </c>
      <c r="Y288" s="110">
        <v>0</v>
      </c>
      <c r="Z288" s="110">
        <v>0</v>
      </c>
      <c r="AA288" s="2">
        <f t="shared" si="68"/>
        <v>1</v>
      </c>
      <c r="AB288" s="2">
        <f t="shared" si="69"/>
        <v>0</v>
      </c>
      <c r="AC288" s="2">
        <f t="shared" si="70"/>
        <v>1</v>
      </c>
      <c r="AD288" s="2">
        <f t="shared" si="71"/>
        <v>1</v>
      </c>
      <c r="AE288" s="2">
        <f t="shared" si="72"/>
        <v>1</v>
      </c>
      <c r="AF288" s="2">
        <f t="shared" si="73"/>
        <v>2</v>
      </c>
      <c r="AG288" s="2">
        <f t="shared" si="74"/>
        <v>2</v>
      </c>
      <c r="AH288" s="2">
        <f t="shared" si="75"/>
        <v>2</v>
      </c>
      <c r="AI288" s="2">
        <f t="shared" si="76"/>
        <v>2</v>
      </c>
      <c r="AJ288" s="2">
        <f t="shared" si="77"/>
        <v>2</v>
      </c>
      <c r="AK288" s="2">
        <f t="shared" si="78"/>
        <v>0</v>
      </c>
      <c r="AL288" s="2">
        <f t="shared" si="79"/>
        <v>0</v>
      </c>
      <c r="AM288" s="115"/>
      <c r="AN288" s="115"/>
      <c r="AO288" s="63"/>
    </row>
    <row r="289" spans="1:41" ht="57.6" x14ac:dyDescent="0.55000000000000004">
      <c r="A289" s="36">
        <v>2971</v>
      </c>
      <c r="B289" s="113" t="s">
        <v>1358</v>
      </c>
      <c r="C289" s="139" t="s">
        <v>1359</v>
      </c>
      <c r="D289" s="114" t="s">
        <v>52</v>
      </c>
      <c r="E289" s="115"/>
      <c r="F289" s="116"/>
      <c r="G289" s="113" t="s">
        <v>1324</v>
      </c>
      <c r="H289" s="113" t="s">
        <v>1353</v>
      </c>
      <c r="I289" s="113" t="s">
        <v>1334</v>
      </c>
      <c r="J289" s="117" t="s">
        <v>1346</v>
      </c>
      <c r="K289" s="118"/>
      <c r="L289" s="109">
        <v>3</v>
      </c>
      <c r="M289" s="109">
        <v>2</v>
      </c>
      <c r="N289" s="109"/>
      <c r="O289" s="119"/>
      <c r="P289" s="2">
        <f t="shared" si="64"/>
        <v>1</v>
      </c>
      <c r="Q289" s="110" t="str">
        <f>IF(AND(Drops!$D$45&gt;1,OR(U289&lt;&gt;U288,AND(ROW()=5,U288=U289))),VLOOKUP(U289,Drops!$D$26:$E$44,2,FALSE),"")</f>
        <v/>
      </c>
      <c r="R289" s="2" t="str">
        <f t="shared" si="65"/>
        <v/>
      </c>
      <c r="S289" s="2">
        <f t="shared" ca="1" si="66"/>
        <v>1</v>
      </c>
      <c r="T289" s="2">
        <f t="shared" si="67"/>
        <v>0</v>
      </c>
      <c r="U289" s="110" t="s">
        <v>1275</v>
      </c>
      <c r="V289" s="110">
        <v>7</v>
      </c>
      <c r="W289" s="110">
        <v>3</v>
      </c>
      <c r="X289" s="110">
        <v>4</v>
      </c>
      <c r="Y289" s="110">
        <v>0</v>
      </c>
      <c r="Z289" s="110">
        <v>0</v>
      </c>
      <c r="AA289" s="2">
        <f t="shared" si="68"/>
        <v>1</v>
      </c>
      <c r="AB289" s="2">
        <f t="shared" si="69"/>
        <v>0</v>
      </c>
      <c r="AC289" s="2">
        <f t="shared" si="70"/>
        <v>1</v>
      </c>
      <c r="AD289" s="2">
        <f t="shared" si="71"/>
        <v>1</v>
      </c>
      <c r="AE289" s="2">
        <f t="shared" si="72"/>
        <v>1</v>
      </c>
      <c r="AF289" s="2">
        <f t="shared" si="73"/>
        <v>2</v>
      </c>
      <c r="AG289" s="2">
        <f t="shared" si="74"/>
        <v>2</v>
      </c>
      <c r="AH289" s="2">
        <f t="shared" si="75"/>
        <v>2</v>
      </c>
      <c r="AI289" s="2">
        <f t="shared" si="76"/>
        <v>2</v>
      </c>
      <c r="AJ289" s="2">
        <f t="shared" si="77"/>
        <v>2</v>
      </c>
      <c r="AK289" s="2">
        <f t="shared" si="78"/>
        <v>0</v>
      </c>
      <c r="AL289" s="2">
        <f t="shared" si="79"/>
        <v>0</v>
      </c>
      <c r="AM289" s="115"/>
      <c r="AN289" s="115"/>
      <c r="AO289" s="63"/>
    </row>
    <row r="290" spans="1:41" ht="57.6" x14ac:dyDescent="0.55000000000000004">
      <c r="A290" s="36">
        <v>1978</v>
      </c>
      <c r="B290" s="113" t="s">
        <v>1360</v>
      </c>
      <c r="C290" s="138" t="s">
        <v>1361</v>
      </c>
      <c r="D290" s="114" t="s">
        <v>52</v>
      </c>
      <c r="E290" s="115"/>
      <c r="F290" s="116"/>
      <c r="G290" s="113" t="s">
        <v>1324</v>
      </c>
      <c r="H290" s="113" t="s">
        <v>1362</v>
      </c>
      <c r="I290" s="113" t="s">
        <v>1334</v>
      </c>
      <c r="J290" s="117" t="s">
        <v>1346</v>
      </c>
      <c r="K290" s="118"/>
      <c r="L290" s="109">
        <v>2</v>
      </c>
      <c r="M290" s="109">
        <v>2</v>
      </c>
      <c r="N290" s="109"/>
      <c r="O290" s="119"/>
      <c r="P290" s="2">
        <f t="shared" si="64"/>
        <v>1</v>
      </c>
      <c r="Q290" s="110" t="str">
        <f>IF(AND(Drops!$D$45&gt;1,OR(U290&lt;&gt;U289,AND(ROW()=5,U289=U290))),VLOOKUP(U290,Drops!$D$26:$E$44,2,FALSE),"")</f>
        <v/>
      </c>
      <c r="R290" s="2" t="str">
        <f t="shared" si="65"/>
        <v/>
      </c>
      <c r="S290" s="2">
        <f t="shared" ca="1" si="66"/>
        <v>1</v>
      </c>
      <c r="T290" s="2">
        <f t="shared" si="67"/>
        <v>0</v>
      </c>
      <c r="U290" s="110" t="s">
        <v>1275</v>
      </c>
      <c r="V290" s="110">
        <v>7</v>
      </c>
      <c r="W290" s="110">
        <v>4</v>
      </c>
      <c r="X290" s="110">
        <v>0</v>
      </c>
      <c r="Y290" s="110">
        <v>0</v>
      </c>
      <c r="Z290" s="110">
        <v>0</v>
      </c>
      <c r="AA290" s="2">
        <f t="shared" si="68"/>
        <v>1</v>
      </c>
      <c r="AB290" s="2">
        <f t="shared" si="69"/>
        <v>0</v>
      </c>
      <c r="AC290" s="2">
        <f t="shared" si="70"/>
        <v>1</v>
      </c>
      <c r="AD290" s="2">
        <f t="shared" si="71"/>
        <v>1</v>
      </c>
      <c r="AE290" s="2">
        <f t="shared" si="72"/>
        <v>0</v>
      </c>
      <c r="AF290" s="2">
        <f t="shared" si="73"/>
        <v>2</v>
      </c>
      <c r="AG290" s="2">
        <f t="shared" si="74"/>
        <v>2</v>
      </c>
      <c r="AH290" s="2">
        <f t="shared" si="75"/>
        <v>2</v>
      </c>
      <c r="AI290" s="2">
        <f t="shared" si="76"/>
        <v>2</v>
      </c>
      <c r="AJ290" s="2">
        <f t="shared" si="77"/>
        <v>2</v>
      </c>
      <c r="AK290" s="2">
        <f t="shared" si="78"/>
        <v>0</v>
      </c>
      <c r="AL290" s="2">
        <f t="shared" si="79"/>
        <v>0</v>
      </c>
      <c r="AM290" s="115"/>
      <c r="AN290" s="115"/>
      <c r="AO290" s="63"/>
    </row>
    <row r="291" spans="1:41" ht="86.4" x14ac:dyDescent="0.55000000000000004">
      <c r="A291" s="36">
        <v>2661</v>
      </c>
      <c r="B291" s="113" t="s">
        <v>1363</v>
      </c>
      <c r="C291" s="138" t="s">
        <v>1364</v>
      </c>
      <c r="D291" s="114" t="s">
        <v>52</v>
      </c>
      <c r="E291" s="115"/>
      <c r="F291" s="116"/>
      <c r="G291" s="113" t="s">
        <v>1324</v>
      </c>
      <c r="H291" s="113" t="s">
        <v>1365</v>
      </c>
      <c r="I291" s="113"/>
      <c r="J291" s="117" t="s">
        <v>1366</v>
      </c>
      <c r="K291" s="118"/>
      <c r="L291" s="109">
        <v>2</v>
      </c>
      <c r="M291" s="109">
        <v>2</v>
      </c>
      <c r="N291" s="109"/>
      <c r="O291" s="119"/>
      <c r="P291" s="2">
        <f t="shared" si="64"/>
        <v>1</v>
      </c>
      <c r="Q291" s="110" t="str">
        <f>IF(AND(Drops!$D$45&gt;1,OR(U291&lt;&gt;U290,AND(ROW()=5,U290=U291))),VLOOKUP(U291,Drops!$D$26:$E$44,2,FALSE),"")</f>
        <v/>
      </c>
      <c r="R291" s="2" t="str">
        <f t="shared" si="65"/>
        <v/>
      </c>
      <c r="S291" s="2">
        <f t="shared" ca="1" si="66"/>
        <v>1</v>
      </c>
      <c r="T291" s="2">
        <f t="shared" si="67"/>
        <v>0</v>
      </c>
      <c r="U291" s="110" t="s">
        <v>1275</v>
      </c>
      <c r="V291" s="110">
        <v>7</v>
      </c>
      <c r="W291" s="110">
        <v>5</v>
      </c>
      <c r="X291" s="110">
        <v>0</v>
      </c>
      <c r="Y291" s="110">
        <v>0</v>
      </c>
      <c r="Z291" s="110">
        <v>0</v>
      </c>
      <c r="AA291" s="2">
        <f t="shared" si="68"/>
        <v>1</v>
      </c>
      <c r="AB291" s="2">
        <f t="shared" si="69"/>
        <v>1</v>
      </c>
      <c r="AC291" s="2">
        <f t="shared" si="70"/>
        <v>1</v>
      </c>
      <c r="AD291" s="2">
        <f t="shared" si="71"/>
        <v>1</v>
      </c>
      <c r="AE291" s="2">
        <f t="shared" si="72"/>
        <v>0</v>
      </c>
      <c r="AF291" s="2">
        <f t="shared" si="73"/>
        <v>2</v>
      </c>
      <c r="AG291" s="2">
        <f t="shared" si="74"/>
        <v>2</v>
      </c>
      <c r="AH291" s="2">
        <f t="shared" si="75"/>
        <v>2</v>
      </c>
      <c r="AI291" s="2">
        <f t="shared" si="76"/>
        <v>2</v>
      </c>
      <c r="AJ291" s="2">
        <f t="shared" si="77"/>
        <v>2</v>
      </c>
      <c r="AK291" s="2">
        <f t="shared" si="78"/>
        <v>0</v>
      </c>
      <c r="AL291" s="2">
        <f t="shared" si="79"/>
        <v>0</v>
      </c>
      <c r="AM291" s="115"/>
      <c r="AN291" s="115"/>
      <c r="AO291" s="63"/>
    </row>
    <row r="292" spans="1:41" ht="86.4" x14ac:dyDescent="0.55000000000000004">
      <c r="A292" s="36">
        <v>1974</v>
      </c>
      <c r="B292" s="113" t="s">
        <v>1367</v>
      </c>
      <c r="C292" s="139" t="s">
        <v>1368</v>
      </c>
      <c r="D292" s="114" t="s">
        <v>52</v>
      </c>
      <c r="E292" s="115"/>
      <c r="F292" s="116"/>
      <c r="G292" s="113" t="s">
        <v>1324</v>
      </c>
      <c r="H292" s="113" t="s">
        <v>1365</v>
      </c>
      <c r="I292" s="113" t="s">
        <v>1334</v>
      </c>
      <c r="J292" s="117" t="s">
        <v>1366</v>
      </c>
      <c r="K292" s="118"/>
      <c r="L292" s="109">
        <v>3</v>
      </c>
      <c r="M292" s="109">
        <v>2</v>
      </c>
      <c r="N292" s="109"/>
      <c r="O292" s="119"/>
      <c r="P292" s="2">
        <f t="shared" si="64"/>
        <v>1</v>
      </c>
      <c r="Q292" s="110" t="str">
        <f>IF(AND(Drops!$D$45&gt;1,OR(U292&lt;&gt;U291,AND(ROW()=5,U291=U292))),VLOOKUP(U292,Drops!$D$26:$E$44,2,FALSE),"")</f>
        <v/>
      </c>
      <c r="R292" s="2" t="str">
        <f t="shared" si="65"/>
        <v/>
      </c>
      <c r="S292" s="2">
        <f t="shared" ca="1" si="66"/>
        <v>1</v>
      </c>
      <c r="T292" s="2">
        <f t="shared" si="67"/>
        <v>0</v>
      </c>
      <c r="U292" s="110" t="s">
        <v>1275</v>
      </c>
      <c r="V292" s="110">
        <v>7</v>
      </c>
      <c r="W292" s="110">
        <v>5</v>
      </c>
      <c r="X292" s="110">
        <v>1</v>
      </c>
      <c r="Y292" s="110">
        <v>0</v>
      </c>
      <c r="Z292" s="110">
        <v>0</v>
      </c>
      <c r="AA292" s="2">
        <f t="shared" si="68"/>
        <v>1</v>
      </c>
      <c r="AB292" s="2">
        <f t="shared" si="69"/>
        <v>0</v>
      </c>
      <c r="AC292" s="2">
        <f t="shared" si="70"/>
        <v>1</v>
      </c>
      <c r="AD292" s="2">
        <f t="shared" si="71"/>
        <v>1</v>
      </c>
      <c r="AE292" s="2">
        <f t="shared" si="72"/>
        <v>1</v>
      </c>
      <c r="AF292" s="2">
        <f t="shared" si="73"/>
        <v>2</v>
      </c>
      <c r="AG292" s="2">
        <f t="shared" si="74"/>
        <v>2</v>
      </c>
      <c r="AH292" s="2">
        <f t="shared" si="75"/>
        <v>2</v>
      </c>
      <c r="AI292" s="2">
        <f t="shared" si="76"/>
        <v>2</v>
      </c>
      <c r="AJ292" s="2">
        <f t="shared" si="77"/>
        <v>2</v>
      </c>
      <c r="AK292" s="2">
        <f t="shared" si="78"/>
        <v>0</v>
      </c>
      <c r="AL292" s="2">
        <f t="shared" si="79"/>
        <v>0</v>
      </c>
      <c r="AM292" s="115"/>
      <c r="AN292" s="115"/>
      <c r="AO292" s="63"/>
    </row>
    <row r="293" spans="1:41" ht="86.4" x14ac:dyDescent="0.55000000000000004">
      <c r="A293" s="36">
        <v>2662</v>
      </c>
      <c r="B293" s="113" t="s">
        <v>1369</v>
      </c>
      <c r="C293" s="139" t="s">
        <v>1370</v>
      </c>
      <c r="D293" s="114" t="s">
        <v>52</v>
      </c>
      <c r="E293" s="115"/>
      <c r="F293" s="116"/>
      <c r="G293" s="113" t="s">
        <v>1324</v>
      </c>
      <c r="H293" s="113" t="s">
        <v>1365</v>
      </c>
      <c r="I293" s="113"/>
      <c r="J293" s="117" t="s">
        <v>1366</v>
      </c>
      <c r="K293" s="118"/>
      <c r="L293" s="109">
        <v>3</v>
      </c>
      <c r="M293" s="109">
        <v>2</v>
      </c>
      <c r="N293" s="109"/>
      <c r="O293" s="119"/>
      <c r="P293" s="2">
        <f t="shared" si="64"/>
        <v>1</v>
      </c>
      <c r="Q293" s="110" t="str">
        <f>IF(AND(Drops!$D$45&gt;1,OR(U293&lt;&gt;U292,AND(ROW()=5,U292=U293))),VLOOKUP(U293,Drops!$D$26:$E$44,2,FALSE),"")</f>
        <v/>
      </c>
      <c r="R293" s="2" t="str">
        <f t="shared" si="65"/>
        <v/>
      </c>
      <c r="S293" s="2">
        <f t="shared" ca="1" si="66"/>
        <v>1</v>
      </c>
      <c r="T293" s="2">
        <f t="shared" si="67"/>
        <v>0</v>
      </c>
      <c r="U293" s="110" t="s">
        <v>1275</v>
      </c>
      <c r="V293" s="110">
        <v>7</v>
      </c>
      <c r="W293" s="110">
        <v>5</v>
      </c>
      <c r="X293" s="110">
        <v>2</v>
      </c>
      <c r="Y293" s="110">
        <v>0</v>
      </c>
      <c r="Z293" s="110">
        <v>0</v>
      </c>
      <c r="AA293" s="2">
        <f t="shared" si="68"/>
        <v>1</v>
      </c>
      <c r="AB293" s="2">
        <f t="shared" si="69"/>
        <v>0</v>
      </c>
      <c r="AC293" s="2">
        <f t="shared" si="70"/>
        <v>1</v>
      </c>
      <c r="AD293" s="2">
        <f t="shared" si="71"/>
        <v>1</v>
      </c>
      <c r="AE293" s="2">
        <f t="shared" si="72"/>
        <v>1</v>
      </c>
      <c r="AF293" s="2">
        <f t="shared" si="73"/>
        <v>2</v>
      </c>
      <c r="AG293" s="2">
        <f t="shared" si="74"/>
        <v>2</v>
      </c>
      <c r="AH293" s="2">
        <f t="shared" si="75"/>
        <v>2</v>
      </c>
      <c r="AI293" s="2">
        <f t="shared" si="76"/>
        <v>2</v>
      </c>
      <c r="AJ293" s="2">
        <f t="shared" si="77"/>
        <v>2</v>
      </c>
      <c r="AK293" s="2">
        <f t="shared" si="78"/>
        <v>0</v>
      </c>
      <c r="AL293" s="2">
        <f t="shared" si="79"/>
        <v>0</v>
      </c>
      <c r="AM293" s="115"/>
      <c r="AN293" s="115"/>
      <c r="AO293" s="63"/>
    </row>
    <row r="294" spans="1:41" ht="72" x14ac:dyDescent="0.55000000000000004">
      <c r="A294" s="36">
        <v>1979</v>
      </c>
      <c r="B294" s="113" t="s">
        <v>1371</v>
      </c>
      <c r="C294" s="139" t="s">
        <v>1372</v>
      </c>
      <c r="D294" s="114" t="s">
        <v>52</v>
      </c>
      <c r="E294" s="115"/>
      <c r="F294" s="116"/>
      <c r="G294" s="113" t="s">
        <v>1324</v>
      </c>
      <c r="H294" s="113" t="s">
        <v>1365</v>
      </c>
      <c r="I294" s="113" t="s">
        <v>1334</v>
      </c>
      <c r="J294" s="117" t="s">
        <v>1343</v>
      </c>
      <c r="K294" s="118"/>
      <c r="L294" s="109">
        <v>3</v>
      </c>
      <c r="M294" s="109">
        <v>2</v>
      </c>
      <c r="N294" s="109"/>
      <c r="O294" s="119"/>
      <c r="P294" s="2">
        <f t="shared" si="64"/>
        <v>1</v>
      </c>
      <c r="Q294" s="110" t="str">
        <f>IF(AND(Drops!$D$45&gt;1,OR(U294&lt;&gt;U293,AND(ROW()=5,U293=U294))),VLOOKUP(U294,Drops!$D$26:$E$44,2,FALSE),"")</f>
        <v/>
      </c>
      <c r="R294" s="2" t="str">
        <f t="shared" si="65"/>
        <v/>
      </c>
      <c r="S294" s="2">
        <f t="shared" ca="1" si="66"/>
        <v>1</v>
      </c>
      <c r="T294" s="2">
        <f t="shared" si="67"/>
        <v>0</v>
      </c>
      <c r="U294" s="110" t="s">
        <v>1275</v>
      </c>
      <c r="V294" s="110">
        <v>7</v>
      </c>
      <c r="W294" s="110">
        <v>5</v>
      </c>
      <c r="X294" s="110">
        <v>3</v>
      </c>
      <c r="Y294" s="110">
        <v>0</v>
      </c>
      <c r="Z294" s="110">
        <v>0</v>
      </c>
      <c r="AA294" s="2">
        <f t="shared" si="68"/>
        <v>1</v>
      </c>
      <c r="AB294" s="2">
        <f t="shared" si="69"/>
        <v>0</v>
      </c>
      <c r="AC294" s="2">
        <f t="shared" si="70"/>
        <v>1</v>
      </c>
      <c r="AD294" s="2">
        <f t="shared" si="71"/>
        <v>1</v>
      </c>
      <c r="AE294" s="2">
        <f t="shared" si="72"/>
        <v>1</v>
      </c>
      <c r="AF294" s="2">
        <f t="shared" si="73"/>
        <v>2</v>
      </c>
      <c r="AG294" s="2">
        <f t="shared" si="74"/>
        <v>2</v>
      </c>
      <c r="AH294" s="2">
        <f t="shared" si="75"/>
        <v>2</v>
      </c>
      <c r="AI294" s="2">
        <f t="shared" si="76"/>
        <v>2</v>
      </c>
      <c r="AJ294" s="2">
        <f t="shared" si="77"/>
        <v>2</v>
      </c>
      <c r="AK294" s="2">
        <f t="shared" si="78"/>
        <v>0</v>
      </c>
      <c r="AL294" s="2">
        <f t="shared" si="79"/>
        <v>0</v>
      </c>
      <c r="AM294" s="115"/>
      <c r="AN294" s="115"/>
      <c r="AO294" s="63"/>
    </row>
    <row r="295" spans="1:41" ht="57.6" x14ac:dyDescent="0.55000000000000004">
      <c r="A295" s="36">
        <v>4233</v>
      </c>
      <c r="B295" s="113" t="s">
        <v>1373</v>
      </c>
      <c r="C295" s="139" t="s">
        <v>1374</v>
      </c>
      <c r="D295" s="114" t="s">
        <v>52</v>
      </c>
      <c r="E295" s="115"/>
      <c r="F295" s="116"/>
      <c r="G295" s="113" t="s">
        <v>1324</v>
      </c>
      <c r="H295" s="113" t="s">
        <v>1365</v>
      </c>
      <c r="I295" s="113" t="s">
        <v>804</v>
      </c>
      <c r="J295" s="117" t="s">
        <v>1346</v>
      </c>
      <c r="K295" s="118"/>
      <c r="L295" s="109">
        <v>3</v>
      </c>
      <c r="M295" s="109">
        <v>2</v>
      </c>
      <c r="N295" s="109"/>
      <c r="O295" s="119"/>
      <c r="P295" s="2">
        <f t="shared" si="64"/>
        <v>1</v>
      </c>
      <c r="Q295" s="110" t="str">
        <f>IF(AND(Drops!$D$45&gt;1,OR(U295&lt;&gt;U294,AND(ROW()=5,U294=U295))),VLOOKUP(U295,Drops!$D$26:$E$44,2,FALSE),"")</f>
        <v/>
      </c>
      <c r="R295" s="2" t="str">
        <f t="shared" si="65"/>
        <v/>
      </c>
      <c r="S295" s="2">
        <f t="shared" ca="1" si="66"/>
        <v>1</v>
      </c>
      <c r="T295" s="2">
        <f t="shared" si="67"/>
        <v>0</v>
      </c>
      <c r="U295" s="110" t="s">
        <v>1275</v>
      </c>
      <c r="V295" s="110">
        <v>7</v>
      </c>
      <c r="W295" s="110">
        <v>5</v>
      </c>
      <c r="X295" s="110">
        <v>4</v>
      </c>
      <c r="Y295" s="110">
        <v>0</v>
      </c>
      <c r="Z295" s="110">
        <v>0</v>
      </c>
      <c r="AA295" s="2">
        <f t="shared" si="68"/>
        <v>1</v>
      </c>
      <c r="AB295" s="2">
        <f t="shared" si="69"/>
        <v>0</v>
      </c>
      <c r="AC295" s="2">
        <f t="shared" si="70"/>
        <v>1</v>
      </c>
      <c r="AD295" s="2">
        <f t="shared" si="71"/>
        <v>1</v>
      </c>
      <c r="AE295" s="2">
        <f t="shared" si="72"/>
        <v>1</v>
      </c>
      <c r="AF295" s="2">
        <f t="shared" si="73"/>
        <v>2</v>
      </c>
      <c r="AG295" s="2">
        <f t="shared" si="74"/>
        <v>2</v>
      </c>
      <c r="AH295" s="2">
        <f t="shared" si="75"/>
        <v>2</v>
      </c>
      <c r="AI295" s="2">
        <f t="shared" si="76"/>
        <v>2</v>
      </c>
      <c r="AJ295" s="2">
        <f t="shared" si="77"/>
        <v>2</v>
      </c>
      <c r="AK295" s="2">
        <f t="shared" si="78"/>
        <v>0</v>
      </c>
      <c r="AL295" s="2">
        <f t="shared" si="79"/>
        <v>0</v>
      </c>
      <c r="AM295" s="115"/>
      <c r="AN295" s="115"/>
      <c r="AO295" s="63"/>
    </row>
    <row r="296" spans="1:41" ht="57.6" x14ac:dyDescent="0.55000000000000004">
      <c r="A296" s="36">
        <v>4234</v>
      </c>
      <c r="B296" s="113" t="s">
        <v>1375</v>
      </c>
      <c r="C296" s="139" t="s">
        <v>1376</v>
      </c>
      <c r="D296" s="114" t="s">
        <v>52</v>
      </c>
      <c r="E296" s="115" t="s">
        <v>1377</v>
      </c>
      <c r="F296" s="116"/>
      <c r="G296" s="113" t="s">
        <v>1324</v>
      </c>
      <c r="H296" s="113" t="s">
        <v>1365</v>
      </c>
      <c r="I296" s="113" t="s">
        <v>804</v>
      </c>
      <c r="J296" s="117" t="s">
        <v>1346</v>
      </c>
      <c r="K296" s="118"/>
      <c r="L296" s="109">
        <v>3</v>
      </c>
      <c r="M296" s="109">
        <v>2</v>
      </c>
      <c r="N296" s="109"/>
      <c r="O296" s="119"/>
      <c r="P296" s="2">
        <f t="shared" si="64"/>
        <v>1</v>
      </c>
      <c r="Q296" s="110" t="str">
        <f>IF(AND(Drops!$D$45&gt;1,OR(U296&lt;&gt;U295,AND(ROW()=5,U295=U296))),VLOOKUP(U296,Drops!$D$26:$E$44,2,FALSE),"")</f>
        <v/>
      </c>
      <c r="R296" s="2" t="str">
        <f t="shared" si="65"/>
        <v/>
      </c>
      <c r="S296" s="2">
        <f t="shared" ca="1" si="66"/>
        <v>1</v>
      </c>
      <c r="T296" s="2">
        <f t="shared" si="67"/>
        <v>0</v>
      </c>
      <c r="U296" s="110" t="s">
        <v>1275</v>
      </c>
      <c r="V296" s="110">
        <v>7</v>
      </c>
      <c r="W296" s="110">
        <v>5</v>
      </c>
      <c r="X296" s="110">
        <v>5</v>
      </c>
      <c r="Y296" s="110">
        <v>0</v>
      </c>
      <c r="Z296" s="110">
        <v>0</v>
      </c>
      <c r="AA296" s="2">
        <f t="shared" si="68"/>
        <v>1</v>
      </c>
      <c r="AB296" s="2">
        <f t="shared" si="69"/>
        <v>1</v>
      </c>
      <c r="AC296" s="2">
        <f t="shared" si="70"/>
        <v>1</v>
      </c>
      <c r="AD296" s="2">
        <f t="shared" si="71"/>
        <v>1</v>
      </c>
      <c r="AE296" s="2">
        <f t="shared" si="72"/>
        <v>1</v>
      </c>
      <c r="AF296" s="2">
        <f t="shared" si="73"/>
        <v>2</v>
      </c>
      <c r="AG296" s="2">
        <f t="shared" si="74"/>
        <v>2</v>
      </c>
      <c r="AH296" s="2">
        <f t="shared" si="75"/>
        <v>2</v>
      </c>
      <c r="AI296" s="2">
        <f t="shared" si="76"/>
        <v>2</v>
      </c>
      <c r="AJ296" s="2">
        <f t="shared" si="77"/>
        <v>2</v>
      </c>
      <c r="AK296" s="2">
        <f t="shared" si="78"/>
        <v>0</v>
      </c>
      <c r="AL296" s="2">
        <f t="shared" si="79"/>
        <v>0</v>
      </c>
      <c r="AM296" s="115"/>
      <c r="AN296" s="115"/>
      <c r="AO296" s="63"/>
    </row>
    <row r="297" spans="1:41" ht="57.6" x14ac:dyDescent="0.55000000000000004">
      <c r="A297" s="36">
        <v>5651</v>
      </c>
      <c r="B297" s="113" t="s">
        <v>1378</v>
      </c>
      <c r="C297" s="140" t="s">
        <v>1379</v>
      </c>
      <c r="D297" s="114" t="s">
        <v>52</v>
      </c>
      <c r="E297" s="115"/>
      <c r="F297" s="116"/>
      <c r="G297" s="113" t="s">
        <v>1324</v>
      </c>
      <c r="H297" s="113" t="s">
        <v>1365</v>
      </c>
      <c r="I297" s="113"/>
      <c r="J297" s="117" t="s">
        <v>1346</v>
      </c>
      <c r="K297" s="118"/>
      <c r="L297" s="109">
        <v>4</v>
      </c>
      <c r="M297" s="109">
        <v>3</v>
      </c>
      <c r="N297" s="109"/>
      <c r="O297" s="119"/>
      <c r="P297" s="2">
        <f t="shared" si="64"/>
        <v>1</v>
      </c>
      <c r="Q297" s="110" t="str">
        <f>IF(AND(Drops!$D$45&gt;1,OR(U297&lt;&gt;U296,AND(ROW()=5,U296=U297))),VLOOKUP(U297,Drops!$D$26:$E$44,2,FALSE),"")</f>
        <v/>
      </c>
      <c r="R297" s="2" t="str">
        <f t="shared" si="65"/>
        <v/>
      </c>
      <c r="S297" s="2">
        <f t="shared" ca="1" si="66"/>
        <v>1</v>
      </c>
      <c r="T297" s="2">
        <f t="shared" si="67"/>
        <v>0</v>
      </c>
      <c r="U297" s="110" t="s">
        <v>1275</v>
      </c>
      <c r="V297" s="110">
        <v>7</v>
      </c>
      <c r="W297" s="110">
        <v>5</v>
      </c>
      <c r="X297" s="110">
        <v>5</v>
      </c>
      <c r="Y297" s="110">
        <v>1</v>
      </c>
      <c r="Z297" s="110">
        <v>0</v>
      </c>
      <c r="AA297" s="2">
        <f t="shared" si="68"/>
        <v>1</v>
      </c>
      <c r="AB297" s="2">
        <f t="shared" si="69"/>
        <v>0</v>
      </c>
      <c r="AC297" s="2">
        <f t="shared" si="70"/>
        <v>1</v>
      </c>
      <c r="AD297" s="2">
        <f t="shared" si="71"/>
        <v>1</v>
      </c>
      <c r="AE297" s="2">
        <f t="shared" si="72"/>
        <v>1</v>
      </c>
      <c r="AF297" s="2">
        <f t="shared" si="73"/>
        <v>1</v>
      </c>
      <c r="AG297" s="2">
        <f t="shared" si="74"/>
        <v>2</v>
      </c>
      <c r="AH297" s="2">
        <f t="shared" si="75"/>
        <v>2</v>
      </c>
      <c r="AI297" s="2">
        <f t="shared" si="76"/>
        <v>2</v>
      </c>
      <c r="AJ297" s="2">
        <f t="shared" si="77"/>
        <v>2</v>
      </c>
      <c r="AK297" s="2">
        <f t="shared" si="78"/>
        <v>2</v>
      </c>
      <c r="AL297" s="2">
        <f t="shared" si="79"/>
        <v>0</v>
      </c>
      <c r="AM297" s="115"/>
      <c r="AN297" s="115"/>
      <c r="AO297" s="63"/>
    </row>
    <row r="298" spans="1:41" ht="57.6" x14ac:dyDescent="0.55000000000000004">
      <c r="A298" s="36">
        <v>4235</v>
      </c>
      <c r="B298" s="113" t="s">
        <v>1380</v>
      </c>
      <c r="C298" s="139" t="s">
        <v>1381</v>
      </c>
      <c r="D298" s="114" t="s">
        <v>52</v>
      </c>
      <c r="E298" s="115"/>
      <c r="F298" s="116"/>
      <c r="G298" s="113" t="s">
        <v>1324</v>
      </c>
      <c r="H298" s="113" t="s">
        <v>1365</v>
      </c>
      <c r="I298" s="113" t="s">
        <v>1334</v>
      </c>
      <c r="J298" s="117" t="s">
        <v>1346</v>
      </c>
      <c r="K298" s="118"/>
      <c r="L298" s="109">
        <v>3</v>
      </c>
      <c r="M298" s="109">
        <v>3</v>
      </c>
      <c r="N298" s="109"/>
      <c r="O298" s="119"/>
      <c r="P298" s="2">
        <f t="shared" si="64"/>
        <v>1</v>
      </c>
      <c r="Q298" s="110" t="str">
        <f>IF(AND(Drops!$D$45&gt;1,OR(U298&lt;&gt;U297,AND(ROW()=5,U297=U298))),VLOOKUP(U298,Drops!$D$26:$E$44,2,FALSE),"")</f>
        <v/>
      </c>
      <c r="R298" s="2" t="str">
        <f t="shared" si="65"/>
        <v/>
      </c>
      <c r="S298" s="2">
        <f t="shared" ca="1" si="66"/>
        <v>1</v>
      </c>
      <c r="T298" s="2">
        <f t="shared" si="67"/>
        <v>0</v>
      </c>
      <c r="U298" s="110" t="s">
        <v>1275</v>
      </c>
      <c r="V298" s="110">
        <v>7</v>
      </c>
      <c r="W298" s="110">
        <v>5</v>
      </c>
      <c r="X298" s="110">
        <v>6</v>
      </c>
      <c r="Y298" s="110">
        <v>0</v>
      </c>
      <c r="Z298" s="110">
        <v>0</v>
      </c>
      <c r="AA298" s="2">
        <f t="shared" si="68"/>
        <v>1</v>
      </c>
      <c r="AB298" s="2">
        <f t="shared" si="69"/>
        <v>0</v>
      </c>
      <c r="AC298" s="2">
        <f t="shared" si="70"/>
        <v>1</v>
      </c>
      <c r="AD298" s="2">
        <f t="shared" si="71"/>
        <v>1</v>
      </c>
      <c r="AE298" s="2">
        <f t="shared" si="72"/>
        <v>1</v>
      </c>
      <c r="AF298" s="2">
        <f t="shared" si="73"/>
        <v>0</v>
      </c>
      <c r="AG298" s="2">
        <f t="shared" si="74"/>
        <v>2</v>
      </c>
      <c r="AH298" s="2">
        <f t="shared" si="75"/>
        <v>2</v>
      </c>
      <c r="AI298" s="2">
        <f t="shared" si="76"/>
        <v>2</v>
      </c>
      <c r="AJ298" s="2">
        <f t="shared" si="77"/>
        <v>2</v>
      </c>
      <c r="AK298" s="2">
        <f t="shared" si="78"/>
        <v>2</v>
      </c>
      <c r="AL298" s="2">
        <f t="shared" si="79"/>
        <v>0</v>
      </c>
      <c r="AM298" s="115"/>
      <c r="AN298" s="115"/>
      <c r="AO298" s="63"/>
    </row>
    <row r="299" spans="1:41" ht="28.8" x14ac:dyDescent="0.55000000000000004">
      <c r="A299" s="36">
        <v>2008</v>
      </c>
      <c r="B299" s="113" t="s">
        <v>1382</v>
      </c>
      <c r="C299" s="139" t="s">
        <v>1383</v>
      </c>
      <c r="D299" s="114" t="s">
        <v>52</v>
      </c>
      <c r="E299" s="115"/>
      <c r="F299" s="116"/>
      <c r="G299" s="113" t="s">
        <v>1324</v>
      </c>
      <c r="H299" s="113" t="s">
        <v>1365</v>
      </c>
      <c r="I299" s="113"/>
      <c r="J299" s="117" t="s">
        <v>1384</v>
      </c>
      <c r="K299" s="118"/>
      <c r="L299" s="109">
        <v>3</v>
      </c>
      <c r="M299" s="109">
        <v>3</v>
      </c>
      <c r="N299" s="109"/>
      <c r="O299" s="119"/>
      <c r="P299" s="2">
        <f t="shared" si="64"/>
        <v>1</v>
      </c>
      <c r="Q299" s="110" t="str">
        <f>IF(AND(Drops!$D$45&gt;1,OR(U299&lt;&gt;U298,AND(ROW()=5,U298=U299))),VLOOKUP(U299,Drops!$D$26:$E$44,2,FALSE),"")</f>
        <v/>
      </c>
      <c r="R299" s="2" t="str">
        <f t="shared" si="65"/>
        <v/>
      </c>
      <c r="S299" s="2">
        <f t="shared" ca="1" si="66"/>
        <v>1</v>
      </c>
      <c r="T299" s="2">
        <f t="shared" si="67"/>
        <v>0</v>
      </c>
      <c r="U299" s="110" t="s">
        <v>1275</v>
      </c>
      <c r="V299" s="110">
        <v>7</v>
      </c>
      <c r="W299" s="110">
        <v>5</v>
      </c>
      <c r="X299" s="110">
        <v>7</v>
      </c>
      <c r="Y299" s="110">
        <v>0</v>
      </c>
      <c r="Z299" s="110">
        <v>0</v>
      </c>
      <c r="AA299" s="2">
        <f t="shared" si="68"/>
        <v>1</v>
      </c>
      <c r="AB299" s="2">
        <f t="shared" si="69"/>
        <v>0</v>
      </c>
      <c r="AC299" s="2">
        <f t="shared" si="70"/>
        <v>1</v>
      </c>
      <c r="AD299" s="2">
        <f t="shared" si="71"/>
        <v>1</v>
      </c>
      <c r="AE299" s="2">
        <f t="shared" si="72"/>
        <v>1</v>
      </c>
      <c r="AF299" s="2">
        <f t="shared" si="73"/>
        <v>0</v>
      </c>
      <c r="AG299" s="2">
        <f t="shared" si="74"/>
        <v>2</v>
      </c>
      <c r="AH299" s="2">
        <f t="shared" si="75"/>
        <v>2</v>
      </c>
      <c r="AI299" s="2">
        <f t="shared" si="76"/>
        <v>2</v>
      </c>
      <c r="AJ299" s="2">
        <f t="shared" si="77"/>
        <v>2</v>
      </c>
      <c r="AK299" s="2">
        <f t="shared" si="78"/>
        <v>2</v>
      </c>
      <c r="AL299" s="2">
        <f t="shared" si="79"/>
        <v>0</v>
      </c>
      <c r="AM299" s="115"/>
      <c r="AN299" s="115"/>
      <c r="AO299" s="63"/>
    </row>
    <row r="300" spans="1:41" ht="28.8" x14ac:dyDescent="0.55000000000000004">
      <c r="A300" s="36">
        <v>3212</v>
      </c>
      <c r="B300" s="113" t="s">
        <v>1385</v>
      </c>
      <c r="C300" s="139" t="s">
        <v>1386</v>
      </c>
      <c r="D300" s="114" t="s">
        <v>52</v>
      </c>
      <c r="E300" s="115"/>
      <c r="F300" s="116"/>
      <c r="G300" s="113" t="s">
        <v>1324</v>
      </c>
      <c r="H300" s="113" t="s">
        <v>1365</v>
      </c>
      <c r="I300" s="113"/>
      <c r="J300" s="117" t="s">
        <v>1384</v>
      </c>
      <c r="K300" s="118"/>
      <c r="L300" s="109">
        <v>3</v>
      </c>
      <c r="M300" s="109">
        <v>2</v>
      </c>
      <c r="N300" s="109"/>
      <c r="O300" s="119"/>
      <c r="P300" s="2">
        <f t="shared" si="64"/>
        <v>1</v>
      </c>
      <c r="Q300" s="110" t="str">
        <f>IF(AND(Drops!$D$45&gt;1,OR(U300&lt;&gt;U299,AND(ROW()=5,U299=U300))),VLOOKUP(U300,Drops!$D$26:$E$44,2,FALSE),"")</f>
        <v/>
      </c>
      <c r="R300" s="2" t="str">
        <f t="shared" si="65"/>
        <v/>
      </c>
      <c r="S300" s="2">
        <f t="shared" ca="1" si="66"/>
        <v>1</v>
      </c>
      <c r="T300" s="2">
        <f t="shared" si="67"/>
        <v>0</v>
      </c>
      <c r="U300" s="110" t="s">
        <v>1275</v>
      </c>
      <c r="V300" s="110">
        <v>7</v>
      </c>
      <c r="W300" s="110">
        <v>5</v>
      </c>
      <c r="X300" s="110">
        <v>8</v>
      </c>
      <c r="Y300" s="110">
        <v>0</v>
      </c>
      <c r="Z300" s="110">
        <v>0</v>
      </c>
      <c r="AA300" s="2">
        <f t="shared" si="68"/>
        <v>1</v>
      </c>
      <c r="AB300" s="2">
        <f t="shared" si="69"/>
        <v>0</v>
      </c>
      <c r="AC300" s="2">
        <f t="shared" si="70"/>
        <v>1</v>
      </c>
      <c r="AD300" s="2">
        <f t="shared" si="71"/>
        <v>1</v>
      </c>
      <c r="AE300" s="2">
        <f t="shared" si="72"/>
        <v>1</v>
      </c>
      <c r="AF300" s="2">
        <f t="shared" si="73"/>
        <v>0</v>
      </c>
      <c r="AG300" s="2">
        <f t="shared" si="74"/>
        <v>2</v>
      </c>
      <c r="AH300" s="2">
        <f t="shared" si="75"/>
        <v>2</v>
      </c>
      <c r="AI300" s="2">
        <f t="shared" si="76"/>
        <v>2</v>
      </c>
      <c r="AJ300" s="2">
        <f t="shared" si="77"/>
        <v>2</v>
      </c>
      <c r="AK300" s="2">
        <f t="shared" si="78"/>
        <v>2</v>
      </c>
      <c r="AL300" s="2">
        <f t="shared" si="79"/>
        <v>0</v>
      </c>
      <c r="AM300" s="115"/>
      <c r="AN300" s="115"/>
      <c r="AO300" s="63"/>
    </row>
    <row r="301" spans="1:41" ht="86.4" x14ac:dyDescent="0.55000000000000004">
      <c r="A301" s="36">
        <v>1977</v>
      </c>
      <c r="B301" s="113" t="s">
        <v>1387</v>
      </c>
      <c r="C301" s="139" t="s">
        <v>1388</v>
      </c>
      <c r="D301" s="114" t="s">
        <v>52</v>
      </c>
      <c r="E301" s="115"/>
      <c r="F301" s="116"/>
      <c r="G301" s="113" t="s">
        <v>1324</v>
      </c>
      <c r="H301" s="113" t="s">
        <v>1365</v>
      </c>
      <c r="I301" s="113"/>
      <c r="J301" s="117" t="s">
        <v>1366</v>
      </c>
      <c r="K301" s="118"/>
      <c r="L301" s="109">
        <v>3</v>
      </c>
      <c r="M301" s="109">
        <v>2</v>
      </c>
      <c r="N301" s="109"/>
      <c r="O301" s="119"/>
      <c r="P301" s="2">
        <f t="shared" si="64"/>
        <v>1</v>
      </c>
      <c r="Q301" s="110" t="str">
        <f>IF(AND(Drops!$D$45&gt;1,OR(U301&lt;&gt;U300,AND(ROW()=5,U300=U301))),VLOOKUP(U301,Drops!$D$26:$E$44,2,FALSE),"")</f>
        <v/>
      </c>
      <c r="R301" s="2" t="str">
        <f t="shared" si="65"/>
        <v/>
      </c>
      <c r="S301" s="2">
        <f t="shared" ca="1" si="66"/>
        <v>1</v>
      </c>
      <c r="T301" s="2">
        <f t="shared" si="67"/>
        <v>0</v>
      </c>
      <c r="U301" s="110" t="s">
        <v>1275</v>
      </c>
      <c r="V301" s="110">
        <v>7</v>
      </c>
      <c r="W301" s="110">
        <v>5</v>
      </c>
      <c r="X301" s="110">
        <v>9</v>
      </c>
      <c r="Y301" s="110">
        <v>0</v>
      </c>
      <c r="Z301" s="110">
        <v>0</v>
      </c>
      <c r="AA301" s="2">
        <f t="shared" si="68"/>
        <v>1</v>
      </c>
      <c r="AB301" s="2">
        <f t="shared" si="69"/>
        <v>0</v>
      </c>
      <c r="AC301" s="2">
        <f t="shared" si="70"/>
        <v>1</v>
      </c>
      <c r="AD301" s="2">
        <f t="shared" si="71"/>
        <v>1</v>
      </c>
      <c r="AE301" s="2">
        <f t="shared" si="72"/>
        <v>1</v>
      </c>
      <c r="AF301" s="2">
        <f t="shared" si="73"/>
        <v>0</v>
      </c>
      <c r="AG301" s="2">
        <f t="shared" si="74"/>
        <v>2</v>
      </c>
      <c r="AH301" s="2">
        <f t="shared" si="75"/>
        <v>2</v>
      </c>
      <c r="AI301" s="2">
        <f t="shared" si="76"/>
        <v>2</v>
      </c>
      <c r="AJ301" s="2">
        <f t="shared" si="77"/>
        <v>2</v>
      </c>
      <c r="AK301" s="2">
        <f t="shared" si="78"/>
        <v>2</v>
      </c>
      <c r="AL301" s="2">
        <f t="shared" si="79"/>
        <v>0</v>
      </c>
      <c r="AM301" s="115"/>
      <c r="AN301" s="115"/>
      <c r="AO301" s="63"/>
    </row>
    <row r="302" spans="1:41" ht="28.8" x14ac:dyDescent="0.55000000000000004">
      <c r="A302" s="36">
        <v>4236</v>
      </c>
      <c r="B302" s="113" t="s">
        <v>1389</v>
      </c>
      <c r="C302" s="139" t="s">
        <v>1390</v>
      </c>
      <c r="D302" s="114" t="s">
        <v>55</v>
      </c>
      <c r="E302" s="115" t="s">
        <v>1391</v>
      </c>
      <c r="F302" s="116"/>
      <c r="G302" s="113" t="s">
        <v>1324</v>
      </c>
      <c r="H302" s="113" t="s">
        <v>1365</v>
      </c>
      <c r="I302" s="113"/>
      <c r="J302" s="117" t="s">
        <v>1330</v>
      </c>
      <c r="K302" s="118"/>
      <c r="L302" s="109">
        <v>3</v>
      </c>
      <c r="M302" s="109">
        <v>3</v>
      </c>
      <c r="N302" s="109"/>
      <c r="O302" s="119"/>
      <c r="P302" s="2">
        <f t="shared" si="64"/>
        <v>2</v>
      </c>
      <c r="Q302" s="110" t="str">
        <f>IF(AND(Drops!$D$45&gt;1,OR(U302&lt;&gt;U301,AND(ROW()=5,U301=U302))),VLOOKUP(U302,Drops!$D$26:$E$44,2,FALSE),"")</f>
        <v/>
      </c>
      <c r="R302" s="2" t="str">
        <f t="shared" si="65"/>
        <v/>
      </c>
      <c r="S302" s="2">
        <f t="shared" ca="1" si="66"/>
        <v>2</v>
      </c>
      <c r="T302" s="2">
        <f t="shared" si="67"/>
        <v>0</v>
      </c>
      <c r="U302" s="110" t="s">
        <v>1275</v>
      </c>
      <c r="V302" s="110">
        <v>7</v>
      </c>
      <c r="W302" s="110">
        <v>5</v>
      </c>
      <c r="X302" s="110">
        <v>10</v>
      </c>
      <c r="Y302" s="110">
        <v>0</v>
      </c>
      <c r="Z302" s="110">
        <v>0</v>
      </c>
      <c r="AA302" s="2">
        <f t="shared" si="68"/>
        <v>1</v>
      </c>
      <c r="AB302" s="2">
        <f t="shared" si="69"/>
        <v>0</v>
      </c>
      <c r="AC302" s="2">
        <f t="shared" si="70"/>
        <v>1</v>
      </c>
      <c r="AD302" s="2">
        <f t="shared" si="71"/>
        <v>1</v>
      </c>
      <c r="AE302" s="2">
        <f t="shared" si="72"/>
        <v>2</v>
      </c>
      <c r="AF302" s="2">
        <f t="shared" si="73"/>
        <v>2</v>
      </c>
      <c r="AG302" s="2">
        <f t="shared" si="74"/>
        <v>2</v>
      </c>
      <c r="AH302" s="2">
        <f t="shared" si="75"/>
        <v>2</v>
      </c>
      <c r="AI302" s="2">
        <f t="shared" si="76"/>
        <v>2</v>
      </c>
      <c r="AJ302" s="2">
        <f t="shared" si="77"/>
        <v>1</v>
      </c>
      <c r="AK302" s="2">
        <f t="shared" si="78"/>
        <v>2</v>
      </c>
      <c r="AL302" s="2">
        <f t="shared" si="79"/>
        <v>0</v>
      </c>
      <c r="AM302" s="115"/>
      <c r="AN302" s="115"/>
      <c r="AO302" s="63"/>
    </row>
    <row r="303" spans="1:41" ht="28.8" x14ac:dyDescent="0.55000000000000004">
      <c r="A303" s="36">
        <v>5830</v>
      </c>
      <c r="B303" s="113" t="s">
        <v>1392</v>
      </c>
      <c r="C303" s="138" t="s">
        <v>1393</v>
      </c>
      <c r="D303" s="114" t="s">
        <v>52</v>
      </c>
      <c r="E303" s="115"/>
      <c r="F303" s="116"/>
      <c r="G303" s="113" t="s">
        <v>1271</v>
      </c>
      <c r="H303" s="113" t="s">
        <v>1272</v>
      </c>
      <c r="I303" s="113" t="s">
        <v>1334</v>
      </c>
      <c r="J303" s="117" t="s">
        <v>1394</v>
      </c>
      <c r="K303" s="118"/>
      <c r="L303" s="109">
        <v>2</v>
      </c>
      <c r="M303" s="109">
        <v>3</v>
      </c>
      <c r="N303" s="109"/>
      <c r="O303" s="119"/>
      <c r="P303" s="2">
        <f t="shared" si="64"/>
        <v>1</v>
      </c>
      <c r="Q303" s="110" t="str">
        <f>IF(AND(Drops!$D$45&gt;1,OR(U303&lt;&gt;U302,AND(ROW()=5,U302=U303))),VLOOKUP(U303,Drops!$D$26:$E$44,2,FALSE),"")</f>
        <v/>
      </c>
      <c r="R303" s="2" t="str">
        <f t="shared" si="65"/>
        <v/>
      </c>
      <c r="S303" s="2">
        <f t="shared" ca="1" si="66"/>
        <v>1</v>
      </c>
      <c r="T303" s="2">
        <f t="shared" si="67"/>
        <v>0</v>
      </c>
      <c r="U303" s="110" t="s">
        <v>1275</v>
      </c>
      <c r="V303" s="110">
        <v>7</v>
      </c>
      <c r="W303" s="110">
        <v>6</v>
      </c>
      <c r="X303" s="110">
        <v>0</v>
      </c>
      <c r="Y303" s="110">
        <v>0</v>
      </c>
      <c r="Z303" s="110">
        <v>0</v>
      </c>
      <c r="AA303" s="2">
        <f t="shared" si="68"/>
        <v>1</v>
      </c>
      <c r="AB303" s="2">
        <f t="shared" si="69"/>
        <v>0</v>
      </c>
      <c r="AC303" s="2">
        <f t="shared" si="70"/>
        <v>1</v>
      </c>
      <c r="AD303" s="2">
        <f t="shared" si="71"/>
        <v>1</v>
      </c>
      <c r="AE303" s="2">
        <f t="shared" si="72"/>
        <v>0</v>
      </c>
      <c r="AF303" s="2">
        <f t="shared" si="73"/>
        <v>2</v>
      </c>
      <c r="AG303" s="2">
        <f t="shared" si="74"/>
        <v>2</v>
      </c>
      <c r="AH303" s="2">
        <f t="shared" si="75"/>
        <v>2</v>
      </c>
      <c r="AI303" s="2">
        <f t="shared" si="76"/>
        <v>2</v>
      </c>
      <c r="AJ303" s="2">
        <f t="shared" si="77"/>
        <v>0</v>
      </c>
      <c r="AK303" s="2">
        <f t="shared" si="78"/>
        <v>2</v>
      </c>
      <c r="AL303" s="2">
        <f t="shared" si="79"/>
        <v>0</v>
      </c>
      <c r="AM303" s="115"/>
      <c r="AN303" s="115"/>
      <c r="AO303" s="63"/>
    </row>
    <row r="304" spans="1:41" ht="28.8" x14ac:dyDescent="0.55000000000000004">
      <c r="A304" s="36">
        <v>1910</v>
      </c>
      <c r="B304" s="113" t="s">
        <v>261</v>
      </c>
      <c r="C304" s="113" t="s">
        <v>1395</v>
      </c>
      <c r="D304" s="114" t="s">
        <v>52</v>
      </c>
      <c r="E304" s="115"/>
      <c r="F304" s="116"/>
      <c r="G304" s="113" t="s">
        <v>1324</v>
      </c>
      <c r="H304" s="113" t="s">
        <v>1396</v>
      </c>
      <c r="I304" s="113"/>
      <c r="J304" s="117" t="s">
        <v>1330</v>
      </c>
      <c r="K304" s="118"/>
      <c r="L304" s="109">
        <v>1</v>
      </c>
      <c r="M304" s="109">
        <v>2</v>
      </c>
      <c r="N304" s="109"/>
      <c r="O304" s="119"/>
      <c r="P304" s="2">
        <f t="shared" si="64"/>
        <v>1</v>
      </c>
      <c r="Q304" s="110" t="str">
        <f>IF(AND(Drops!$D$45&gt;1,OR(U304&lt;&gt;U303,AND(ROW()=5,U303=U304))),VLOOKUP(U304,Drops!$D$26:$E$44,2,FALSE),"")</f>
        <v/>
      </c>
      <c r="R304" s="2" t="str">
        <f t="shared" si="65"/>
        <v/>
      </c>
      <c r="S304" s="2">
        <f t="shared" ca="1" si="66"/>
        <v>1</v>
      </c>
      <c r="T304" s="2">
        <f t="shared" si="67"/>
        <v>1</v>
      </c>
      <c r="U304" s="110" t="s">
        <v>1275</v>
      </c>
      <c r="V304" s="110">
        <v>8</v>
      </c>
      <c r="W304" s="110">
        <v>0</v>
      </c>
      <c r="X304" s="110">
        <v>0</v>
      </c>
      <c r="Y304" s="110">
        <v>0</v>
      </c>
      <c r="Z304" s="110">
        <v>0</v>
      </c>
      <c r="AA304" s="2">
        <f t="shared" si="68"/>
        <v>1</v>
      </c>
      <c r="AB304" s="2">
        <f t="shared" si="69"/>
        <v>1</v>
      </c>
      <c r="AC304" s="2">
        <f t="shared" si="70"/>
        <v>1</v>
      </c>
      <c r="AD304" s="2">
        <f t="shared" si="71"/>
        <v>0</v>
      </c>
      <c r="AE304" s="2">
        <f t="shared" si="72"/>
        <v>0</v>
      </c>
      <c r="AF304" s="2">
        <f t="shared" si="73"/>
        <v>2</v>
      </c>
      <c r="AG304" s="2">
        <f t="shared" si="74"/>
        <v>2</v>
      </c>
      <c r="AH304" s="2">
        <f t="shared" si="75"/>
        <v>2</v>
      </c>
      <c r="AI304" s="2">
        <f t="shared" si="76"/>
        <v>2</v>
      </c>
      <c r="AJ304" s="2">
        <f t="shared" si="77"/>
        <v>0</v>
      </c>
      <c r="AK304" s="2">
        <f t="shared" si="78"/>
        <v>2</v>
      </c>
      <c r="AL304" s="2">
        <f t="shared" si="79"/>
        <v>0</v>
      </c>
      <c r="AM304" s="115"/>
      <c r="AN304" s="115"/>
      <c r="AO304" s="63"/>
    </row>
    <row r="305" spans="1:41" ht="43.2" x14ac:dyDescent="0.55000000000000004">
      <c r="A305" s="36">
        <v>4447</v>
      </c>
      <c r="B305" s="113" t="s">
        <v>1397</v>
      </c>
      <c r="C305" s="138" t="s">
        <v>1398</v>
      </c>
      <c r="D305" s="114" t="s">
        <v>52</v>
      </c>
      <c r="E305" s="115"/>
      <c r="F305" s="116"/>
      <c r="G305" s="113" t="s">
        <v>1324</v>
      </c>
      <c r="H305" s="113" t="s">
        <v>1396</v>
      </c>
      <c r="I305" s="113" t="s">
        <v>1399</v>
      </c>
      <c r="J305" s="117" t="s">
        <v>1400</v>
      </c>
      <c r="K305" s="118"/>
      <c r="L305" s="109">
        <v>2</v>
      </c>
      <c r="M305" s="109">
        <v>3</v>
      </c>
      <c r="N305" s="109"/>
      <c r="O305" s="119"/>
      <c r="P305" s="2">
        <f t="shared" si="64"/>
        <v>1</v>
      </c>
      <c r="Q305" s="110" t="str">
        <f>IF(AND(Drops!$D$45&gt;1,OR(U305&lt;&gt;U304,AND(ROW()=5,U304=U305))),VLOOKUP(U305,Drops!$D$26:$E$44,2,FALSE),"")</f>
        <v/>
      </c>
      <c r="R305" s="2" t="str">
        <f t="shared" si="65"/>
        <v/>
      </c>
      <c r="S305" s="2">
        <f t="shared" ca="1" si="66"/>
        <v>1</v>
      </c>
      <c r="T305" s="2">
        <f t="shared" si="67"/>
        <v>0</v>
      </c>
      <c r="U305" s="110" t="s">
        <v>1275</v>
      </c>
      <c r="V305" s="110">
        <v>8</v>
      </c>
      <c r="W305" s="110">
        <v>1</v>
      </c>
      <c r="X305" s="110">
        <v>0</v>
      </c>
      <c r="Y305" s="110">
        <v>0</v>
      </c>
      <c r="Z305" s="110">
        <v>0</v>
      </c>
      <c r="AA305" s="2">
        <f t="shared" si="68"/>
        <v>1</v>
      </c>
      <c r="AB305" s="2">
        <f t="shared" si="69"/>
        <v>0</v>
      </c>
      <c r="AC305" s="2">
        <f t="shared" si="70"/>
        <v>1</v>
      </c>
      <c r="AD305" s="2">
        <f t="shared" si="71"/>
        <v>1</v>
      </c>
      <c r="AE305" s="2">
        <f t="shared" si="72"/>
        <v>0</v>
      </c>
      <c r="AF305" s="2">
        <f t="shared" si="73"/>
        <v>2</v>
      </c>
      <c r="AG305" s="2">
        <f t="shared" si="74"/>
        <v>2</v>
      </c>
      <c r="AH305" s="2">
        <f t="shared" si="75"/>
        <v>2</v>
      </c>
      <c r="AI305" s="2">
        <f t="shared" si="76"/>
        <v>2</v>
      </c>
      <c r="AJ305" s="2">
        <f t="shared" si="77"/>
        <v>0</v>
      </c>
      <c r="AK305" s="2">
        <f t="shared" si="78"/>
        <v>2</v>
      </c>
      <c r="AL305" s="2">
        <f t="shared" si="79"/>
        <v>0</v>
      </c>
      <c r="AM305" s="115"/>
      <c r="AN305" s="115"/>
      <c r="AO305" s="63"/>
    </row>
    <row r="306" spans="1:41" ht="28.8" x14ac:dyDescent="0.55000000000000004">
      <c r="A306" s="36">
        <v>4448</v>
      </c>
      <c r="B306" s="113" t="s">
        <v>1401</v>
      </c>
      <c r="C306" s="138" t="s">
        <v>1402</v>
      </c>
      <c r="D306" s="114" t="s">
        <v>52</v>
      </c>
      <c r="E306" s="115"/>
      <c r="F306" s="116"/>
      <c r="G306" s="113" t="s">
        <v>1324</v>
      </c>
      <c r="H306" s="113" t="s">
        <v>1396</v>
      </c>
      <c r="I306" s="113"/>
      <c r="J306" s="117" t="s">
        <v>1330</v>
      </c>
      <c r="K306" s="118"/>
      <c r="L306" s="109">
        <v>2</v>
      </c>
      <c r="M306" s="109">
        <v>3</v>
      </c>
      <c r="N306" s="109"/>
      <c r="O306" s="119"/>
      <c r="P306" s="2">
        <f t="shared" si="64"/>
        <v>1</v>
      </c>
      <c r="Q306" s="110" t="str">
        <f>IF(AND(Drops!$D$45&gt;1,OR(U306&lt;&gt;U305,AND(ROW()=5,U305=U306))),VLOOKUP(U306,Drops!$D$26:$E$44,2,FALSE),"")</f>
        <v/>
      </c>
      <c r="R306" s="2" t="str">
        <f t="shared" si="65"/>
        <v/>
      </c>
      <c r="S306" s="2">
        <f t="shared" ca="1" si="66"/>
        <v>1</v>
      </c>
      <c r="T306" s="2">
        <f t="shared" si="67"/>
        <v>0</v>
      </c>
      <c r="U306" s="110" t="s">
        <v>1275</v>
      </c>
      <c r="V306" s="110">
        <v>8</v>
      </c>
      <c r="W306" s="110">
        <v>2</v>
      </c>
      <c r="X306" s="110">
        <v>0</v>
      </c>
      <c r="Y306" s="110">
        <v>0</v>
      </c>
      <c r="Z306" s="110">
        <v>0</v>
      </c>
      <c r="AA306" s="2">
        <f t="shared" si="68"/>
        <v>1</v>
      </c>
      <c r="AB306" s="2">
        <f t="shared" si="69"/>
        <v>0</v>
      </c>
      <c r="AC306" s="2">
        <f t="shared" si="70"/>
        <v>1</v>
      </c>
      <c r="AD306" s="2">
        <f t="shared" si="71"/>
        <v>1</v>
      </c>
      <c r="AE306" s="2">
        <f t="shared" si="72"/>
        <v>0</v>
      </c>
      <c r="AF306" s="2">
        <f t="shared" si="73"/>
        <v>2</v>
      </c>
      <c r="AG306" s="2">
        <f t="shared" si="74"/>
        <v>2</v>
      </c>
      <c r="AH306" s="2">
        <f t="shared" si="75"/>
        <v>2</v>
      </c>
      <c r="AI306" s="2">
        <f t="shared" si="76"/>
        <v>2</v>
      </c>
      <c r="AJ306" s="2">
        <f t="shared" si="77"/>
        <v>0</v>
      </c>
      <c r="AK306" s="2">
        <f t="shared" si="78"/>
        <v>2</v>
      </c>
      <c r="AL306" s="2">
        <f t="shared" si="79"/>
        <v>0</v>
      </c>
      <c r="AM306" s="115"/>
      <c r="AN306" s="115"/>
      <c r="AO306" s="63"/>
    </row>
    <row r="307" spans="1:41" ht="57.6" x14ac:dyDescent="0.55000000000000004">
      <c r="A307" s="36">
        <v>1981</v>
      </c>
      <c r="B307" s="113" t="s">
        <v>263</v>
      </c>
      <c r="C307" s="113" t="s">
        <v>1403</v>
      </c>
      <c r="D307" s="114" t="s">
        <v>52</v>
      </c>
      <c r="E307" s="115"/>
      <c r="F307" s="116"/>
      <c r="G307" s="113" t="s">
        <v>1324</v>
      </c>
      <c r="H307" s="113" t="s">
        <v>1404</v>
      </c>
      <c r="I307" s="113" t="s">
        <v>1180</v>
      </c>
      <c r="J307" s="117" t="s">
        <v>1405</v>
      </c>
      <c r="K307" s="118"/>
      <c r="L307" s="109">
        <v>1</v>
      </c>
      <c r="M307" s="109">
        <v>2</v>
      </c>
      <c r="N307" s="109"/>
      <c r="O307" s="119"/>
      <c r="P307" s="2">
        <f t="shared" si="64"/>
        <v>1</v>
      </c>
      <c r="Q307" s="110" t="str">
        <f>IF(AND(Drops!$D$45&gt;1,OR(U307&lt;&gt;U306,AND(ROW()=5,U306=U307))),VLOOKUP(U307,Drops!$D$26:$E$44,2,FALSE),"")</f>
        <v/>
      </c>
      <c r="R307" s="2" t="str">
        <f t="shared" si="65"/>
        <v/>
      </c>
      <c r="S307" s="2">
        <f t="shared" ca="1" si="66"/>
        <v>1</v>
      </c>
      <c r="T307" s="2">
        <f t="shared" si="67"/>
        <v>1</v>
      </c>
      <c r="U307" s="110" t="s">
        <v>1275</v>
      </c>
      <c r="V307" s="110">
        <v>9</v>
      </c>
      <c r="W307" s="110">
        <v>0</v>
      </c>
      <c r="X307" s="110">
        <v>0</v>
      </c>
      <c r="Y307" s="110">
        <v>0</v>
      </c>
      <c r="Z307" s="110">
        <v>0</v>
      </c>
      <c r="AA307" s="2">
        <f t="shared" si="68"/>
        <v>1</v>
      </c>
      <c r="AB307" s="2">
        <f t="shared" si="69"/>
        <v>1</v>
      </c>
      <c r="AC307" s="2">
        <f t="shared" si="70"/>
        <v>1</v>
      </c>
      <c r="AD307" s="2">
        <f t="shared" si="71"/>
        <v>0</v>
      </c>
      <c r="AE307" s="2">
        <f t="shared" si="72"/>
        <v>0</v>
      </c>
      <c r="AF307" s="2">
        <f t="shared" si="73"/>
        <v>2</v>
      </c>
      <c r="AG307" s="2">
        <f t="shared" si="74"/>
        <v>2</v>
      </c>
      <c r="AH307" s="2">
        <f t="shared" si="75"/>
        <v>2</v>
      </c>
      <c r="AI307" s="2">
        <f t="shared" si="76"/>
        <v>2</v>
      </c>
      <c r="AJ307" s="2">
        <f t="shared" si="77"/>
        <v>0</v>
      </c>
      <c r="AK307" s="2">
        <f t="shared" si="78"/>
        <v>2</v>
      </c>
      <c r="AL307" s="2">
        <f t="shared" si="79"/>
        <v>0</v>
      </c>
      <c r="AM307" s="115"/>
      <c r="AN307" s="115"/>
      <c r="AO307" s="63"/>
    </row>
    <row r="308" spans="1:41" ht="57.6" x14ac:dyDescent="0.55000000000000004">
      <c r="A308" s="36">
        <v>2664</v>
      </c>
      <c r="B308" s="113" t="s">
        <v>1406</v>
      </c>
      <c r="C308" s="138" t="s">
        <v>1407</v>
      </c>
      <c r="D308" s="114" t="s">
        <v>52</v>
      </c>
      <c r="E308" s="115"/>
      <c r="F308" s="116"/>
      <c r="G308" s="113" t="s">
        <v>1324</v>
      </c>
      <c r="H308" s="113" t="s">
        <v>1404</v>
      </c>
      <c r="I308" s="113"/>
      <c r="J308" s="117" t="s">
        <v>1405</v>
      </c>
      <c r="K308" s="118"/>
      <c r="L308" s="109">
        <v>2</v>
      </c>
      <c r="M308" s="109">
        <v>2</v>
      </c>
      <c r="N308" s="109"/>
      <c r="O308" s="119"/>
      <c r="P308" s="2">
        <f t="shared" si="64"/>
        <v>1</v>
      </c>
      <c r="Q308" s="110" t="str">
        <f>IF(AND(Drops!$D$45&gt;1,OR(U308&lt;&gt;U307,AND(ROW()=5,U307=U308))),VLOOKUP(U308,Drops!$D$26:$E$44,2,FALSE),"")</f>
        <v/>
      </c>
      <c r="R308" s="2" t="str">
        <f t="shared" si="65"/>
        <v/>
      </c>
      <c r="S308" s="2">
        <f t="shared" ca="1" si="66"/>
        <v>1</v>
      </c>
      <c r="T308" s="2">
        <f t="shared" si="67"/>
        <v>0</v>
      </c>
      <c r="U308" s="110" t="s">
        <v>1275</v>
      </c>
      <c r="V308" s="110">
        <v>9</v>
      </c>
      <c r="W308" s="110">
        <v>1</v>
      </c>
      <c r="X308" s="110">
        <v>0</v>
      </c>
      <c r="Y308" s="110">
        <v>0</v>
      </c>
      <c r="Z308" s="110">
        <v>0</v>
      </c>
      <c r="AA308" s="2">
        <f t="shared" si="68"/>
        <v>1</v>
      </c>
      <c r="AB308" s="2">
        <f t="shared" si="69"/>
        <v>0</v>
      </c>
      <c r="AC308" s="2">
        <f t="shared" si="70"/>
        <v>1</v>
      </c>
      <c r="AD308" s="2">
        <f t="shared" si="71"/>
        <v>1</v>
      </c>
      <c r="AE308" s="2">
        <f t="shared" si="72"/>
        <v>0</v>
      </c>
      <c r="AF308" s="2">
        <f t="shared" si="73"/>
        <v>2</v>
      </c>
      <c r="AG308" s="2">
        <f t="shared" si="74"/>
        <v>2</v>
      </c>
      <c r="AH308" s="2">
        <f t="shared" si="75"/>
        <v>2</v>
      </c>
      <c r="AI308" s="2">
        <f t="shared" si="76"/>
        <v>2</v>
      </c>
      <c r="AJ308" s="2">
        <f t="shared" si="77"/>
        <v>0</v>
      </c>
      <c r="AK308" s="2">
        <f t="shared" si="78"/>
        <v>2</v>
      </c>
      <c r="AL308" s="2">
        <f t="shared" si="79"/>
        <v>0</v>
      </c>
      <c r="AM308" s="115"/>
      <c r="AN308" s="115"/>
      <c r="AO308" s="63"/>
    </row>
    <row r="309" spans="1:41" ht="28.8" x14ac:dyDescent="0.55000000000000004">
      <c r="A309" s="36">
        <v>4732</v>
      </c>
      <c r="B309" s="113" t="s">
        <v>265</v>
      </c>
      <c r="C309" s="113" t="s">
        <v>1408</v>
      </c>
      <c r="D309" s="114" t="s">
        <v>52</v>
      </c>
      <c r="E309" s="115"/>
      <c r="F309" s="116"/>
      <c r="G309" s="113" t="s">
        <v>1324</v>
      </c>
      <c r="H309" s="113" t="s">
        <v>1409</v>
      </c>
      <c r="I309" s="113" t="s">
        <v>1410</v>
      </c>
      <c r="J309" s="117"/>
      <c r="K309" s="118"/>
      <c r="L309" s="109">
        <v>1</v>
      </c>
      <c r="M309" s="109">
        <v>3</v>
      </c>
      <c r="N309" s="109"/>
      <c r="O309" s="119"/>
      <c r="P309" s="2">
        <f t="shared" si="64"/>
        <v>1</v>
      </c>
      <c r="Q309" s="110" t="str">
        <f>IF(AND(Drops!$D$45&gt;1,OR(U309&lt;&gt;U308,AND(ROW()=5,U308=U309))),VLOOKUP(U309,Drops!$D$26:$E$44,2,FALSE),"")</f>
        <v/>
      </c>
      <c r="R309" s="2" t="str">
        <f t="shared" si="65"/>
        <v/>
      </c>
      <c r="S309" s="2">
        <f t="shared" ca="1" si="66"/>
        <v>1</v>
      </c>
      <c r="T309" s="2">
        <f t="shared" si="67"/>
        <v>1</v>
      </c>
      <c r="U309" s="110" t="s">
        <v>1275</v>
      </c>
      <c r="V309" s="110">
        <v>10</v>
      </c>
      <c r="W309" s="110">
        <v>0</v>
      </c>
      <c r="X309" s="110">
        <v>0</v>
      </c>
      <c r="Y309" s="110">
        <v>0</v>
      </c>
      <c r="Z309" s="110">
        <v>0</v>
      </c>
      <c r="AA309" s="2">
        <f t="shared" si="68"/>
        <v>1</v>
      </c>
      <c r="AB309" s="2">
        <f t="shared" si="69"/>
        <v>0</v>
      </c>
      <c r="AC309" s="2">
        <f t="shared" si="70"/>
        <v>1</v>
      </c>
      <c r="AD309" s="2">
        <f t="shared" si="71"/>
        <v>0</v>
      </c>
      <c r="AE309" s="2">
        <f t="shared" si="72"/>
        <v>0</v>
      </c>
      <c r="AF309" s="2">
        <f t="shared" si="73"/>
        <v>2</v>
      </c>
      <c r="AG309" s="2">
        <f t="shared" si="74"/>
        <v>2</v>
      </c>
      <c r="AH309" s="2">
        <f t="shared" si="75"/>
        <v>2</v>
      </c>
      <c r="AI309" s="2">
        <f t="shared" si="76"/>
        <v>2</v>
      </c>
      <c r="AJ309" s="2">
        <f t="shared" si="77"/>
        <v>0</v>
      </c>
      <c r="AK309" s="2">
        <f t="shared" si="78"/>
        <v>2</v>
      </c>
      <c r="AL309" s="2">
        <f t="shared" si="79"/>
        <v>0</v>
      </c>
      <c r="AM309" s="115"/>
      <c r="AN309" s="115"/>
      <c r="AO309" s="63"/>
    </row>
    <row r="310" spans="1:41" ht="43.2" x14ac:dyDescent="0.55000000000000004">
      <c r="A310" s="36">
        <v>4742</v>
      </c>
      <c r="B310" s="113" t="s">
        <v>267</v>
      </c>
      <c r="C310" s="113" t="s">
        <v>1411</v>
      </c>
      <c r="D310" s="114" t="s">
        <v>52</v>
      </c>
      <c r="E310" s="115"/>
      <c r="F310" s="116"/>
      <c r="G310" s="113" t="s">
        <v>1412</v>
      </c>
      <c r="H310" s="113" t="s">
        <v>1413</v>
      </c>
      <c r="I310" s="113" t="s">
        <v>1414</v>
      </c>
      <c r="J310" s="117" t="s">
        <v>1415</v>
      </c>
      <c r="K310" s="118"/>
      <c r="L310" s="109">
        <v>1</v>
      </c>
      <c r="M310" s="109">
        <v>2</v>
      </c>
      <c r="N310" s="109"/>
      <c r="O310" s="119"/>
      <c r="P310" s="2">
        <f t="shared" si="64"/>
        <v>1</v>
      </c>
      <c r="Q310" s="110" t="str">
        <f>IF(AND(Drops!$D$45&gt;1,OR(U310&lt;&gt;U309,AND(ROW()=5,U309=U310))),VLOOKUP(U310,Drops!$D$26:$E$44,2,FALSE),"")</f>
        <v/>
      </c>
      <c r="R310" s="2" t="str">
        <f t="shared" si="65"/>
        <v/>
      </c>
      <c r="S310" s="2">
        <f t="shared" ca="1" si="66"/>
        <v>1</v>
      </c>
      <c r="T310" s="2">
        <f t="shared" si="67"/>
        <v>1</v>
      </c>
      <c r="U310" s="110" t="s">
        <v>1275</v>
      </c>
      <c r="V310" s="110">
        <v>11</v>
      </c>
      <c r="W310" s="110">
        <v>0</v>
      </c>
      <c r="X310" s="110">
        <v>0</v>
      </c>
      <c r="Y310" s="110">
        <v>0</v>
      </c>
      <c r="Z310" s="110">
        <v>0</v>
      </c>
      <c r="AA310" s="2">
        <f t="shared" si="68"/>
        <v>1</v>
      </c>
      <c r="AB310" s="2">
        <f t="shared" si="69"/>
        <v>1</v>
      </c>
      <c r="AC310" s="2">
        <f t="shared" si="70"/>
        <v>1</v>
      </c>
      <c r="AD310" s="2">
        <f t="shared" si="71"/>
        <v>0</v>
      </c>
      <c r="AE310" s="2">
        <f t="shared" si="72"/>
        <v>0</v>
      </c>
      <c r="AF310" s="2">
        <f t="shared" si="73"/>
        <v>2</v>
      </c>
      <c r="AG310" s="2">
        <f t="shared" si="74"/>
        <v>2</v>
      </c>
      <c r="AH310" s="2">
        <f t="shared" si="75"/>
        <v>2</v>
      </c>
      <c r="AI310" s="2">
        <f t="shared" si="76"/>
        <v>2</v>
      </c>
      <c r="AJ310" s="2">
        <f t="shared" si="77"/>
        <v>0</v>
      </c>
      <c r="AK310" s="2">
        <f t="shared" si="78"/>
        <v>2</v>
      </c>
      <c r="AL310" s="2">
        <f t="shared" si="79"/>
        <v>0</v>
      </c>
      <c r="AM310" s="115"/>
      <c r="AN310" s="115"/>
      <c r="AO310" s="63"/>
    </row>
    <row r="311" spans="1:41" ht="43.2" x14ac:dyDescent="0.55000000000000004">
      <c r="A311" s="36">
        <v>3207</v>
      </c>
      <c r="B311" s="113" t="s">
        <v>1416</v>
      </c>
      <c r="C311" s="138" t="s">
        <v>1417</v>
      </c>
      <c r="D311" s="114" t="s">
        <v>52</v>
      </c>
      <c r="E311" s="115"/>
      <c r="F311" s="116"/>
      <c r="G311" s="113" t="s">
        <v>1412</v>
      </c>
      <c r="H311" s="113" t="s">
        <v>1413</v>
      </c>
      <c r="I311" s="113" t="s">
        <v>1414</v>
      </c>
      <c r="J311" s="117" t="s">
        <v>1418</v>
      </c>
      <c r="K311" s="118"/>
      <c r="L311" s="109">
        <v>2</v>
      </c>
      <c r="M311" s="109">
        <v>2</v>
      </c>
      <c r="N311" s="109"/>
      <c r="O311" s="119"/>
      <c r="P311" s="2">
        <f t="shared" si="64"/>
        <v>1</v>
      </c>
      <c r="Q311" s="110" t="str">
        <f>IF(AND(Drops!$D$45&gt;1,OR(U311&lt;&gt;U310,AND(ROW()=5,U310=U311))),VLOOKUP(U311,Drops!$D$26:$E$44,2,FALSE),"")</f>
        <v/>
      </c>
      <c r="R311" s="2" t="str">
        <f t="shared" si="65"/>
        <v/>
      </c>
      <c r="S311" s="2">
        <f t="shared" ca="1" si="66"/>
        <v>1</v>
      </c>
      <c r="T311" s="2">
        <f t="shared" si="67"/>
        <v>0</v>
      </c>
      <c r="U311" s="110" t="s">
        <v>1275</v>
      </c>
      <c r="V311" s="110">
        <v>11</v>
      </c>
      <c r="W311" s="110">
        <v>1</v>
      </c>
      <c r="X311" s="110">
        <v>0</v>
      </c>
      <c r="Y311" s="110">
        <v>0</v>
      </c>
      <c r="Z311" s="110">
        <v>0</v>
      </c>
      <c r="AA311" s="2">
        <f t="shared" si="68"/>
        <v>1</v>
      </c>
      <c r="AB311" s="2">
        <f t="shared" si="69"/>
        <v>1</v>
      </c>
      <c r="AC311" s="2">
        <f t="shared" si="70"/>
        <v>1</v>
      </c>
      <c r="AD311" s="2">
        <f t="shared" si="71"/>
        <v>1</v>
      </c>
      <c r="AE311" s="2">
        <f t="shared" si="72"/>
        <v>0</v>
      </c>
      <c r="AF311" s="2">
        <f t="shared" si="73"/>
        <v>2</v>
      </c>
      <c r="AG311" s="2">
        <f t="shared" si="74"/>
        <v>2</v>
      </c>
      <c r="AH311" s="2">
        <f t="shared" si="75"/>
        <v>2</v>
      </c>
      <c r="AI311" s="2">
        <f t="shared" si="76"/>
        <v>2</v>
      </c>
      <c r="AJ311" s="2">
        <f t="shared" si="77"/>
        <v>0</v>
      </c>
      <c r="AK311" s="2">
        <f t="shared" si="78"/>
        <v>2</v>
      </c>
      <c r="AL311" s="2">
        <f t="shared" si="79"/>
        <v>0</v>
      </c>
      <c r="AM311" s="115"/>
      <c r="AN311" s="115"/>
      <c r="AO311" s="63"/>
    </row>
    <row r="312" spans="1:41" ht="57.6" x14ac:dyDescent="0.55000000000000004">
      <c r="A312" s="36">
        <v>3208</v>
      </c>
      <c r="B312" s="113" t="s">
        <v>1419</v>
      </c>
      <c r="C312" s="139" t="s">
        <v>1420</v>
      </c>
      <c r="D312" s="114" t="s">
        <v>52</v>
      </c>
      <c r="E312" s="115"/>
      <c r="F312" s="116"/>
      <c r="G312" s="113" t="s">
        <v>1412</v>
      </c>
      <c r="H312" s="113" t="s">
        <v>1413</v>
      </c>
      <c r="I312" s="113"/>
      <c r="J312" s="117" t="s">
        <v>1421</v>
      </c>
      <c r="K312" s="118"/>
      <c r="L312" s="109">
        <v>3</v>
      </c>
      <c r="M312" s="109">
        <v>2</v>
      </c>
      <c r="N312" s="109"/>
      <c r="O312" s="119"/>
      <c r="P312" s="2">
        <f t="shared" si="64"/>
        <v>1</v>
      </c>
      <c r="Q312" s="110" t="str">
        <f>IF(AND(Drops!$D$45&gt;1,OR(U312&lt;&gt;U311,AND(ROW()=5,U311=U312))),VLOOKUP(U312,Drops!$D$26:$E$44,2,FALSE),"")</f>
        <v/>
      </c>
      <c r="R312" s="2" t="str">
        <f t="shared" si="65"/>
        <v/>
      </c>
      <c r="S312" s="2">
        <f t="shared" ca="1" si="66"/>
        <v>1</v>
      </c>
      <c r="T312" s="2">
        <f t="shared" si="67"/>
        <v>0</v>
      </c>
      <c r="U312" s="110" t="s">
        <v>1275</v>
      </c>
      <c r="V312" s="110">
        <v>11</v>
      </c>
      <c r="W312" s="110">
        <v>1</v>
      </c>
      <c r="X312" s="110">
        <v>2</v>
      </c>
      <c r="Y312" s="110">
        <v>0</v>
      </c>
      <c r="Z312" s="110">
        <v>0</v>
      </c>
      <c r="AA312" s="2">
        <f t="shared" si="68"/>
        <v>1</v>
      </c>
      <c r="AB312" s="2">
        <f t="shared" si="69"/>
        <v>0</v>
      </c>
      <c r="AC312" s="2">
        <f t="shared" si="70"/>
        <v>1</v>
      </c>
      <c r="AD312" s="2">
        <f t="shared" si="71"/>
        <v>1</v>
      </c>
      <c r="AE312" s="2">
        <f t="shared" si="72"/>
        <v>1</v>
      </c>
      <c r="AF312" s="2">
        <f t="shared" si="73"/>
        <v>2</v>
      </c>
      <c r="AG312" s="2">
        <f t="shared" si="74"/>
        <v>2</v>
      </c>
      <c r="AH312" s="2">
        <f t="shared" si="75"/>
        <v>2</v>
      </c>
      <c r="AI312" s="2">
        <f t="shared" si="76"/>
        <v>2</v>
      </c>
      <c r="AJ312" s="2">
        <f t="shared" si="77"/>
        <v>2</v>
      </c>
      <c r="AK312" s="2">
        <f t="shared" si="78"/>
        <v>2</v>
      </c>
      <c r="AL312" s="2">
        <f t="shared" si="79"/>
        <v>0</v>
      </c>
      <c r="AM312" s="115"/>
      <c r="AN312" s="115"/>
      <c r="AO312" s="63"/>
    </row>
    <row r="313" spans="1:41" ht="100.8" x14ac:dyDescent="0.55000000000000004">
      <c r="A313" s="36">
        <v>2654</v>
      </c>
      <c r="B313" s="113" t="s">
        <v>1422</v>
      </c>
      <c r="C313" s="138" t="s">
        <v>1423</v>
      </c>
      <c r="D313" s="114" t="s">
        <v>52</v>
      </c>
      <c r="E313" s="115"/>
      <c r="F313" s="116"/>
      <c r="G313" s="113" t="s">
        <v>1412</v>
      </c>
      <c r="H313" s="113" t="s">
        <v>1413</v>
      </c>
      <c r="I313" s="113" t="s">
        <v>792</v>
      </c>
      <c r="J313" s="117" t="s">
        <v>1424</v>
      </c>
      <c r="K313" s="118"/>
      <c r="L313" s="109">
        <v>2</v>
      </c>
      <c r="M313" s="109">
        <v>2</v>
      </c>
      <c r="N313" s="109"/>
      <c r="O313" s="119"/>
      <c r="P313" s="2">
        <f t="shared" si="64"/>
        <v>1</v>
      </c>
      <c r="Q313" s="110" t="str">
        <f>IF(AND(Drops!$D$45&gt;1,OR(U313&lt;&gt;U312,AND(ROW()=5,U312=U313))),VLOOKUP(U313,Drops!$D$26:$E$44,2,FALSE),"")</f>
        <v/>
      </c>
      <c r="R313" s="2" t="str">
        <f t="shared" si="65"/>
        <v/>
      </c>
      <c r="S313" s="2">
        <f t="shared" ca="1" si="66"/>
        <v>1</v>
      </c>
      <c r="T313" s="2">
        <f t="shared" si="67"/>
        <v>0</v>
      </c>
      <c r="U313" s="110" t="s">
        <v>1275</v>
      </c>
      <c r="V313" s="110">
        <v>11</v>
      </c>
      <c r="W313" s="110">
        <v>2</v>
      </c>
      <c r="X313" s="110">
        <v>0</v>
      </c>
      <c r="Y313" s="110">
        <v>0</v>
      </c>
      <c r="Z313" s="110">
        <v>0</v>
      </c>
      <c r="AA313" s="2">
        <f t="shared" si="68"/>
        <v>1</v>
      </c>
      <c r="AB313" s="2">
        <f t="shared" si="69"/>
        <v>0</v>
      </c>
      <c r="AC313" s="2">
        <f t="shared" si="70"/>
        <v>1</v>
      </c>
      <c r="AD313" s="2">
        <f t="shared" si="71"/>
        <v>1</v>
      </c>
      <c r="AE313" s="2">
        <f t="shared" si="72"/>
        <v>0</v>
      </c>
      <c r="AF313" s="2">
        <f t="shared" si="73"/>
        <v>2</v>
      </c>
      <c r="AG313" s="2">
        <f t="shared" si="74"/>
        <v>2</v>
      </c>
      <c r="AH313" s="2">
        <f t="shared" si="75"/>
        <v>2</v>
      </c>
      <c r="AI313" s="2">
        <f t="shared" si="76"/>
        <v>2</v>
      </c>
      <c r="AJ313" s="2">
        <f t="shared" si="77"/>
        <v>2</v>
      </c>
      <c r="AK313" s="2">
        <f t="shared" si="78"/>
        <v>2</v>
      </c>
      <c r="AL313" s="2">
        <f t="shared" si="79"/>
        <v>0</v>
      </c>
      <c r="AM313" s="115"/>
      <c r="AN313" s="115"/>
      <c r="AO313" s="63"/>
    </row>
    <row r="314" spans="1:41" ht="28.8" x14ac:dyDescent="0.55000000000000004">
      <c r="A314" s="36">
        <v>3391</v>
      </c>
      <c r="B314" s="113" t="s">
        <v>1425</v>
      </c>
      <c r="C314" s="138" t="s">
        <v>1426</v>
      </c>
      <c r="D314" s="114" t="s">
        <v>52</v>
      </c>
      <c r="E314" s="115"/>
      <c r="F314" s="116"/>
      <c r="G314" s="113" t="s">
        <v>1412</v>
      </c>
      <c r="H314" s="113" t="s">
        <v>1413</v>
      </c>
      <c r="I314" s="113"/>
      <c r="J314" s="117"/>
      <c r="K314" s="118"/>
      <c r="L314" s="109">
        <v>2</v>
      </c>
      <c r="M314" s="109">
        <v>3</v>
      </c>
      <c r="N314" s="109"/>
      <c r="O314" s="119"/>
      <c r="P314" s="2">
        <f t="shared" si="64"/>
        <v>1</v>
      </c>
      <c r="Q314" s="110" t="str">
        <f>IF(AND(Drops!$D$45&gt;1,OR(U314&lt;&gt;U313,AND(ROW()=5,U313=U314))),VLOOKUP(U314,Drops!$D$26:$E$44,2,FALSE),"")</f>
        <v/>
      </c>
      <c r="R314" s="2" t="str">
        <f t="shared" si="65"/>
        <v/>
      </c>
      <c r="S314" s="2">
        <f t="shared" ca="1" si="66"/>
        <v>1</v>
      </c>
      <c r="T314" s="2">
        <f t="shared" si="67"/>
        <v>0</v>
      </c>
      <c r="U314" s="110" t="s">
        <v>1275</v>
      </c>
      <c r="V314" s="110">
        <v>11</v>
      </c>
      <c r="W314" s="110">
        <v>3</v>
      </c>
      <c r="X314" s="110">
        <v>0</v>
      </c>
      <c r="Y314" s="110">
        <v>0</v>
      </c>
      <c r="Z314" s="110">
        <v>0</v>
      </c>
      <c r="AA314" s="2">
        <f t="shared" si="68"/>
        <v>1</v>
      </c>
      <c r="AB314" s="2">
        <f t="shared" si="69"/>
        <v>0</v>
      </c>
      <c r="AC314" s="2">
        <f t="shared" si="70"/>
        <v>1</v>
      </c>
      <c r="AD314" s="2">
        <f t="shared" si="71"/>
        <v>1</v>
      </c>
      <c r="AE314" s="2">
        <f t="shared" si="72"/>
        <v>0</v>
      </c>
      <c r="AF314" s="2">
        <f t="shared" si="73"/>
        <v>2</v>
      </c>
      <c r="AG314" s="2">
        <f t="shared" si="74"/>
        <v>2</v>
      </c>
      <c r="AH314" s="2">
        <f t="shared" si="75"/>
        <v>2</v>
      </c>
      <c r="AI314" s="2">
        <f t="shared" si="76"/>
        <v>2</v>
      </c>
      <c r="AJ314" s="2">
        <f t="shared" si="77"/>
        <v>2</v>
      </c>
      <c r="AK314" s="2">
        <f t="shared" si="78"/>
        <v>2</v>
      </c>
      <c r="AL314" s="2">
        <f t="shared" si="79"/>
        <v>0</v>
      </c>
      <c r="AM314" s="115"/>
      <c r="AN314" s="115"/>
      <c r="AO314" s="63"/>
    </row>
    <row r="315" spans="1:41" ht="43.2" x14ac:dyDescent="0.55000000000000004">
      <c r="A315" s="36">
        <v>4743</v>
      </c>
      <c r="B315" s="113" t="s">
        <v>269</v>
      </c>
      <c r="C315" s="113" t="s">
        <v>1427</v>
      </c>
      <c r="D315" s="114" t="s">
        <v>52</v>
      </c>
      <c r="E315" s="115"/>
      <c r="F315" s="116"/>
      <c r="G315" s="113" t="s">
        <v>1412</v>
      </c>
      <c r="H315" s="113" t="s">
        <v>1428</v>
      </c>
      <c r="I315" s="113" t="s">
        <v>1399</v>
      </c>
      <c r="J315" s="117" t="s">
        <v>1429</v>
      </c>
      <c r="K315" s="118"/>
      <c r="L315" s="109">
        <v>1</v>
      </c>
      <c r="M315" s="109">
        <v>2</v>
      </c>
      <c r="N315" s="109"/>
      <c r="O315" s="119"/>
      <c r="P315" s="2">
        <f t="shared" si="64"/>
        <v>1</v>
      </c>
      <c r="Q315" s="110" t="str">
        <f>IF(AND(Drops!$D$45&gt;1,OR(U315&lt;&gt;U314,AND(ROW()=5,U314=U315))),VLOOKUP(U315,Drops!$D$26:$E$44,2,FALSE),"")</f>
        <v/>
      </c>
      <c r="R315" s="2" t="str">
        <f t="shared" si="65"/>
        <v/>
      </c>
      <c r="S315" s="2">
        <f t="shared" ca="1" si="66"/>
        <v>1</v>
      </c>
      <c r="T315" s="2">
        <f t="shared" si="67"/>
        <v>1</v>
      </c>
      <c r="U315" s="110" t="s">
        <v>1275</v>
      </c>
      <c r="V315" s="110">
        <v>12</v>
      </c>
      <c r="W315" s="110">
        <v>0</v>
      </c>
      <c r="X315" s="110">
        <v>0</v>
      </c>
      <c r="Y315" s="110">
        <v>0</v>
      </c>
      <c r="Z315" s="110">
        <v>0</v>
      </c>
      <c r="AA315" s="2">
        <f t="shared" si="68"/>
        <v>1</v>
      </c>
      <c r="AB315" s="2">
        <f t="shared" si="69"/>
        <v>1</v>
      </c>
      <c r="AC315" s="2">
        <f t="shared" si="70"/>
        <v>1</v>
      </c>
      <c r="AD315" s="2">
        <f t="shared" si="71"/>
        <v>0</v>
      </c>
      <c r="AE315" s="2">
        <f t="shared" si="72"/>
        <v>0</v>
      </c>
      <c r="AF315" s="2">
        <f t="shared" si="73"/>
        <v>2</v>
      </c>
      <c r="AG315" s="2">
        <f t="shared" si="74"/>
        <v>2</v>
      </c>
      <c r="AH315" s="2">
        <f t="shared" si="75"/>
        <v>2</v>
      </c>
      <c r="AI315" s="2">
        <f t="shared" si="76"/>
        <v>2</v>
      </c>
      <c r="AJ315" s="2">
        <f t="shared" si="77"/>
        <v>2</v>
      </c>
      <c r="AK315" s="2">
        <f t="shared" si="78"/>
        <v>2</v>
      </c>
      <c r="AL315" s="2">
        <f t="shared" si="79"/>
        <v>0</v>
      </c>
      <c r="AM315" s="115"/>
      <c r="AN315" s="115"/>
      <c r="AO315" s="63"/>
    </row>
    <row r="316" spans="1:41" ht="43.2" x14ac:dyDescent="0.55000000000000004">
      <c r="A316" s="36">
        <v>3205</v>
      </c>
      <c r="B316" s="113" t="s">
        <v>1430</v>
      </c>
      <c r="C316" s="138" t="s">
        <v>1431</v>
      </c>
      <c r="D316" s="114" t="s">
        <v>52</v>
      </c>
      <c r="E316" s="115"/>
      <c r="F316" s="116"/>
      <c r="G316" s="113" t="s">
        <v>1412</v>
      </c>
      <c r="H316" s="113" t="s">
        <v>1428</v>
      </c>
      <c r="I316" s="113"/>
      <c r="J316" s="117" t="s">
        <v>1429</v>
      </c>
      <c r="K316" s="118"/>
      <c r="L316" s="109">
        <v>2</v>
      </c>
      <c r="M316" s="109">
        <v>3</v>
      </c>
      <c r="N316" s="109"/>
      <c r="O316" s="119"/>
      <c r="P316" s="2">
        <f t="shared" si="64"/>
        <v>1</v>
      </c>
      <c r="Q316" s="110" t="str">
        <f>IF(AND(Drops!$D$45&gt;1,OR(U316&lt;&gt;U315,AND(ROW()=5,U315=U316))),VLOOKUP(U316,Drops!$D$26:$E$44,2,FALSE),"")</f>
        <v/>
      </c>
      <c r="R316" s="2" t="str">
        <f t="shared" si="65"/>
        <v/>
      </c>
      <c r="S316" s="2">
        <f t="shared" ca="1" si="66"/>
        <v>1</v>
      </c>
      <c r="T316" s="2">
        <f t="shared" si="67"/>
        <v>0</v>
      </c>
      <c r="U316" s="110" t="s">
        <v>1275</v>
      </c>
      <c r="V316" s="110">
        <v>12</v>
      </c>
      <c r="W316" s="110">
        <v>1</v>
      </c>
      <c r="X316" s="110">
        <v>0</v>
      </c>
      <c r="Y316" s="110">
        <v>0</v>
      </c>
      <c r="Z316" s="110">
        <v>0</v>
      </c>
      <c r="AA316" s="2">
        <f t="shared" si="68"/>
        <v>1</v>
      </c>
      <c r="AB316" s="2">
        <f t="shared" si="69"/>
        <v>0</v>
      </c>
      <c r="AC316" s="2">
        <f t="shared" si="70"/>
        <v>1</v>
      </c>
      <c r="AD316" s="2">
        <f t="shared" si="71"/>
        <v>1</v>
      </c>
      <c r="AE316" s="2">
        <f t="shared" si="72"/>
        <v>0</v>
      </c>
      <c r="AF316" s="2">
        <f t="shared" si="73"/>
        <v>2</v>
      </c>
      <c r="AG316" s="2">
        <f t="shared" si="74"/>
        <v>2</v>
      </c>
      <c r="AH316" s="2">
        <f t="shared" si="75"/>
        <v>2</v>
      </c>
      <c r="AI316" s="2">
        <f t="shared" si="76"/>
        <v>2</v>
      </c>
      <c r="AJ316" s="2">
        <f t="shared" si="77"/>
        <v>2</v>
      </c>
      <c r="AK316" s="2">
        <f t="shared" si="78"/>
        <v>2</v>
      </c>
      <c r="AL316" s="2">
        <f t="shared" si="79"/>
        <v>0</v>
      </c>
      <c r="AM316" s="115"/>
      <c r="AN316" s="115"/>
      <c r="AO316" s="63"/>
    </row>
    <row r="317" spans="1:41" ht="72" x14ac:dyDescent="0.55000000000000004">
      <c r="A317" s="36">
        <v>5832</v>
      </c>
      <c r="B317" s="113" t="s">
        <v>273</v>
      </c>
      <c r="C317" s="113" t="s">
        <v>1432</v>
      </c>
      <c r="D317" s="114" t="s">
        <v>52</v>
      </c>
      <c r="E317" s="115"/>
      <c r="F317" s="116"/>
      <c r="G317" s="113" t="s">
        <v>1271</v>
      </c>
      <c r="H317" s="113" t="s">
        <v>1286</v>
      </c>
      <c r="I317" s="113" t="s">
        <v>1287</v>
      </c>
      <c r="J317" s="117" t="s">
        <v>1433</v>
      </c>
      <c r="K317" s="118"/>
      <c r="L317" s="109">
        <v>1</v>
      </c>
      <c r="M317" s="109">
        <v>3</v>
      </c>
      <c r="N317" s="109"/>
      <c r="O317" s="119"/>
      <c r="P317" s="2">
        <f t="shared" si="64"/>
        <v>1</v>
      </c>
      <c r="Q317" s="110" t="str">
        <f>IF(AND(Drops!$D$45&gt;1,OR(U317&lt;&gt;U316,AND(ROW()=5,U316=U317))),VLOOKUP(U317,Drops!$D$26:$E$44,2,FALSE),"")</f>
        <v/>
      </c>
      <c r="R317" s="2" t="str">
        <f t="shared" si="65"/>
        <v/>
      </c>
      <c r="S317" s="2">
        <f t="shared" ca="1" si="66"/>
        <v>1</v>
      </c>
      <c r="T317" s="2">
        <f t="shared" si="67"/>
        <v>1</v>
      </c>
      <c r="U317" s="110" t="s">
        <v>1275</v>
      </c>
      <c r="V317" s="110">
        <v>14</v>
      </c>
      <c r="W317" s="110">
        <v>0</v>
      </c>
      <c r="X317" s="110">
        <v>0</v>
      </c>
      <c r="Y317" s="110">
        <v>0</v>
      </c>
      <c r="Z317" s="110">
        <v>0</v>
      </c>
      <c r="AA317" s="2">
        <f t="shared" si="68"/>
        <v>1</v>
      </c>
      <c r="AB317" s="2">
        <f t="shared" si="69"/>
        <v>0</v>
      </c>
      <c r="AC317" s="2">
        <f t="shared" si="70"/>
        <v>1</v>
      </c>
      <c r="AD317" s="2">
        <f t="shared" si="71"/>
        <v>0</v>
      </c>
      <c r="AE317" s="2">
        <f t="shared" si="72"/>
        <v>0</v>
      </c>
      <c r="AF317" s="2">
        <f t="shared" si="73"/>
        <v>2</v>
      </c>
      <c r="AG317" s="2">
        <f t="shared" si="74"/>
        <v>2</v>
      </c>
      <c r="AH317" s="2">
        <f t="shared" si="75"/>
        <v>2</v>
      </c>
      <c r="AI317" s="2">
        <f t="shared" si="76"/>
        <v>2</v>
      </c>
      <c r="AJ317" s="2">
        <f t="shared" si="77"/>
        <v>2</v>
      </c>
      <c r="AK317" s="2">
        <f t="shared" si="78"/>
        <v>2</v>
      </c>
      <c r="AL317" s="2">
        <f t="shared" si="79"/>
        <v>0</v>
      </c>
      <c r="AM317" s="115"/>
      <c r="AN317" s="115"/>
      <c r="AO317" s="63"/>
    </row>
    <row r="318" spans="1:41" ht="43.2" x14ac:dyDescent="0.55000000000000004">
      <c r="A318" s="36">
        <v>5833</v>
      </c>
      <c r="B318" s="113" t="s">
        <v>1434</v>
      </c>
      <c r="C318" s="113" t="s">
        <v>1435</v>
      </c>
      <c r="D318" s="114" t="s">
        <v>52</v>
      </c>
      <c r="E318" s="115"/>
      <c r="F318" s="116"/>
      <c r="G318" s="113" t="s">
        <v>1297</v>
      </c>
      <c r="H318" s="113" t="s">
        <v>1436</v>
      </c>
      <c r="I318" s="113" t="s">
        <v>1437</v>
      </c>
      <c r="J318" s="117"/>
      <c r="K318" s="118"/>
      <c r="L318" s="109">
        <v>1</v>
      </c>
      <c r="M318" s="109">
        <v>3</v>
      </c>
      <c r="N318" s="109"/>
      <c r="O318" s="119"/>
      <c r="P318" s="2">
        <f t="shared" si="64"/>
        <v>1</v>
      </c>
      <c r="Q318" s="110" t="str">
        <f>IF(AND(Drops!$D$45&gt;1,OR(U318&lt;&gt;U317,AND(ROW()=5,U317=U318))),VLOOKUP(U318,Drops!$D$26:$E$44,2,FALSE),"")</f>
        <v/>
      </c>
      <c r="R318" s="2" t="str">
        <f t="shared" si="65"/>
        <v/>
      </c>
      <c r="S318" s="2">
        <f t="shared" ca="1" si="66"/>
        <v>1</v>
      </c>
      <c r="T318" s="2">
        <f t="shared" si="67"/>
        <v>1</v>
      </c>
      <c r="U318" s="110" t="s">
        <v>1275</v>
      </c>
      <c r="V318" s="110">
        <v>15</v>
      </c>
      <c r="W318" s="110">
        <v>0</v>
      </c>
      <c r="X318" s="110">
        <v>0</v>
      </c>
      <c r="Y318" s="110">
        <v>0</v>
      </c>
      <c r="Z318" s="110">
        <v>0</v>
      </c>
      <c r="AA318" s="2">
        <f t="shared" si="68"/>
        <v>1</v>
      </c>
      <c r="AB318" s="2">
        <f t="shared" si="69"/>
        <v>0</v>
      </c>
      <c r="AC318" s="2">
        <f t="shared" si="70"/>
        <v>1</v>
      </c>
      <c r="AD318" s="2">
        <f t="shared" si="71"/>
        <v>0</v>
      </c>
      <c r="AE318" s="2">
        <f t="shared" si="72"/>
        <v>0</v>
      </c>
      <c r="AF318" s="2">
        <f t="shared" si="73"/>
        <v>2</v>
      </c>
      <c r="AG318" s="2">
        <f t="shared" si="74"/>
        <v>2</v>
      </c>
      <c r="AH318" s="2">
        <f t="shared" si="75"/>
        <v>2</v>
      </c>
      <c r="AI318" s="2">
        <f t="shared" si="76"/>
        <v>2</v>
      </c>
      <c r="AJ318" s="2">
        <f t="shared" si="77"/>
        <v>2</v>
      </c>
      <c r="AK318" s="2">
        <f t="shared" si="78"/>
        <v>2</v>
      </c>
      <c r="AL318" s="2">
        <f t="shared" si="79"/>
        <v>0</v>
      </c>
      <c r="AM318" s="115"/>
      <c r="AN318" s="115"/>
      <c r="AO318" s="63"/>
    </row>
    <row r="319" spans="1:41" ht="43.2" x14ac:dyDescent="0.55000000000000004">
      <c r="A319" s="36">
        <v>4240</v>
      </c>
      <c r="B319" s="113" t="s">
        <v>275</v>
      </c>
      <c r="C319" s="113" t="s">
        <v>1438</v>
      </c>
      <c r="D319" s="114" t="s">
        <v>52</v>
      </c>
      <c r="E319" s="115" t="s">
        <v>1439</v>
      </c>
      <c r="F319" s="116"/>
      <c r="G319" s="113" t="s">
        <v>1440</v>
      </c>
      <c r="H319" s="113" t="s">
        <v>910</v>
      </c>
      <c r="I319" s="113"/>
      <c r="J319" s="117" t="s">
        <v>1441</v>
      </c>
      <c r="K319" s="118"/>
      <c r="L319" s="109">
        <v>1</v>
      </c>
      <c r="M319" s="109">
        <v>1</v>
      </c>
      <c r="N319" s="109"/>
      <c r="O319" s="119"/>
      <c r="P319" s="2">
        <f t="shared" si="64"/>
        <v>1</v>
      </c>
      <c r="Q319" s="110" t="str">
        <f>IF(AND(Drops!$D$45&gt;1,OR(U319&lt;&gt;U318,AND(ROW()=5,U318=U319))),VLOOKUP(U319,Drops!$D$26:$E$44,2,FALSE),"")</f>
        <v>I. Application Security</v>
      </c>
      <c r="R319" s="2">
        <f t="shared" si="65"/>
        <v>319</v>
      </c>
      <c r="S319" s="2">
        <f t="shared" ca="1" si="66"/>
        <v>1</v>
      </c>
      <c r="T319" s="2">
        <f t="shared" si="67"/>
        <v>1</v>
      </c>
      <c r="U319" s="110" t="s">
        <v>1442</v>
      </c>
      <c r="V319" s="110">
        <v>1</v>
      </c>
      <c r="W319" s="110">
        <v>0</v>
      </c>
      <c r="X319" s="110">
        <v>0</v>
      </c>
      <c r="Y319" s="110">
        <v>0</v>
      </c>
      <c r="Z319" s="110">
        <v>0</v>
      </c>
      <c r="AA319" s="2">
        <f t="shared" si="68"/>
        <v>1</v>
      </c>
      <c r="AB319" s="2">
        <f t="shared" si="69"/>
        <v>1</v>
      </c>
      <c r="AC319" s="2">
        <f t="shared" si="70"/>
        <v>1</v>
      </c>
      <c r="AD319" s="2">
        <f t="shared" si="71"/>
        <v>0</v>
      </c>
      <c r="AE319" s="2">
        <f t="shared" si="72"/>
        <v>0</v>
      </c>
      <c r="AF319" s="2">
        <f t="shared" si="73"/>
        <v>0</v>
      </c>
      <c r="AG319" s="2">
        <f t="shared" si="74"/>
        <v>0</v>
      </c>
      <c r="AH319" s="2">
        <f t="shared" si="75"/>
        <v>2</v>
      </c>
      <c r="AI319" s="2">
        <f t="shared" si="76"/>
        <v>0</v>
      </c>
      <c r="AJ319" s="2">
        <f t="shared" si="77"/>
        <v>0</v>
      </c>
      <c r="AK319" s="2">
        <f t="shared" si="78"/>
        <v>0</v>
      </c>
      <c r="AL319" s="2">
        <f t="shared" si="79"/>
        <v>0</v>
      </c>
      <c r="AM319" s="115"/>
      <c r="AN319" s="115"/>
      <c r="AO319" s="63"/>
    </row>
    <row r="320" spans="1:41" ht="43.2" x14ac:dyDescent="0.55000000000000004">
      <c r="A320" s="36">
        <v>3945</v>
      </c>
      <c r="B320" s="113" t="s">
        <v>1443</v>
      </c>
      <c r="C320" s="138" t="s">
        <v>1444</v>
      </c>
      <c r="D320" s="114" t="s">
        <v>52</v>
      </c>
      <c r="E320" s="115" t="s">
        <v>1445</v>
      </c>
      <c r="F320" s="116"/>
      <c r="G320" s="113" t="s">
        <v>1446</v>
      </c>
      <c r="H320" s="113" t="s">
        <v>1447</v>
      </c>
      <c r="I320" s="113" t="s">
        <v>1258</v>
      </c>
      <c r="J320" s="117"/>
      <c r="K320" s="118"/>
      <c r="L320" s="109">
        <v>2</v>
      </c>
      <c r="M320" s="109">
        <v>3</v>
      </c>
      <c r="N320" s="109"/>
      <c r="O320" s="119"/>
      <c r="P320" s="2">
        <f t="shared" si="64"/>
        <v>1</v>
      </c>
      <c r="Q320" s="110" t="str">
        <f>IF(AND(Drops!$D$45&gt;1,OR(U320&lt;&gt;U319,AND(ROW()=5,U319=U320))),VLOOKUP(U320,Drops!$D$26:$E$44,2,FALSE),"")</f>
        <v/>
      </c>
      <c r="R320" s="2" t="str">
        <f t="shared" si="65"/>
        <v/>
      </c>
      <c r="S320" s="2">
        <f t="shared" ca="1" si="66"/>
        <v>1</v>
      </c>
      <c r="T320" s="2">
        <f t="shared" si="67"/>
        <v>0</v>
      </c>
      <c r="U320" s="110" t="s">
        <v>1442</v>
      </c>
      <c r="V320" s="110">
        <v>1</v>
      </c>
      <c r="W320" s="110">
        <v>1</v>
      </c>
      <c r="X320" s="110">
        <v>0</v>
      </c>
      <c r="Y320" s="110">
        <v>0</v>
      </c>
      <c r="Z320" s="110">
        <v>0</v>
      </c>
      <c r="AA320" s="2">
        <f t="shared" si="68"/>
        <v>1</v>
      </c>
      <c r="AB320" s="2">
        <f t="shared" si="69"/>
        <v>0</v>
      </c>
      <c r="AC320" s="2">
        <f t="shared" si="70"/>
        <v>1</v>
      </c>
      <c r="AD320" s="2">
        <f t="shared" si="71"/>
        <v>1</v>
      </c>
      <c r="AE320" s="2">
        <f t="shared" si="72"/>
        <v>0</v>
      </c>
      <c r="AF320" s="2">
        <f t="shared" si="73"/>
        <v>0</v>
      </c>
      <c r="AG320" s="2">
        <f t="shared" si="74"/>
        <v>0</v>
      </c>
      <c r="AH320" s="2">
        <f t="shared" si="75"/>
        <v>2</v>
      </c>
      <c r="AI320" s="2">
        <f t="shared" si="76"/>
        <v>2</v>
      </c>
      <c r="AJ320" s="2">
        <f t="shared" si="77"/>
        <v>0</v>
      </c>
      <c r="AK320" s="2">
        <f t="shared" si="78"/>
        <v>0</v>
      </c>
      <c r="AL320" s="2">
        <f t="shared" si="79"/>
        <v>0</v>
      </c>
      <c r="AM320" s="115"/>
      <c r="AN320" s="115"/>
      <c r="AO320" s="63"/>
    </row>
    <row r="321" spans="1:41" ht="43.2" x14ac:dyDescent="0.55000000000000004">
      <c r="A321" s="36">
        <v>3957</v>
      </c>
      <c r="B321" s="113" t="s">
        <v>1448</v>
      </c>
      <c r="C321" s="138" t="s">
        <v>1449</v>
      </c>
      <c r="D321" s="114" t="s">
        <v>52</v>
      </c>
      <c r="E321" s="115"/>
      <c r="F321" s="116"/>
      <c r="G321" s="113" t="s">
        <v>1446</v>
      </c>
      <c r="H321" s="113" t="s">
        <v>1450</v>
      </c>
      <c r="I321" s="113" t="s">
        <v>1258</v>
      </c>
      <c r="J321" s="117"/>
      <c r="K321" s="118"/>
      <c r="L321" s="109">
        <v>2</v>
      </c>
      <c r="M321" s="109">
        <v>3</v>
      </c>
      <c r="N321" s="109"/>
      <c r="O321" s="119"/>
      <c r="P321" s="2">
        <f t="shared" si="64"/>
        <v>1</v>
      </c>
      <c r="Q321" s="110" t="str">
        <f>IF(AND(Drops!$D$45&gt;1,OR(U321&lt;&gt;U320,AND(ROW()=5,U320=U321))),VLOOKUP(U321,Drops!$D$26:$E$44,2,FALSE),"")</f>
        <v/>
      </c>
      <c r="R321" s="2" t="str">
        <f t="shared" si="65"/>
        <v/>
      </c>
      <c r="S321" s="2">
        <f t="shared" ca="1" si="66"/>
        <v>1</v>
      </c>
      <c r="T321" s="2">
        <f t="shared" si="67"/>
        <v>0</v>
      </c>
      <c r="U321" s="110" t="s">
        <v>1442</v>
      </c>
      <c r="V321" s="110">
        <v>1</v>
      </c>
      <c r="W321" s="110">
        <v>2</v>
      </c>
      <c r="X321" s="110">
        <v>0</v>
      </c>
      <c r="Y321" s="110">
        <v>0</v>
      </c>
      <c r="Z321" s="110">
        <v>0</v>
      </c>
      <c r="AA321" s="2">
        <f t="shared" si="68"/>
        <v>1</v>
      </c>
      <c r="AB321" s="2">
        <f t="shared" si="69"/>
        <v>1</v>
      </c>
      <c r="AC321" s="2">
        <f t="shared" si="70"/>
        <v>1</v>
      </c>
      <c r="AD321" s="2">
        <f t="shared" si="71"/>
        <v>1</v>
      </c>
      <c r="AE321" s="2">
        <f t="shared" si="72"/>
        <v>0</v>
      </c>
      <c r="AF321" s="2">
        <f t="shared" si="73"/>
        <v>0</v>
      </c>
      <c r="AG321" s="2">
        <f t="shared" si="74"/>
        <v>0</v>
      </c>
      <c r="AH321" s="2">
        <f t="shared" si="75"/>
        <v>2</v>
      </c>
      <c r="AI321" s="2">
        <f t="shared" si="76"/>
        <v>2</v>
      </c>
      <c r="AJ321" s="2">
        <f t="shared" si="77"/>
        <v>0</v>
      </c>
      <c r="AK321" s="2">
        <f t="shared" si="78"/>
        <v>0</v>
      </c>
      <c r="AL321" s="2">
        <f t="shared" si="79"/>
        <v>0</v>
      </c>
      <c r="AM321" s="115"/>
      <c r="AN321" s="115"/>
      <c r="AO321" s="63"/>
    </row>
    <row r="322" spans="1:41" ht="43.2" x14ac:dyDescent="0.55000000000000004">
      <c r="A322" s="36">
        <v>3958</v>
      </c>
      <c r="B322" s="113" t="s">
        <v>1451</v>
      </c>
      <c r="C322" s="139" t="s">
        <v>1452</v>
      </c>
      <c r="D322" s="114" t="s">
        <v>52</v>
      </c>
      <c r="E322" s="115"/>
      <c r="F322" s="116"/>
      <c r="G322" s="113" t="s">
        <v>1446</v>
      </c>
      <c r="H322" s="113" t="s">
        <v>1453</v>
      </c>
      <c r="I322" s="113"/>
      <c r="J322" s="117"/>
      <c r="K322" s="118"/>
      <c r="L322" s="109">
        <v>3</v>
      </c>
      <c r="M322" s="109">
        <v>3</v>
      </c>
      <c r="N322" s="109"/>
      <c r="O322" s="119"/>
      <c r="P322" s="2">
        <f t="shared" si="64"/>
        <v>1</v>
      </c>
      <c r="Q322" s="110" t="str">
        <f>IF(AND(Drops!$D$45&gt;1,OR(U322&lt;&gt;U321,AND(ROW()=5,U321=U322))),VLOOKUP(U322,Drops!$D$26:$E$44,2,FALSE),"")</f>
        <v/>
      </c>
      <c r="R322" s="2" t="str">
        <f t="shared" si="65"/>
        <v/>
      </c>
      <c r="S322" s="2">
        <f t="shared" ca="1" si="66"/>
        <v>1</v>
      </c>
      <c r="T322" s="2">
        <f t="shared" si="67"/>
        <v>0</v>
      </c>
      <c r="U322" s="110" t="s">
        <v>1442</v>
      </c>
      <c r="V322" s="110">
        <v>1</v>
      </c>
      <c r="W322" s="110">
        <v>2</v>
      </c>
      <c r="X322" s="110">
        <v>1</v>
      </c>
      <c r="Y322" s="110">
        <v>0</v>
      </c>
      <c r="Z322" s="110">
        <v>0</v>
      </c>
      <c r="AA322" s="2">
        <f t="shared" si="68"/>
        <v>1</v>
      </c>
      <c r="AB322" s="2">
        <f t="shared" si="69"/>
        <v>0</v>
      </c>
      <c r="AC322" s="2">
        <f t="shared" si="70"/>
        <v>1</v>
      </c>
      <c r="AD322" s="2">
        <f t="shared" si="71"/>
        <v>1</v>
      </c>
      <c r="AE322" s="2">
        <f t="shared" si="72"/>
        <v>1</v>
      </c>
      <c r="AF322" s="2">
        <f t="shared" si="73"/>
        <v>0</v>
      </c>
      <c r="AG322" s="2">
        <f t="shared" si="74"/>
        <v>0</v>
      </c>
      <c r="AH322" s="2">
        <f t="shared" si="75"/>
        <v>2</v>
      </c>
      <c r="AI322" s="2">
        <f t="shared" si="76"/>
        <v>2</v>
      </c>
      <c r="AJ322" s="2">
        <f t="shared" si="77"/>
        <v>2</v>
      </c>
      <c r="AK322" s="2">
        <f t="shared" si="78"/>
        <v>0</v>
      </c>
      <c r="AL322" s="2">
        <f t="shared" si="79"/>
        <v>0</v>
      </c>
      <c r="AM322" s="115"/>
      <c r="AN322" s="115"/>
      <c r="AO322" s="63"/>
    </row>
    <row r="323" spans="1:41" ht="43.2" x14ac:dyDescent="0.55000000000000004">
      <c r="A323" s="36">
        <v>3959</v>
      </c>
      <c r="B323" s="113" t="s">
        <v>1454</v>
      </c>
      <c r="C323" s="139" t="s">
        <v>1455</v>
      </c>
      <c r="D323" s="114" t="s">
        <v>55</v>
      </c>
      <c r="E323" s="115"/>
      <c r="F323" s="116"/>
      <c r="G323" s="113" t="s">
        <v>1446</v>
      </c>
      <c r="H323" s="113" t="s">
        <v>1456</v>
      </c>
      <c r="I323" s="113"/>
      <c r="J323" s="117" t="s">
        <v>1457</v>
      </c>
      <c r="K323" s="118"/>
      <c r="L323" s="109">
        <v>3</v>
      </c>
      <c r="M323" s="109">
        <v>2</v>
      </c>
      <c r="N323" s="109"/>
      <c r="O323" s="119"/>
      <c r="P323" s="2">
        <f t="shared" si="64"/>
        <v>2</v>
      </c>
      <c r="Q323" s="110" t="str">
        <f>IF(AND(Drops!$D$45&gt;1,OR(U323&lt;&gt;U322,AND(ROW()=5,U322=U323))),VLOOKUP(U323,Drops!$D$26:$E$44,2,FALSE),"")</f>
        <v/>
      </c>
      <c r="R323" s="2" t="str">
        <f t="shared" si="65"/>
        <v/>
      </c>
      <c r="S323" s="2">
        <f t="shared" ca="1" si="66"/>
        <v>2</v>
      </c>
      <c r="T323" s="2">
        <f t="shared" si="67"/>
        <v>0</v>
      </c>
      <c r="U323" s="110" t="s">
        <v>1442</v>
      </c>
      <c r="V323" s="110">
        <v>1</v>
      </c>
      <c r="W323" s="110">
        <v>2</v>
      </c>
      <c r="X323" s="110">
        <v>2</v>
      </c>
      <c r="Y323" s="110">
        <v>0</v>
      </c>
      <c r="Z323" s="110">
        <v>0</v>
      </c>
      <c r="AA323" s="2">
        <f t="shared" si="68"/>
        <v>1</v>
      </c>
      <c r="AB323" s="2">
        <f t="shared" si="69"/>
        <v>1</v>
      </c>
      <c r="AC323" s="2">
        <f t="shared" si="70"/>
        <v>1</v>
      </c>
      <c r="AD323" s="2">
        <f t="shared" si="71"/>
        <v>1</v>
      </c>
      <c r="AE323" s="2">
        <f t="shared" si="72"/>
        <v>2</v>
      </c>
      <c r="AF323" s="2">
        <f t="shared" si="73"/>
        <v>2</v>
      </c>
      <c r="AG323" s="2">
        <f t="shared" si="74"/>
        <v>2</v>
      </c>
      <c r="AH323" s="2">
        <f t="shared" si="75"/>
        <v>2</v>
      </c>
      <c r="AI323" s="2">
        <f t="shared" si="76"/>
        <v>2</v>
      </c>
      <c r="AJ323" s="2">
        <f t="shared" si="77"/>
        <v>1</v>
      </c>
      <c r="AK323" s="2">
        <f t="shared" si="78"/>
        <v>0</v>
      </c>
      <c r="AL323" s="2">
        <f t="shared" si="79"/>
        <v>0</v>
      </c>
      <c r="AM323" s="115"/>
      <c r="AN323" s="115"/>
      <c r="AO323" s="63"/>
    </row>
    <row r="324" spans="1:41" ht="43.2" x14ac:dyDescent="0.55000000000000004">
      <c r="A324" s="36">
        <v>3960</v>
      </c>
      <c r="B324" s="113" t="s">
        <v>1458</v>
      </c>
      <c r="C324" s="140" t="s">
        <v>1459</v>
      </c>
      <c r="D324" s="114" t="s">
        <v>48</v>
      </c>
      <c r="E324" s="115" t="s">
        <v>1460</v>
      </c>
      <c r="F324" s="116"/>
      <c r="G324" s="113" t="s">
        <v>1446</v>
      </c>
      <c r="H324" s="113" t="s">
        <v>1456</v>
      </c>
      <c r="I324" s="113"/>
      <c r="J324" s="117" t="s">
        <v>1457</v>
      </c>
      <c r="K324" s="118"/>
      <c r="L324" s="109">
        <v>4</v>
      </c>
      <c r="M324" s="109">
        <v>3</v>
      </c>
      <c r="N324" s="109"/>
      <c r="O324" s="119"/>
      <c r="P324" s="2">
        <f t="shared" si="64"/>
        <v>3</v>
      </c>
      <c r="Q324" s="110" t="str">
        <f>IF(AND(Drops!$D$45&gt;1,OR(U324&lt;&gt;U323,AND(ROW()=5,U323=U324))),VLOOKUP(U324,Drops!$D$26:$E$44,2,FALSE),"")</f>
        <v/>
      </c>
      <c r="R324" s="2" t="str">
        <f t="shared" si="65"/>
        <v/>
      </c>
      <c r="S324" s="2">
        <f t="shared" ca="1" si="66"/>
        <v>2</v>
      </c>
      <c r="T324" s="2">
        <f t="shared" si="67"/>
        <v>0</v>
      </c>
      <c r="U324" s="110" t="s">
        <v>1442</v>
      </c>
      <c r="V324" s="110">
        <v>1</v>
      </c>
      <c r="W324" s="110">
        <v>2</v>
      </c>
      <c r="X324" s="110">
        <v>2</v>
      </c>
      <c r="Y324" s="110">
        <v>1</v>
      </c>
      <c r="Z324" s="110">
        <v>0</v>
      </c>
      <c r="AA324" s="2">
        <f t="shared" si="68"/>
        <v>1</v>
      </c>
      <c r="AB324" s="2">
        <f t="shared" si="69"/>
        <v>0</v>
      </c>
      <c r="AC324" s="2">
        <f t="shared" si="70"/>
        <v>1</v>
      </c>
      <c r="AD324" s="2">
        <f t="shared" si="71"/>
        <v>1</v>
      </c>
      <c r="AE324" s="2">
        <f t="shared" si="72"/>
        <v>2</v>
      </c>
      <c r="AF324" s="2">
        <f t="shared" si="73"/>
        <v>2</v>
      </c>
      <c r="AG324" s="2">
        <f t="shared" si="74"/>
        <v>2</v>
      </c>
      <c r="AH324" s="2">
        <f t="shared" si="75"/>
        <v>2</v>
      </c>
      <c r="AI324" s="2">
        <f t="shared" si="76"/>
        <v>2</v>
      </c>
      <c r="AJ324" s="2">
        <f t="shared" si="77"/>
        <v>0</v>
      </c>
      <c r="AK324" s="2">
        <f t="shared" si="78"/>
        <v>1</v>
      </c>
      <c r="AL324" s="2">
        <f t="shared" si="79"/>
        <v>0</v>
      </c>
      <c r="AM324" s="115"/>
      <c r="AN324" s="115"/>
      <c r="AO324" s="63"/>
    </row>
    <row r="325" spans="1:41" ht="43.2" x14ac:dyDescent="0.55000000000000004">
      <c r="A325" s="36">
        <v>2164</v>
      </c>
      <c r="B325" s="113" t="s">
        <v>1461</v>
      </c>
      <c r="C325" s="138" t="s">
        <v>1462</v>
      </c>
      <c r="D325" s="114" t="s">
        <v>52</v>
      </c>
      <c r="E325" s="115" t="s">
        <v>1463</v>
      </c>
      <c r="F325" s="116"/>
      <c r="G325" s="113" t="s">
        <v>1464</v>
      </c>
      <c r="H325" s="113" t="s">
        <v>1465</v>
      </c>
      <c r="I325" s="113" t="s">
        <v>1258</v>
      </c>
      <c r="J325" s="117"/>
      <c r="K325" s="118"/>
      <c r="L325" s="109">
        <v>2</v>
      </c>
      <c r="M325" s="109">
        <v>3</v>
      </c>
      <c r="N325" s="109"/>
      <c r="O325" s="119"/>
      <c r="P325" s="2">
        <f t="shared" si="64"/>
        <v>1</v>
      </c>
      <c r="Q325" s="110" t="str">
        <f>IF(AND(Drops!$D$45&gt;1,OR(U325&lt;&gt;U324,AND(ROW()=5,U324=U325))),VLOOKUP(U325,Drops!$D$26:$E$44,2,FALSE),"")</f>
        <v/>
      </c>
      <c r="R325" s="2" t="str">
        <f t="shared" si="65"/>
        <v/>
      </c>
      <c r="S325" s="2">
        <f t="shared" ca="1" si="66"/>
        <v>1</v>
      </c>
      <c r="T325" s="2">
        <f t="shared" si="67"/>
        <v>0</v>
      </c>
      <c r="U325" s="110" t="s">
        <v>1442</v>
      </c>
      <c r="V325" s="110">
        <v>1</v>
      </c>
      <c r="W325" s="110">
        <v>3</v>
      </c>
      <c r="X325" s="110">
        <v>0</v>
      </c>
      <c r="Y325" s="110">
        <v>0</v>
      </c>
      <c r="Z325" s="110">
        <v>0</v>
      </c>
      <c r="AA325" s="2">
        <f t="shared" si="68"/>
        <v>1</v>
      </c>
      <c r="AB325" s="2">
        <f t="shared" si="69"/>
        <v>1</v>
      </c>
      <c r="AC325" s="2">
        <f t="shared" si="70"/>
        <v>1</v>
      </c>
      <c r="AD325" s="2">
        <f t="shared" si="71"/>
        <v>1</v>
      </c>
      <c r="AE325" s="2">
        <f t="shared" si="72"/>
        <v>0</v>
      </c>
      <c r="AF325" s="2">
        <f t="shared" si="73"/>
        <v>0</v>
      </c>
      <c r="AG325" s="2">
        <f t="shared" si="74"/>
        <v>2</v>
      </c>
      <c r="AH325" s="2">
        <f t="shared" si="75"/>
        <v>2</v>
      </c>
      <c r="AI325" s="2">
        <f t="shared" si="76"/>
        <v>2</v>
      </c>
      <c r="AJ325" s="2">
        <f t="shared" si="77"/>
        <v>0</v>
      </c>
      <c r="AK325" s="2">
        <f t="shared" si="78"/>
        <v>0</v>
      </c>
      <c r="AL325" s="2">
        <f t="shared" si="79"/>
        <v>0</v>
      </c>
      <c r="AM325" s="115"/>
      <c r="AN325" s="115"/>
      <c r="AO325" s="63"/>
    </row>
    <row r="326" spans="1:41" ht="43.2" x14ac:dyDescent="0.55000000000000004">
      <c r="A326" s="36">
        <v>3946</v>
      </c>
      <c r="B326" s="113" t="s">
        <v>1466</v>
      </c>
      <c r="C326" s="139" t="s">
        <v>1467</v>
      </c>
      <c r="D326" s="114" t="s">
        <v>52</v>
      </c>
      <c r="E326" s="115"/>
      <c r="F326" s="116"/>
      <c r="G326" s="113" t="s">
        <v>1464</v>
      </c>
      <c r="H326" s="113" t="s">
        <v>1465</v>
      </c>
      <c r="I326" s="113" t="s">
        <v>1468</v>
      </c>
      <c r="J326" s="117"/>
      <c r="K326" s="118"/>
      <c r="L326" s="109">
        <v>3</v>
      </c>
      <c r="M326" s="109">
        <v>3</v>
      </c>
      <c r="N326" s="109"/>
      <c r="O326" s="119"/>
      <c r="P326" s="2">
        <f t="shared" ref="P326:P389" si="80">IF($L326="","",IF($D326="Yes",1,IF($D326="No",2,IF($D326="N/A",3,0))))</f>
        <v>1</v>
      </c>
      <c r="Q326" s="110" t="str">
        <f>IF(AND(Drops!$D$45&gt;1,OR(U326&lt;&gt;U325,AND(ROW()=5,U325=U326))),VLOOKUP(U326,Drops!$D$26:$E$44,2,FALSE),"")</f>
        <v/>
      </c>
      <c r="R326" s="2" t="str">
        <f t="shared" ref="R326:R389" si="81">IF(Q326&lt;&gt;"",ROW(),"")</f>
        <v/>
      </c>
      <c r="S326" s="2">
        <f t="shared" ref="S326:S389" ca="1" si="82">OFFSET(AC326,,L326-1)</f>
        <v>1</v>
      </c>
      <c r="T326" s="2">
        <f t="shared" ref="T326:T389" si="83">IF(OR(V326&lt;&gt;V325,U326&lt;&gt;U325,AND(V326&lt;&gt;V325,W326&lt;&gt;W325),AND(V326&lt;&gt;V325,W326&lt;&gt;W325,X326&lt;&gt;X325),AND(V326&lt;&gt;V325,W326&lt;&gt;W325,X326&lt;&gt;X325,Y326&lt;&gt;Y325),AND(V326&lt;&gt;V325,W326&lt;&gt;W325,X326&lt;&gt;X325,Y326&lt;&gt;Y325,Z326&lt;&gt;Z325),L326-L325&gt;1),1,0)</f>
        <v>0</v>
      </c>
      <c r="U326" s="110" t="s">
        <v>1442</v>
      </c>
      <c r="V326" s="110">
        <v>1</v>
      </c>
      <c r="W326" s="110">
        <v>3</v>
      </c>
      <c r="X326" s="110">
        <v>1</v>
      </c>
      <c r="Y326" s="110">
        <v>0</v>
      </c>
      <c r="Z326" s="110">
        <v>0</v>
      </c>
      <c r="AA326" s="2">
        <f t="shared" ref="AA326:AA389" si="84">IF(ROW()=5,1,IF(OR(AH326=1,P326&gt;0,T326=1),1,IF(OR(AND(AH326=2,AI326=1),AND(AI326=2,AJ326=1),AND(AJ326=2,AK326=1),AND(AK326=2,AL326=1)),1,0)))</f>
        <v>1</v>
      </c>
      <c r="AB326" s="2">
        <f t="shared" ref="AB326:AB389" si="85">IF(L327&gt;L326,1,0)</f>
        <v>0</v>
      </c>
      <c r="AC326" s="2">
        <f t="shared" ref="AC326:AC389" si="86">IF(ROW()=5,P326,IF(AND($P326&gt;1,AC$4=$L326),$P326,IF(AND($U326=$U325,V326=V325),AC325,IF(AND($L326=AC$4,P326=1),P326,0))))</f>
        <v>1</v>
      </c>
      <c r="AD326" s="2">
        <f t="shared" ref="AD326:AD389" si="87">IF(AC326&gt;1,AC326,IF(AND($P326&gt;1,AD$4=$L326),$P326,IF(AND($U326=$U325,W326=W325),AD325,IF(AND($L326=AD$4,P326=1),P326,0))))</f>
        <v>1</v>
      </c>
      <c r="AE326" s="2">
        <f t="shared" ref="AE326:AE389" si="88">IF(AD326&gt;1,AD326,IF(AND($P326&gt;1,AE$4=$L326),$P326,IF(AND($U326=$U325,X326=X325),AE325,IF(AND($L326=AE$4,P326=1),P326,0))))</f>
        <v>1</v>
      </c>
      <c r="AF326" s="2">
        <f t="shared" ref="AF326:AF389" si="89">IF(AE326&gt;1,AE326,IF(AND($P326&gt;1,AF$4=$L326),$P326,IF(AND($U326=$U325,Y326=Y325),AF325,IF(AND($L326=AF$4,P326=1),P326,0))))</f>
        <v>0</v>
      </c>
      <c r="AG326" s="2">
        <f t="shared" ref="AG326:AG389" si="90">IF(AF326&gt;1,AF326,IF(AND($P326&gt;1,AG$4=$L326),$P326,IF(AND($U326=$U325,Z326=Z325),AG325,IF(AND($L326=AG$4,P326=1),P326,0))))</f>
        <v>2</v>
      </c>
      <c r="AH326" s="2">
        <f t="shared" ref="AH326:AH389" si="91">IF(AND($P326=1,$L326=AH$4),2,IF(AND($L326&lt;&gt;AH$4,AH325=2),AH325,IF($L326&lt;&gt;AH$4,0,1)))</f>
        <v>2</v>
      </c>
      <c r="AI326" s="2">
        <f t="shared" ref="AI326:AI389" si="92">IF(OR(ROW()=5,$U325&lt;&gt;$U326),0,IF(AND($P326=1,$L326=AI$4),2,IF(AND($L326&lt;&gt;AI$4,AI325=2),AI325,IF($L326&lt;&gt;AI$4,0,1))))</f>
        <v>2</v>
      </c>
      <c r="AJ326" s="2">
        <f t="shared" ref="AJ326:AJ389" si="93">IF(OR(ROW()=5,$U325&lt;&gt;$U326),0,IF(AND($P326=1,$L326=AJ$4),2,IF(AND($L326&lt;&gt;AJ$4,AJ325=2),AJ325,IF($L326&lt;&gt;AJ$4,0,1))))</f>
        <v>2</v>
      </c>
      <c r="AK326" s="2">
        <f t="shared" ref="AK326:AK389" si="94">IF(OR(ROW()=5,$U325&lt;&gt;$U326),0,IF(AND($P326=1,$L326=AK$4),2,IF(AND($L326&lt;&gt;AK$4,AK325=2),AK325,IF($L326&lt;&gt;AK$4,0,1))))</f>
        <v>0</v>
      </c>
      <c r="AL326" s="2">
        <f t="shared" ref="AL326:AL389" si="95">IF(OR(ROW()=5,$U325&lt;&gt;$U326),0,IF(AND($P326=1,$L326=AL$4),2,IF(AND($L326&lt;&gt;AL$4,AL325=2),AL325,IF($L326&lt;&gt;AL$4,0,1))))</f>
        <v>0</v>
      </c>
      <c r="AM326" s="115"/>
      <c r="AN326" s="115"/>
      <c r="AO326" s="63"/>
    </row>
    <row r="327" spans="1:41" ht="43.2" x14ac:dyDescent="0.55000000000000004">
      <c r="A327" s="36">
        <v>3943</v>
      </c>
      <c r="B327" s="113" t="s">
        <v>1469</v>
      </c>
      <c r="C327" s="139" t="s">
        <v>1470</v>
      </c>
      <c r="D327" s="114" t="s">
        <v>52</v>
      </c>
      <c r="E327" s="115"/>
      <c r="F327" s="116"/>
      <c r="G327" s="113" t="s">
        <v>1464</v>
      </c>
      <c r="H327" s="113" t="s">
        <v>1465</v>
      </c>
      <c r="I327" s="113"/>
      <c r="J327" s="117"/>
      <c r="K327" s="118"/>
      <c r="L327" s="109">
        <v>3</v>
      </c>
      <c r="M327" s="109">
        <v>3</v>
      </c>
      <c r="N327" s="109"/>
      <c r="O327" s="119"/>
      <c r="P327" s="2">
        <f t="shared" si="80"/>
        <v>1</v>
      </c>
      <c r="Q327" s="110" t="str">
        <f>IF(AND(Drops!$D$45&gt;1,OR(U327&lt;&gt;U326,AND(ROW()=5,U326=U327))),VLOOKUP(U327,Drops!$D$26:$E$44,2,FALSE),"")</f>
        <v/>
      </c>
      <c r="R327" s="2" t="str">
        <f t="shared" si="81"/>
        <v/>
      </c>
      <c r="S327" s="2">
        <f t="shared" ca="1" si="82"/>
        <v>1</v>
      </c>
      <c r="T327" s="2">
        <f t="shared" si="83"/>
        <v>0</v>
      </c>
      <c r="U327" s="110" t="s">
        <v>1442</v>
      </c>
      <c r="V327" s="110">
        <v>1</v>
      </c>
      <c r="W327" s="110">
        <v>3</v>
      </c>
      <c r="X327" s="110">
        <v>6</v>
      </c>
      <c r="Y327" s="110">
        <v>0</v>
      </c>
      <c r="Z327" s="110">
        <v>0</v>
      </c>
      <c r="AA327" s="2">
        <f t="shared" si="84"/>
        <v>1</v>
      </c>
      <c r="AB327" s="2">
        <f t="shared" si="85"/>
        <v>0</v>
      </c>
      <c r="AC327" s="2">
        <f t="shared" si="86"/>
        <v>1</v>
      </c>
      <c r="AD327" s="2">
        <f t="shared" si="87"/>
        <v>1</v>
      </c>
      <c r="AE327" s="2">
        <f t="shared" si="88"/>
        <v>1</v>
      </c>
      <c r="AF327" s="2">
        <f t="shared" si="89"/>
        <v>0</v>
      </c>
      <c r="AG327" s="2">
        <f t="shared" si="90"/>
        <v>2</v>
      </c>
      <c r="AH327" s="2">
        <f t="shared" si="91"/>
        <v>2</v>
      </c>
      <c r="AI327" s="2">
        <f t="shared" si="92"/>
        <v>2</v>
      </c>
      <c r="AJ327" s="2">
        <f t="shared" si="93"/>
        <v>2</v>
      </c>
      <c r="AK327" s="2">
        <f t="shared" si="94"/>
        <v>0</v>
      </c>
      <c r="AL327" s="2">
        <f t="shared" si="95"/>
        <v>0</v>
      </c>
      <c r="AM327" s="115"/>
      <c r="AN327" s="115"/>
      <c r="AO327" s="63"/>
    </row>
    <row r="328" spans="1:41" ht="43.2" x14ac:dyDescent="0.55000000000000004">
      <c r="A328" s="36">
        <v>3944</v>
      </c>
      <c r="B328" s="113" t="s">
        <v>1471</v>
      </c>
      <c r="C328" s="138" t="s">
        <v>1472</v>
      </c>
      <c r="D328" s="114" t="s">
        <v>52</v>
      </c>
      <c r="E328" s="115"/>
      <c r="F328" s="116"/>
      <c r="G328" s="113" t="s">
        <v>1464</v>
      </c>
      <c r="H328" s="113" t="s">
        <v>1465</v>
      </c>
      <c r="I328" s="113"/>
      <c r="J328" s="117"/>
      <c r="K328" s="118"/>
      <c r="L328" s="109">
        <v>2</v>
      </c>
      <c r="M328" s="109">
        <v>3</v>
      </c>
      <c r="N328" s="109"/>
      <c r="O328" s="119"/>
      <c r="P328" s="2">
        <f t="shared" si="80"/>
        <v>1</v>
      </c>
      <c r="Q328" s="110" t="str">
        <f>IF(AND(Drops!$D$45&gt;1,OR(U328&lt;&gt;U327,AND(ROW()=5,U327=U328))),VLOOKUP(U328,Drops!$D$26:$E$44,2,FALSE),"")</f>
        <v/>
      </c>
      <c r="R328" s="2" t="str">
        <f t="shared" si="81"/>
        <v/>
      </c>
      <c r="S328" s="2">
        <f t="shared" ca="1" si="82"/>
        <v>1</v>
      </c>
      <c r="T328" s="2">
        <f t="shared" si="83"/>
        <v>0</v>
      </c>
      <c r="U328" s="110" t="s">
        <v>1442</v>
      </c>
      <c r="V328" s="110">
        <v>1</v>
      </c>
      <c r="W328" s="110">
        <v>4</v>
      </c>
      <c r="X328" s="110">
        <v>0</v>
      </c>
      <c r="Y328" s="110">
        <v>0</v>
      </c>
      <c r="Z328" s="110">
        <v>0</v>
      </c>
      <c r="AA328" s="2">
        <f t="shared" si="84"/>
        <v>1</v>
      </c>
      <c r="AB328" s="2">
        <f t="shared" si="85"/>
        <v>0</v>
      </c>
      <c r="AC328" s="2">
        <f t="shared" si="86"/>
        <v>1</v>
      </c>
      <c r="AD328" s="2">
        <f t="shared" si="87"/>
        <v>1</v>
      </c>
      <c r="AE328" s="2">
        <f t="shared" si="88"/>
        <v>0</v>
      </c>
      <c r="AF328" s="2">
        <f t="shared" si="89"/>
        <v>0</v>
      </c>
      <c r="AG328" s="2">
        <f t="shared" si="90"/>
        <v>2</v>
      </c>
      <c r="AH328" s="2">
        <f t="shared" si="91"/>
        <v>2</v>
      </c>
      <c r="AI328" s="2">
        <f t="shared" si="92"/>
        <v>2</v>
      </c>
      <c r="AJ328" s="2">
        <f t="shared" si="93"/>
        <v>2</v>
      </c>
      <c r="AK328" s="2">
        <f t="shared" si="94"/>
        <v>0</v>
      </c>
      <c r="AL328" s="2">
        <f t="shared" si="95"/>
        <v>0</v>
      </c>
      <c r="AM328" s="115"/>
      <c r="AN328" s="115"/>
      <c r="AO328" s="63"/>
    </row>
    <row r="329" spans="1:41" ht="28.8" x14ac:dyDescent="0.55000000000000004">
      <c r="A329" s="36">
        <v>2111</v>
      </c>
      <c r="B329" s="113" t="s">
        <v>1473</v>
      </c>
      <c r="C329" s="138" t="s">
        <v>1474</v>
      </c>
      <c r="D329" s="114" t="s">
        <v>52</v>
      </c>
      <c r="E329" s="115" t="s">
        <v>1475</v>
      </c>
      <c r="F329" s="116"/>
      <c r="G329" s="113" t="s">
        <v>1464</v>
      </c>
      <c r="H329" s="113" t="s">
        <v>1476</v>
      </c>
      <c r="I329" s="113"/>
      <c r="J329" s="117"/>
      <c r="K329" s="118"/>
      <c r="L329" s="109">
        <v>2</v>
      </c>
      <c r="M329" s="109">
        <v>3</v>
      </c>
      <c r="N329" s="109"/>
      <c r="O329" s="119"/>
      <c r="P329" s="2">
        <f t="shared" si="80"/>
        <v>1</v>
      </c>
      <c r="Q329" s="110" t="str">
        <f>IF(AND(Drops!$D$45&gt;1,OR(U329&lt;&gt;U328,AND(ROW()=5,U328=U329))),VLOOKUP(U329,Drops!$D$26:$E$44,2,FALSE),"")</f>
        <v/>
      </c>
      <c r="R329" s="2" t="str">
        <f t="shared" si="81"/>
        <v/>
      </c>
      <c r="S329" s="2">
        <f t="shared" ca="1" si="82"/>
        <v>1</v>
      </c>
      <c r="T329" s="2">
        <f t="shared" si="83"/>
        <v>0</v>
      </c>
      <c r="U329" s="110" t="s">
        <v>1442</v>
      </c>
      <c r="V329" s="110">
        <v>1</v>
      </c>
      <c r="W329" s="110">
        <v>6</v>
      </c>
      <c r="X329" s="110">
        <v>0</v>
      </c>
      <c r="Y329" s="110">
        <v>0</v>
      </c>
      <c r="Z329" s="110">
        <v>0</v>
      </c>
      <c r="AA329" s="2">
        <f t="shared" si="84"/>
        <v>1</v>
      </c>
      <c r="AB329" s="2">
        <f t="shared" si="85"/>
        <v>0</v>
      </c>
      <c r="AC329" s="2">
        <f t="shared" si="86"/>
        <v>1</v>
      </c>
      <c r="AD329" s="2">
        <f t="shared" si="87"/>
        <v>1</v>
      </c>
      <c r="AE329" s="2">
        <f t="shared" si="88"/>
        <v>0</v>
      </c>
      <c r="AF329" s="2">
        <f t="shared" si="89"/>
        <v>0</v>
      </c>
      <c r="AG329" s="2">
        <f t="shared" si="90"/>
        <v>2</v>
      </c>
      <c r="AH329" s="2">
        <f t="shared" si="91"/>
        <v>2</v>
      </c>
      <c r="AI329" s="2">
        <f t="shared" si="92"/>
        <v>2</v>
      </c>
      <c r="AJ329" s="2">
        <f t="shared" si="93"/>
        <v>2</v>
      </c>
      <c r="AK329" s="2">
        <f t="shared" si="94"/>
        <v>0</v>
      </c>
      <c r="AL329" s="2">
        <f t="shared" si="95"/>
        <v>0</v>
      </c>
      <c r="AM329" s="115"/>
      <c r="AN329" s="115"/>
      <c r="AO329" s="63"/>
    </row>
    <row r="330" spans="1:41" ht="28.8" x14ac:dyDescent="0.55000000000000004">
      <c r="A330" s="36">
        <v>2125</v>
      </c>
      <c r="B330" s="113" t="s">
        <v>1477</v>
      </c>
      <c r="C330" s="138" t="s">
        <v>1478</v>
      </c>
      <c r="D330" s="114" t="s">
        <v>52</v>
      </c>
      <c r="E330" s="115"/>
      <c r="F330" s="116"/>
      <c r="G330" s="113" t="s">
        <v>1464</v>
      </c>
      <c r="H330" s="113" t="s">
        <v>1479</v>
      </c>
      <c r="I330" s="113"/>
      <c r="J330" s="117" t="s">
        <v>1441</v>
      </c>
      <c r="K330" s="118"/>
      <c r="L330" s="109">
        <v>2</v>
      </c>
      <c r="M330" s="109">
        <v>3</v>
      </c>
      <c r="N330" s="109"/>
      <c r="O330" s="119"/>
      <c r="P330" s="2">
        <f t="shared" si="80"/>
        <v>1</v>
      </c>
      <c r="Q330" s="110" t="str">
        <f>IF(AND(Drops!$D$45&gt;1,OR(U330&lt;&gt;U329,AND(ROW()=5,U329=U330))),VLOOKUP(U330,Drops!$D$26:$E$44,2,FALSE),"")</f>
        <v/>
      </c>
      <c r="R330" s="2" t="str">
        <f t="shared" si="81"/>
        <v/>
      </c>
      <c r="S330" s="2">
        <f t="shared" ca="1" si="82"/>
        <v>1</v>
      </c>
      <c r="T330" s="2">
        <f t="shared" si="83"/>
        <v>0</v>
      </c>
      <c r="U330" s="110" t="s">
        <v>1442</v>
      </c>
      <c r="V330" s="110">
        <v>1</v>
      </c>
      <c r="W330" s="110">
        <v>7</v>
      </c>
      <c r="X330" s="110">
        <v>0</v>
      </c>
      <c r="Y330" s="110">
        <v>0</v>
      </c>
      <c r="Z330" s="110">
        <v>0</v>
      </c>
      <c r="AA330" s="2">
        <f t="shared" si="84"/>
        <v>1</v>
      </c>
      <c r="AB330" s="2">
        <f t="shared" si="85"/>
        <v>0</v>
      </c>
      <c r="AC330" s="2">
        <f t="shared" si="86"/>
        <v>1</v>
      </c>
      <c r="AD330" s="2">
        <f t="shared" si="87"/>
        <v>1</v>
      </c>
      <c r="AE330" s="2">
        <f t="shared" si="88"/>
        <v>0</v>
      </c>
      <c r="AF330" s="2">
        <f t="shared" si="89"/>
        <v>0</v>
      </c>
      <c r="AG330" s="2">
        <f t="shared" si="90"/>
        <v>2</v>
      </c>
      <c r="AH330" s="2">
        <f t="shared" si="91"/>
        <v>2</v>
      </c>
      <c r="AI330" s="2">
        <f t="shared" si="92"/>
        <v>2</v>
      </c>
      <c r="AJ330" s="2">
        <f t="shared" si="93"/>
        <v>2</v>
      </c>
      <c r="AK330" s="2">
        <f t="shared" si="94"/>
        <v>0</v>
      </c>
      <c r="AL330" s="2">
        <f t="shared" si="95"/>
        <v>0</v>
      </c>
      <c r="AM330" s="115"/>
      <c r="AN330" s="115"/>
      <c r="AO330" s="63"/>
    </row>
    <row r="331" spans="1:41" ht="28.8" x14ac:dyDescent="0.55000000000000004">
      <c r="A331" s="36">
        <v>2126</v>
      </c>
      <c r="B331" s="113" t="s">
        <v>1480</v>
      </c>
      <c r="C331" s="138" t="s">
        <v>1481</v>
      </c>
      <c r="D331" s="114" t="s">
        <v>52</v>
      </c>
      <c r="E331" s="115"/>
      <c r="F331" s="116"/>
      <c r="G331" s="113" t="s">
        <v>1464</v>
      </c>
      <c r="H331" s="113" t="s">
        <v>1482</v>
      </c>
      <c r="I331" s="113"/>
      <c r="J331" s="117" t="s">
        <v>1441</v>
      </c>
      <c r="K331" s="118"/>
      <c r="L331" s="109">
        <v>2</v>
      </c>
      <c r="M331" s="109">
        <v>3</v>
      </c>
      <c r="N331" s="109"/>
      <c r="O331" s="119"/>
      <c r="P331" s="2">
        <f t="shared" si="80"/>
        <v>1</v>
      </c>
      <c r="Q331" s="110" t="str">
        <f>IF(AND(Drops!$D$45&gt;1,OR(U331&lt;&gt;U330,AND(ROW()=5,U330=U331))),VLOOKUP(U331,Drops!$D$26:$E$44,2,FALSE),"")</f>
        <v/>
      </c>
      <c r="R331" s="2" t="str">
        <f t="shared" si="81"/>
        <v/>
      </c>
      <c r="S331" s="2">
        <f t="shared" ca="1" si="82"/>
        <v>1</v>
      </c>
      <c r="T331" s="2">
        <f t="shared" si="83"/>
        <v>0</v>
      </c>
      <c r="U331" s="110" t="s">
        <v>1442</v>
      </c>
      <c r="V331" s="110">
        <v>1</v>
      </c>
      <c r="W331" s="110">
        <v>8</v>
      </c>
      <c r="X331" s="110">
        <v>0</v>
      </c>
      <c r="Y331" s="110">
        <v>0</v>
      </c>
      <c r="Z331" s="110">
        <v>0</v>
      </c>
      <c r="AA331" s="2">
        <f t="shared" si="84"/>
        <v>1</v>
      </c>
      <c r="AB331" s="2">
        <f t="shared" si="85"/>
        <v>0</v>
      </c>
      <c r="AC331" s="2">
        <f t="shared" si="86"/>
        <v>1</v>
      </c>
      <c r="AD331" s="2">
        <f t="shared" si="87"/>
        <v>1</v>
      </c>
      <c r="AE331" s="2">
        <f t="shared" si="88"/>
        <v>0</v>
      </c>
      <c r="AF331" s="2">
        <f t="shared" si="89"/>
        <v>0</v>
      </c>
      <c r="AG331" s="2">
        <f t="shared" si="90"/>
        <v>2</v>
      </c>
      <c r="AH331" s="2">
        <f t="shared" si="91"/>
        <v>2</v>
      </c>
      <c r="AI331" s="2">
        <f t="shared" si="92"/>
        <v>2</v>
      </c>
      <c r="AJ331" s="2">
        <f t="shared" si="93"/>
        <v>2</v>
      </c>
      <c r="AK331" s="2">
        <f t="shared" si="94"/>
        <v>0</v>
      </c>
      <c r="AL331" s="2">
        <f t="shared" si="95"/>
        <v>0</v>
      </c>
      <c r="AM331" s="115"/>
      <c r="AN331" s="115"/>
      <c r="AO331" s="63"/>
    </row>
    <row r="332" spans="1:41" ht="28.8" x14ac:dyDescent="0.55000000000000004">
      <c r="A332" s="36">
        <v>2129</v>
      </c>
      <c r="B332" s="113" t="s">
        <v>1483</v>
      </c>
      <c r="C332" s="138" t="s">
        <v>1484</v>
      </c>
      <c r="D332" s="114" t="s">
        <v>52</v>
      </c>
      <c r="E332" s="115"/>
      <c r="F332" s="116"/>
      <c r="G332" s="113" t="s">
        <v>1464</v>
      </c>
      <c r="H332" s="113" t="s">
        <v>1485</v>
      </c>
      <c r="I332" s="113"/>
      <c r="J332" s="117" t="s">
        <v>1441</v>
      </c>
      <c r="K332" s="118"/>
      <c r="L332" s="109">
        <v>2</v>
      </c>
      <c r="M332" s="109">
        <v>3</v>
      </c>
      <c r="N332" s="109"/>
      <c r="O332" s="119"/>
      <c r="P332" s="2">
        <f t="shared" si="80"/>
        <v>1</v>
      </c>
      <c r="Q332" s="110" t="str">
        <f>IF(AND(Drops!$D$45&gt;1,OR(U332&lt;&gt;U331,AND(ROW()=5,U331=U332))),VLOOKUP(U332,Drops!$D$26:$E$44,2,FALSE),"")</f>
        <v/>
      </c>
      <c r="R332" s="2" t="str">
        <f t="shared" si="81"/>
        <v/>
      </c>
      <c r="S332" s="2">
        <f t="shared" ca="1" si="82"/>
        <v>1</v>
      </c>
      <c r="T332" s="2">
        <f t="shared" si="83"/>
        <v>0</v>
      </c>
      <c r="U332" s="110" t="s">
        <v>1442</v>
      </c>
      <c r="V332" s="110">
        <v>1</v>
      </c>
      <c r="W332" s="110">
        <v>9</v>
      </c>
      <c r="X332" s="110">
        <v>0</v>
      </c>
      <c r="Y332" s="110">
        <v>0</v>
      </c>
      <c r="Z332" s="110">
        <v>0</v>
      </c>
      <c r="AA332" s="2">
        <f t="shared" si="84"/>
        <v>1</v>
      </c>
      <c r="AB332" s="2">
        <f t="shared" si="85"/>
        <v>0</v>
      </c>
      <c r="AC332" s="2">
        <f t="shared" si="86"/>
        <v>1</v>
      </c>
      <c r="AD332" s="2">
        <f t="shared" si="87"/>
        <v>1</v>
      </c>
      <c r="AE332" s="2">
        <f t="shared" si="88"/>
        <v>0</v>
      </c>
      <c r="AF332" s="2">
        <f t="shared" si="89"/>
        <v>0</v>
      </c>
      <c r="AG332" s="2">
        <f t="shared" si="90"/>
        <v>2</v>
      </c>
      <c r="AH332" s="2">
        <f t="shared" si="91"/>
        <v>2</v>
      </c>
      <c r="AI332" s="2">
        <f t="shared" si="92"/>
        <v>2</v>
      </c>
      <c r="AJ332" s="2">
        <f t="shared" si="93"/>
        <v>2</v>
      </c>
      <c r="AK332" s="2">
        <f t="shared" si="94"/>
        <v>0</v>
      </c>
      <c r="AL332" s="2">
        <f t="shared" si="95"/>
        <v>0</v>
      </c>
      <c r="AM332" s="115"/>
      <c r="AN332" s="115"/>
      <c r="AO332" s="63"/>
    </row>
    <row r="333" spans="1:41" ht="28.8" x14ac:dyDescent="0.55000000000000004">
      <c r="A333" s="36">
        <v>1269</v>
      </c>
      <c r="B333" s="113" t="s">
        <v>1486</v>
      </c>
      <c r="C333" s="138" t="s">
        <v>1487</v>
      </c>
      <c r="D333" s="114" t="s">
        <v>52</v>
      </c>
      <c r="E333" s="115"/>
      <c r="F333" s="116"/>
      <c r="G333" s="113" t="s">
        <v>1464</v>
      </c>
      <c r="H333" s="113" t="s">
        <v>1488</v>
      </c>
      <c r="I333" s="113"/>
      <c r="J333" s="117"/>
      <c r="K333" s="118"/>
      <c r="L333" s="109">
        <v>2</v>
      </c>
      <c r="M333" s="109">
        <v>3</v>
      </c>
      <c r="N333" s="109"/>
      <c r="O333" s="119"/>
      <c r="P333" s="2">
        <f t="shared" si="80"/>
        <v>1</v>
      </c>
      <c r="Q333" s="110" t="str">
        <f>IF(AND(Drops!$D$45&gt;1,OR(U333&lt;&gt;U332,AND(ROW()=5,U332=U333))),VLOOKUP(U333,Drops!$D$26:$E$44,2,FALSE),"")</f>
        <v/>
      </c>
      <c r="R333" s="2" t="str">
        <f t="shared" si="81"/>
        <v/>
      </c>
      <c r="S333" s="2">
        <f t="shared" ca="1" si="82"/>
        <v>1</v>
      </c>
      <c r="T333" s="2">
        <f t="shared" si="83"/>
        <v>0</v>
      </c>
      <c r="U333" s="110" t="s">
        <v>1442</v>
      </c>
      <c r="V333" s="110">
        <v>1</v>
      </c>
      <c r="W333" s="110">
        <v>10</v>
      </c>
      <c r="X333" s="110">
        <v>0</v>
      </c>
      <c r="Y333" s="110">
        <v>0</v>
      </c>
      <c r="Z333" s="110">
        <v>0</v>
      </c>
      <c r="AA333" s="2">
        <f t="shared" si="84"/>
        <v>1</v>
      </c>
      <c r="AB333" s="2">
        <f t="shared" si="85"/>
        <v>0</v>
      </c>
      <c r="AC333" s="2">
        <f t="shared" si="86"/>
        <v>1</v>
      </c>
      <c r="AD333" s="2">
        <f t="shared" si="87"/>
        <v>1</v>
      </c>
      <c r="AE333" s="2">
        <f t="shared" si="88"/>
        <v>0</v>
      </c>
      <c r="AF333" s="2">
        <f t="shared" si="89"/>
        <v>0</v>
      </c>
      <c r="AG333" s="2">
        <f t="shared" si="90"/>
        <v>2</v>
      </c>
      <c r="AH333" s="2">
        <f t="shared" si="91"/>
        <v>2</v>
      </c>
      <c r="AI333" s="2">
        <f t="shared" si="92"/>
        <v>2</v>
      </c>
      <c r="AJ333" s="2">
        <f t="shared" si="93"/>
        <v>2</v>
      </c>
      <c r="AK333" s="2">
        <f t="shared" si="94"/>
        <v>0</v>
      </c>
      <c r="AL333" s="2">
        <f t="shared" si="95"/>
        <v>0</v>
      </c>
      <c r="AM333" s="115"/>
      <c r="AN333" s="115"/>
      <c r="AO333" s="63"/>
    </row>
    <row r="334" spans="1:41" ht="28.8" x14ac:dyDescent="0.55000000000000004">
      <c r="A334" s="36">
        <v>2144</v>
      </c>
      <c r="B334" s="113" t="s">
        <v>1489</v>
      </c>
      <c r="C334" s="138" t="s">
        <v>1490</v>
      </c>
      <c r="D334" s="114" t="s">
        <v>52</v>
      </c>
      <c r="E334" s="115"/>
      <c r="F334" s="116"/>
      <c r="G334" s="113" t="s">
        <v>1464</v>
      </c>
      <c r="H334" s="113" t="s">
        <v>1488</v>
      </c>
      <c r="I334" s="113" t="s">
        <v>1491</v>
      </c>
      <c r="J334" s="117" t="s">
        <v>646</v>
      </c>
      <c r="K334" s="118"/>
      <c r="L334" s="109">
        <v>2</v>
      </c>
      <c r="M334" s="109">
        <v>3</v>
      </c>
      <c r="N334" s="109"/>
      <c r="O334" s="119"/>
      <c r="P334" s="2">
        <f t="shared" si="80"/>
        <v>1</v>
      </c>
      <c r="Q334" s="110" t="str">
        <f>IF(AND(Drops!$D$45&gt;1,OR(U334&lt;&gt;U333,AND(ROW()=5,U333=U334))),VLOOKUP(U334,Drops!$D$26:$E$44,2,FALSE),"")</f>
        <v/>
      </c>
      <c r="R334" s="2" t="str">
        <f t="shared" si="81"/>
        <v/>
      </c>
      <c r="S334" s="2">
        <f t="shared" ca="1" si="82"/>
        <v>1</v>
      </c>
      <c r="T334" s="2">
        <f t="shared" si="83"/>
        <v>0</v>
      </c>
      <c r="U334" s="110" t="s">
        <v>1442</v>
      </c>
      <c r="V334" s="110">
        <v>1</v>
      </c>
      <c r="W334" s="110">
        <v>11</v>
      </c>
      <c r="X334" s="110">
        <v>0</v>
      </c>
      <c r="Y334" s="110">
        <v>0</v>
      </c>
      <c r="Z334" s="110">
        <v>0</v>
      </c>
      <c r="AA334" s="2">
        <f t="shared" si="84"/>
        <v>1</v>
      </c>
      <c r="AB334" s="2">
        <f t="shared" si="85"/>
        <v>0</v>
      </c>
      <c r="AC334" s="2">
        <f t="shared" si="86"/>
        <v>1</v>
      </c>
      <c r="AD334" s="2">
        <f t="shared" si="87"/>
        <v>1</v>
      </c>
      <c r="AE334" s="2">
        <f t="shared" si="88"/>
        <v>0</v>
      </c>
      <c r="AF334" s="2">
        <f t="shared" si="89"/>
        <v>0</v>
      </c>
      <c r="AG334" s="2">
        <f t="shared" si="90"/>
        <v>2</v>
      </c>
      <c r="AH334" s="2">
        <f t="shared" si="91"/>
        <v>2</v>
      </c>
      <c r="AI334" s="2">
        <f t="shared" si="92"/>
        <v>2</v>
      </c>
      <c r="AJ334" s="2">
        <f t="shared" si="93"/>
        <v>2</v>
      </c>
      <c r="AK334" s="2">
        <f t="shared" si="94"/>
        <v>0</v>
      </c>
      <c r="AL334" s="2">
        <f t="shared" si="95"/>
        <v>0</v>
      </c>
      <c r="AM334" s="115"/>
      <c r="AN334" s="115"/>
      <c r="AO334" s="63"/>
    </row>
    <row r="335" spans="1:41" ht="28.8" x14ac:dyDescent="0.55000000000000004">
      <c r="A335" s="36">
        <v>2970</v>
      </c>
      <c r="B335" s="113" t="s">
        <v>1492</v>
      </c>
      <c r="C335" s="138" t="s">
        <v>1493</v>
      </c>
      <c r="D335" s="114" t="s">
        <v>52</v>
      </c>
      <c r="E335" s="115"/>
      <c r="F335" s="116"/>
      <c r="G335" s="113" t="s">
        <v>1464</v>
      </c>
      <c r="H335" s="113" t="s">
        <v>1494</v>
      </c>
      <c r="I335" s="113"/>
      <c r="J335" s="117"/>
      <c r="K335" s="118"/>
      <c r="L335" s="109">
        <v>2</v>
      </c>
      <c r="M335" s="109">
        <v>2</v>
      </c>
      <c r="N335" s="109"/>
      <c r="O335" s="119"/>
      <c r="P335" s="2">
        <f t="shared" si="80"/>
        <v>1</v>
      </c>
      <c r="Q335" s="110" t="str">
        <f>IF(AND(Drops!$D$45&gt;1,OR(U335&lt;&gt;U334,AND(ROW()=5,U334=U335))),VLOOKUP(U335,Drops!$D$26:$E$44,2,FALSE),"")</f>
        <v/>
      </c>
      <c r="R335" s="2" t="str">
        <f t="shared" si="81"/>
        <v/>
      </c>
      <c r="S335" s="2">
        <f t="shared" ca="1" si="82"/>
        <v>1</v>
      </c>
      <c r="T335" s="2">
        <f t="shared" si="83"/>
        <v>0</v>
      </c>
      <c r="U335" s="110" t="s">
        <v>1442</v>
      </c>
      <c r="V335" s="110">
        <v>1</v>
      </c>
      <c r="W335" s="110">
        <v>13</v>
      </c>
      <c r="X335" s="110">
        <v>0</v>
      </c>
      <c r="Y335" s="110">
        <v>0</v>
      </c>
      <c r="Z335" s="110">
        <v>0</v>
      </c>
      <c r="AA335" s="2">
        <f t="shared" si="84"/>
        <v>1</v>
      </c>
      <c r="AB335" s="2">
        <f t="shared" si="85"/>
        <v>0</v>
      </c>
      <c r="AC335" s="2">
        <f t="shared" si="86"/>
        <v>1</v>
      </c>
      <c r="AD335" s="2">
        <f t="shared" si="87"/>
        <v>1</v>
      </c>
      <c r="AE335" s="2">
        <f t="shared" si="88"/>
        <v>0</v>
      </c>
      <c r="AF335" s="2">
        <f t="shared" si="89"/>
        <v>0</v>
      </c>
      <c r="AG335" s="2">
        <f t="shared" si="90"/>
        <v>2</v>
      </c>
      <c r="AH335" s="2">
        <f t="shared" si="91"/>
        <v>2</v>
      </c>
      <c r="AI335" s="2">
        <f t="shared" si="92"/>
        <v>2</v>
      </c>
      <c r="AJ335" s="2">
        <f t="shared" si="93"/>
        <v>2</v>
      </c>
      <c r="AK335" s="2">
        <f t="shared" si="94"/>
        <v>0</v>
      </c>
      <c r="AL335" s="2">
        <f t="shared" si="95"/>
        <v>0</v>
      </c>
      <c r="AM335" s="115"/>
      <c r="AN335" s="115"/>
      <c r="AO335" s="63"/>
    </row>
    <row r="336" spans="1:41" ht="28.8" x14ac:dyDescent="0.55000000000000004">
      <c r="A336" s="36">
        <v>2081</v>
      </c>
      <c r="B336" s="113" t="s">
        <v>1495</v>
      </c>
      <c r="C336" s="138" t="s">
        <v>1496</v>
      </c>
      <c r="D336" s="114" t="s">
        <v>52</v>
      </c>
      <c r="E336" s="115" t="s">
        <v>1497</v>
      </c>
      <c r="F336" s="116"/>
      <c r="G336" s="113" t="s">
        <v>1464</v>
      </c>
      <c r="H336" s="113" t="s">
        <v>1498</v>
      </c>
      <c r="I336" s="113" t="s">
        <v>1499</v>
      </c>
      <c r="J336" s="117"/>
      <c r="K336" s="118"/>
      <c r="L336" s="109">
        <v>2</v>
      </c>
      <c r="M336" s="109">
        <v>2</v>
      </c>
      <c r="N336" s="109"/>
      <c r="O336" s="119"/>
      <c r="P336" s="2">
        <f t="shared" si="80"/>
        <v>1</v>
      </c>
      <c r="Q336" s="110" t="str">
        <f>IF(AND(Drops!$D$45&gt;1,OR(U336&lt;&gt;U335,AND(ROW()=5,U335=U336))),VLOOKUP(U336,Drops!$D$26:$E$44,2,FALSE),"")</f>
        <v/>
      </c>
      <c r="R336" s="2" t="str">
        <f t="shared" si="81"/>
        <v/>
      </c>
      <c r="S336" s="2">
        <f t="shared" ca="1" si="82"/>
        <v>1</v>
      </c>
      <c r="T336" s="2">
        <f t="shared" si="83"/>
        <v>0</v>
      </c>
      <c r="U336" s="110" t="s">
        <v>1442</v>
      </c>
      <c r="V336" s="110">
        <v>1</v>
      </c>
      <c r="W336" s="110">
        <v>14</v>
      </c>
      <c r="X336" s="110">
        <v>0</v>
      </c>
      <c r="Y336" s="110">
        <v>0</v>
      </c>
      <c r="Z336" s="110">
        <v>0</v>
      </c>
      <c r="AA336" s="2">
        <f t="shared" si="84"/>
        <v>1</v>
      </c>
      <c r="AB336" s="2">
        <f t="shared" si="85"/>
        <v>0</v>
      </c>
      <c r="AC336" s="2">
        <f t="shared" si="86"/>
        <v>1</v>
      </c>
      <c r="AD336" s="2">
        <f t="shared" si="87"/>
        <v>1</v>
      </c>
      <c r="AE336" s="2">
        <f t="shared" si="88"/>
        <v>0</v>
      </c>
      <c r="AF336" s="2">
        <f t="shared" si="89"/>
        <v>0</v>
      </c>
      <c r="AG336" s="2">
        <f t="shared" si="90"/>
        <v>2</v>
      </c>
      <c r="AH336" s="2">
        <f t="shared" si="91"/>
        <v>2</v>
      </c>
      <c r="AI336" s="2">
        <f t="shared" si="92"/>
        <v>2</v>
      </c>
      <c r="AJ336" s="2">
        <f t="shared" si="93"/>
        <v>2</v>
      </c>
      <c r="AK336" s="2">
        <f t="shared" si="94"/>
        <v>0</v>
      </c>
      <c r="AL336" s="2">
        <f t="shared" si="95"/>
        <v>0</v>
      </c>
      <c r="AM336" s="115"/>
      <c r="AN336" s="115"/>
      <c r="AO336" s="63"/>
    </row>
    <row r="337" spans="1:41" ht="28.8" x14ac:dyDescent="0.55000000000000004">
      <c r="A337" s="36">
        <v>2109</v>
      </c>
      <c r="B337" s="113" t="s">
        <v>1500</v>
      </c>
      <c r="C337" s="138" t="s">
        <v>1501</v>
      </c>
      <c r="D337" s="114" t="s">
        <v>52</v>
      </c>
      <c r="E337" s="115" t="s">
        <v>1502</v>
      </c>
      <c r="F337" s="116"/>
      <c r="G337" s="113" t="s">
        <v>1464</v>
      </c>
      <c r="H337" s="113" t="s">
        <v>1503</v>
      </c>
      <c r="I337" s="113" t="s">
        <v>1258</v>
      </c>
      <c r="J337" s="117" t="s">
        <v>1441</v>
      </c>
      <c r="K337" s="118"/>
      <c r="L337" s="109">
        <v>2</v>
      </c>
      <c r="M337" s="109">
        <v>2</v>
      </c>
      <c r="N337" s="109"/>
      <c r="O337" s="119"/>
      <c r="P337" s="2">
        <f t="shared" si="80"/>
        <v>1</v>
      </c>
      <c r="Q337" s="110" t="str">
        <f>IF(AND(Drops!$D$45&gt;1,OR(U337&lt;&gt;U336,AND(ROW()=5,U336=U337))),VLOOKUP(U337,Drops!$D$26:$E$44,2,FALSE),"")</f>
        <v/>
      </c>
      <c r="R337" s="2" t="str">
        <f t="shared" si="81"/>
        <v/>
      </c>
      <c r="S337" s="2">
        <f t="shared" ca="1" si="82"/>
        <v>1</v>
      </c>
      <c r="T337" s="2">
        <f t="shared" si="83"/>
        <v>0</v>
      </c>
      <c r="U337" s="110" t="s">
        <v>1442</v>
      </c>
      <c r="V337" s="110">
        <v>1</v>
      </c>
      <c r="W337" s="110">
        <v>15</v>
      </c>
      <c r="X337" s="110">
        <v>0</v>
      </c>
      <c r="Y337" s="110">
        <v>0</v>
      </c>
      <c r="Z337" s="110">
        <v>0</v>
      </c>
      <c r="AA337" s="2">
        <f t="shared" si="84"/>
        <v>1</v>
      </c>
      <c r="AB337" s="2">
        <f t="shared" si="85"/>
        <v>0</v>
      </c>
      <c r="AC337" s="2">
        <f t="shared" si="86"/>
        <v>1</v>
      </c>
      <c r="AD337" s="2">
        <f t="shared" si="87"/>
        <v>1</v>
      </c>
      <c r="AE337" s="2">
        <f t="shared" si="88"/>
        <v>0</v>
      </c>
      <c r="AF337" s="2">
        <f t="shared" si="89"/>
        <v>0</v>
      </c>
      <c r="AG337" s="2">
        <f t="shared" si="90"/>
        <v>2</v>
      </c>
      <c r="AH337" s="2">
        <f t="shared" si="91"/>
        <v>2</v>
      </c>
      <c r="AI337" s="2">
        <f t="shared" si="92"/>
        <v>2</v>
      </c>
      <c r="AJ337" s="2">
        <f t="shared" si="93"/>
        <v>2</v>
      </c>
      <c r="AK337" s="2">
        <f t="shared" si="94"/>
        <v>0</v>
      </c>
      <c r="AL337" s="2">
        <f t="shared" si="95"/>
        <v>0</v>
      </c>
      <c r="AM337" s="115"/>
      <c r="AN337" s="115"/>
      <c r="AO337" s="63"/>
    </row>
    <row r="338" spans="1:41" ht="331.2" x14ac:dyDescent="0.55000000000000004">
      <c r="A338" s="36">
        <v>2182</v>
      </c>
      <c r="B338" s="113" t="s">
        <v>1504</v>
      </c>
      <c r="C338" s="138" t="s">
        <v>1505</v>
      </c>
      <c r="D338" s="114" t="s">
        <v>52</v>
      </c>
      <c r="E338" s="115" t="s">
        <v>1506</v>
      </c>
      <c r="F338" s="116"/>
      <c r="G338" s="113" t="s">
        <v>1464</v>
      </c>
      <c r="H338" s="113" t="s">
        <v>1507</v>
      </c>
      <c r="I338" s="113"/>
      <c r="J338" s="117" t="s">
        <v>1508</v>
      </c>
      <c r="K338" s="118"/>
      <c r="L338" s="109">
        <v>2</v>
      </c>
      <c r="M338" s="109">
        <v>3</v>
      </c>
      <c r="N338" s="109"/>
      <c r="O338" s="119"/>
      <c r="P338" s="2">
        <f t="shared" si="80"/>
        <v>1</v>
      </c>
      <c r="Q338" s="110" t="str">
        <f>IF(AND(Drops!$D$45&gt;1,OR(U338&lt;&gt;U337,AND(ROW()=5,U337=U338))),VLOOKUP(U338,Drops!$D$26:$E$44,2,FALSE),"")</f>
        <v/>
      </c>
      <c r="R338" s="2" t="str">
        <f t="shared" si="81"/>
        <v/>
      </c>
      <c r="S338" s="2">
        <f t="shared" ca="1" si="82"/>
        <v>1</v>
      </c>
      <c r="T338" s="2">
        <f t="shared" si="83"/>
        <v>0</v>
      </c>
      <c r="U338" s="110" t="s">
        <v>1442</v>
      </c>
      <c r="V338" s="110">
        <v>1</v>
      </c>
      <c r="W338" s="110">
        <v>16</v>
      </c>
      <c r="X338" s="110">
        <v>0</v>
      </c>
      <c r="Y338" s="110">
        <v>0</v>
      </c>
      <c r="Z338" s="110">
        <v>0</v>
      </c>
      <c r="AA338" s="2">
        <f t="shared" si="84"/>
        <v>1</v>
      </c>
      <c r="AB338" s="2">
        <f t="shared" si="85"/>
        <v>0</v>
      </c>
      <c r="AC338" s="2">
        <f t="shared" si="86"/>
        <v>1</v>
      </c>
      <c r="AD338" s="2">
        <f t="shared" si="87"/>
        <v>1</v>
      </c>
      <c r="AE338" s="2">
        <f t="shared" si="88"/>
        <v>0</v>
      </c>
      <c r="AF338" s="2">
        <f t="shared" si="89"/>
        <v>0</v>
      </c>
      <c r="AG338" s="2">
        <f t="shared" si="90"/>
        <v>2</v>
      </c>
      <c r="AH338" s="2">
        <f t="shared" si="91"/>
        <v>2</v>
      </c>
      <c r="AI338" s="2">
        <f t="shared" si="92"/>
        <v>2</v>
      </c>
      <c r="AJ338" s="2">
        <f t="shared" si="93"/>
        <v>2</v>
      </c>
      <c r="AK338" s="2">
        <f t="shared" si="94"/>
        <v>0</v>
      </c>
      <c r="AL338" s="2">
        <f t="shared" si="95"/>
        <v>0</v>
      </c>
      <c r="AM338" s="115"/>
      <c r="AN338" s="115"/>
      <c r="AO338" s="63"/>
    </row>
    <row r="339" spans="1:41" ht="43.2" x14ac:dyDescent="0.55000000000000004">
      <c r="A339" s="36">
        <v>847</v>
      </c>
      <c r="B339" s="113" t="s">
        <v>1509</v>
      </c>
      <c r="C339" s="138" t="s">
        <v>1510</v>
      </c>
      <c r="D339" s="114" t="s">
        <v>52</v>
      </c>
      <c r="E339" s="115"/>
      <c r="F339" s="116"/>
      <c r="G339" s="113" t="s">
        <v>1464</v>
      </c>
      <c r="H339" s="113" t="s">
        <v>1507</v>
      </c>
      <c r="I339" s="113"/>
      <c r="J339" s="117" t="s">
        <v>1511</v>
      </c>
      <c r="K339" s="118"/>
      <c r="L339" s="109">
        <v>2</v>
      </c>
      <c r="M339" s="109">
        <v>3</v>
      </c>
      <c r="N339" s="109"/>
      <c r="O339" s="119"/>
      <c r="P339" s="2">
        <f t="shared" si="80"/>
        <v>1</v>
      </c>
      <c r="Q339" s="110" t="str">
        <f>IF(AND(Drops!$D$45&gt;1,OR(U339&lt;&gt;U338,AND(ROW()=5,U338=U339))),VLOOKUP(U339,Drops!$D$26:$E$44,2,FALSE),"")</f>
        <v/>
      </c>
      <c r="R339" s="2" t="str">
        <f t="shared" si="81"/>
        <v/>
      </c>
      <c r="S339" s="2">
        <f t="shared" ca="1" si="82"/>
        <v>1</v>
      </c>
      <c r="T339" s="2">
        <f t="shared" si="83"/>
        <v>0</v>
      </c>
      <c r="U339" s="110" t="s">
        <v>1442</v>
      </c>
      <c r="V339" s="110">
        <v>1</v>
      </c>
      <c r="W339" s="110">
        <v>17</v>
      </c>
      <c r="X339" s="110">
        <v>0</v>
      </c>
      <c r="Y339" s="110">
        <v>0</v>
      </c>
      <c r="Z339" s="110">
        <v>0</v>
      </c>
      <c r="AA339" s="2">
        <f t="shared" si="84"/>
        <v>1</v>
      </c>
      <c r="AB339" s="2">
        <f t="shared" si="85"/>
        <v>0</v>
      </c>
      <c r="AC339" s="2">
        <f t="shared" si="86"/>
        <v>1</v>
      </c>
      <c r="AD339" s="2">
        <f t="shared" si="87"/>
        <v>1</v>
      </c>
      <c r="AE339" s="2">
        <f t="shared" si="88"/>
        <v>0</v>
      </c>
      <c r="AF339" s="2">
        <f t="shared" si="89"/>
        <v>0</v>
      </c>
      <c r="AG339" s="2">
        <f t="shared" si="90"/>
        <v>2</v>
      </c>
      <c r="AH339" s="2">
        <f t="shared" si="91"/>
        <v>2</v>
      </c>
      <c r="AI339" s="2">
        <f t="shared" si="92"/>
        <v>2</v>
      </c>
      <c r="AJ339" s="2">
        <f t="shared" si="93"/>
        <v>2</v>
      </c>
      <c r="AK339" s="2">
        <f t="shared" si="94"/>
        <v>0</v>
      </c>
      <c r="AL339" s="2">
        <f t="shared" si="95"/>
        <v>0</v>
      </c>
      <c r="AM339" s="115"/>
      <c r="AN339" s="115"/>
      <c r="AO339" s="63"/>
    </row>
    <row r="340" spans="1:41" ht="43.2" x14ac:dyDescent="0.55000000000000004">
      <c r="A340" s="36">
        <v>2668</v>
      </c>
      <c r="B340" s="113" t="s">
        <v>1512</v>
      </c>
      <c r="C340" s="138" t="s">
        <v>1513</v>
      </c>
      <c r="D340" s="114" t="s">
        <v>55</v>
      </c>
      <c r="E340" s="115"/>
      <c r="F340" s="116"/>
      <c r="G340" s="113" t="s">
        <v>1464</v>
      </c>
      <c r="H340" s="113" t="s">
        <v>1514</v>
      </c>
      <c r="I340" s="113"/>
      <c r="J340" s="117" t="s">
        <v>1511</v>
      </c>
      <c r="K340" s="118"/>
      <c r="L340" s="109">
        <v>2</v>
      </c>
      <c r="M340" s="109">
        <v>3</v>
      </c>
      <c r="N340" s="109"/>
      <c r="O340" s="119"/>
      <c r="P340" s="2">
        <f t="shared" si="80"/>
        <v>2</v>
      </c>
      <c r="Q340" s="110" t="str">
        <f>IF(AND(Drops!$D$45&gt;1,OR(U340&lt;&gt;U339,AND(ROW()=5,U339=U340))),VLOOKUP(U340,Drops!$D$26:$E$44,2,FALSE),"")</f>
        <v/>
      </c>
      <c r="R340" s="2" t="str">
        <f t="shared" si="81"/>
        <v/>
      </c>
      <c r="S340" s="2">
        <f t="shared" ca="1" si="82"/>
        <v>2</v>
      </c>
      <c r="T340" s="2">
        <f t="shared" si="83"/>
        <v>0</v>
      </c>
      <c r="U340" s="110" t="s">
        <v>1442</v>
      </c>
      <c r="V340" s="110">
        <v>1</v>
      </c>
      <c r="W340" s="110">
        <v>18</v>
      </c>
      <c r="X340" s="110">
        <v>0</v>
      </c>
      <c r="Y340" s="110">
        <v>0</v>
      </c>
      <c r="Z340" s="110">
        <v>0</v>
      </c>
      <c r="AA340" s="2">
        <f t="shared" si="84"/>
        <v>1</v>
      </c>
      <c r="AB340" s="2">
        <f t="shared" si="85"/>
        <v>0</v>
      </c>
      <c r="AC340" s="2">
        <f t="shared" si="86"/>
        <v>1</v>
      </c>
      <c r="AD340" s="2">
        <f t="shared" si="87"/>
        <v>2</v>
      </c>
      <c r="AE340" s="2">
        <f t="shared" si="88"/>
        <v>2</v>
      </c>
      <c r="AF340" s="2">
        <f t="shared" si="89"/>
        <v>2</v>
      </c>
      <c r="AG340" s="2">
        <f t="shared" si="90"/>
        <v>2</v>
      </c>
      <c r="AH340" s="2">
        <f t="shared" si="91"/>
        <v>2</v>
      </c>
      <c r="AI340" s="2">
        <f t="shared" si="92"/>
        <v>1</v>
      </c>
      <c r="AJ340" s="2">
        <f t="shared" si="93"/>
        <v>2</v>
      </c>
      <c r="AK340" s="2">
        <f t="shared" si="94"/>
        <v>0</v>
      </c>
      <c r="AL340" s="2">
        <f t="shared" si="95"/>
        <v>0</v>
      </c>
      <c r="AM340" s="115"/>
      <c r="AN340" s="115"/>
      <c r="AO340" s="63"/>
    </row>
    <row r="341" spans="1:41" ht="43.2" x14ac:dyDescent="0.55000000000000004">
      <c r="A341" s="36">
        <v>2669</v>
      </c>
      <c r="B341" s="113" t="s">
        <v>1515</v>
      </c>
      <c r="C341" s="138" t="s">
        <v>1516</v>
      </c>
      <c r="D341" s="114" t="s">
        <v>52</v>
      </c>
      <c r="E341" s="115"/>
      <c r="F341" s="116"/>
      <c r="G341" s="113" t="s">
        <v>1464</v>
      </c>
      <c r="H341" s="113" t="s">
        <v>1514</v>
      </c>
      <c r="I341" s="113"/>
      <c r="J341" s="117" t="s">
        <v>1517</v>
      </c>
      <c r="K341" s="118"/>
      <c r="L341" s="109">
        <v>2</v>
      </c>
      <c r="M341" s="109">
        <v>3</v>
      </c>
      <c r="N341" s="109"/>
      <c r="O341" s="119"/>
      <c r="P341" s="2">
        <f t="shared" si="80"/>
        <v>1</v>
      </c>
      <c r="Q341" s="110" t="str">
        <f>IF(AND(Drops!$D$45&gt;1,OR(U341&lt;&gt;U340,AND(ROW()=5,U340=U341))),VLOOKUP(U341,Drops!$D$26:$E$44,2,FALSE),"")</f>
        <v/>
      </c>
      <c r="R341" s="2" t="str">
        <f t="shared" si="81"/>
        <v/>
      </c>
      <c r="S341" s="2">
        <f t="shared" ca="1" si="82"/>
        <v>1</v>
      </c>
      <c r="T341" s="2">
        <f t="shared" si="83"/>
        <v>0</v>
      </c>
      <c r="U341" s="110" t="s">
        <v>1442</v>
      </c>
      <c r="V341" s="110">
        <v>1</v>
      </c>
      <c r="W341" s="110">
        <v>19</v>
      </c>
      <c r="X341" s="110">
        <v>0</v>
      </c>
      <c r="Y341" s="110">
        <v>0</v>
      </c>
      <c r="Z341" s="110">
        <v>0</v>
      </c>
      <c r="AA341" s="2">
        <f t="shared" si="84"/>
        <v>1</v>
      </c>
      <c r="AB341" s="2">
        <f t="shared" si="85"/>
        <v>1</v>
      </c>
      <c r="AC341" s="2">
        <f t="shared" si="86"/>
        <v>1</v>
      </c>
      <c r="AD341" s="2">
        <f t="shared" si="87"/>
        <v>1</v>
      </c>
      <c r="AE341" s="2">
        <f t="shared" si="88"/>
        <v>2</v>
      </c>
      <c r="AF341" s="2">
        <f t="shared" si="89"/>
        <v>2</v>
      </c>
      <c r="AG341" s="2">
        <f t="shared" si="90"/>
        <v>2</v>
      </c>
      <c r="AH341" s="2">
        <f t="shared" si="91"/>
        <v>2</v>
      </c>
      <c r="AI341" s="2">
        <f t="shared" si="92"/>
        <v>2</v>
      </c>
      <c r="AJ341" s="2">
        <f t="shared" si="93"/>
        <v>2</v>
      </c>
      <c r="AK341" s="2">
        <f t="shared" si="94"/>
        <v>0</v>
      </c>
      <c r="AL341" s="2">
        <f t="shared" si="95"/>
        <v>0</v>
      </c>
      <c r="AM341" s="115"/>
      <c r="AN341" s="115"/>
      <c r="AO341" s="63"/>
    </row>
    <row r="342" spans="1:41" ht="43.2" x14ac:dyDescent="0.55000000000000004">
      <c r="A342" s="36">
        <v>2683</v>
      </c>
      <c r="B342" s="113" t="s">
        <v>1518</v>
      </c>
      <c r="C342" s="139" t="s">
        <v>1519</v>
      </c>
      <c r="D342" s="114" t="s">
        <v>52</v>
      </c>
      <c r="E342" s="115"/>
      <c r="F342" s="116"/>
      <c r="G342" s="113" t="s">
        <v>1464</v>
      </c>
      <c r="H342" s="113" t="s">
        <v>1514</v>
      </c>
      <c r="I342" s="113"/>
      <c r="J342" s="117" t="s">
        <v>1517</v>
      </c>
      <c r="K342" s="118"/>
      <c r="L342" s="109">
        <v>3</v>
      </c>
      <c r="M342" s="109">
        <v>3</v>
      </c>
      <c r="N342" s="109"/>
      <c r="O342" s="119"/>
      <c r="P342" s="2">
        <f t="shared" si="80"/>
        <v>1</v>
      </c>
      <c r="Q342" s="110" t="str">
        <f>IF(AND(Drops!$D$45&gt;1,OR(U342&lt;&gt;U341,AND(ROW()=5,U341=U342))),VLOOKUP(U342,Drops!$D$26:$E$44,2,FALSE),"")</f>
        <v/>
      </c>
      <c r="R342" s="2" t="str">
        <f t="shared" si="81"/>
        <v/>
      </c>
      <c r="S342" s="2">
        <f t="shared" ca="1" si="82"/>
        <v>1</v>
      </c>
      <c r="T342" s="2">
        <f t="shared" si="83"/>
        <v>0</v>
      </c>
      <c r="U342" s="110" t="s">
        <v>1442</v>
      </c>
      <c r="V342" s="110">
        <v>1</v>
      </c>
      <c r="W342" s="110">
        <v>19</v>
      </c>
      <c r="X342" s="110">
        <v>1</v>
      </c>
      <c r="Y342" s="110">
        <v>0</v>
      </c>
      <c r="Z342" s="110">
        <v>0</v>
      </c>
      <c r="AA342" s="2">
        <f t="shared" si="84"/>
        <v>1</v>
      </c>
      <c r="AB342" s="2">
        <f t="shared" si="85"/>
        <v>0</v>
      </c>
      <c r="AC342" s="2">
        <f t="shared" si="86"/>
        <v>1</v>
      </c>
      <c r="AD342" s="2">
        <f t="shared" si="87"/>
        <v>1</v>
      </c>
      <c r="AE342" s="2">
        <f t="shared" si="88"/>
        <v>1</v>
      </c>
      <c r="AF342" s="2">
        <f t="shared" si="89"/>
        <v>2</v>
      </c>
      <c r="AG342" s="2">
        <f t="shared" si="90"/>
        <v>2</v>
      </c>
      <c r="AH342" s="2">
        <f t="shared" si="91"/>
        <v>2</v>
      </c>
      <c r="AI342" s="2">
        <f t="shared" si="92"/>
        <v>2</v>
      </c>
      <c r="AJ342" s="2">
        <f t="shared" si="93"/>
        <v>2</v>
      </c>
      <c r="AK342" s="2">
        <f t="shared" si="94"/>
        <v>0</v>
      </c>
      <c r="AL342" s="2">
        <f t="shared" si="95"/>
        <v>0</v>
      </c>
      <c r="AM342" s="115"/>
      <c r="AN342" s="115"/>
      <c r="AO342" s="63"/>
    </row>
    <row r="343" spans="1:41" ht="28.8" x14ac:dyDescent="0.55000000000000004">
      <c r="A343" s="36">
        <v>2020</v>
      </c>
      <c r="B343" s="113" t="s">
        <v>1520</v>
      </c>
      <c r="C343" s="138" t="s">
        <v>1521</v>
      </c>
      <c r="D343" s="114" t="s">
        <v>55</v>
      </c>
      <c r="E343" s="115"/>
      <c r="F343" s="116"/>
      <c r="G343" s="113" t="s">
        <v>1464</v>
      </c>
      <c r="H343" s="113" t="s">
        <v>1522</v>
      </c>
      <c r="I343" s="113"/>
      <c r="J343" s="117"/>
      <c r="K343" s="118"/>
      <c r="L343" s="109">
        <v>2</v>
      </c>
      <c r="M343" s="109">
        <v>3</v>
      </c>
      <c r="N343" s="109"/>
      <c r="O343" s="119"/>
      <c r="P343" s="2">
        <f t="shared" si="80"/>
        <v>2</v>
      </c>
      <c r="Q343" s="110" t="str">
        <f>IF(AND(Drops!$D$45&gt;1,OR(U343&lt;&gt;U342,AND(ROW()=5,U342=U343))),VLOOKUP(U343,Drops!$D$26:$E$44,2,FALSE),"")</f>
        <v/>
      </c>
      <c r="R343" s="2" t="str">
        <f t="shared" si="81"/>
        <v/>
      </c>
      <c r="S343" s="2">
        <f t="shared" ca="1" si="82"/>
        <v>2</v>
      </c>
      <c r="T343" s="2">
        <f t="shared" si="83"/>
        <v>0</v>
      </c>
      <c r="U343" s="110" t="s">
        <v>1442</v>
      </c>
      <c r="V343" s="110">
        <v>1</v>
      </c>
      <c r="W343" s="110">
        <v>20</v>
      </c>
      <c r="X343" s="110">
        <v>0</v>
      </c>
      <c r="Y343" s="110">
        <v>0</v>
      </c>
      <c r="Z343" s="110">
        <v>0</v>
      </c>
      <c r="AA343" s="2">
        <f t="shared" si="84"/>
        <v>1</v>
      </c>
      <c r="AB343" s="2">
        <f t="shared" si="85"/>
        <v>1</v>
      </c>
      <c r="AC343" s="2">
        <f t="shared" si="86"/>
        <v>1</v>
      </c>
      <c r="AD343" s="2">
        <f t="shared" si="87"/>
        <v>2</v>
      </c>
      <c r="AE343" s="2">
        <f t="shared" si="88"/>
        <v>2</v>
      </c>
      <c r="AF343" s="2">
        <f t="shared" si="89"/>
        <v>2</v>
      </c>
      <c r="AG343" s="2">
        <f t="shared" si="90"/>
        <v>2</v>
      </c>
      <c r="AH343" s="2">
        <f t="shared" si="91"/>
        <v>2</v>
      </c>
      <c r="AI343" s="2">
        <f t="shared" si="92"/>
        <v>1</v>
      </c>
      <c r="AJ343" s="2">
        <f t="shared" si="93"/>
        <v>2</v>
      </c>
      <c r="AK343" s="2">
        <f t="shared" si="94"/>
        <v>0</v>
      </c>
      <c r="AL343" s="2">
        <f t="shared" si="95"/>
        <v>0</v>
      </c>
      <c r="AM343" s="115"/>
      <c r="AN343" s="115"/>
      <c r="AO343" s="63"/>
    </row>
    <row r="344" spans="1:41" ht="28.8" x14ac:dyDescent="0.55000000000000004">
      <c r="A344" s="36">
        <v>2027</v>
      </c>
      <c r="B344" s="113" t="s">
        <v>1523</v>
      </c>
      <c r="C344" s="139" t="s">
        <v>1524</v>
      </c>
      <c r="D344" s="114" t="s">
        <v>48</v>
      </c>
      <c r="E344" s="115" t="s">
        <v>1525</v>
      </c>
      <c r="F344" s="116"/>
      <c r="G344" s="113" t="s">
        <v>1464</v>
      </c>
      <c r="H344" s="113" t="s">
        <v>1522</v>
      </c>
      <c r="I344" s="113"/>
      <c r="J344" s="117"/>
      <c r="K344" s="118"/>
      <c r="L344" s="109">
        <v>3</v>
      </c>
      <c r="M344" s="109">
        <v>3</v>
      </c>
      <c r="N344" s="109"/>
      <c r="O344" s="119"/>
      <c r="P344" s="2">
        <f t="shared" si="80"/>
        <v>3</v>
      </c>
      <c r="Q344" s="110" t="str">
        <f>IF(AND(Drops!$D$45&gt;1,OR(U344&lt;&gt;U343,AND(ROW()=5,U343=U344))),VLOOKUP(U344,Drops!$D$26:$E$44,2,FALSE),"")</f>
        <v/>
      </c>
      <c r="R344" s="2" t="str">
        <f t="shared" si="81"/>
        <v/>
      </c>
      <c r="S344" s="2">
        <f t="shared" ca="1" si="82"/>
        <v>2</v>
      </c>
      <c r="T344" s="2">
        <f t="shared" si="83"/>
        <v>0</v>
      </c>
      <c r="U344" s="110" t="s">
        <v>1442</v>
      </c>
      <c r="V344" s="110">
        <v>1</v>
      </c>
      <c r="W344" s="110">
        <v>20</v>
      </c>
      <c r="X344" s="110">
        <v>2</v>
      </c>
      <c r="Y344" s="110">
        <v>0</v>
      </c>
      <c r="Z344" s="110">
        <v>0</v>
      </c>
      <c r="AA344" s="2">
        <f t="shared" si="84"/>
        <v>1</v>
      </c>
      <c r="AB344" s="2">
        <f t="shared" si="85"/>
        <v>0</v>
      </c>
      <c r="AC344" s="2">
        <f t="shared" si="86"/>
        <v>1</v>
      </c>
      <c r="AD344" s="2">
        <f t="shared" si="87"/>
        <v>2</v>
      </c>
      <c r="AE344" s="2">
        <f t="shared" si="88"/>
        <v>2</v>
      </c>
      <c r="AF344" s="2">
        <f t="shared" si="89"/>
        <v>2</v>
      </c>
      <c r="AG344" s="2">
        <f t="shared" si="90"/>
        <v>2</v>
      </c>
      <c r="AH344" s="2">
        <f t="shared" si="91"/>
        <v>2</v>
      </c>
      <c r="AI344" s="2">
        <f t="shared" si="92"/>
        <v>0</v>
      </c>
      <c r="AJ344" s="2">
        <f t="shared" si="93"/>
        <v>1</v>
      </c>
      <c r="AK344" s="2">
        <f t="shared" si="94"/>
        <v>0</v>
      </c>
      <c r="AL344" s="2">
        <f t="shared" si="95"/>
        <v>0</v>
      </c>
      <c r="AM344" s="115"/>
      <c r="AN344" s="115"/>
      <c r="AO344" s="63"/>
    </row>
    <row r="345" spans="1:41" ht="28.8" x14ac:dyDescent="0.55000000000000004">
      <c r="A345" s="36">
        <v>2169</v>
      </c>
      <c r="B345" s="113" t="s">
        <v>1526</v>
      </c>
      <c r="C345" s="138" t="s">
        <v>1527</v>
      </c>
      <c r="D345" s="114" t="s">
        <v>55</v>
      </c>
      <c r="E345" s="115"/>
      <c r="F345" s="116"/>
      <c r="G345" s="113" t="s">
        <v>1464</v>
      </c>
      <c r="H345" s="113" t="s">
        <v>1528</v>
      </c>
      <c r="I345" s="113"/>
      <c r="J345" s="117" t="s">
        <v>1529</v>
      </c>
      <c r="K345" s="118"/>
      <c r="L345" s="109">
        <v>2</v>
      </c>
      <c r="M345" s="109">
        <v>2</v>
      </c>
      <c r="N345" s="109"/>
      <c r="O345" s="119"/>
      <c r="P345" s="2">
        <f t="shared" si="80"/>
        <v>2</v>
      </c>
      <c r="Q345" s="110" t="str">
        <f>IF(AND(Drops!$D$45&gt;1,OR(U345&lt;&gt;U344,AND(ROW()=5,U344=U345))),VLOOKUP(U345,Drops!$D$26:$E$44,2,FALSE),"")</f>
        <v/>
      </c>
      <c r="R345" s="2" t="str">
        <f t="shared" si="81"/>
        <v/>
      </c>
      <c r="S345" s="2">
        <f t="shared" ca="1" si="82"/>
        <v>2</v>
      </c>
      <c r="T345" s="2">
        <f t="shared" si="83"/>
        <v>0</v>
      </c>
      <c r="U345" s="110" t="s">
        <v>1442</v>
      </c>
      <c r="V345" s="110">
        <v>1</v>
      </c>
      <c r="W345" s="110">
        <v>21</v>
      </c>
      <c r="X345" s="110">
        <v>0</v>
      </c>
      <c r="Y345" s="110">
        <v>0</v>
      </c>
      <c r="Z345" s="110">
        <v>0</v>
      </c>
      <c r="AA345" s="2">
        <f t="shared" si="84"/>
        <v>1</v>
      </c>
      <c r="AB345" s="2">
        <f t="shared" si="85"/>
        <v>1</v>
      </c>
      <c r="AC345" s="2">
        <f t="shared" si="86"/>
        <v>1</v>
      </c>
      <c r="AD345" s="2">
        <f t="shared" si="87"/>
        <v>2</v>
      </c>
      <c r="AE345" s="2">
        <f t="shared" si="88"/>
        <v>2</v>
      </c>
      <c r="AF345" s="2">
        <f t="shared" si="89"/>
        <v>2</v>
      </c>
      <c r="AG345" s="2">
        <f t="shared" si="90"/>
        <v>2</v>
      </c>
      <c r="AH345" s="2">
        <f t="shared" si="91"/>
        <v>2</v>
      </c>
      <c r="AI345" s="2">
        <f t="shared" si="92"/>
        <v>1</v>
      </c>
      <c r="AJ345" s="2">
        <f t="shared" si="93"/>
        <v>0</v>
      </c>
      <c r="AK345" s="2">
        <f t="shared" si="94"/>
        <v>0</v>
      </c>
      <c r="AL345" s="2">
        <f t="shared" si="95"/>
        <v>0</v>
      </c>
      <c r="AM345" s="115"/>
      <c r="AN345" s="115"/>
      <c r="AO345" s="63"/>
    </row>
    <row r="346" spans="1:41" ht="28.8" x14ac:dyDescent="0.55000000000000004">
      <c r="A346" s="36">
        <v>2672</v>
      </c>
      <c r="B346" s="113" t="s">
        <v>1530</v>
      </c>
      <c r="C346" s="139" t="s">
        <v>1531</v>
      </c>
      <c r="D346" s="114" t="s">
        <v>48</v>
      </c>
      <c r="E346" s="115" t="s">
        <v>1532</v>
      </c>
      <c r="F346" s="116"/>
      <c r="G346" s="113" t="s">
        <v>1464</v>
      </c>
      <c r="H346" s="113" t="s">
        <v>1528</v>
      </c>
      <c r="I346" s="113"/>
      <c r="J346" s="117" t="s">
        <v>1529</v>
      </c>
      <c r="K346" s="118"/>
      <c r="L346" s="109">
        <v>3</v>
      </c>
      <c r="M346" s="109">
        <v>3</v>
      </c>
      <c r="N346" s="109"/>
      <c r="O346" s="119"/>
      <c r="P346" s="2">
        <f t="shared" si="80"/>
        <v>3</v>
      </c>
      <c r="Q346" s="110" t="str">
        <f>IF(AND(Drops!$D$45&gt;1,OR(U346&lt;&gt;U345,AND(ROW()=5,U345=U346))),VLOOKUP(U346,Drops!$D$26:$E$44,2,FALSE),"")</f>
        <v/>
      </c>
      <c r="R346" s="2" t="str">
        <f t="shared" si="81"/>
        <v/>
      </c>
      <c r="S346" s="2">
        <f t="shared" ca="1" si="82"/>
        <v>2</v>
      </c>
      <c r="T346" s="2">
        <f t="shared" si="83"/>
        <v>0</v>
      </c>
      <c r="U346" s="110" t="s">
        <v>1442</v>
      </c>
      <c r="V346" s="110">
        <v>1</v>
      </c>
      <c r="W346" s="110">
        <v>21</v>
      </c>
      <c r="X346" s="110">
        <v>1</v>
      </c>
      <c r="Y346" s="110">
        <v>0</v>
      </c>
      <c r="Z346" s="110">
        <v>0</v>
      </c>
      <c r="AA346" s="2">
        <f t="shared" si="84"/>
        <v>1</v>
      </c>
      <c r="AB346" s="2">
        <f t="shared" si="85"/>
        <v>0</v>
      </c>
      <c r="AC346" s="2">
        <f t="shared" si="86"/>
        <v>1</v>
      </c>
      <c r="AD346" s="2">
        <f t="shared" si="87"/>
        <v>2</v>
      </c>
      <c r="AE346" s="2">
        <f t="shared" si="88"/>
        <v>2</v>
      </c>
      <c r="AF346" s="2">
        <f t="shared" si="89"/>
        <v>2</v>
      </c>
      <c r="AG346" s="2">
        <f t="shared" si="90"/>
        <v>2</v>
      </c>
      <c r="AH346" s="2">
        <f t="shared" si="91"/>
        <v>2</v>
      </c>
      <c r="AI346" s="2">
        <f t="shared" si="92"/>
        <v>0</v>
      </c>
      <c r="AJ346" s="2">
        <f t="shared" si="93"/>
        <v>1</v>
      </c>
      <c r="AK346" s="2">
        <f t="shared" si="94"/>
        <v>0</v>
      </c>
      <c r="AL346" s="2">
        <f t="shared" si="95"/>
        <v>0</v>
      </c>
      <c r="AM346" s="115"/>
      <c r="AN346" s="115"/>
      <c r="AO346" s="63"/>
    </row>
    <row r="347" spans="1:41" ht="28.8" x14ac:dyDescent="0.55000000000000004">
      <c r="A347" s="36">
        <v>2171</v>
      </c>
      <c r="B347" s="113" t="s">
        <v>1533</v>
      </c>
      <c r="C347" s="139" t="s">
        <v>1534</v>
      </c>
      <c r="D347" s="114" t="s">
        <v>48</v>
      </c>
      <c r="E347" s="115" t="s">
        <v>1532</v>
      </c>
      <c r="F347" s="116"/>
      <c r="G347" s="113" t="s">
        <v>1464</v>
      </c>
      <c r="H347" s="113" t="s">
        <v>1528</v>
      </c>
      <c r="I347" s="113"/>
      <c r="J347" s="117" t="s">
        <v>1529</v>
      </c>
      <c r="K347" s="118"/>
      <c r="L347" s="109">
        <v>3</v>
      </c>
      <c r="M347" s="109">
        <v>3</v>
      </c>
      <c r="N347" s="109"/>
      <c r="O347" s="119"/>
      <c r="P347" s="2">
        <f t="shared" si="80"/>
        <v>3</v>
      </c>
      <c r="Q347" s="110" t="str">
        <f>IF(AND(Drops!$D$45&gt;1,OR(U347&lt;&gt;U346,AND(ROW()=5,U346=U347))),VLOOKUP(U347,Drops!$D$26:$E$44,2,FALSE),"")</f>
        <v/>
      </c>
      <c r="R347" s="2" t="str">
        <f t="shared" si="81"/>
        <v/>
      </c>
      <c r="S347" s="2">
        <f t="shared" ca="1" si="82"/>
        <v>2</v>
      </c>
      <c r="T347" s="2">
        <f t="shared" si="83"/>
        <v>0</v>
      </c>
      <c r="U347" s="110" t="s">
        <v>1442</v>
      </c>
      <c r="V347" s="110">
        <v>1</v>
      </c>
      <c r="W347" s="110">
        <v>21</v>
      </c>
      <c r="X347" s="110">
        <v>2</v>
      </c>
      <c r="Y347" s="110">
        <v>0</v>
      </c>
      <c r="Z347" s="110">
        <v>0</v>
      </c>
      <c r="AA347" s="2">
        <f t="shared" si="84"/>
        <v>1</v>
      </c>
      <c r="AB347" s="2">
        <f t="shared" si="85"/>
        <v>0</v>
      </c>
      <c r="AC347" s="2">
        <f t="shared" si="86"/>
        <v>1</v>
      </c>
      <c r="AD347" s="2">
        <f t="shared" si="87"/>
        <v>2</v>
      </c>
      <c r="AE347" s="2">
        <f t="shared" si="88"/>
        <v>2</v>
      </c>
      <c r="AF347" s="2">
        <f t="shared" si="89"/>
        <v>2</v>
      </c>
      <c r="AG347" s="2">
        <f t="shared" si="90"/>
        <v>2</v>
      </c>
      <c r="AH347" s="2">
        <f t="shared" si="91"/>
        <v>2</v>
      </c>
      <c r="AI347" s="2">
        <f t="shared" si="92"/>
        <v>0</v>
      </c>
      <c r="AJ347" s="2">
        <f t="shared" si="93"/>
        <v>1</v>
      </c>
      <c r="AK347" s="2">
        <f t="shared" si="94"/>
        <v>0</v>
      </c>
      <c r="AL347" s="2">
        <f t="shared" si="95"/>
        <v>0</v>
      </c>
      <c r="AM347" s="115"/>
      <c r="AN347" s="115"/>
      <c r="AO347" s="63"/>
    </row>
    <row r="348" spans="1:41" ht="28.8" x14ac:dyDescent="0.55000000000000004">
      <c r="A348" s="36">
        <v>2170</v>
      </c>
      <c r="B348" s="113" t="s">
        <v>1535</v>
      </c>
      <c r="C348" s="139" t="s">
        <v>1536</v>
      </c>
      <c r="D348" s="114" t="s">
        <v>48</v>
      </c>
      <c r="E348" s="115" t="s">
        <v>1532</v>
      </c>
      <c r="F348" s="116"/>
      <c r="G348" s="113" t="s">
        <v>1464</v>
      </c>
      <c r="H348" s="113" t="s">
        <v>1528</v>
      </c>
      <c r="I348" s="113"/>
      <c r="J348" s="117" t="s">
        <v>1529</v>
      </c>
      <c r="K348" s="118"/>
      <c r="L348" s="109">
        <v>3</v>
      </c>
      <c r="M348" s="109">
        <v>3</v>
      </c>
      <c r="N348" s="109"/>
      <c r="O348" s="119"/>
      <c r="P348" s="2">
        <f t="shared" si="80"/>
        <v>3</v>
      </c>
      <c r="Q348" s="110" t="str">
        <f>IF(AND(Drops!$D$45&gt;1,OR(U348&lt;&gt;U347,AND(ROW()=5,U347=U348))),VLOOKUP(U348,Drops!$D$26:$E$44,2,FALSE),"")</f>
        <v/>
      </c>
      <c r="R348" s="2" t="str">
        <f t="shared" si="81"/>
        <v/>
      </c>
      <c r="S348" s="2">
        <f t="shared" ca="1" si="82"/>
        <v>2</v>
      </c>
      <c r="T348" s="2">
        <f t="shared" si="83"/>
        <v>0</v>
      </c>
      <c r="U348" s="110" t="s">
        <v>1442</v>
      </c>
      <c r="V348" s="110">
        <v>1</v>
      </c>
      <c r="W348" s="110">
        <v>21</v>
      </c>
      <c r="X348" s="110">
        <v>3</v>
      </c>
      <c r="Y348" s="110">
        <v>0</v>
      </c>
      <c r="Z348" s="110">
        <v>0</v>
      </c>
      <c r="AA348" s="2">
        <f t="shared" si="84"/>
        <v>1</v>
      </c>
      <c r="AB348" s="2">
        <f t="shared" si="85"/>
        <v>0</v>
      </c>
      <c r="AC348" s="2">
        <f t="shared" si="86"/>
        <v>1</v>
      </c>
      <c r="AD348" s="2">
        <f t="shared" si="87"/>
        <v>2</v>
      </c>
      <c r="AE348" s="2">
        <f t="shared" si="88"/>
        <v>2</v>
      </c>
      <c r="AF348" s="2">
        <f t="shared" si="89"/>
        <v>2</v>
      </c>
      <c r="AG348" s="2">
        <f t="shared" si="90"/>
        <v>2</v>
      </c>
      <c r="AH348" s="2">
        <f t="shared" si="91"/>
        <v>2</v>
      </c>
      <c r="AI348" s="2">
        <f t="shared" si="92"/>
        <v>0</v>
      </c>
      <c r="AJ348" s="2">
        <f t="shared" si="93"/>
        <v>1</v>
      </c>
      <c r="AK348" s="2">
        <f t="shared" si="94"/>
        <v>0</v>
      </c>
      <c r="AL348" s="2">
        <f t="shared" si="95"/>
        <v>0</v>
      </c>
      <c r="AM348" s="115"/>
      <c r="AN348" s="115"/>
      <c r="AO348" s="63"/>
    </row>
    <row r="349" spans="1:41" ht="14.4" x14ac:dyDescent="0.55000000000000004">
      <c r="A349" s="36">
        <v>2058</v>
      </c>
      <c r="B349" s="113" t="s">
        <v>277</v>
      </c>
      <c r="C349" s="113" t="s">
        <v>1537</v>
      </c>
      <c r="D349" s="114" t="s">
        <v>52</v>
      </c>
      <c r="E349" s="115"/>
      <c r="F349" s="116"/>
      <c r="G349" s="113" t="s">
        <v>1538</v>
      </c>
      <c r="H349" s="113" t="s">
        <v>910</v>
      </c>
      <c r="I349" s="113"/>
      <c r="J349" s="117"/>
      <c r="K349" s="118"/>
      <c r="L349" s="109">
        <v>1</v>
      </c>
      <c r="M349" s="109">
        <v>1</v>
      </c>
      <c r="N349" s="109"/>
      <c r="O349" s="119"/>
      <c r="P349" s="2">
        <f t="shared" si="80"/>
        <v>1</v>
      </c>
      <c r="Q349" s="110" t="str">
        <f>IF(AND(Drops!$D$45&gt;1,OR(U349&lt;&gt;U348,AND(ROW()=5,U348=U349))),VLOOKUP(U349,Drops!$D$26:$E$44,2,FALSE),"")</f>
        <v/>
      </c>
      <c r="R349" s="2" t="str">
        <f t="shared" si="81"/>
        <v/>
      </c>
      <c r="S349" s="2">
        <f t="shared" ca="1" si="82"/>
        <v>1</v>
      </c>
      <c r="T349" s="2">
        <f t="shared" si="83"/>
        <v>1</v>
      </c>
      <c r="U349" s="110" t="s">
        <v>1442</v>
      </c>
      <c r="V349" s="110">
        <v>2</v>
      </c>
      <c r="W349" s="110">
        <v>0</v>
      </c>
      <c r="X349" s="110">
        <v>0</v>
      </c>
      <c r="Y349" s="110">
        <v>0</v>
      </c>
      <c r="Z349" s="110">
        <v>0</v>
      </c>
      <c r="AA349" s="2">
        <f t="shared" si="84"/>
        <v>1</v>
      </c>
      <c r="AB349" s="2">
        <f t="shared" si="85"/>
        <v>1</v>
      </c>
      <c r="AC349" s="2">
        <f t="shared" si="86"/>
        <v>1</v>
      </c>
      <c r="AD349" s="2">
        <f t="shared" si="87"/>
        <v>0</v>
      </c>
      <c r="AE349" s="2">
        <f t="shared" si="88"/>
        <v>0</v>
      </c>
      <c r="AF349" s="2">
        <f t="shared" si="89"/>
        <v>2</v>
      </c>
      <c r="AG349" s="2">
        <f t="shared" si="90"/>
        <v>2</v>
      </c>
      <c r="AH349" s="2">
        <f t="shared" si="91"/>
        <v>2</v>
      </c>
      <c r="AI349" s="2">
        <f t="shared" si="92"/>
        <v>0</v>
      </c>
      <c r="AJ349" s="2">
        <f t="shared" si="93"/>
        <v>0</v>
      </c>
      <c r="AK349" s="2">
        <f t="shared" si="94"/>
        <v>0</v>
      </c>
      <c r="AL349" s="2">
        <f t="shared" si="95"/>
        <v>0</v>
      </c>
      <c r="AM349" s="115"/>
      <c r="AN349" s="115"/>
      <c r="AO349" s="63"/>
    </row>
    <row r="350" spans="1:41" ht="86.4" x14ac:dyDescent="0.55000000000000004">
      <c r="A350" s="36">
        <v>2059</v>
      </c>
      <c r="B350" s="113" t="s">
        <v>1539</v>
      </c>
      <c r="C350" s="138" t="s">
        <v>1540</v>
      </c>
      <c r="D350" s="114" t="s">
        <v>52</v>
      </c>
      <c r="E350" s="115" t="s">
        <v>1541</v>
      </c>
      <c r="F350" s="116"/>
      <c r="G350" s="113" t="s">
        <v>1538</v>
      </c>
      <c r="H350" s="113" t="s">
        <v>1538</v>
      </c>
      <c r="I350" s="113" t="s">
        <v>1542</v>
      </c>
      <c r="J350" s="117"/>
      <c r="K350" s="118"/>
      <c r="L350" s="109">
        <v>2</v>
      </c>
      <c r="M350" s="109">
        <v>2</v>
      </c>
      <c r="N350" s="109"/>
      <c r="O350" s="119"/>
      <c r="P350" s="2">
        <f t="shared" si="80"/>
        <v>1</v>
      </c>
      <c r="Q350" s="110" t="str">
        <f>IF(AND(Drops!$D$45&gt;1,OR(U350&lt;&gt;U349,AND(ROW()=5,U349=U350))),VLOOKUP(U350,Drops!$D$26:$E$44,2,FALSE),"")</f>
        <v/>
      </c>
      <c r="R350" s="2" t="str">
        <f t="shared" si="81"/>
        <v/>
      </c>
      <c r="S350" s="2">
        <f t="shared" ca="1" si="82"/>
        <v>1</v>
      </c>
      <c r="T350" s="2">
        <f t="shared" si="83"/>
        <v>0</v>
      </c>
      <c r="U350" s="110" t="s">
        <v>1442</v>
      </c>
      <c r="V350" s="110">
        <v>2</v>
      </c>
      <c r="W350" s="110">
        <v>1</v>
      </c>
      <c r="X350" s="110">
        <v>0</v>
      </c>
      <c r="Y350" s="110">
        <v>0</v>
      </c>
      <c r="Z350" s="110">
        <v>0</v>
      </c>
      <c r="AA350" s="2">
        <f t="shared" si="84"/>
        <v>1</v>
      </c>
      <c r="AB350" s="2">
        <f t="shared" si="85"/>
        <v>1</v>
      </c>
      <c r="AC350" s="2">
        <f t="shared" si="86"/>
        <v>1</v>
      </c>
      <c r="AD350" s="2">
        <f t="shared" si="87"/>
        <v>1</v>
      </c>
      <c r="AE350" s="2">
        <f t="shared" si="88"/>
        <v>0</v>
      </c>
      <c r="AF350" s="2">
        <f t="shared" si="89"/>
        <v>2</v>
      </c>
      <c r="AG350" s="2">
        <f t="shared" si="90"/>
        <v>2</v>
      </c>
      <c r="AH350" s="2">
        <f t="shared" si="91"/>
        <v>2</v>
      </c>
      <c r="AI350" s="2">
        <f t="shared" si="92"/>
        <v>2</v>
      </c>
      <c r="AJ350" s="2">
        <f t="shared" si="93"/>
        <v>0</v>
      </c>
      <c r="AK350" s="2">
        <f t="shared" si="94"/>
        <v>0</v>
      </c>
      <c r="AL350" s="2">
        <f t="shared" si="95"/>
        <v>0</v>
      </c>
      <c r="AM350" s="115"/>
      <c r="AN350" s="115"/>
      <c r="AO350" s="63"/>
    </row>
    <row r="351" spans="1:41" ht="14.4" x14ac:dyDescent="0.55000000000000004">
      <c r="A351" s="36">
        <v>4450</v>
      </c>
      <c r="B351" s="113" t="s">
        <v>1543</v>
      </c>
      <c r="C351" s="139" t="s">
        <v>1544</v>
      </c>
      <c r="D351" s="114" t="s">
        <v>52</v>
      </c>
      <c r="E351" s="115"/>
      <c r="F351" s="116"/>
      <c r="G351" s="113" t="s">
        <v>1538</v>
      </c>
      <c r="H351" s="113" t="s">
        <v>1538</v>
      </c>
      <c r="I351" s="113"/>
      <c r="J351" s="117"/>
      <c r="K351" s="118"/>
      <c r="L351" s="109">
        <v>3</v>
      </c>
      <c r="M351" s="109">
        <v>3</v>
      </c>
      <c r="N351" s="109"/>
      <c r="O351" s="119"/>
      <c r="P351" s="2">
        <f t="shared" si="80"/>
        <v>1</v>
      </c>
      <c r="Q351" s="110" t="str">
        <f>IF(AND(Drops!$D$45&gt;1,OR(U351&lt;&gt;U350,AND(ROW()=5,U350=U351))),VLOOKUP(U351,Drops!$D$26:$E$44,2,FALSE),"")</f>
        <v/>
      </c>
      <c r="R351" s="2" t="str">
        <f t="shared" si="81"/>
        <v/>
      </c>
      <c r="S351" s="2">
        <f t="shared" ca="1" si="82"/>
        <v>1</v>
      </c>
      <c r="T351" s="2">
        <f t="shared" si="83"/>
        <v>0</v>
      </c>
      <c r="U351" s="110" t="s">
        <v>1442</v>
      </c>
      <c r="V351" s="110">
        <v>2</v>
      </c>
      <c r="W351" s="110">
        <v>1</v>
      </c>
      <c r="X351" s="110">
        <v>1</v>
      </c>
      <c r="Y351" s="110">
        <v>0</v>
      </c>
      <c r="Z351" s="110">
        <v>0</v>
      </c>
      <c r="AA351" s="2">
        <f t="shared" si="84"/>
        <v>1</v>
      </c>
      <c r="AB351" s="2">
        <f t="shared" si="85"/>
        <v>0</v>
      </c>
      <c r="AC351" s="2">
        <f t="shared" si="86"/>
        <v>1</v>
      </c>
      <c r="AD351" s="2">
        <f t="shared" si="87"/>
        <v>1</v>
      </c>
      <c r="AE351" s="2">
        <f t="shared" si="88"/>
        <v>1</v>
      </c>
      <c r="AF351" s="2">
        <f t="shared" si="89"/>
        <v>2</v>
      </c>
      <c r="AG351" s="2">
        <f t="shared" si="90"/>
        <v>2</v>
      </c>
      <c r="AH351" s="2">
        <f t="shared" si="91"/>
        <v>2</v>
      </c>
      <c r="AI351" s="2">
        <f t="shared" si="92"/>
        <v>2</v>
      </c>
      <c r="AJ351" s="2">
        <f t="shared" si="93"/>
        <v>2</v>
      </c>
      <c r="AK351" s="2">
        <f t="shared" si="94"/>
        <v>0</v>
      </c>
      <c r="AL351" s="2">
        <f t="shared" si="95"/>
        <v>0</v>
      </c>
      <c r="AM351" s="115"/>
      <c r="AN351" s="115"/>
      <c r="AO351" s="63"/>
    </row>
    <row r="352" spans="1:41" ht="86.4" x14ac:dyDescent="0.55000000000000004">
      <c r="A352" s="36">
        <v>3920</v>
      </c>
      <c r="B352" s="113" t="s">
        <v>1545</v>
      </c>
      <c r="C352" s="138" t="s">
        <v>1546</v>
      </c>
      <c r="D352" s="114" t="s">
        <v>52</v>
      </c>
      <c r="E352" s="115" t="s">
        <v>1547</v>
      </c>
      <c r="F352" s="116"/>
      <c r="G352" s="113" t="s">
        <v>1538</v>
      </c>
      <c r="H352" s="113" t="s">
        <v>1538</v>
      </c>
      <c r="I352" s="113" t="s">
        <v>1542</v>
      </c>
      <c r="J352" s="117" t="s">
        <v>1548</v>
      </c>
      <c r="K352" s="118"/>
      <c r="L352" s="109">
        <v>2</v>
      </c>
      <c r="M352" s="109">
        <v>2</v>
      </c>
      <c r="N352" s="109"/>
      <c r="O352" s="119"/>
      <c r="P352" s="2">
        <f t="shared" si="80"/>
        <v>1</v>
      </c>
      <c r="Q352" s="110" t="str">
        <f>IF(AND(Drops!$D$45&gt;1,OR(U352&lt;&gt;U351,AND(ROW()=5,U351=U352))),VLOOKUP(U352,Drops!$D$26:$E$44,2,FALSE),"")</f>
        <v/>
      </c>
      <c r="R352" s="2" t="str">
        <f t="shared" si="81"/>
        <v/>
      </c>
      <c r="S352" s="2">
        <f t="shared" ca="1" si="82"/>
        <v>1</v>
      </c>
      <c r="T352" s="2">
        <f t="shared" si="83"/>
        <v>0</v>
      </c>
      <c r="U352" s="110" t="s">
        <v>1442</v>
      </c>
      <c r="V352" s="110">
        <v>2</v>
      </c>
      <c r="W352" s="110">
        <v>2</v>
      </c>
      <c r="X352" s="110">
        <v>0</v>
      </c>
      <c r="Y352" s="110">
        <v>0</v>
      </c>
      <c r="Z352" s="110">
        <v>0</v>
      </c>
      <c r="AA352" s="2">
        <f t="shared" si="84"/>
        <v>1</v>
      </c>
      <c r="AB352" s="2">
        <f t="shared" si="85"/>
        <v>0</v>
      </c>
      <c r="AC352" s="2">
        <f t="shared" si="86"/>
        <v>1</v>
      </c>
      <c r="AD352" s="2">
        <f t="shared" si="87"/>
        <v>1</v>
      </c>
      <c r="AE352" s="2">
        <f t="shared" si="88"/>
        <v>0</v>
      </c>
      <c r="AF352" s="2">
        <f t="shared" si="89"/>
        <v>2</v>
      </c>
      <c r="AG352" s="2">
        <f t="shared" si="90"/>
        <v>2</v>
      </c>
      <c r="AH352" s="2">
        <f t="shared" si="91"/>
        <v>2</v>
      </c>
      <c r="AI352" s="2">
        <f t="shared" si="92"/>
        <v>2</v>
      </c>
      <c r="AJ352" s="2">
        <f t="shared" si="93"/>
        <v>2</v>
      </c>
      <c r="AK352" s="2">
        <f t="shared" si="94"/>
        <v>0</v>
      </c>
      <c r="AL352" s="2">
        <f t="shared" si="95"/>
        <v>0</v>
      </c>
      <c r="AM352" s="115"/>
      <c r="AN352" s="115"/>
      <c r="AO352" s="63"/>
    </row>
    <row r="353" spans="1:41" ht="115.2" x14ac:dyDescent="0.55000000000000004">
      <c r="A353" s="36">
        <v>2204</v>
      </c>
      <c r="B353" s="113" t="s">
        <v>1549</v>
      </c>
      <c r="C353" s="138" t="s">
        <v>1550</v>
      </c>
      <c r="D353" s="114" t="s">
        <v>52</v>
      </c>
      <c r="E353" s="115"/>
      <c r="F353" s="116"/>
      <c r="G353" s="113" t="s">
        <v>1538</v>
      </c>
      <c r="H353" s="113" t="s">
        <v>1551</v>
      </c>
      <c r="I353" s="113" t="s">
        <v>1542</v>
      </c>
      <c r="J353" s="117" t="s">
        <v>1552</v>
      </c>
      <c r="K353" s="118"/>
      <c r="L353" s="109">
        <v>2</v>
      </c>
      <c r="M353" s="109">
        <v>2</v>
      </c>
      <c r="N353" s="109"/>
      <c r="O353" s="119"/>
      <c r="P353" s="2">
        <f t="shared" si="80"/>
        <v>1</v>
      </c>
      <c r="Q353" s="110" t="str">
        <f>IF(AND(Drops!$D$45&gt;1,OR(U353&lt;&gt;U352,AND(ROW()=5,U352=U353))),VLOOKUP(U353,Drops!$D$26:$E$44,2,FALSE),"")</f>
        <v/>
      </c>
      <c r="R353" s="2" t="str">
        <f t="shared" si="81"/>
        <v/>
      </c>
      <c r="S353" s="2">
        <f t="shared" ca="1" si="82"/>
        <v>1</v>
      </c>
      <c r="T353" s="2">
        <f t="shared" si="83"/>
        <v>0</v>
      </c>
      <c r="U353" s="110" t="s">
        <v>1442</v>
      </c>
      <c r="V353" s="110">
        <v>2</v>
      </c>
      <c r="W353" s="110">
        <v>3</v>
      </c>
      <c r="X353" s="110">
        <v>0</v>
      </c>
      <c r="Y353" s="110">
        <v>0</v>
      </c>
      <c r="Z353" s="110">
        <v>0</v>
      </c>
      <c r="AA353" s="2">
        <f t="shared" si="84"/>
        <v>1</v>
      </c>
      <c r="AB353" s="2">
        <f t="shared" si="85"/>
        <v>1</v>
      </c>
      <c r="AC353" s="2">
        <f t="shared" si="86"/>
        <v>1</v>
      </c>
      <c r="AD353" s="2">
        <f t="shared" si="87"/>
        <v>1</v>
      </c>
      <c r="AE353" s="2">
        <f t="shared" si="88"/>
        <v>0</v>
      </c>
      <c r="AF353" s="2">
        <f t="shared" si="89"/>
        <v>2</v>
      </c>
      <c r="AG353" s="2">
        <f t="shared" si="90"/>
        <v>2</v>
      </c>
      <c r="AH353" s="2">
        <f t="shared" si="91"/>
        <v>2</v>
      </c>
      <c r="AI353" s="2">
        <f t="shared" si="92"/>
        <v>2</v>
      </c>
      <c r="AJ353" s="2">
        <f t="shared" si="93"/>
        <v>2</v>
      </c>
      <c r="AK353" s="2">
        <f t="shared" si="94"/>
        <v>0</v>
      </c>
      <c r="AL353" s="2">
        <f t="shared" si="95"/>
        <v>0</v>
      </c>
      <c r="AM353" s="115"/>
      <c r="AN353" s="115"/>
      <c r="AO353" s="63"/>
    </row>
    <row r="354" spans="1:41" ht="43.2" x14ac:dyDescent="0.55000000000000004">
      <c r="A354" s="36">
        <v>3427</v>
      </c>
      <c r="B354" s="113" t="s">
        <v>1553</v>
      </c>
      <c r="C354" s="139" t="s">
        <v>1554</v>
      </c>
      <c r="D354" s="114" t="s">
        <v>52</v>
      </c>
      <c r="E354" s="115" t="s">
        <v>1555</v>
      </c>
      <c r="F354" s="116"/>
      <c r="G354" s="113" t="s">
        <v>1538</v>
      </c>
      <c r="H354" s="113" t="s">
        <v>1551</v>
      </c>
      <c r="I354" s="113"/>
      <c r="J354" s="117"/>
      <c r="K354" s="118"/>
      <c r="L354" s="109">
        <v>3</v>
      </c>
      <c r="M354" s="109">
        <v>3</v>
      </c>
      <c r="N354" s="109"/>
      <c r="O354" s="119"/>
      <c r="P354" s="2">
        <f t="shared" si="80"/>
        <v>1</v>
      </c>
      <c r="Q354" s="110" t="str">
        <f>IF(AND(Drops!$D$45&gt;1,OR(U354&lt;&gt;U353,AND(ROW()=5,U353=U354))),VLOOKUP(U354,Drops!$D$26:$E$44,2,FALSE),"")</f>
        <v/>
      </c>
      <c r="R354" s="2" t="str">
        <f t="shared" si="81"/>
        <v/>
      </c>
      <c r="S354" s="2">
        <f t="shared" ca="1" si="82"/>
        <v>1</v>
      </c>
      <c r="T354" s="2">
        <f t="shared" si="83"/>
        <v>0</v>
      </c>
      <c r="U354" s="110" t="s">
        <v>1442</v>
      </c>
      <c r="V354" s="110">
        <v>2</v>
      </c>
      <c r="W354" s="110">
        <v>3</v>
      </c>
      <c r="X354" s="110">
        <v>1</v>
      </c>
      <c r="Y354" s="110">
        <v>0</v>
      </c>
      <c r="Z354" s="110">
        <v>0</v>
      </c>
      <c r="AA354" s="2">
        <f t="shared" si="84"/>
        <v>1</v>
      </c>
      <c r="AB354" s="2">
        <f t="shared" si="85"/>
        <v>0</v>
      </c>
      <c r="AC354" s="2">
        <f t="shared" si="86"/>
        <v>1</v>
      </c>
      <c r="AD354" s="2">
        <f t="shared" si="87"/>
        <v>1</v>
      </c>
      <c r="AE354" s="2">
        <f t="shared" si="88"/>
        <v>1</v>
      </c>
      <c r="AF354" s="2">
        <f t="shared" si="89"/>
        <v>2</v>
      </c>
      <c r="AG354" s="2">
        <f t="shared" si="90"/>
        <v>2</v>
      </c>
      <c r="AH354" s="2">
        <f t="shared" si="91"/>
        <v>2</v>
      </c>
      <c r="AI354" s="2">
        <f t="shared" si="92"/>
        <v>2</v>
      </c>
      <c r="AJ354" s="2">
        <f t="shared" si="93"/>
        <v>2</v>
      </c>
      <c r="AK354" s="2">
        <f t="shared" si="94"/>
        <v>0</v>
      </c>
      <c r="AL354" s="2">
        <f t="shared" si="95"/>
        <v>0</v>
      </c>
      <c r="AM354" s="115"/>
      <c r="AN354" s="115"/>
      <c r="AO354" s="63"/>
    </row>
    <row r="355" spans="1:41" ht="57.6" x14ac:dyDescent="0.55000000000000004">
      <c r="A355" s="36">
        <v>2670</v>
      </c>
      <c r="B355" s="113" t="s">
        <v>1556</v>
      </c>
      <c r="C355" s="139" t="s">
        <v>1557</v>
      </c>
      <c r="D355" s="114" t="s">
        <v>52</v>
      </c>
      <c r="E355" s="115"/>
      <c r="F355" s="116"/>
      <c r="G355" s="113" t="s">
        <v>1538</v>
      </c>
      <c r="H355" s="113" t="s">
        <v>1551</v>
      </c>
      <c r="I355" s="113"/>
      <c r="J355" s="117" t="s">
        <v>1558</v>
      </c>
      <c r="K355" s="118"/>
      <c r="L355" s="109">
        <v>3</v>
      </c>
      <c r="M355" s="109">
        <v>2</v>
      </c>
      <c r="N355" s="109"/>
      <c r="O355" s="119"/>
      <c r="P355" s="2">
        <f t="shared" si="80"/>
        <v>1</v>
      </c>
      <c r="Q355" s="110" t="str">
        <f>IF(AND(Drops!$D$45&gt;1,OR(U355&lt;&gt;U354,AND(ROW()=5,U354=U355))),VLOOKUP(U355,Drops!$D$26:$E$44,2,FALSE),"")</f>
        <v/>
      </c>
      <c r="R355" s="2" t="str">
        <f t="shared" si="81"/>
        <v/>
      </c>
      <c r="S355" s="2">
        <f t="shared" ca="1" si="82"/>
        <v>1</v>
      </c>
      <c r="T355" s="2">
        <f t="shared" si="83"/>
        <v>0</v>
      </c>
      <c r="U355" s="110" t="s">
        <v>1442</v>
      </c>
      <c r="V355" s="110">
        <v>2</v>
      </c>
      <c r="W355" s="110">
        <v>3</v>
      </c>
      <c r="X355" s="110">
        <v>2</v>
      </c>
      <c r="Y355" s="110">
        <v>0</v>
      </c>
      <c r="Z355" s="110">
        <v>0</v>
      </c>
      <c r="AA355" s="2">
        <f t="shared" si="84"/>
        <v>1</v>
      </c>
      <c r="AB355" s="2">
        <f t="shared" si="85"/>
        <v>0</v>
      </c>
      <c r="AC355" s="2">
        <f t="shared" si="86"/>
        <v>1</v>
      </c>
      <c r="AD355" s="2">
        <f t="shared" si="87"/>
        <v>1</v>
      </c>
      <c r="AE355" s="2">
        <f t="shared" si="88"/>
        <v>1</v>
      </c>
      <c r="AF355" s="2">
        <f t="shared" si="89"/>
        <v>2</v>
      </c>
      <c r="AG355" s="2">
        <f t="shared" si="90"/>
        <v>2</v>
      </c>
      <c r="AH355" s="2">
        <f t="shared" si="91"/>
        <v>2</v>
      </c>
      <c r="AI355" s="2">
        <f t="shared" si="92"/>
        <v>2</v>
      </c>
      <c r="AJ355" s="2">
        <f t="shared" si="93"/>
        <v>2</v>
      </c>
      <c r="AK355" s="2">
        <f t="shared" si="94"/>
        <v>0</v>
      </c>
      <c r="AL355" s="2">
        <f t="shared" si="95"/>
        <v>0</v>
      </c>
      <c r="AM355" s="115"/>
      <c r="AN355" s="115"/>
      <c r="AO355" s="63"/>
    </row>
    <row r="356" spans="1:41" ht="86.4" x14ac:dyDescent="0.55000000000000004">
      <c r="A356" s="36">
        <v>2206</v>
      </c>
      <c r="B356" s="113" t="s">
        <v>1559</v>
      </c>
      <c r="C356" s="139" t="s">
        <v>1560</v>
      </c>
      <c r="D356" s="114" t="s">
        <v>52</v>
      </c>
      <c r="E356" s="115"/>
      <c r="F356" s="116"/>
      <c r="G356" s="113" t="s">
        <v>1538</v>
      </c>
      <c r="H356" s="113" t="s">
        <v>1551</v>
      </c>
      <c r="I356" s="113" t="s">
        <v>1561</v>
      </c>
      <c r="J356" s="117" t="s">
        <v>1562</v>
      </c>
      <c r="K356" s="118"/>
      <c r="L356" s="109">
        <v>3</v>
      </c>
      <c r="M356" s="109">
        <v>2</v>
      </c>
      <c r="N356" s="109"/>
      <c r="O356" s="119"/>
      <c r="P356" s="2">
        <f t="shared" si="80"/>
        <v>1</v>
      </c>
      <c r="Q356" s="110" t="str">
        <f>IF(AND(Drops!$D$45&gt;1,OR(U356&lt;&gt;U355,AND(ROW()=5,U355=U356))),VLOOKUP(U356,Drops!$D$26:$E$44,2,FALSE),"")</f>
        <v/>
      </c>
      <c r="R356" s="2" t="str">
        <f t="shared" si="81"/>
        <v/>
      </c>
      <c r="S356" s="2">
        <f t="shared" ca="1" si="82"/>
        <v>1</v>
      </c>
      <c r="T356" s="2">
        <f t="shared" si="83"/>
        <v>0</v>
      </c>
      <c r="U356" s="110" t="s">
        <v>1442</v>
      </c>
      <c r="V356" s="110">
        <v>2</v>
      </c>
      <c r="W356" s="110">
        <v>3</v>
      </c>
      <c r="X356" s="110">
        <v>3</v>
      </c>
      <c r="Y356" s="110">
        <v>0</v>
      </c>
      <c r="Z356" s="110">
        <v>0</v>
      </c>
      <c r="AA356" s="2">
        <f t="shared" si="84"/>
        <v>1</v>
      </c>
      <c r="AB356" s="2">
        <f t="shared" si="85"/>
        <v>0</v>
      </c>
      <c r="AC356" s="2">
        <f t="shared" si="86"/>
        <v>1</v>
      </c>
      <c r="AD356" s="2">
        <f t="shared" si="87"/>
        <v>1</v>
      </c>
      <c r="AE356" s="2">
        <f t="shared" si="88"/>
        <v>1</v>
      </c>
      <c r="AF356" s="2">
        <f t="shared" si="89"/>
        <v>2</v>
      </c>
      <c r="AG356" s="2">
        <f t="shared" si="90"/>
        <v>2</v>
      </c>
      <c r="AH356" s="2">
        <f t="shared" si="91"/>
        <v>2</v>
      </c>
      <c r="AI356" s="2">
        <f t="shared" si="92"/>
        <v>2</v>
      </c>
      <c r="AJ356" s="2">
        <f t="shared" si="93"/>
        <v>2</v>
      </c>
      <c r="AK356" s="2">
        <f t="shared" si="94"/>
        <v>0</v>
      </c>
      <c r="AL356" s="2">
        <f t="shared" si="95"/>
        <v>0</v>
      </c>
      <c r="AM356" s="115"/>
      <c r="AN356" s="115"/>
      <c r="AO356" s="63"/>
    </row>
    <row r="357" spans="1:41" ht="43.2" x14ac:dyDescent="0.55000000000000004">
      <c r="A357" s="36">
        <v>2207</v>
      </c>
      <c r="B357" s="113" t="s">
        <v>1563</v>
      </c>
      <c r="C357" s="139" t="s">
        <v>1564</v>
      </c>
      <c r="D357" s="114" t="s">
        <v>52</v>
      </c>
      <c r="E357" s="115"/>
      <c r="F357" s="116"/>
      <c r="G357" s="113" t="s">
        <v>1538</v>
      </c>
      <c r="H357" s="113" t="s">
        <v>1551</v>
      </c>
      <c r="I357" s="113" t="s">
        <v>1565</v>
      </c>
      <c r="J357" s="117" t="s">
        <v>1566</v>
      </c>
      <c r="K357" s="118"/>
      <c r="L357" s="109">
        <v>3</v>
      </c>
      <c r="M357" s="109">
        <v>3</v>
      </c>
      <c r="N357" s="109"/>
      <c r="O357" s="119"/>
      <c r="P357" s="2">
        <f t="shared" si="80"/>
        <v>1</v>
      </c>
      <c r="Q357" s="110" t="str">
        <f>IF(AND(Drops!$D$45&gt;1,OR(U357&lt;&gt;U356,AND(ROW()=5,U356=U357))),VLOOKUP(U357,Drops!$D$26:$E$44,2,FALSE),"")</f>
        <v/>
      </c>
      <c r="R357" s="2" t="str">
        <f t="shared" si="81"/>
        <v/>
      </c>
      <c r="S357" s="2">
        <f t="shared" ca="1" si="82"/>
        <v>1</v>
      </c>
      <c r="T357" s="2">
        <f t="shared" si="83"/>
        <v>0</v>
      </c>
      <c r="U357" s="110" t="s">
        <v>1442</v>
      </c>
      <c r="V357" s="110">
        <v>2</v>
      </c>
      <c r="W357" s="110">
        <v>3</v>
      </c>
      <c r="X357" s="110">
        <v>4</v>
      </c>
      <c r="Y357" s="110">
        <v>0</v>
      </c>
      <c r="Z357" s="110">
        <v>0</v>
      </c>
      <c r="AA357" s="2">
        <f t="shared" si="84"/>
        <v>1</v>
      </c>
      <c r="AB357" s="2">
        <f t="shared" si="85"/>
        <v>0</v>
      </c>
      <c r="AC357" s="2">
        <f t="shared" si="86"/>
        <v>1</v>
      </c>
      <c r="AD357" s="2">
        <f t="shared" si="87"/>
        <v>1</v>
      </c>
      <c r="AE357" s="2">
        <f t="shared" si="88"/>
        <v>1</v>
      </c>
      <c r="AF357" s="2">
        <f t="shared" si="89"/>
        <v>2</v>
      </c>
      <c r="AG357" s="2">
        <f t="shared" si="90"/>
        <v>2</v>
      </c>
      <c r="AH357" s="2">
        <f t="shared" si="91"/>
        <v>2</v>
      </c>
      <c r="AI357" s="2">
        <f t="shared" si="92"/>
        <v>2</v>
      </c>
      <c r="AJ357" s="2">
        <f t="shared" si="93"/>
        <v>2</v>
      </c>
      <c r="AK357" s="2">
        <f t="shared" si="94"/>
        <v>0</v>
      </c>
      <c r="AL357" s="2">
        <f t="shared" si="95"/>
        <v>0</v>
      </c>
      <c r="AM357" s="115"/>
      <c r="AN357" s="115"/>
      <c r="AO357" s="63"/>
    </row>
    <row r="358" spans="1:41" ht="28.8" x14ac:dyDescent="0.55000000000000004">
      <c r="A358" s="36">
        <v>2676</v>
      </c>
      <c r="B358" s="113" t="s">
        <v>1567</v>
      </c>
      <c r="C358" s="139" t="s">
        <v>1568</v>
      </c>
      <c r="D358" s="114" t="s">
        <v>52</v>
      </c>
      <c r="E358" s="115"/>
      <c r="F358" s="116"/>
      <c r="G358" s="113" t="s">
        <v>1538</v>
      </c>
      <c r="H358" s="113" t="s">
        <v>1551</v>
      </c>
      <c r="I358" s="113"/>
      <c r="J358" s="117" t="s">
        <v>1569</v>
      </c>
      <c r="K358" s="118"/>
      <c r="L358" s="109">
        <v>3</v>
      </c>
      <c r="M358" s="109">
        <v>2</v>
      </c>
      <c r="N358" s="109"/>
      <c r="O358" s="119"/>
      <c r="P358" s="2">
        <f t="shared" si="80"/>
        <v>1</v>
      </c>
      <c r="Q358" s="110" t="str">
        <f>IF(AND(Drops!$D$45&gt;1,OR(U358&lt;&gt;U357,AND(ROW()=5,U357=U358))),VLOOKUP(U358,Drops!$D$26:$E$44,2,FALSE),"")</f>
        <v/>
      </c>
      <c r="R358" s="2" t="str">
        <f t="shared" si="81"/>
        <v/>
      </c>
      <c r="S358" s="2">
        <f t="shared" ca="1" si="82"/>
        <v>1</v>
      </c>
      <c r="T358" s="2">
        <f t="shared" si="83"/>
        <v>0</v>
      </c>
      <c r="U358" s="110" t="s">
        <v>1442</v>
      </c>
      <c r="V358" s="110">
        <v>2</v>
      </c>
      <c r="W358" s="110">
        <v>3</v>
      </c>
      <c r="X358" s="110">
        <v>8</v>
      </c>
      <c r="Y358" s="110">
        <v>0</v>
      </c>
      <c r="Z358" s="110">
        <v>0</v>
      </c>
      <c r="AA358" s="2">
        <f t="shared" si="84"/>
        <v>1</v>
      </c>
      <c r="AB358" s="2">
        <f t="shared" si="85"/>
        <v>0</v>
      </c>
      <c r="AC358" s="2">
        <f t="shared" si="86"/>
        <v>1</v>
      </c>
      <c r="AD358" s="2">
        <f t="shared" si="87"/>
        <v>1</v>
      </c>
      <c r="AE358" s="2">
        <f t="shared" si="88"/>
        <v>1</v>
      </c>
      <c r="AF358" s="2">
        <f t="shared" si="89"/>
        <v>2</v>
      </c>
      <c r="AG358" s="2">
        <f t="shared" si="90"/>
        <v>2</v>
      </c>
      <c r="AH358" s="2">
        <f t="shared" si="91"/>
        <v>2</v>
      </c>
      <c r="AI358" s="2">
        <f t="shared" si="92"/>
        <v>2</v>
      </c>
      <c r="AJ358" s="2">
        <f t="shared" si="93"/>
        <v>2</v>
      </c>
      <c r="AK358" s="2">
        <f t="shared" si="94"/>
        <v>0</v>
      </c>
      <c r="AL358" s="2">
        <f t="shared" si="95"/>
        <v>0</v>
      </c>
      <c r="AM358" s="115"/>
      <c r="AN358" s="115"/>
      <c r="AO358" s="63"/>
    </row>
    <row r="359" spans="1:41" ht="28.8" x14ac:dyDescent="0.55000000000000004">
      <c r="A359" s="36">
        <v>2677</v>
      </c>
      <c r="B359" s="113" t="s">
        <v>1570</v>
      </c>
      <c r="C359" s="139" t="s">
        <v>1571</v>
      </c>
      <c r="D359" s="114" t="s">
        <v>52</v>
      </c>
      <c r="E359" s="115"/>
      <c r="F359" s="116"/>
      <c r="G359" s="113" t="s">
        <v>1538</v>
      </c>
      <c r="H359" s="113" t="s">
        <v>1551</v>
      </c>
      <c r="I359" s="113"/>
      <c r="J359" s="117" t="s">
        <v>1569</v>
      </c>
      <c r="K359" s="118"/>
      <c r="L359" s="109">
        <v>3</v>
      </c>
      <c r="M359" s="109">
        <v>3</v>
      </c>
      <c r="N359" s="109"/>
      <c r="O359" s="119"/>
      <c r="P359" s="2">
        <f t="shared" si="80"/>
        <v>1</v>
      </c>
      <c r="Q359" s="110" t="str">
        <f>IF(AND(Drops!$D$45&gt;1,OR(U359&lt;&gt;U358,AND(ROW()=5,U358=U359))),VLOOKUP(U359,Drops!$D$26:$E$44,2,FALSE),"")</f>
        <v/>
      </c>
      <c r="R359" s="2" t="str">
        <f t="shared" si="81"/>
        <v/>
      </c>
      <c r="S359" s="2">
        <f t="shared" ca="1" si="82"/>
        <v>1</v>
      </c>
      <c r="T359" s="2">
        <f t="shared" si="83"/>
        <v>0</v>
      </c>
      <c r="U359" s="110" t="s">
        <v>1442</v>
      </c>
      <c r="V359" s="110">
        <v>2</v>
      </c>
      <c r="W359" s="110">
        <v>3</v>
      </c>
      <c r="X359" s="110">
        <v>9</v>
      </c>
      <c r="Y359" s="110">
        <v>0</v>
      </c>
      <c r="Z359" s="110">
        <v>0</v>
      </c>
      <c r="AA359" s="2">
        <f t="shared" si="84"/>
        <v>1</v>
      </c>
      <c r="AB359" s="2">
        <f t="shared" si="85"/>
        <v>0</v>
      </c>
      <c r="AC359" s="2">
        <f t="shared" si="86"/>
        <v>1</v>
      </c>
      <c r="AD359" s="2">
        <f t="shared" si="87"/>
        <v>1</v>
      </c>
      <c r="AE359" s="2">
        <f t="shared" si="88"/>
        <v>1</v>
      </c>
      <c r="AF359" s="2">
        <f t="shared" si="89"/>
        <v>2</v>
      </c>
      <c r="AG359" s="2">
        <f t="shared" si="90"/>
        <v>2</v>
      </c>
      <c r="AH359" s="2">
        <f t="shared" si="91"/>
        <v>2</v>
      </c>
      <c r="AI359" s="2">
        <f t="shared" si="92"/>
        <v>2</v>
      </c>
      <c r="AJ359" s="2">
        <f t="shared" si="93"/>
        <v>2</v>
      </c>
      <c r="AK359" s="2">
        <f t="shared" si="94"/>
        <v>0</v>
      </c>
      <c r="AL359" s="2">
        <f t="shared" si="95"/>
        <v>0</v>
      </c>
      <c r="AM359" s="115"/>
      <c r="AN359" s="115"/>
      <c r="AO359" s="63"/>
    </row>
    <row r="360" spans="1:41" ht="57.6" x14ac:dyDescent="0.55000000000000004">
      <c r="A360" s="36">
        <v>2678</v>
      </c>
      <c r="B360" s="113" t="s">
        <v>1572</v>
      </c>
      <c r="C360" s="139" t="s">
        <v>1573</v>
      </c>
      <c r="D360" s="114" t="s">
        <v>52</v>
      </c>
      <c r="E360" s="115"/>
      <c r="F360" s="116"/>
      <c r="G360" s="113" t="s">
        <v>1538</v>
      </c>
      <c r="H360" s="113" t="s">
        <v>1551</v>
      </c>
      <c r="I360" s="113" t="s">
        <v>1574</v>
      </c>
      <c r="J360" s="117" t="s">
        <v>1558</v>
      </c>
      <c r="K360" s="118"/>
      <c r="L360" s="109">
        <v>3</v>
      </c>
      <c r="M360" s="109">
        <v>3</v>
      </c>
      <c r="N360" s="109"/>
      <c r="O360" s="119"/>
      <c r="P360" s="2">
        <f t="shared" si="80"/>
        <v>1</v>
      </c>
      <c r="Q360" s="110" t="str">
        <f>IF(AND(Drops!$D$45&gt;1,OR(U360&lt;&gt;U359,AND(ROW()=5,U359=U360))),VLOOKUP(U360,Drops!$D$26:$E$44,2,FALSE),"")</f>
        <v/>
      </c>
      <c r="R360" s="2" t="str">
        <f t="shared" si="81"/>
        <v/>
      </c>
      <c r="S360" s="2">
        <f t="shared" ca="1" si="82"/>
        <v>1</v>
      </c>
      <c r="T360" s="2">
        <f t="shared" si="83"/>
        <v>0</v>
      </c>
      <c r="U360" s="110" t="s">
        <v>1442</v>
      </c>
      <c r="V360" s="110">
        <v>2</v>
      </c>
      <c r="W360" s="110">
        <v>3</v>
      </c>
      <c r="X360" s="110">
        <v>10</v>
      </c>
      <c r="Y360" s="110">
        <v>0</v>
      </c>
      <c r="Z360" s="110">
        <v>0</v>
      </c>
      <c r="AA360" s="2">
        <f t="shared" si="84"/>
        <v>1</v>
      </c>
      <c r="AB360" s="2">
        <f t="shared" si="85"/>
        <v>0</v>
      </c>
      <c r="AC360" s="2">
        <f t="shared" si="86"/>
        <v>1</v>
      </c>
      <c r="AD360" s="2">
        <f t="shared" si="87"/>
        <v>1</v>
      </c>
      <c r="AE360" s="2">
        <f t="shared" si="88"/>
        <v>1</v>
      </c>
      <c r="AF360" s="2">
        <f t="shared" si="89"/>
        <v>2</v>
      </c>
      <c r="AG360" s="2">
        <f t="shared" si="90"/>
        <v>2</v>
      </c>
      <c r="AH360" s="2">
        <f t="shared" si="91"/>
        <v>2</v>
      </c>
      <c r="AI360" s="2">
        <f t="shared" si="92"/>
        <v>2</v>
      </c>
      <c r="AJ360" s="2">
        <f t="shared" si="93"/>
        <v>2</v>
      </c>
      <c r="AK360" s="2">
        <f t="shared" si="94"/>
        <v>0</v>
      </c>
      <c r="AL360" s="2">
        <f t="shared" si="95"/>
        <v>0</v>
      </c>
      <c r="AM360" s="115"/>
      <c r="AN360" s="115"/>
      <c r="AO360" s="63"/>
    </row>
    <row r="361" spans="1:41" ht="28.8" x14ac:dyDescent="0.55000000000000004">
      <c r="A361" s="36">
        <v>2679</v>
      </c>
      <c r="B361" s="113" t="s">
        <v>1575</v>
      </c>
      <c r="C361" s="139" t="s">
        <v>1576</v>
      </c>
      <c r="D361" s="114" t="s">
        <v>52</v>
      </c>
      <c r="E361" s="115"/>
      <c r="F361" s="116"/>
      <c r="G361" s="113" t="s">
        <v>1538</v>
      </c>
      <c r="H361" s="113" t="s">
        <v>1551</v>
      </c>
      <c r="I361" s="113"/>
      <c r="J361" s="117" t="s">
        <v>1569</v>
      </c>
      <c r="K361" s="118"/>
      <c r="L361" s="109">
        <v>3</v>
      </c>
      <c r="M361" s="109">
        <v>2</v>
      </c>
      <c r="N361" s="109"/>
      <c r="O361" s="119"/>
      <c r="P361" s="2">
        <f t="shared" si="80"/>
        <v>1</v>
      </c>
      <c r="Q361" s="110" t="str">
        <f>IF(AND(Drops!$D$45&gt;1,OR(U361&lt;&gt;U360,AND(ROW()=5,U360=U361))),VLOOKUP(U361,Drops!$D$26:$E$44,2,FALSE),"")</f>
        <v/>
      </c>
      <c r="R361" s="2" t="str">
        <f t="shared" si="81"/>
        <v/>
      </c>
      <c r="S361" s="2">
        <f t="shared" ca="1" si="82"/>
        <v>1</v>
      </c>
      <c r="T361" s="2">
        <f t="shared" si="83"/>
        <v>0</v>
      </c>
      <c r="U361" s="110" t="s">
        <v>1442</v>
      </c>
      <c r="V361" s="110">
        <v>2</v>
      </c>
      <c r="W361" s="110">
        <v>3</v>
      </c>
      <c r="X361" s="110">
        <v>11</v>
      </c>
      <c r="Y361" s="110">
        <v>0</v>
      </c>
      <c r="Z361" s="110">
        <v>0</v>
      </c>
      <c r="AA361" s="2">
        <f t="shared" si="84"/>
        <v>1</v>
      </c>
      <c r="AB361" s="2">
        <f t="shared" si="85"/>
        <v>0</v>
      </c>
      <c r="AC361" s="2">
        <f t="shared" si="86"/>
        <v>1</v>
      </c>
      <c r="AD361" s="2">
        <f t="shared" si="87"/>
        <v>1</v>
      </c>
      <c r="AE361" s="2">
        <f t="shared" si="88"/>
        <v>1</v>
      </c>
      <c r="AF361" s="2">
        <f t="shared" si="89"/>
        <v>2</v>
      </c>
      <c r="AG361" s="2">
        <f t="shared" si="90"/>
        <v>2</v>
      </c>
      <c r="AH361" s="2">
        <f t="shared" si="91"/>
        <v>2</v>
      </c>
      <c r="AI361" s="2">
        <f t="shared" si="92"/>
        <v>2</v>
      </c>
      <c r="AJ361" s="2">
        <f t="shared" si="93"/>
        <v>2</v>
      </c>
      <c r="AK361" s="2">
        <f t="shared" si="94"/>
        <v>0</v>
      </c>
      <c r="AL361" s="2">
        <f t="shared" si="95"/>
        <v>0</v>
      </c>
      <c r="AM361" s="115"/>
      <c r="AN361" s="115"/>
      <c r="AO361" s="63"/>
    </row>
    <row r="362" spans="1:41" ht="28.8" x14ac:dyDescent="0.55000000000000004">
      <c r="A362" s="36">
        <v>2680</v>
      </c>
      <c r="B362" s="113" t="s">
        <v>1577</v>
      </c>
      <c r="C362" s="139" t="s">
        <v>1578</v>
      </c>
      <c r="D362" s="114" t="s">
        <v>52</v>
      </c>
      <c r="E362" s="115"/>
      <c r="F362" s="116"/>
      <c r="G362" s="113" t="s">
        <v>1538</v>
      </c>
      <c r="H362" s="113" t="s">
        <v>1551</v>
      </c>
      <c r="I362" s="113"/>
      <c r="J362" s="117" t="s">
        <v>1569</v>
      </c>
      <c r="K362" s="118"/>
      <c r="L362" s="109">
        <v>3</v>
      </c>
      <c r="M362" s="109">
        <v>2</v>
      </c>
      <c r="N362" s="109"/>
      <c r="O362" s="119"/>
      <c r="P362" s="2">
        <f t="shared" si="80"/>
        <v>1</v>
      </c>
      <c r="Q362" s="110" t="str">
        <f>IF(AND(Drops!$D$45&gt;1,OR(U362&lt;&gt;U361,AND(ROW()=5,U361=U362))),VLOOKUP(U362,Drops!$D$26:$E$44,2,FALSE),"")</f>
        <v/>
      </c>
      <c r="R362" s="2" t="str">
        <f t="shared" si="81"/>
        <v/>
      </c>
      <c r="S362" s="2">
        <f t="shared" ca="1" si="82"/>
        <v>1</v>
      </c>
      <c r="T362" s="2">
        <f t="shared" si="83"/>
        <v>0</v>
      </c>
      <c r="U362" s="110" t="s">
        <v>1442</v>
      </c>
      <c r="V362" s="110">
        <v>2</v>
      </c>
      <c r="W362" s="110">
        <v>3</v>
      </c>
      <c r="X362" s="110">
        <v>12</v>
      </c>
      <c r="Y362" s="110">
        <v>0</v>
      </c>
      <c r="Z362" s="110">
        <v>0</v>
      </c>
      <c r="AA362" s="2">
        <f t="shared" si="84"/>
        <v>1</v>
      </c>
      <c r="AB362" s="2">
        <f t="shared" si="85"/>
        <v>0</v>
      </c>
      <c r="AC362" s="2">
        <f t="shared" si="86"/>
        <v>1</v>
      </c>
      <c r="AD362" s="2">
        <f t="shared" si="87"/>
        <v>1</v>
      </c>
      <c r="AE362" s="2">
        <f t="shared" si="88"/>
        <v>1</v>
      </c>
      <c r="AF362" s="2">
        <f t="shared" si="89"/>
        <v>2</v>
      </c>
      <c r="AG362" s="2">
        <f t="shared" si="90"/>
        <v>2</v>
      </c>
      <c r="AH362" s="2">
        <f t="shared" si="91"/>
        <v>2</v>
      </c>
      <c r="AI362" s="2">
        <f t="shared" si="92"/>
        <v>2</v>
      </c>
      <c r="AJ362" s="2">
        <f t="shared" si="93"/>
        <v>2</v>
      </c>
      <c r="AK362" s="2">
        <f t="shared" si="94"/>
        <v>0</v>
      </c>
      <c r="AL362" s="2">
        <f t="shared" si="95"/>
        <v>0</v>
      </c>
      <c r="AM362" s="115"/>
      <c r="AN362" s="115"/>
      <c r="AO362" s="63"/>
    </row>
    <row r="363" spans="1:41" ht="43.2" x14ac:dyDescent="0.55000000000000004">
      <c r="A363" s="36">
        <v>2681</v>
      </c>
      <c r="B363" s="113" t="s">
        <v>1579</v>
      </c>
      <c r="C363" s="139" t="s">
        <v>1580</v>
      </c>
      <c r="D363" s="114" t="s">
        <v>52</v>
      </c>
      <c r="E363" s="115"/>
      <c r="F363" s="116"/>
      <c r="G363" s="113" t="s">
        <v>1538</v>
      </c>
      <c r="H363" s="113" t="s">
        <v>1551</v>
      </c>
      <c r="I363" s="113"/>
      <c r="J363" s="117" t="s">
        <v>1581</v>
      </c>
      <c r="K363" s="118"/>
      <c r="L363" s="109">
        <v>3</v>
      </c>
      <c r="M363" s="109">
        <v>2</v>
      </c>
      <c r="N363" s="109"/>
      <c r="O363" s="119"/>
      <c r="P363" s="2">
        <f t="shared" si="80"/>
        <v>1</v>
      </c>
      <c r="Q363" s="110" t="str">
        <f>IF(AND(Drops!$D$45&gt;1,OR(U363&lt;&gt;U362,AND(ROW()=5,U362=U363))),VLOOKUP(U363,Drops!$D$26:$E$44,2,FALSE),"")</f>
        <v/>
      </c>
      <c r="R363" s="2" t="str">
        <f t="shared" si="81"/>
        <v/>
      </c>
      <c r="S363" s="2">
        <f t="shared" ca="1" si="82"/>
        <v>1</v>
      </c>
      <c r="T363" s="2">
        <f t="shared" si="83"/>
        <v>0</v>
      </c>
      <c r="U363" s="110" t="s">
        <v>1442</v>
      </c>
      <c r="V363" s="110">
        <v>2</v>
      </c>
      <c r="W363" s="110">
        <v>3</v>
      </c>
      <c r="X363" s="110">
        <v>13</v>
      </c>
      <c r="Y363" s="110">
        <v>0</v>
      </c>
      <c r="Z363" s="110">
        <v>0</v>
      </c>
      <c r="AA363" s="2">
        <f t="shared" si="84"/>
        <v>1</v>
      </c>
      <c r="AB363" s="2">
        <f t="shared" si="85"/>
        <v>0</v>
      </c>
      <c r="AC363" s="2">
        <f t="shared" si="86"/>
        <v>1</v>
      </c>
      <c r="AD363" s="2">
        <f t="shared" si="87"/>
        <v>1</v>
      </c>
      <c r="AE363" s="2">
        <f t="shared" si="88"/>
        <v>1</v>
      </c>
      <c r="AF363" s="2">
        <f t="shared" si="89"/>
        <v>2</v>
      </c>
      <c r="AG363" s="2">
        <f t="shared" si="90"/>
        <v>2</v>
      </c>
      <c r="AH363" s="2">
        <f t="shared" si="91"/>
        <v>2</v>
      </c>
      <c r="AI363" s="2">
        <f t="shared" si="92"/>
        <v>2</v>
      </c>
      <c r="AJ363" s="2">
        <f t="shared" si="93"/>
        <v>2</v>
      </c>
      <c r="AK363" s="2">
        <f t="shared" si="94"/>
        <v>0</v>
      </c>
      <c r="AL363" s="2">
        <f t="shared" si="95"/>
        <v>0</v>
      </c>
      <c r="AM363" s="115"/>
      <c r="AN363" s="115"/>
      <c r="AO363" s="63"/>
    </row>
    <row r="364" spans="1:41" ht="43.2" x14ac:dyDescent="0.55000000000000004">
      <c r="A364" s="36">
        <v>2682</v>
      </c>
      <c r="B364" s="113" t="s">
        <v>1582</v>
      </c>
      <c r="C364" s="139" t="s">
        <v>1583</v>
      </c>
      <c r="D364" s="114" t="s">
        <v>52</v>
      </c>
      <c r="E364" s="115"/>
      <c r="F364" s="116"/>
      <c r="G364" s="113" t="s">
        <v>1538</v>
      </c>
      <c r="H364" s="113" t="s">
        <v>1551</v>
      </c>
      <c r="I364" s="113"/>
      <c r="J364" s="117" t="s">
        <v>1569</v>
      </c>
      <c r="K364" s="118"/>
      <c r="L364" s="109">
        <v>3</v>
      </c>
      <c r="M364" s="109">
        <v>3</v>
      </c>
      <c r="N364" s="109"/>
      <c r="O364" s="119"/>
      <c r="P364" s="2">
        <f t="shared" si="80"/>
        <v>1</v>
      </c>
      <c r="Q364" s="110" t="str">
        <f>IF(AND(Drops!$D$45&gt;1,OR(U364&lt;&gt;U363,AND(ROW()=5,U363=U364))),VLOOKUP(U364,Drops!$D$26:$E$44,2,FALSE),"")</f>
        <v/>
      </c>
      <c r="R364" s="2" t="str">
        <f t="shared" si="81"/>
        <v/>
      </c>
      <c r="S364" s="2">
        <f t="shared" ca="1" si="82"/>
        <v>1</v>
      </c>
      <c r="T364" s="2">
        <f t="shared" si="83"/>
        <v>0</v>
      </c>
      <c r="U364" s="110" t="s">
        <v>1442</v>
      </c>
      <c r="V364" s="110">
        <v>2</v>
      </c>
      <c r="W364" s="110">
        <v>3</v>
      </c>
      <c r="X364" s="110">
        <v>14</v>
      </c>
      <c r="Y364" s="110">
        <v>0</v>
      </c>
      <c r="Z364" s="110">
        <v>0</v>
      </c>
      <c r="AA364" s="2">
        <f t="shared" si="84"/>
        <v>1</v>
      </c>
      <c r="AB364" s="2">
        <f t="shared" si="85"/>
        <v>0</v>
      </c>
      <c r="AC364" s="2">
        <f t="shared" si="86"/>
        <v>1</v>
      </c>
      <c r="AD364" s="2">
        <f t="shared" si="87"/>
        <v>1</v>
      </c>
      <c r="AE364" s="2">
        <f t="shared" si="88"/>
        <v>1</v>
      </c>
      <c r="AF364" s="2">
        <f t="shared" si="89"/>
        <v>2</v>
      </c>
      <c r="AG364" s="2">
        <f t="shared" si="90"/>
        <v>2</v>
      </c>
      <c r="AH364" s="2">
        <f t="shared" si="91"/>
        <v>2</v>
      </c>
      <c r="AI364" s="2">
        <f t="shared" si="92"/>
        <v>2</v>
      </c>
      <c r="AJ364" s="2">
        <f t="shared" si="93"/>
        <v>2</v>
      </c>
      <c r="AK364" s="2">
        <f t="shared" si="94"/>
        <v>0</v>
      </c>
      <c r="AL364" s="2">
        <f t="shared" si="95"/>
        <v>0</v>
      </c>
      <c r="AM364" s="115"/>
      <c r="AN364" s="115"/>
      <c r="AO364" s="63"/>
    </row>
    <row r="365" spans="1:41" ht="57.6" x14ac:dyDescent="0.55000000000000004">
      <c r="A365" s="36">
        <v>2212</v>
      </c>
      <c r="B365" s="113" t="s">
        <v>1584</v>
      </c>
      <c r="C365" s="139" t="s">
        <v>1585</v>
      </c>
      <c r="D365" s="114" t="s">
        <v>52</v>
      </c>
      <c r="E365" s="115"/>
      <c r="F365" s="116"/>
      <c r="G365" s="113" t="s">
        <v>1538</v>
      </c>
      <c r="H365" s="113" t="s">
        <v>1551</v>
      </c>
      <c r="I365" s="113"/>
      <c r="J365" s="117" t="s">
        <v>1586</v>
      </c>
      <c r="K365" s="118"/>
      <c r="L365" s="109">
        <v>3</v>
      </c>
      <c r="M365" s="109">
        <v>3</v>
      </c>
      <c r="N365" s="109"/>
      <c r="O365" s="119"/>
      <c r="P365" s="2">
        <f t="shared" si="80"/>
        <v>1</v>
      </c>
      <c r="Q365" s="110" t="str">
        <f>IF(AND(Drops!$D$45&gt;1,OR(U365&lt;&gt;U364,AND(ROW()=5,U364=U365))),VLOOKUP(U365,Drops!$D$26:$E$44,2,FALSE),"")</f>
        <v/>
      </c>
      <c r="R365" s="2" t="str">
        <f t="shared" si="81"/>
        <v/>
      </c>
      <c r="S365" s="2">
        <f t="shared" ca="1" si="82"/>
        <v>1</v>
      </c>
      <c r="T365" s="2">
        <f t="shared" si="83"/>
        <v>0</v>
      </c>
      <c r="U365" s="110" t="s">
        <v>1442</v>
      </c>
      <c r="V365" s="110">
        <v>2</v>
      </c>
      <c r="W365" s="110">
        <v>3</v>
      </c>
      <c r="X365" s="110">
        <v>15</v>
      </c>
      <c r="Y365" s="110">
        <v>0</v>
      </c>
      <c r="Z365" s="110">
        <v>0</v>
      </c>
      <c r="AA365" s="2">
        <f t="shared" si="84"/>
        <v>1</v>
      </c>
      <c r="AB365" s="2">
        <f t="shared" si="85"/>
        <v>0</v>
      </c>
      <c r="AC365" s="2">
        <f t="shared" si="86"/>
        <v>1</v>
      </c>
      <c r="AD365" s="2">
        <f t="shared" si="87"/>
        <v>1</v>
      </c>
      <c r="AE365" s="2">
        <f t="shared" si="88"/>
        <v>1</v>
      </c>
      <c r="AF365" s="2">
        <f t="shared" si="89"/>
        <v>2</v>
      </c>
      <c r="AG365" s="2">
        <f t="shared" si="90"/>
        <v>2</v>
      </c>
      <c r="AH365" s="2">
        <f t="shared" si="91"/>
        <v>2</v>
      </c>
      <c r="AI365" s="2">
        <f t="shared" si="92"/>
        <v>2</v>
      </c>
      <c r="AJ365" s="2">
        <f t="shared" si="93"/>
        <v>2</v>
      </c>
      <c r="AK365" s="2">
        <f t="shared" si="94"/>
        <v>0</v>
      </c>
      <c r="AL365" s="2">
        <f t="shared" si="95"/>
        <v>0</v>
      </c>
      <c r="AM365" s="115"/>
      <c r="AN365" s="115"/>
      <c r="AO365" s="63"/>
    </row>
    <row r="366" spans="1:41" ht="57.6" x14ac:dyDescent="0.55000000000000004">
      <c r="A366" s="36">
        <v>3962</v>
      </c>
      <c r="B366" s="113" t="s">
        <v>1587</v>
      </c>
      <c r="C366" s="138" t="s">
        <v>1588</v>
      </c>
      <c r="D366" s="114" t="s">
        <v>52</v>
      </c>
      <c r="E366" s="115" t="s">
        <v>1589</v>
      </c>
      <c r="F366" s="116"/>
      <c r="G366" s="113" t="s">
        <v>1538</v>
      </c>
      <c r="H366" s="113" t="s">
        <v>1590</v>
      </c>
      <c r="I366" s="113" t="s">
        <v>1561</v>
      </c>
      <c r="J366" s="117" t="s">
        <v>1591</v>
      </c>
      <c r="K366" s="118"/>
      <c r="L366" s="109">
        <v>2</v>
      </c>
      <c r="M366" s="109">
        <v>2</v>
      </c>
      <c r="N366" s="109"/>
      <c r="O366" s="119"/>
      <c r="P366" s="2">
        <f t="shared" si="80"/>
        <v>1</v>
      </c>
      <c r="Q366" s="110" t="str">
        <f>IF(AND(Drops!$D$45&gt;1,OR(U366&lt;&gt;U365,AND(ROW()=5,U365=U366))),VLOOKUP(U366,Drops!$D$26:$E$44,2,FALSE),"")</f>
        <v/>
      </c>
      <c r="R366" s="2" t="str">
        <f t="shared" si="81"/>
        <v/>
      </c>
      <c r="S366" s="2">
        <f t="shared" ca="1" si="82"/>
        <v>1</v>
      </c>
      <c r="T366" s="2">
        <f t="shared" si="83"/>
        <v>0</v>
      </c>
      <c r="U366" s="110" t="s">
        <v>1442</v>
      </c>
      <c r="V366" s="110">
        <v>2</v>
      </c>
      <c r="W366" s="110">
        <v>4</v>
      </c>
      <c r="X366" s="110">
        <v>0</v>
      </c>
      <c r="Y366" s="110">
        <v>0</v>
      </c>
      <c r="Z366" s="110">
        <v>0</v>
      </c>
      <c r="AA366" s="2">
        <f t="shared" si="84"/>
        <v>1</v>
      </c>
      <c r="AB366" s="2">
        <f t="shared" si="85"/>
        <v>1</v>
      </c>
      <c r="AC366" s="2">
        <f t="shared" si="86"/>
        <v>1</v>
      </c>
      <c r="AD366" s="2">
        <f t="shared" si="87"/>
        <v>1</v>
      </c>
      <c r="AE366" s="2">
        <f t="shared" si="88"/>
        <v>0</v>
      </c>
      <c r="AF366" s="2">
        <f t="shared" si="89"/>
        <v>2</v>
      </c>
      <c r="AG366" s="2">
        <f t="shared" si="90"/>
        <v>2</v>
      </c>
      <c r="AH366" s="2">
        <f t="shared" si="91"/>
        <v>2</v>
      </c>
      <c r="AI366" s="2">
        <f t="shared" si="92"/>
        <v>2</v>
      </c>
      <c r="AJ366" s="2">
        <f t="shared" si="93"/>
        <v>2</v>
      </c>
      <c r="AK366" s="2">
        <f t="shared" si="94"/>
        <v>0</v>
      </c>
      <c r="AL366" s="2">
        <f t="shared" si="95"/>
        <v>0</v>
      </c>
      <c r="AM366" s="115"/>
      <c r="AN366" s="115"/>
      <c r="AO366" s="63"/>
    </row>
    <row r="367" spans="1:41" ht="57.6" x14ac:dyDescent="0.55000000000000004">
      <c r="A367" s="36">
        <v>3964</v>
      </c>
      <c r="B367" s="113" t="s">
        <v>1592</v>
      </c>
      <c r="C367" s="139" t="s">
        <v>1593</v>
      </c>
      <c r="D367" s="114" t="s">
        <v>52</v>
      </c>
      <c r="E367" s="115"/>
      <c r="F367" s="116"/>
      <c r="G367" s="113" t="s">
        <v>1538</v>
      </c>
      <c r="H367" s="113" t="s">
        <v>1590</v>
      </c>
      <c r="I367" s="113" t="s">
        <v>1561</v>
      </c>
      <c r="J367" s="117" t="s">
        <v>1591</v>
      </c>
      <c r="K367" s="118"/>
      <c r="L367" s="109">
        <v>3</v>
      </c>
      <c r="M367" s="109">
        <v>3</v>
      </c>
      <c r="N367" s="109"/>
      <c r="O367" s="119"/>
      <c r="P367" s="2">
        <f t="shared" si="80"/>
        <v>1</v>
      </c>
      <c r="Q367" s="110" t="str">
        <f>IF(AND(Drops!$D$45&gt;1,OR(U367&lt;&gt;U366,AND(ROW()=5,U366=U367))),VLOOKUP(U367,Drops!$D$26:$E$44,2,FALSE),"")</f>
        <v/>
      </c>
      <c r="R367" s="2" t="str">
        <f t="shared" si="81"/>
        <v/>
      </c>
      <c r="S367" s="2">
        <f t="shared" ca="1" si="82"/>
        <v>1</v>
      </c>
      <c r="T367" s="2">
        <f t="shared" si="83"/>
        <v>0</v>
      </c>
      <c r="U367" s="110" t="s">
        <v>1442</v>
      </c>
      <c r="V367" s="110">
        <v>2</v>
      </c>
      <c r="W367" s="110">
        <v>4</v>
      </c>
      <c r="X367" s="110">
        <v>1</v>
      </c>
      <c r="Y367" s="110">
        <v>0</v>
      </c>
      <c r="Z367" s="110">
        <v>0</v>
      </c>
      <c r="AA367" s="2">
        <f t="shared" si="84"/>
        <v>1</v>
      </c>
      <c r="AB367" s="2">
        <f t="shared" si="85"/>
        <v>0</v>
      </c>
      <c r="AC367" s="2">
        <f t="shared" si="86"/>
        <v>1</v>
      </c>
      <c r="AD367" s="2">
        <f t="shared" si="87"/>
        <v>1</v>
      </c>
      <c r="AE367" s="2">
        <f t="shared" si="88"/>
        <v>1</v>
      </c>
      <c r="AF367" s="2">
        <f t="shared" si="89"/>
        <v>2</v>
      </c>
      <c r="AG367" s="2">
        <f t="shared" si="90"/>
        <v>2</v>
      </c>
      <c r="AH367" s="2">
        <f t="shared" si="91"/>
        <v>2</v>
      </c>
      <c r="AI367" s="2">
        <f t="shared" si="92"/>
        <v>2</v>
      </c>
      <c r="AJ367" s="2">
        <f t="shared" si="93"/>
        <v>2</v>
      </c>
      <c r="AK367" s="2">
        <f t="shared" si="94"/>
        <v>0</v>
      </c>
      <c r="AL367" s="2">
        <f t="shared" si="95"/>
        <v>0</v>
      </c>
      <c r="AM367" s="115"/>
      <c r="AN367" s="115"/>
      <c r="AO367" s="63"/>
    </row>
    <row r="368" spans="1:41" ht="43.2" x14ac:dyDescent="0.55000000000000004">
      <c r="A368" s="36">
        <v>3987</v>
      </c>
      <c r="B368" s="113" t="s">
        <v>1594</v>
      </c>
      <c r="C368" s="138" t="s">
        <v>1595</v>
      </c>
      <c r="D368" s="114" t="s">
        <v>52</v>
      </c>
      <c r="E368" s="115" t="s">
        <v>1596</v>
      </c>
      <c r="F368" s="116"/>
      <c r="G368" s="113" t="s">
        <v>1538</v>
      </c>
      <c r="H368" s="113" t="s">
        <v>1597</v>
      </c>
      <c r="I368" s="113" t="s">
        <v>1561</v>
      </c>
      <c r="J368" s="117"/>
      <c r="K368" s="118"/>
      <c r="L368" s="109">
        <v>2</v>
      </c>
      <c r="M368" s="109">
        <v>3</v>
      </c>
      <c r="N368" s="109"/>
      <c r="O368" s="119"/>
      <c r="P368" s="2">
        <f t="shared" si="80"/>
        <v>1</v>
      </c>
      <c r="Q368" s="110" t="str">
        <f>IF(AND(Drops!$D$45&gt;1,OR(U368&lt;&gt;U367,AND(ROW()=5,U367=U368))),VLOOKUP(U368,Drops!$D$26:$E$44,2,FALSE),"")</f>
        <v/>
      </c>
      <c r="R368" s="2" t="str">
        <f t="shared" si="81"/>
        <v/>
      </c>
      <c r="S368" s="2">
        <f t="shared" ca="1" si="82"/>
        <v>1</v>
      </c>
      <c r="T368" s="2">
        <f t="shared" si="83"/>
        <v>0</v>
      </c>
      <c r="U368" s="110" t="s">
        <v>1442</v>
      </c>
      <c r="V368" s="110">
        <v>2</v>
      </c>
      <c r="W368" s="110">
        <v>5</v>
      </c>
      <c r="X368" s="110">
        <v>0</v>
      </c>
      <c r="Y368" s="110">
        <v>0</v>
      </c>
      <c r="Z368" s="110">
        <v>0</v>
      </c>
      <c r="AA368" s="2">
        <f t="shared" si="84"/>
        <v>1</v>
      </c>
      <c r="AB368" s="2">
        <f t="shared" si="85"/>
        <v>1</v>
      </c>
      <c r="AC368" s="2">
        <f t="shared" si="86"/>
        <v>1</v>
      </c>
      <c r="AD368" s="2">
        <f t="shared" si="87"/>
        <v>1</v>
      </c>
      <c r="AE368" s="2">
        <f t="shared" si="88"/>
        <v>0</v>
      </c>
      <c r="AF368" s="2">
        <f t="shared" si="89"/>
        <v>2</v>
      </c>
      <c r="AG368" s="2">
        <f t="shared" si="90"/>
        <v>2</v>
      </c>
      <c r="AH368" s="2">
        <f t="shared" si="91"/>
        <v>2</v>
      </c>
      <c r="AI368" s="2">
        <f t="shared" si="92"/>
        <v>2</v>
      </c>
      <c r="AJ368" s="2">
        <f t="shared" si="93"/>
        <v>2</v>
      </c>
      <c r="AK368" s="2">
        <f t="shared" si="94"/>
        <v>0</v>
      </c>
      <c r="AL368" s="2">
        <f t="shared" si="95"/>
        <v>0</v>
      </c>
      <c r="AM368" s="115"/>
      <c r="AN368" s="115"/>
      <c r="AO368" s="63"/>
    </row>
    <row r="369" spans="1:41" ht="43.2" x14ac:dyDescent="0.55000000000000004">
      <c r="A369" s="36">
        <v>4119</v>
      </c>
      <c r="B369" s="113" t="s">
        <v>1598</v>
      </c>
      <c r="C369" s="139" t="s">
        <v>1599</v>
      </c>
      <c r="D369" s="114" t="s">
        <v>52</v>
      </c>
      <c r="E369" s="115"/>
      <c r="F369" s="116"/>
      <c r="G369" s="113" t="s">
        <v>1538</v>
      </c>
      <c r="H369" s="113" t="s">
        <v>1597</v>
      </c>
      <c r="I369" s="113"/>
      <c r="J369" s="117"/>
      <c r="K369" s="118"/>
      <c r="L369" s="109">
        <v>3</v>
      </c>
      <c r="M369" s="109">
        <v>3</v>
      </c>
      <c r="N369" s="109"/>
      <c r="O369" s="119"/>
      <c r="P369" s="2">
        <f t="shared" si="80"/>
        <v>1</v>
      </c>
      <c r="Q369" s="110" t="str">
        <f>IF(AND(Drops!$D$45&gt;1,OR(U369&lt;&gt;U368,AND(ROW()=5,U368=U369))),VLOOKUP(U369,Drops!$D$26:$E$44,2,FALSE),"")</f>
        <v/>
      </c>
      <c r="R369" s="2" t="str">
        <f t="shared" si="81"/>
        <v/>
      </c>
      <c r="S369" s="2">
        <f t="shared" ca="1" si="82"/>
        <v>1</v>
      </c>
      <c r="T369" s="2">
        <f t="shared" si="83"/>
        <v>0</v>
      </c>
      <c r="U369" s="110" t="s">
        <v>1442</v>
      </c>
      <c r="V369" s="110">
        <v>2</v>
      </c>
      <c r="W369" s="110">
        <v>5</v>
      </c>
      <c r="X369" s="110">
        <v>1</v>
      </c>
      <c r="Y369" s="110">
        <v>0</v>
      </c>
      <c r="Z369" s="110">
        <v>0</v>
      </c>
      <c r="AA369" s="2">
        <f t="shared" si="84"/>
        <v>1</v>
      </c>
      <c r="AB369" s="2">
        <f t="shared" si="85"/>
        <v>0</v>
      </c>
      <c r="AC369" s="2">
        <f t="shared" si="86"/>
        <v>1</v>
      </c>
      <c r="AD369" s="2">
        <f t="shared" si="87"/>
        <v>1</v>
      </c>
      <c r="AE369" s="2">
        <f t="shared" si="88"/>
        <v>1</v>
      </c>
      <c r="AF369" s="2">
        <f t="shared" si="89"/>
        <v>2</v>
      </c>
      <c r="AG369" s="2">
        <f t="shared" si="90"/>
        <v>2</v>
      </c>
      <c r="AH369" s="2">
        <f t="shared" si="91"/>
        <v>2</v>
      </c>
      <c r="AI369" s="2">
        <f t="shared" si="92"/>
        <v>2</v>
      </c>
      <c r="AJ369" s="2">
        <f t="shared" si="93"/>
        <v>2</v>
      </c>
      <c r="AK369" s="2">
        <f t="shared" si="94"/>
        <v>0</v>
      </c>
      <c r="AL369" s="2">
        <f t="shared" si="95"/>
        <v>0</v>
      </c>
      <c r="AM369" s="115"/>
      <c r="AN369" s="115"/>
      <c r="AO369" s="63"/>
    </row>
    <row r="370" spans="1:41" ht="43.2" x14ac:dyDescent="0.55000000000000004">
      <c r="A370" s="36">
        <v>4120</v>
      </c>
      <c r="B370" s="113" t="s">
        <v>1600</v>
      </c>
      <c r="C370" s="139" t="s">
        <v>1601</v>
      </c>
      <c r="D370" s="114" t="s">
        <v>52</v>
      </c>
      <c r="E370" s="115"/>
      <c r="F370" s="116"/>
      <c r="G370" s="113" t="s">
        <v>1538</v>
      </c>
      <c r="H370" s="113" t="s">
        <v>1597</v>
      </c>
      <c r="I370" s="113"/>
      <c r="J370" s="117"/>
      <c r="K370" s="118"/>
      <c r="L370" s="109">
        <v>3</v>
      </c>
      <c r="M370" s="109">
        <v>3</v>
      </c>
      <c r="N370" s="109"/>
      <c r="O370" s="119"/>
      <c r="P370" s="2">
        <f t="shared" si="80"/>
        <v>1</v>
      </c>
      <c r="Q370" s="110" t="str">
        <f>IF(AND(Drops!$D$45&gt;1,OR(U370&lt;&gt;U369,AND(ROW()=5,U369=U370))),VLOOKUP(U370,Drops!$D$26:$E$44,2,FALSE),"")</f>
        <v/>
      </c>
      <c r="R370" s="2" t="str">
        <f t="shared" si="81"/>
        <v/>
      </c>
      <c r="S370" s="2">
        <f t="shared" ca="1" si="82"/>
        <v>1</v>
      </c>
      <c r="T370" s="2">
        <f t="shared" si="83"/>
        <v>0</v>
      </c>
      <c r="U370" s="110" t="s">
        <v>1442</v>
      </c>
      <c r="V370" s="110">
        <v>2</v>
      </c>
      <c r="W370" s="110">
        <v>5</v>
      </c>
      <c r="X370" s="110">
        <v>2</v>
      </c>
      <c r="Y370" s="110">
        <v>0</v>
      </c>
      <c r="Z370" s="110">
        <v>0</v>
      </c>
      <c r="AA370" s="2">
        <f t="shared" si="84"/>
        <v>1</v>
      </c>
      <c r="AB370" s="2">
        <f t="shared" si="85"/>
        <v>0</v>
      </c>
      <c r="AC370" s="2">
        <f t="shared" si="86"/>
        <v>1</v>
      </c>
      <c r="AD370" s="2">
        <f t="shared" si="87"/>
        <v>1</v>
      </c>
      <c r="AE370" s="2">
        <f t="shared" si="88"/>
        <v>1</v>
      </c>
      <c r="AF370" s="2">
        <f t="shared" si="89"/>
        <v>2</v>
      </c>
      <c r="AG370" s="2">
        <f t="shared" si="90"/>
        <v>2</v>
      </c>
      <c r="AH370" s="2">
        <f t="shared" si="91"/>
        <v>2</v>
      </c>
      <c r="AI370" s="2">
        <f t="shared" si="92"/>
        <v>2</v>
      </c>
      <c r="AJ370" s="2">
        <f t="shared" si="93"/>
        <v>2</v>
      </c>
      <c r="AK370" s="2">
        <f t="shared" si="94"/>
        <v>0</v>
      </c>
      <c r="AL370" s="2">
        <f t="shared" si="95"/>
        <v>0</v>
      </c>
      <c r="AM370" s="115"/>
      <c r="AN370" s="115"/>
      <c r="AO370" s="63"/>
    </row>
    <row r="371" spans="1:41" ht="28.8" x14ac:dyDescent="0.55000000000000004">
      <c r="A371" s="36">
        <v>4121</v>
      </c>
      <c r="B371" s="113" t="s">
        <v>1602</v>
      </c>
      <c r="C371" s="139" t="s">
        <v>1603</v>
      </c>
      <c r="D371" s="114" t="s">
        <v>52</v>
      </c>
      <c r="E371" s="115"/>
      <c r="F371" s="116"/>
      <c r="G371" s="113" t="s">
        <v>1538</v>
      </c>
      <c r="H371" s="113" t="s">
        <v>1604</v>
      </c>
      <c r="I371" s="113"/>
      <c r="J371" s="117"/>
      <c r="K371" s="118"/>
      <c r="L371" s="109">
        <v>3</v>
      </c>
      <c r="M371" s="109">
        <v>3</v>
      </c>
      <c r="N371" s="109"/>
      <c r="O371" s="119"/>
      <c r="P371" s="2">
        <f t="shared" si="80"/>
        <v>1</v>
      </c>
      <c r="Q371" s="110" t="str">
        <f>IF(AND(Drops!$D$45&gt;1,OR(U371&lt;&gt;U370,AND(ROW()=5,U370=U371))),VLOOKUP(U371,Drops!$D$26:$E$44,2,FALSE),"")</f>
        <v/>
      </c>
      <c r="R371" s="2" t="str">
        <f t="shared" si="81"/>
        <v/>
      </c>
      <c r="S371" s="2">
        <f t="shared" ca="1" si="82"/>
        <v>1</v>
      </c>
      <c r="T371" s="2">
        <f t="shared" si="83"/>
        <v>0</v>
      </c>
      <c r="U371" s="110" t="s">
        <v>1442</v>
      </c>
      <c r="V371" s="110">
        <v>2</v>
      </c>
      <c r="W371" s="110">
        <v>5</v>
      </c>
      <c r="X371" s="110">
        <v>3</v>
      </c>
      <c r="Y371" s="110">
        <v>0</v>
      </c>
      <c r="Z371" s="110">
        <v>0</v>
      </c>
      <c r="AA371" s="2">
        <f t="shared" si="84"/>
        <v>1</v>
      </c>
      <c r="AB371" s="2">
        <f t="shared" si="85"/>
        <v>1</v>
      </c>
      <c r="AC371" s="2">
        <f t="shared" si="86"/>
        <v>1</v>
      </c>
      <c r="AD371" s="2">
        <f t="shared" si="87"/>
        <v>1</v>
      </c>
      <c r="AE371" s="2">
        <f t="shared" si="88"/>
        <v>1</v>
      </c>
      <c r="AF371" s="2">
        <f t="shared" si="89"/>
        <v>2</v>
      </c>
      <c r="AG371" s="2">
        <f t="shared" si="90"/>
        <v>2</v>
      </c>
      <c r="AH371" s="2">
        <f t="shared" si="91"/>
        <v>2</v>
      </c>
      <c r="AI371" s="2">
        <f t="shared" si="92"/>
        <v>2</v>
      </c>
      <c r="AJ371" s="2">
        <f t="shared" si="93"/>
        <v>2</v>
      </c>
      <c r="AK371" s="2">
        <f t="shared" si="94"/>
        <v>0</v>
      </c>
      <c r="AL371" s="2">
        <f t="shared" si="95"/>
        <v>0</v>
      </c>
      <c r="AM371" s="115"/>
      <c r="AN371" s="115"/>
      <c r="AO371" s="63"/>
    </row>
    <row r="372" spans="1:41" ht="43.2" x14ac:dyDescent="0.55000000000000004">
      <c r="A372" s="36">
        <v>4452</v>
      </c>
      <c r="B372" s="113" t="s">
        <v>1605</v>
      </c>
      <c r="C372" s="140" t="s">
        <v>1606</v>
      </c>
      <c r="D372" s="114" t="s">
        <v>52</v>
      </c>
      <c r="E372" s="115" t="s">
        <v>1596</v>
      </c>
      <c r="F372" s="116"/>
      <c r="G372" s="113" t="s">
        <v>1538</v>
      </c>
      <c r="H372" s="113" t="s">
        <v>1604</v>
      </c>
      <c r="I372" s="113" t="s">
        <v>1607</v>
      </c>
      <c r="J372" s="117"/>
      <c r="K372" s="118"/>
      <c r="L372" s="109">
        <v>4</v>
      </c>
      <c r="M372" s="109">
        <v>1</v>
      </c>
      <c r="N372" s="109"/>
      <c r="O372" s="119"/>
      <c r="P372" s="2">
        <f t="shared" si="80"/>
        <v>1</v>
      </c>
      <c r="Q372" s="110" t="str">
        <f>IF(AND(Drops!$D$45&gt;1,OR(U372&lt;&gt;U371,AND(ROW()=5,U371=U372))),VLOOKUP(U372,Drops!$D$26:$E$44,2,FALSE),"")</f>
        <v/>
      </c>
      <c r="R372" s="2" t="str">
        <f t="shared" si="81"/>
        <v/>
      </c>
      <c r="S372" s="2">
        <f t="shared" ca="1" si="82"/>
        <v>1</v>
      </c>
      <c r="T372" s="2">
        <f t="shared" si="83"/>
        <v>0</v>
      </c>
      <c r="U372" s="110" t="s">
        <v>1442</v>
      </c>
      <c r="V372" s="110">
        <v>2</v>
      </c>
      <c r="W372" s="110">
        <v>5</v>
      </c>
      <c r="X372" s="110">
        <v>3</v>
      </c>
      <c r="Y372" s="110">
        <v>1</v>
      </c>
      <c r="Z372" s="110">
        <v>0</v>
      </c>
      <c r="AA372" s="2">
        <f t="shared" si="84"/>
        <v>1</v>
      </c>
      <c r="AB372" s="2">
        <f t="shared" si="85"/>
        <v>1</v>
      </c>
      <c r="AC372" s="2">
        <f t="shared" si="86"/>
        <v>1</v>
      </c>
      <c r="AD372" s="2">
        <f t="shared" si="87"/>
        <v>1</v>
      </c>
      <c r="AE372" s="2">
        <f t="shared" si="88"/>
        <v>1</v>
      </c>
      <c r="AF372" s="2">
        <f t="shared" si="89"/>
        <v>1</v>
      </c>
      <c r="AG372" s="2">
        <f t="shared" si="90"/>
        <v>2</v>
      </c>
      <c r="AH372" s="2">
        <f t="shared" si="91"/>
        <v>2</v>
      </c>
      <c r="AI372" s="2">
        <f t="shared" si="92"/>
        <v>2</v>
      </c>
      <c r="AJ372" s="2">
        <f t="shared" si="93"/>
        <v>2</v>
      </c>
      <c r="AK372" s="2">
        <f t="shared" si="94"/>
        <v>2</v>
      </c>
      <c r="AL372" s="2">
        <f t="shared" si="95"/>
        <v>0</v>
      </c>
      <c r="AM372" s="115"/>
      <c r="AN372" s="115"/>
      <c r="AO372" s="63"/>
    </row>
    <row r="373" spans="1:41" ht="28.8" x14ac:dyDescent="0.55000000000000004">
      <c r="A373" s="36">
        <v>1795</v>
      </c>
      <c r="B373" s="113" t="s">
        <v>1608</v>
      </c>
      <c r="C373" s="141" t="s">
        <v>1609</v>
      </c>
      <c r="D373" s="114" t="s">
        <v>52</v>
      </c>
      <c r="E373" s="115"/>
      <c r="F373" s="116"/>
      <c r="G373" s="113" t="s">
        <v>1538</v>
      </c>
      <c r="H373" s="113" t="s">
        <v>1604</v>
      </c>
      <c r="I373" s="113" t="s">
        <v>1607</v>
      </c>
      <c r="J373" s="117"/>
      <c r="K373" s="118"/>
      <c r="L373" s="109">
        <v>5</v>
      </c>
      <c r="M373" s="109">
        <v>3</v>
      </c>
      <c r="N373" s="109"/>
      <c r="O373" s="119"/>
      <c r="P373" s="2">
        <f t="shared" si="80"/>
        <v>1</v>
      </c>
      <c r="Q373" s="110" t="str">
        <f>IF(AND(Drops!$D$45&gt;1,OR(U373&lt;&gt;U372,AND(ROW()=5,U372=U373))),VLOOKUP(U373,Drops!$D$26:$E$44,2,FALSE),"")</f>
        <v/>
      </c>
      <c r="R373" s="2" t="str">
        <f t="shared" si="81"/>
        <v/>
      </c>
      <c r="S373" s="2">
        <f t="shared" ca="1" si="82"/>
        <v>1</v>
      </c>
      <c r="T373" s="2">
        <f t="shared" si="83"/>
        <v>0</v>
      </c>
      <c r="U373" s="110" t="s">
        <v>1442</v>
      </c>
      <c r="V373" s="110">
        <v>2</v>
      </c>
      <c r="W373" s="110">
        <v>5</v>
      </c>
      <c r="X373" s="110">
        <v>3</v>
      </c>
      <c r="Y373" s="110">
        <v>1</v>
      </c>
      <c r="Z373" s="110">
        <v>1</v>
      </c>
      <c r="AA373" s="2">
        <f t="shared" si="84"/>
        <v>1</v>
      </c>
      <c r="AB373" s="2">
        <f t="shared" si="85"/>
        <v>0</v>
      </c>
      <c r="AC373" s="2">
        <f t="shared" si="86"/>
        <v>1</v>
      </c>
      <c r="AD373" s="2">
        <f t="shared" si="87"/>
        <v>1</v>
      </c>
      <c r="AE373" s="2">
        <f t="shared" si="88"/>
        <v>1</v>
      </c>
      <c r="AF373" s="2">
        <f t="shared" si="89"/>
        <v>1</v>
      </c>
      <c r="AG373" s="2">
        <f t="shared" si="90"/>
        <v>1</v>
      </c>
      <c r="AH373" s="2">
        <f t="shared" si="91"/>
        <v>2</v>
      </c>
      <c r="AI373" s="2">
        <f t="shared" si="92"/>
        <v>2</v>
      </c>
      <c r="AJ373" s="2">
        <f t="shared" si="93"/>
        <v>2</v>
      </c>
      <c r="AK373" s="2">
        <f t="shared" si="94"/>
        <v>2</v>
      </c>
      <c r="AL373" s="2">
        <f t="shared" si="95"/>
        <v>2</v>
      </c>
      <c r="AM373" s="115"/>
      <c r="AN373" s="115"/>
      <c r="AO373" s="63"/>
    </row>
    <row r="374" spans="1:41" ht="14.4" x14ac:dyDescent="0.55000000000000004">
      <c r="A374" s="36">
        <v>3936</v>
      </c>
      <c r="B374" s="113" t="s">
        <v>1610</v>
      </c>
      <c r="C374" s="138" t="s">
        <v>1611</v>
      </c>
      <c r="D374" s="114" t="s">
        <v>52</v>
      </c>
      <c r="E374" s="115"/>
      <c r="F374" s="116"/>
      <c r="G374" s="113" t="s">
        <v>1538</v>
      </c>
      <c r="H374" s="113" t="s">
        <v>1612</v>
      </c>
      <c r="I374" s="113"/>
      <c r="J374" s="117"/>
      <c r="K374" s="118"/>
      <c r="L374" s="109">
        <v>2</v>
      </c>
      <c r="M374" s="109">
        <v>2</v>
      </c>
      <c r="N374" s="109"/>
      <c r="O374" s="119"/>
      <c r="P374" s="2">
        <f t="shared" si="80"/>
        <v>1</v>
      </c>
      <c r="Q374" s="110" t="str">
        <f>IF(AND(Drops!$D$45&gt;1,OR(U374&lt;&gt;U373,AND(ROW()=5,U373=U374))),VLOOKUP(U374,Drops!$D$26:$E$44,2,FALSE),"")</f>
        <v/>
      </c>
      <c r="R374" s="2" t="str">
        <f t="shared" si="81"/>
        <v/>
      </c>
      <c r="S374" s="2">
        <f t="shared" ca="1" si="82"/>
        <v>1</v>
      </c>
      <c r="T374" s="2">
        <f t="shared" si="83"/>
        <v>0</v>
      </c>
      <c r="U374" s="110" t="s">
        <v>1442</v>
      </c>
      <c r="V374" s="110">
        <v>2</v>
      </c>
      <c r="W374" s="110">
        <v>6</v>
      </c>
      <c r="X374" s="110">
        <v>0</v>
      </c>
      <c r="Y374" s="110">
        <v>0</v>
      </c>
      <c r="Z374" s="110">
        <v>0</v>
      </c>
      <c r="AA374" s="2">
        <f t="shared" si="84"/>
        <v>1</v>
      </c>
      <c r="AB374" s="2">
        <f t="shared" si="85"/>
        <v>1</v>
      </c>
      <c r="AC374" s="2">
        <f t="shared" si="86"/>
        <v>1</v>
      </c>
      <c r="AD374" s="2">
        <f t="shared" si="87"/>
        <v>1</v>
      </c>
      <c r="AE374" s="2">
        <f t="shared" si="88"/>
        <v>0</v>
      </c>
      <c r="AF374" s="2">
        <f t="shared" si="89"/>
        <v>0</v>
      </c>
      <c r="AG374" s="2">
        <f t="shared" si="90"/>
        <v>0</v>
      </c>
      <c r="AH374" s="2">
        <f t="shared" si="91"/>
        <v>2</v>
      </c>
      <c r="AI374" s="2">
        <f t="shared" si="92"/>
        <v>2</v>
      </c>
      <c r="AJ374" s="2">
        <f t="shared" si="93"/>
        <v>2</v>
      </c>
      <c r="AK374" s="2">
        <f t="shared" si="94"/>
        <v>2</v>
      </c>
      <c r="AL374" s="2">
        <f t="shared" si="95"/>
        <v>2</v>
      </c>
      <c r="AM374" s="115"/>
      <c r="AN374" s="115"/>
      <c r="AO374" s="63"/>
    </row>
    <row r="375" spans="1:41" ht="28.8" x14ac:dyDescent="0.55000000000000004">
      <c r="A375" s="36">
        <v>3970</v>
      </c>
      <c r="B375" s="113" t="s">
        <v>1613</v>
      </c>
      <c r="C375" s="139" t="s">
        <v>1614</v>
      </c>
      <c r="D375" s="114" t="s">
        <v>52</v>
      </c>
      <c r="E375" s="115" t="s">
        <v>1615</v>
      </c>
      <c r="F375" s="116"/>
      <c r="G375" s="113" t="s">
        <v>1538</v>
      </c>
      <c r="H375" s="113" t="s">
        <v>1612</v>
      </c>
      <c r="I375" s="113"/>
      <c r="J375" s="117"/>
      <c r="K375" s="118"/>
      <c r="L375" s="109">
        <v>3</v>
      </c>
      <c r="M375" s="109">
        <v>3</v>
      </c>
      <c r="N375" s="109"/>
      <c r="O375" s="119"/>
      <c r="P375" s="2">
        <f t="shared" si="80"/>
        <v>1</v>
      </c>
      <c r="Q375" s="110" t="str">
        <f>IF(AND(Drops!$D$45&gt;1,OR(U375&lt;&gt;U374,AND(ROW()=5,U374=U375))),VLOOKUP(U375,Drops!$D$26:$E$44,2,FALSE),"")</f>
        <v/>
      </c>
      <c r="R375" s="2" t="str">
        <f t="shared" si="81"/>
        <v/>
      </c>
      <c r="S375" s="2">
        <f t="shared" ca="1" si="82"/>
        <v>1</v>
      </c>
      <c r="T375" s="2">
        <f t="shared" si="83"/>
        <v>0</v>
      </c>
      <c r="U375" s="110" t="s">
        <v>1442</v>
      </c>
      <c r="V375" s="110">
        <v>2</v>
      </c>
      <c r="W375" s="110">
        <v>6</v>
      </c>
      <c r="X375" s="110">
        <v>1</v>
      </c>
      <c r="Y375" s="110">
        <v>0</v>
      </c>
      <c r="Z375" s="110">
        <v>0</v>
      </c>
      <c r="AA375" s="2">
        <f t="shared" si="84"/>
        <v>1</v>
      </c>
      <c r="AB375" s="2">
        <f t="shared" si="85"/>
        <v>0</v>
      </c>
      <c r="AC375" s="2">
        <f t="shared" si="86"/>
        <v>1</v>
      </c>
      <c r="AD375" s="2">
        <f t="shared" si="87"/>
        <v>1</v>
      </c>
      <c r="AE375" s="2">
        <f t="shared" si="88"/>
        <v>1</v>
      </c>
      <c r="AF375" s="2">
        <f t="shared" si="89"/>
        <v>0</v>
      </c>
      <c r="AG375" s="2">
        <f t="shared" si="90"/>
        <v>0</v>
      </c>
      <c r="AH375" s="2">
        <f t="shared" si="91"/>
        <v>2</v>
      </c>
      <c r="AI375" s="2">
        <f t="shared" si="92"/>
        <v>2</v>
      </c>
      <c r="AJ375" s="2">
        <f t="shared" si="93"/>
        <v>2</v>
      </c>
      <c r="AK375" s="2">
        <f t="shared" si="94"/>
        <v>2</v>
      </c>
      <c r="AL375" s="2">
        <f t="shared" si="95"/>
        <v>2</v>
      </c>
      <c r="AM375" s="115"/>
      <c r="AN375" s="115"/>
      <c r="AO375" s="63"/>
    </row>
    <row r="376" spans="1:41" ht="43.2" x14ac:dyDescent="0.55000000000000004">
      <c r="A376" s="36">
        <v>3953</v>
      </c>
      <c r="B376" s="113" t="s">
        <v>1616</v>
      </c>
      <c r="C376" s="139" t="s">
        <v>1617</v>
      </c>
      <c r="D376" s="114" t="s">
        <v>52</v>
      </c>
      <c r="E376" s="115"/>
      <c r="F376" s="116"/>
      <c r="G376" s="113" t="s">
        <v>1538</v>
      </c>
      <c r="H376" s="113" t="s">
        <v>1612</v>
      </c>
      <c r="I376" s="113"/>
      <c r="J376" s="117"/>
      <c r="K376" s="118"/>
      <c r="L376" s="109">
        <v>3</v>
      </c>
      <c r="M376" s="109">
        <v>3</v>
      </c>
      <c r="N376" s="109"/>
      <c r="O376" s="119"/>
      <c r="P376" s="2">
        <f t="shared" si="80"/>
        <v>1</v>
      </c>
      <c r="Q376" s="110" t="str">
        <f>IF(AND(Drops!$D$45&gt;1,OR(U376&lt;&gt;U375,AND(ROW()=5,U375=U376))),VLOOKUP(U376,Drops!$D$26:$E$44,2,FALSE),"")</f>
        <v/>
      </c>
      <c r="R376" s="2" t="str">
        <f t="shared" si="81"/>
        <v/>
      </c>
      <c r="S376" s="2">
        <f t="shared" ca="1" si="82"/>
        <v>1</v>
      </c>
      <c r="T376" s="2">
        <f t="shared" si="83"/>
        <v>0</v>
      </c>
      <c r="U376" s="110" t="s">
        <v>1442</v>
      </c>
      <c r="V376" s="110">
        <v>2</v>
      </c>
      <c r="W376" s="110">
        <v>6</v>
      </c>
      <c r="X376" s="110">
        <v>2</v>
      </c>
      <c r="Y376" s="110">
        <v>0</v>
      </c>
      <c r="Z376" s="110">
        <v>0</v>
      </c>
      <c r="AA376" s="2">
        <f t="shared" si="84"/>
        <v>1</v>
      </c>
      <c r="AB376" s="2">
        <f t="shared" si="85"/>
        <v>0</v>
      </c>
      <c r="AC376" s="2">
        <f t="shared" si="86"/>
        <v>1</v>
      </c>
      <c r="AD376" s="2">
        <f t="shared" si="87"/>
        <v>1</v>
      </c>
      <c r="AE376" s="2">
        <f t="shared" si="88"/>
        <v>1</v>
      </c>
      <c r="AF376" s="2">
        <f t="shared" si="89"/>
        <v>0</v>
      </c>
      <c r="AG376" s="2">
        <f t="shared" si="90"/>
        <v>0</v>
      </c>
      <c r="AH376" s="2">
        <f t="shared" si="91"/>
        <v>2</v>
      </c>
      <c r="AI376" s="2">
        <f t="shared" si="92"/>
        <v>2</v>
      </c>
      <c r="AJ376" s="2">
        <f t="shared" si="93"/>
        <v>2</v>
      </c>
      <c r="AK376" s="2">
        <f t="shared" si="94"/>
        <v>2</v>
      </c>
      <c r="AL376" s="2">
        <f t="shared" si="95"/>
        <v>2</v>
      </c>
      <c r="AM376" s="115"/>
      <c r="AN376" s="115"/>
      <c r="AO376" s="63"/>
    </row>
    <row r="377" spans="1:41" ht="43.2" x14ac:dyDescent="0.55000000000000004">
      <c r="A377" s="36">
        <v>2110</v>
      </c>
      <c r="B377" s="113" t="s">
        <v>1618</v>
      </c>
      <c r="C377" s="139" t="s">
        <v>1619</v>
      </c>
      <c r="D377" s="114" t="s">
        <v>52</v>
      </c>
      <c r="E377" s="115"/>
      <c r="F377" s="116"/>
      <c r="G377" s="113" t="s">
        <v>1538</v>
      </c>
      <c r="H377" s="113" t="s">
        <v>1612</v>
      </c>
      <c r="I377" s="113" t="s">
        <v>1561</v>
      </c>
      <c r="J377" s="117"/>
      <c r="K377" s="118"/>
      <c r="L377" s="109">
        <v>3</v>
      </c>
      <c r="M377" s="109">
        <v>3</v>
      </c>
      <c r="N377" s="109"/>
      <c r="O377" s="119"/>
      <c r="P377" s="2">
        <f t="shared" si="80"/>
        <v>1</v>
      </c>
      <c r="Q377" s="110" t="str">
        <f>IF(AND(Drops!$D$45&gt;1,OR(U377&lt;&gt;U376,AND(ROW()=5,U376=U377))),VLOOKUP(U377,Drops!$D$26:$E$44,2,FALSE),"")</f>
        <v/>
      </c>
      <c r="R377" s="2" t="str">
        <f t="shared" si="81"/>
        <v/>
      </c>
      <c r="S377" s="2">
        <f t="shared" ca="1" si="82"/>
        <v>1</v>
      </c>
      <c r="T377" s="2">
        <f t="shared" si="83"/>
        <v>0</v>
      </c>
      <c r="U377" s="110" t="s">
        <v>1442</v>
      </c>
      <c r="V377" s="110">
        <v>2</v>
      </c>
      <c r="W377" s="110">
        <v>6</v>
      </c>
      <c r="X377" s="110">
        <v>3</v>
      </c>
      <c r="Y377" s="110">
        <v>0</v>
      </c>
      <c r="Z377" s="110">
        <v>0</v>
      </c>
      <c r="AA377" s="2">
        <f t="shared" si="84"/>
        <v>1</v>
      </c>
      <c r="AB377" s="2">
        <f t="shared" si="85"/>
        <v>0</v>
      </c>
      <c r="AC377" s="2">
        <f t="shared" si="86"/>
        <v>1</v>
      </c>
      <c r="AD377" s="2">
        <f t="shared" si="87"/>
        <v>1</v>
      </c>
      <c r="AE377" s="2">
        <f t="shared" si="88"/>
        <v>1</v>
      </c>
      <c r="AF377" s="2">
        <f t="shared" si="89"/>
        <v>0</v>
      </c>
      <c r="AG377" s="2">
        <f t="shared" si="90"/>
        <v>0</v>
      </c>
      <c r="AH377" s="2">
        <f t="shared" si="91"/>
        <v>2</v>
      </c>
      <c r="AI377" s="2">
        <f t="shared" si="92"/>
        <v>2</v>
      </c>
      <c r="AJ377" s="2">
        <f t="shared" si="93"/>
        <v>2</v>
      </c>
      <c r="AK377" s="2">
        <f t="shared" si="94"/>
        <v>2</v>
      </c>
      <c r="AL377" s="2">
        <f t="shared" si="95"/>
        <v>2</v>
      </c>
      <c r="AM377" s="115"/>
      <c r="AN377" s="115"/>
      <c r="AO377" s="63"/>
    </row>
    <row r="378" spans="1:41" ht="28.8" x14ac:dyDescent="0.55000000000000004">
      <c r="A378" s="36">
        <v>3990</v>
      </c>
      <c r="B378" s="113" t="s">
        <v>1620</v>
      </c>
      <c r="C378" s="139" t="s">
        <v>1621</v>
      </c>
      <c r="D378" s="114" t="s">
        <v>52</v>
      </c>
      <c r="E378" s="115"/>
      <c r="F378" s="116"/>
      <c r="G378" s="113" t="s">
        <v>1538</v>
      </c>
      <c r="H378" s="113" t="s">
        <v>1612</v>
      </c>
      <c r="I378" s="113"/>
      <c r="J378" s="117"/>
      <c r="K378" s="118"/>
      <c r="L378" s="109">
        <v>3</v>
      </c>
      <c r="M378" s="109">
        <v>2</v>
      </c>
      <c r="N378" s="109"/>
      <c r="O378" s="119"/>
      <c r="P378" s="2">
        <f t="shared" si="80"/>
        <v>1</v>
      </c>
      <c r="Q378" s="110" t="str">
        <f>IF(AND(Drops!$D$45&gt;1,OR(U378&lt;&gt;U377,AND(ROW()=5,U377=U378))),VLOOKUP(U378,Drops!$D$26:$E$44,2,FALSE),"")</f>
        <v/>
      </c>
      <c r="R378" s="2" t="str">
        <f t="shared" si="81"/>
        <v/>
      </c>
      <c r="S378" s="2">
        <f t="shared" ca="1" si="82"/>
        <v>1</v>
      </c>
      <c r="T378" s="2">
        <f t="shared" si="83"/>
        <v>0</v>
      </c>
      <c r="U378" s="110" t="s">
        <v>1442</v>
      </c>
      <c r="V378" s="110">
        <v>2</v>
      </c>
      <c r="W378" s="110">
        <v>6</v>
      </c>
      <c r="X378" s="110">
        <v>4</v>
      </c>
      <c r="Y378" s="110">
        <v>0</v>
      </c>
      <c r="Z378" s="110">
        <v>0</v>
      </c>
      <c r="AA378" s="2">
        <f t="shared" si="84"/>
        <v>1</v>
      </c>
      <c r="AB378" s="2">
        <f t="shared" si="85"/>
        <v>0</v>
      </c>
      <c r="AC378" s="2">
        <f t="shared" si="86"/>
        <v>1</v>
      </c>
      <c r="AD378" s="2">
        <f t="shared" si="87"/>
        <v>1</v>
      </c>
      <c r="AE378" s="2">
        <f t="shared" si="88"/>
        <v>1</v>
      </c>
      <c r="AF378" s="2">
        <f t="shared" si="89"/>
        <v>0</v>
      </c>
      <c r="AG378" s="2">
        <f t="shared" si="90"/>
        <v>0</v>
      </c>
      <c r="AH378" s="2">
        <f t="shared" si="91"/>
        <v>2</v>
      </c>
      <c r="AI378" s="2">
        <f t="shared" si="92"/>
        <v>2</v>
      </c>
      <c r="AJ378" s="2">
        <f t="shared" si="93"/>
        <v>2</v>
      </c>
      <c r="AK378" s="2">
        <f t="shared" si="94"/>
        <v>2</v>
      </c>
      <c r="AL378" s="2">
        <f t="shared" si="95"/>
        <v>2</v>
      </c>
      <c r="AM378" s="115"/>
      <c r="AN378" s="115"/>
      <c r="AO378" s="63"/>
    </row>
    <row r="379" spans="1:41" ht="28.8" x14ac:dyDescent="0.55000000000000004">
      <c r="A379" s="36">
        <v>3966</v>
      </c>
      <c r="B379" s="113" t="s">
        <v>1622</v>
      </c>
      <c r="C379" s="139" t="s">
        <v>1623</v>
      </c>
      <c r="D379" s="114" t="s">
        <v>52</v>
      </c>
      <c r="E379" s="115"/>
      <c r="F379" s="116"/>
      <c r="G379" s="113" t="s">
        <v>1538</v>
      </c>
      <c r="H379" s="113" t="s">
        <v>1612</v>
      </c>
      <c r="I379" s="113"/>
      <c r="J379" s="117"/>
      <c r="K379" s="118"/>
      <c r="L379" s="109">
        <v>3</v>
      </c>
      <c r="M379" s="109">
        <v>3</v>
      </c>
      <c r="N379" s="109"/>
      <c r="O379" s="119"/>
      <c r="P379" s="2">
        <f t="shared" si="80"/>
        <v>1</v>
      </c>
      <c r="Q379" s="110" t="str">
        <f>IF(AND(Drops!$D$45&gt;1,OR(U379&lt;&gt;U378,AND(ROW()=5,U378=U379))),VLOOKUP(U379,Drops!$D$26:$E$44,2,FALSE),"")</f>
        <v/>
      </c>
      <c r="R379" s="2" t="str">
        <f t="shared" si="81"/>
        <v/>
      </c>
      <c r="S379" s="2">
        <f t="shared" ca="1" si="82"/>
        <v>1</v>
      </c>
      <c r="T379" s="2">
        <f t="shared" si="83"/>
        <v>0</v>
      </c>
      <c r="U379" s="110" t="s">
        <v>1442</v>
      </c>
      <c r="V379" s="110">
        <v>2</v>
      </c>
      <c r="W379" s="110">
        <v>6</v>
      </c>
      <c r="X379" s="110">
        <v>6</v>
      </c>
      <c r="Y379" s="110">
        <v>0</v>
      </c>
      <c r="Z379" s="110">
        <v>0</v>
      </c>
      <c r="AA379" s="2">
        <f t="shared" si="84"/>
        <v>1</v>
      </c>
      <c r="AB379" s="2">
        <f t="shared" si="85"/>
        <v>0</v>
      </c>
      <c r="AC379" s="2">
        <f t="shared" si="86"/>
        <v>1</v>
      </c>
      <c r="AD379" s="2">
        <f t="shared" si="87"/>
        <v>1</v>
      </c>
      <c r="AE379" s="2">
        <f t="shared" si="88"/>
        <v>1</v>
      </c>
      <c r="AF379" s="2">
        <f t="shared" si="89"/>
        <v>0</v>
      </c>
      <c r="AG379" s="2">
        <f t="shared" si="90"/>
        <v>0</v>
      </c>
      <c r="AH379" s="2">
        <f t="shared" si="91"/>
        <v>2</v>
      </c>
      <c r="AI379" s="2">
        <f t="shared" si="92"/>
        <v>2</v>
      </c>
      <c r="AJ379" s="2">
        <f t="shared" si="93"/>
        <v>2</v>
      </c>
      <c r="AK379" s="2">
        <f t="shared" si="94"/>
        <v>2</v>
      </c>
      <c r="AL379" s="2">
        <f t="shared" si="95"/>
        <v>2</v>
      </c>
      <c r="AM379" s="115"/>
      <c r="AN379" s="115"/>
      <c r="AO379" s="63"/>
    </row>
    <row r="380" spans="1:41" ht="28.8" x14ac:dyDescent="0.55000000000000004">
      <c r="A380" s="36">
        <v>3952</v>
      </c>
      <c r="B380" s="113" t="s">
        <v>1624</v>
      </c>
      <c r="C380" s="139" t="s">
        <v>1625</v>
      </c>
      <c r="D380" s="114" t="s">
        <v>52</v>
      </c>
      <c r="E380" s="115"/>
      <c r="F380" s="116"/>
      <c r="G380" s="113" t="s">
        <v>1538</v>
      </c>
      <c r="H380" s="113" t="s">
        <v>1612</v>
      </c>
      <c r="I380" s="113" t="s">
        <v>1626</v>
      </c>
      <c r="J380" s="117"/>
      <c r="K380" s="118"/>
      <c r="L380" s="109">
        <v>3</v>
      </c>
      <c r="M380" s="109">
        <v>3</v>
      </c>
      <c r="N380" s="109"/>
      <c r="O380" s="119"/>
      <c r="P380" s="2">
        <f t="shared" si="80"/>
        <v>1</v>
      </c>
      <c r="Q380" s="110" t="str">
        <f>IF(AND(Drops!$D$45&gt;1,OR(U380&lt;&gt;U379,AND(ROW()=5,U379=U380))),VLOOKUP(U380,Drops!$D$26:$E$44,2,FALSE),"")</f>
        <v/>
      </c>
      <c r="R380" s="2" t="str">
        <f t="shared" si="81"/>
        <v/>
      </c>
      <c r="S380" s="2">
        <f t="shared" ca="1" si="82"/>
        <v>1</v>
      </c>
      <c r="T380" s="2">
        <f t="shared" si="83"/>
        <v>0</v>
      </c>
      <c r="U380" s="110" t="s">
        <v>1442</v>
      </c>
      <c r="V380" s="110">
        <v>2</v>
      </c>
      <c r="W380" s="110">
        <v>6</v>
      </c>
      <c r="X380" s="110">
        <v>7</v>
      </c>
      <c r="Y380" s="110">
        <v>0</v>
      </c>
      <c r="Z380" s="110">
        <v>0</v>
      </c>
      <c r="AA380" s="2">
        <f t="shared" si="84"/>
        <v>1</v>
      </c>
      <c r="AB380" s="2">
        <f t="shared" si="85"/>
        <v>0</v>
      </c>
      <c r="AC380" s="2">
        <f t="shared" si="86"/>
        <v>1</v>
      </c>
      <c r="AD380" s="2">
        <f t="shared" si="87"/>
        <v>1</v>
      </c>
      <c r="AE380" s="2">
        <f t="shared" si="88"/>
        <v>1</v>
      </c>
      <c r="AF380" s="2">
        <f t="shared" si="89"/>
        <v>0</v>
      </c>
      <c r="AG380" s="2">
        <f t="shared" si="90"/>
        <v>0</v>
      </c>
      <c r="AH380" s="2">
        <f t="shared" si="91"/>
        <v>2</v>
      </c>
      <c r="AI380" s="2">
        <f t="shared" si="92"/>
        <v>2</v>
      </c>
      <c r="AJ380" s="2">
        <f t="shared" si="93"/>
        <v>2</v>
      </c>
      <c r="AK380" s="2">
        <f t="shared" si="94"/>
        <v>2</v>
      </c>
      <c r="AL380" s="2">
        <f t="shared" si="95"/>
        <v>2</v>
      </c>
      <c r="AM380" s="115"/>
      <c r="AN380" s="115"/>
      <c r="AO380" s="63"/>
    </row>
    <row r="381" spans="1:41" ht="28.8" x14ac:dyDescent="0.55000000000000004">
      <c r="A381" s="36">
        <v>3954</v>
      </c>
      <c r="B381" s="113" t="s">
        <v>1627</v>
      </c>
      <c r="C381" s="139" t="s">
        <v>1628</v>
      </c>
      <c r="D381" s="114" t="s">
        <v>52</v>
      </c>
      <c r="E381" s="115"/>
      <c r="F381" s="116"/>
      <c r="G381" s="113" t="s">
        <v>1538</v>
      </c>
      <c r="H381" s="113" t="s">
        <v>1612</v>
      </c>
      <c r="I381" s="113" t="s">
        <v>1629</v>
      </c>
      <c r="J381" s="117"/>
      <c r="K381" s="118"/>
      <c r="L381" s="109">
        <v>3</v>
      </c>
      <c r="M381" s="109">
        <v>3</v>
      </c>
      <c r="N381" s="109"/>
      <c r="O381" s="119"/>
      <c r="P381" s="2">
        <f t="shared" si="80"/>
        <v>1</v>
      </c>
      <c r="Q381" s="110" t="str">
        <f>IF(AND(Drops!$D$45&gt;1,OR(U381&lt;&gt;U380,AND(ROW()=5,U380=U381))),VLOOKUP(U381,Drops!$D$26:$E$44,2,FALSE),"")</f>
        <v/>
      </c>
      <c r="R381" s="2" t="str">
        <f t="shared" si="81"/>
        <v/>
      </c>
      <c r="S381" s="2">
        <f t="shared" ca="1" si="82"/>
        <v>1</v>
      </c>
      <c r="T381" s="2">
        <f t="shared" si="83"/>
        <v>0</v>
      </c>
      <c r="U381" s="110" t="s">
        <v>1442</v>
      </c>
      <c r="V381" s="110">
        <v>2</v>
      </c>
      <c r="W381" s="110">
        <v>6</v>
      </c>
      <c r="X381" s="110">
        <v>8</v>
      </c>
      <c r="Y381" s="110">
        <v>0</v>
      </c>
      <c r="Z381" s="110">
        <v>0</v>
      </c>
      <c r="AA381" s="2">
        <f t="shared" si="84"/>
        <v>1</v>
      </c>
      <c r="AB381" s="2">
        <f t="shared" si="85"/>
        <v>0</v>
      </c>
      <c r="AC381" s="2">
        <f t="shared" si="86"/>
        <v>1</v>
      </c>
      <c r="AD381" s="2">
        <f t="shared" si="87"/>
        <v>1</v>
      </c>
      <c r="AE381" s="2">
        <f t="shared" si="88"/>
        <v>1</v>
      </c>
      <c r="AF381" s="2">
        <f t="shared" si="89"/>
        <v>0</v>
      </c>
      <c r="AG381" s="2">
        <f t="shared" si="90"/>
        <v>0</v>
      </c>
      <c r="AH381" s="2">
        <f t="shared" si="91"/>
        <v>2</v>
      </c>
      <c r="AI381" s="2">
        <f t="shared" si="92"/>
        <v>2</v>
      </c>
      <c r="AJ381" s="2">
        <f t="shared" si="93"/>
        <v>2</v>
      </c>
      <c r="AK381" s="2">
        <f t="shared" si="94"/>
        <v>2</v>
      </c>
      <c r="AL381" s="2">
        <f t="shared" si="95"/>
        <v>2</v>
      </c>
      <c r="AM381" s="115"/>
      <c r="AN381" s="115"/>
      <c r="AO381" s="63"/>
    </row>
    <row r="382" spans="1:41" ht="28.8" x14ac:dyDescent="0.55000000000000004">
      <c r="A382" s="36">
        <v>3445</v>
      </c>
      <c r="B382" s="113" t="s">
        <v>1630</v>
      </c>
      <c r="C382" s="139" t="s">
        <v>1631</v>
      </c>
      <c r="D382" s="114" t="s">
        <v>52</v>
      </c>
      <c r="E382" s="115" t="s">
        <v>1632</v>
      </c>
      <c r="F382" s="116"/>
      <c r="G382" s="113" t="s">
        <v>1538</v>
      </c>
      <c r="H382" s="113" t="s">
        <v>1612</v>
      </c>
      <c r="I382" s="113" t="s">
        <v>1565</v>
      </c>
      <c r="J382" s="117"/>
      <c r="K382" s="118"/>
      <c r="L382" s="109">
        <v>3</v>
      </c>
      <c r="M382" s="109">
        <v>3</v>
      </c>
      <c r="N382" s="109"/>
      <c r="O382" s="119"/>
      <c r="P382" s="2">
        <f t="shared" si="80"/>
        <v>1</v>
      </c>
      <c r="Q382" s="110" t="str">
        <f>IF(AND(Drops!$D$45&gt;1,OR(U382&lt;&gt;U381,AND(ROW()=5,U381=U382))),VLOOKUP(U382,Drops!$D$26:$E$44,2,FALSE),"")</f>
        <v/>
      </c>
      <c r="R382" s="2" t="str">
        <f t="shared" si="81"/>
        <v/>
      </c>
      <c r="S382" s="2">
        <f t="shared" ca="1" si="82"/>
        <v>1</v>
      </c>
      <c r="T382" s="2">
        <f t="shared" si="83"/>
        <v>0</v>
      </c>
      <c r="U382" s="110" t="s">
        <v>1442</v>
      </c>
      <c r="V382" s="110">
        <v>2</v>
      </c>
      <c r="W382" s="110">
        <v>6</v>
      </c>
      <c r="X382" s="110">
        <v>9</v>
      </c>
      <c r="Y382" s="110">
        <v>0</v>
      </c>
      <c r="Z382" s="110">
        <v>0</v>
      </c>
      <c r="AA382" s="2">
        <f t="shared" si="84"/>
        <v>1</v>
      </c>
      <c r="AB382" s="2">
        <f t="shared" si="85"/>
        <v>0</v>
      </c>
      <c r="AC382" s="2">
        <f t="shared" si="86"/>
        <v>1</v>
      </c>
      <c r="AD382" s="2">
        <f t="shared" si="87"/>
        <v>1</v>
      </c>
      <c r="AE382" s="2">
        <f t="shared" si="88"/>
        <v>1</v>
      </c>
      <c r="AF382" s="2">
        <f t="shared" si="89"/>
        <v>0</v>
      </c>
      <c r="AG382" s="2">
        <f t="shared" si="90"/>
        <v>0</v>
      </c>
      <c r="AH382" s="2">
        <f t="shared" si="91"/>
        <v>2</v>
      </c>
      <c r="AI382" s="2">
        <f t="shared" si="92"/>
        <v>2</v>
      </c>
      <c r="AJ382" s="2">
        <f t="shared" si="93"/>
        <v>2</v>
      </c>
      <c r="AK382" s="2">
        <f t="shared" si="94"/>
        <v>2</v>
      </c>
      <c r="AL382" s="2">
        <f t="shared" si="95"/>
        <v>2</v>
      </c>
      <c r="AM382" s="115"/>
      <c r="AN382" s="115"/>
      <c r="AO382" s="63"/>
    </row>
    <row r="383" spans="1:41" ht="43.2" x14ac:dyDescent="0.55000000000000004">
      <c r="A383" s="36">
        <v>3955</v>
      </c>
      <c r="B383" s="113" t="s">
        <v>1633</v>
      </c>
      <c r="C383" s="139" t="s">
        <v>1634</v>
      </c>
      <c r="D383" s="114" t="s">
        <v>52</v>
      </c>
      <c r="E383" s="115"/>
      <c r="F383" s="116"/>
      <c r="G383" s="113" t="s">
        <v>1538</v>
      </c>
      <c r="H383" s="113" t="s">
        <v>1612</v>
      </c>
      <c r="I383" s="113" t="s">
        <v>1542</v>
      </c>
      <c r="J383" s="117"/>
      <c r="K383" s="118"/>
      <c r="L383" s="109">
        <v>3</v>
      </c>
      <c r="M383" s="109">
        <v>3</v>
      </c>
      <c r="N383" s="109"/>
      <c r="O383" s="119"/>
      <c r="P383" s="2">
        <f t="shared" si="80"/>
        <v>1</v>
      </c>
      <c r="Q383" s="110" t="str">
        <f>IF(AND(Drops!$D$45&gt;1,OR(U383&lt;&gt;U382,AND(ROW()=5,U382=U383))),VLOOKUP(U383,Drops!$D$26:$E$44,2,FALSE),"")</f>
        <v/>
      </c>
      <c r="R383" s="2" t="str">
        <f t="shared" si="81"/>
        <v/>
      </c>
      <c r="S383" s="2">
        <f t="shared" ca="1" si="82"/>
        <v>1</v>
      </c>
      <c r="T383" s="2">
        <f t="shared" si="83"/>
        <v>0</v>
      </c>
      <c r="U383" s="110" t="s">
        <v>1442</v>
      </c>
      <c r="V383" s="110">
        <v>2</v>
      </c>
      <c r="W383" s="110">
        <v>6</v>
      </c>
      <c r="X383" s="110">
        <v>10</v>
      </c>
      <c r="Y383" s="110">
        <v>0</v>
      </c>
      <c r="Z383" s="110">
        <v>0</v>
      </c>
      <c r="AA383" s="2">
        <f t="shared" si="84"/>
        <v>1</v>
      </c>
      <c r="AB383" s="2">
        <f t="shared" si="85"/>
        <v>0</v>
      </c>
      <c r="AC383" s="2">
        <f t="shared" si="86"/>
        <v>1</v>
      </c>
      <c r="AD383" s="2">
        <f t="shared" si="87"/>
        <v>1</v>
      </c>
      <c r="AE383" s="2">
        <f t="shared" si="88"/>
        <v>1</v>
      </c>
      <c r="AF383" s="2">
        <f t="shared" si="89"/>
        <v>0</v>
      </c>
      <c r="AG383" s="2">
        <f t="shared" si="90"/>
        <v>0</v>
      </c>
      <c r="AH383" s="2">
        <f t="shared" si="91"/>
        <v>2</v>
      </c>
      <c r="AI383" s="2">
        <f t="shared" si="92"/>
        <v>2</v>
      </c>
      <c r="AJ383" s="2">
        <f t="shared" si="93"/>
        <v>2</v>
      </c>
      <c r="AK383" s="2">
        <f t="shared" si="94"/>
        <v>2</v>
      </c>
      <c r="AL383" s="2">
        <f t="shared" si="95"/>
        <v>2</v>
      </c>
      <c r="AM383" s="115"/>
      <c r="AN383" s="115"/>
      <c r="AO383" s="63"/>
    </row>
    <row r="384" spans="1:41" ht="28.8" x14ac:dyDescent="0.55000000000000004">
      <c r="A384" s="36">
        <v>3968</v>
      </c>
      <c r="B384" s="113" t="s">
        <v>1635</v>
      </c>
      <c r="C384" s="138" t="s">
        <v>1636</v>
      </c>
      <c r="D384" s="114" t="s">
        <v>52</v>
      </c>
      <c r="E384" s="115"/>
      <c r="F384" s="116"/>
      <c r="G384" s="113" t="s">
        <v>1538</v>
      </c>
      <c r="H384" s="113" t="s">
        <v>1637</v>
      </c>
      <c r="I384" s="113" t="s">
        <v>1638</v>
      </c>
      <c r="J384" s="117"/>
      <c r="K384" s="118"/>
      <c r="L384" s="109">
        <v>2</v>
      </c>
      <c r="M384" s="109">
        <v>2</v>
      </c>
      <c r="N384" s="109"/>
      <c r="O384" s="119"/>
      <c r="P384" s="2">
        <f t="shared" si="80"/>
        <v>1</v>
      </c>
      <c r="Q384" s="110" t="str">
        <f>IF(AND(Drops!$D$45&gt;1,OR(U384&lt;&gt;U383,AND(ROW()=5,U383=U384))),VLOOKUP(U384,Drops!$D$26:$E$44,2,FALSE),"")</f>
        <v/>
      </c>
      <c r="R384" s="2" t="str">
        <f t="shared" si="81"/>
        <v/>
      </c>
      <c r="S384" s="2">
        <f t="shared" ca="1" si="82"/>
        <v>1</v>
      </c>
      <c r="T384" s="2">
        <f t="shared" si="83"/>
        <v>0</v>
      </c>
      <c r="U384" s="110" t="s">
        <v>1442</v>
      </c>
      <c r="V384" s="110">
        <v>2</v>
      </c>
      <c r="W384" s="110">
        <v>7</v>
      </c>
      <c r="X384" s="110">
        <v>0</v>
      </c>
      <c r="Y384" s="110">
        <v>0</v>
      </c>
      <c r="Z384" s="110">
        <v>0</v>
      </c>
      <c r="AA384" s="2">
        <f t="shared" si="84"/>
        <v>1</v>
      </c>
      <c r="AB384" s="2">
        <f t="shared" si="85"/>
        <v>1</v>
      </c>
      <c r="AC384" s="2">
        <f t="shared" si="86"/>
        <v>1</v>
      </c>
      <c r="AD384" s="2">
        <f t="shared" si="87"/>
        <v>1</v>
      </c>
      <c r="AE384" s="2">
        <f t="shared" si="88"/>
        <v>0</v>
      </c>
      <c r="AF384" s="2">
        <f t="shared" si="89"/>
        <v>0</v>
      </c>
      <c r="AG384" s="2">
        <f t="shared" si="90"/>
        <v>0</v>
      </c>
      <c r="AH384" s="2">
        <f t="shared" si="91"/>
        <v>2</v>
      </c>
      <c r="AI384" s="2">
        <f t="shared" si="92"/>
        <v>2</v>
      </c>
      <c r="AJ384" s="2">
        <f t="shared" si="93"/>
        <v>2</v>
      </c>
      <c r="AK384" s="2">
        <f t="shared" si="94"/>
        <v>2</v>
      </c>
      <c r="AL384" s="2">
        <f t="shared" si="95"/>
        <v>2</v>
      </c>
      <c r="AM384" s="115"/>
      <c r="AN384" s="115"/>
      <c r="AO384" s="63"/>
    </row>
    <row r="385" spans="1:41" ht="43.2" x14ac:dyDescent="0.55000000000000004">
      <c r="A385" s="36">
        <v>3979</v>
      </c>
      <c r="B385" s="113" t="s">
        <v>1639</v>
      </c>
      <c r="C385" s="139" t="s">
        <v>1640</v>
      </c>
      <c r="D385" s="114" t="s">
        <v>52</v>
      </c>
      <c r="E385" s="115"/>
      <c r="F385" s="116"/>
      <c r="G385" s="113" t="s">
        <v>1538</v>
      </c>
      <c r="H385" s="113" t="s">
        <v>1637</v>
      </c>
      <c r="I385" s="113" t="s">
        <v>1641</v>
      </c>
      <c r="J385" s="117"/>
      <c r="K385" s="118"/>
      <c r="L385" s="109">
        <v>3</v>
      </c>
      <c r="M385" s="109">
        <v>3</v>
      </c>
      <c r="N385" s="109"/>
      <c r="O385" s="119"/>
      <c r="P385" s="2">
        <f t="shared" si="80"/>
        <v>1</v>
      </c>
      <c r="Q385" s="110" t="str">
        <f>IF(AND(Drops!$D$45&gt;1,OR(U385&lt;&gt;U384,AND(ROW()=5,U384=U385))),VLOOKUP(U385,Drops!$D$26:$E$44,2,FALSE),"")</f>
        <v/>
      </c>
      <c r="R385" s="2" t="str">
        <f t="shared" si="81"/>
        <v/>
      </c>
      <c r="S385" s="2">
        <f t="shared" ca="1" si="82"/>
        <v>1</v>
      </c>
      <c r="T385" s="2">
        <f t="shared" si="83"/>
        <v>0</v>
      </c>
      <c r="U385" s="110" t="s">
        <v>1442</v>
      </c>
      <c r="V385" s="110">
        <v>2</v>
      </c>
      <c r="W385" s="110">
        <v>7</v>
      </c>
      <c r="X385" s="110">
        <v>1</v>
      </c>
      <c r="Y385" s="110">
        <v>0</v>
      </c>
      <c r="Z385" s="110">
        <v>0</v>
      </c>
      <c r="AA385" s="2">
        <f t="shared" si="84"/>
        <v>1</v>
      </c>
      <c r="AB385" s="2">
        <f t="shared" si="85"/>
        <v>0</v>
      </c>
      <c r="AC385" s="2">
        <f t="shared" si="86"/>
        <v>1</v>
      </c>
      <c r="AD385" s="2">
        <f t="shared" si="87"/>
        <v>1</v>
      </c>
      <c r="AE385" s="2">
        <f t="shared" si="88"/>
        <v>1</v>
      </c>
      <c r="AF385" s="2">
        <f t="shared" si="89"/>
        <v>0</v>
      </c>
      <c r="AG385" s="2">
        <f t="shared" si="90"/>
        <v>0</v>
      </c>
      <c r="AH385" s="2">
        <f t="shared" si="91"/>
        <v>2</v>
      </c>
      <c r="AI385" s="2">
        <f t="shared" si="92"/>
        <v>2</v>
      </c>
      <c r="AJ385" s="2">
        <f t="shared" si="93"/>
        <v>2</v>
      </c>
      <c r="AK385" s="2">
        <f t="shared" si="94"/>
        <v>2</v>
      </c>
      <c r="AL385" s="2">
        <f t="shared" si="95"/>
        <v>2</v>
      </c>
      <c r="AM385" s="115"/>
      <c r="AN385" s="115"/>
      <c r="AO385" s="63"/>
    </row>
    <row r="386" spans="1:41" ht="28.8" x14ac:dyDescent="0.55000000000000004">
      <c r="A386" s="36">
        <v>3982</v>
      </c>
      <c r="B386" s="113" t="s">
        <v>1642</v>
      </c>
      <c r="C386" s="139" t="s">
        <v>1643</v>
      </c>
      <c r="D386" s="114" t="s">
        <v>52</v>
      </c>
      <c r="E386" s="115"/>
      <c r="F386" s="116"/>
      <c r="G386" s="113" t="s">
        <v>1538</v>
      </c>
      <c r="H386" s="113" t="s">
        <v>1637</v>
      </c>
      <c r="I386" s="113" t="s">
        <v>1638</v>
      </c>
      <c r="J386" s="117"/>
      <c r="K386" s="118"/>
      <c r="L386" s="109">
        <v>3</v>
      </c>
      <c r="M386" s="109">
        <v>3</v>
      </c>
      <c r="N386" s="109"/>
      <c r="O386" s="119"/>
      <c r="P386" s="2">
        <f t="shared" si="80"/>
        <v>1</v>
      </c>
      <c r="Q386" s="110" t="str">
        <f>IF(AND(Drops!$D$45&gt;1,OR(U386&lt;&gt;U385,AND(ROW()=5,U385=U386))),VLOOKUP(U386,Drops!$D$26:$E$44,2,FALSE),"")</f>
        <v/>
      </c>
      <c r="R386" s="2" t="str">
        <f t="shared" si="81"/>
        <v/>
      </c>
      <c r="S386" s="2">
        <f t="shared" ca="1" si="82"/>
        <v>1</v>
      </c>
      <c r="T386" s="2">
        <f t="shared" si="83"/>
        <v>0</v>
      </c>
      <c r="U386" s="110" t="s">
        <v>1442</v>
      </c>
      <c r="V386" s="110">
        <v>2</v>
      </c>
      <c r="W386" s="110">
        <v>7</v>
      </c>
      <c r="X386" s="110">
        <v>2</v>
      </c>
      <c r="Y386" s="110">
        <v>0</v>
      </c>
      <c r="Z386" s="110">
        <v>0</v>
      </c>
      <c r="AA386" s="2">
        <f t="shared" si="84"/>
        <v>1</v>
      </c>
      <c r="AB386" s="2">
        <f t="shared" si="85"/>
        <v>0</v>
      </c>
      <c r="AC386" s="2">
        <f t="shared" si="86"/>
        <v>1</v>
      </c>
      <c r="AD386" s="2">
        <f t="shared" si="87"/>
        <v>1</v>
      </c>
      <c r="AE386" s="2">
        <f t="shared" si="88"/>
        <v>1</v>
      </c>
      <c r="AF386" s="2">
        <f t="shared" si="89"/>
        <v>0</v>
      </c>
      <c r="AG386" s="2">
        <f t="shared" si="90"/>
        <v>0</v>
      </c>
      <c r="AH386" s="2">
        <f t="shared" si="91"/>
        <v>2</v>
      </c>
      <c r="AI386" s="2">
        <f t="shared" si="92"/>
        <v>2</v>
      </c>
      <c r="AJ386" s="2">
        <f t="shared" si="93"/>
        <v>2</v>
      </c>
      <c r="AK386" s="2">
        <f t="shared" si="94"/>
        <v>2</v>
      </c>
      <c r="AL386" s="2">
        <f t="shared" si="95"/>
        <v>2</v>
      </c>
      <c r="AM386" s="115"/>
      <c r="AN386" s="115"/>
      <c r="AO386" s="63"/>
    </row>
    <row r="387" spans="1:41" ht="43.2" x14ac:dyDescent="0.55000000000000004">
      <c r="A387" s="36">
        <v>3986</v>
      </c>
      <c r="B387" s="113" t="s">
        <v>1644</v>
      </c>
      <c r="C387" s="139" t="s">
        <v>1645</v>
      </c>
      <c r="D387" s="114" t="s">
        <v>52</v>
      </c>
      <c r="E387" s="115"/>
      <c r="F387" s="116"/>
      <c r="G387" s="113" t="s">
        <v>1538</v>
      </c>
      <c r="H387" s="113" t="s">
        <v>1637</v>
      </c>
      <c r="I387" s="113"/>
      <c r="J387" s="117"/>
      <c r="K387" s="118"/>
      <c r="L387" s="109">
        <v>3</v>
      </c>
      <c r="M387" s="109">
        <v>2</v>
      </c>
      <c r="N387" s="109"/>
      <c r="O387" s="119"/>
      <c r="P387" s="2">
        <f t="shared" si="80"/>
        <v>1</v>
      </c>
      <c r="Q387" s="110" t="str">
        <f>IF(AND(Drops!$D$45&gt;1,OR(U387&lt;&gt;U386,AND(ROW()=5,U386=U387))),VLOOKUP(U387,Drops!$D$26:$E$44,2,FALSE),"")</f>
        <v/>
      </c>
      <c r="R387" s="2" t="str">
        <f t="shared" si="81"/>
        <v/>
      </c>
      <c r="S387" s="2">
        <f t="shared" ca="1" si="82"/>
        <v>1</v>
      </c>
      <c r="T387" s="2">
        <f t="shared" si="83"/>
        <v>0</v>
      </c>
      <c r="U387" s="110" t="s">
        <v>1442</v>
      </c>
      <c r="V387" s="110">
        <v>2</v>
      </c>
      <c r="W387" s="110">
        <v>7</v>
      </c>
      <c r="X387" s="110">
        <v>3</v>
      </c>
      <c r="Y387" s="110">
        <v>0</v>
      </c>
      <c r="Z387" s="110">
        <v>0</v>
      </c>
      <c r="AA387" s="2">
        <f t="shared" si="84"/>
        <v>1</v>
      </c>
      <c r="AB387" s="2">
        <f t="shared" si="85"/>
        <v>0</v>
      </c>
      <c r="AC387" s="2">
        <f t="shared" si="86"/>
        <v>1</v>
      </c>
      <c r="AD387" s="2">
        <f t="shared" si="87"/>
        <v>1</v>
      </c>
      <c r="AE387" s="2">
        <f t="shared" si="88"/>
        <v>1</v>
      </c>
      <c r="AF387" s="2">
        <f t="shared" si="89"/>
        <v>0</v>
      </c>
      <c r="AG387" s="2">
        <f t="shared" si="90"/>
        <v>0</v>
      </c>
      <c r="AH387" s="2">
        <f t="shared" si="91"/>
        <v>2</v>
      </c>
      <c r="AI387" s="2">
        <f t="shared" si="92"/>
        <v>2</v>
      </c>
      <c r="AJ387" s="2">
        <f t="shared" si="93"/>
        <v>2</v>
      </c>
      <c r="AK387" s="2">
        <f t="shared" si="94"/>
        <v>2</v>
      </c>
      <c r="AL387" s="2">
        <f t="shared" si="95"/>
        <v>2</v>
      </c>
      <c r="AM387" s="115"/>
      <c r="AN387" s="115"/>
      <c r="AO387" s="63"/>
    </row>
    <row r="388" spans="1:41" ht="28.8" x14ac:dyDescent="0.55000000000000004">
      <c r="A388" s="36">
        <v>2230</v>
      </c>
      <c r="B388" s="113" t="s">
        <v>279</v>
      </c>
      <c r="C388" s="113" t="s">
        <v>1646</v>
      </c>
      <c r="D388" s="114" t="s">
        <v>52</v>
      </c>
      <c r="E388" s="115"/>
      <c r="F388" s="116"/>
      <c r="G388" s="113" t="s">
        <v>1647</v>
      </c>
      <c r="H388" s="113" t="s">
        <v>910</v>
      </c>
      <c r="I388" s="113"/>
      <c r="J388" s="117"/>
      <c r="K388" s="118"/>
      <c r="L388" s="109">
        <v>1</v>
      </c>
      <c r="M388" s="109">
        <v>1</v>
      </c>
      <c r="N388" s="109"/>
      <c r="O388" s="119"/>
      <c r="P388" s="2">
        <f t="shared" si="80"/>
        <v>1</v>
      </c>
      <c r="Q388" s="110" t="str">
        <f>IF(AND(Drops!$D$45&gt;1,OR(U388&lt;&gt;U387,AND(ROW()=5,U387=U388))),VLOOKUP(U388,Drops!$D$26:$E$44,2,FALSE),"")</f>
        <v/>
      </c>
      <c r="R388" s="2" t="str">
        <f t="shared" si="81"/>
        <v/>
      </c>
      <c r="S388" s="2">
        <f t="shared" ca="1" si="82"/>
        <v>1</v>
      </c>
      <c r="T388" s="2">
        <f t="shared" si="83"/>
        <v>1</v>
      </c>
      <c r="U388" s="110" t="s">
        <v>1442</v>
      </c>
      <c r="V388" s="110">
        <v>3</v>
      </c>
      <c r="W388" s="110">
        <v>0</v>
      </c>
      <c r="X388" s="110">
        <v>0</v>
      </c>
      <c r="Y388" s="110">
        <v>0</v>
      </c>
      <c r="Z388" s="110">
        <v>0</v>
      </c>
      <c r="AA388" s="2">
        <f t="shared" si="84"/>
        <v>1</v>
      </c>
      <c r="AB388" s="2">
        <f t="shared" si="85"/>
        <v>1</v>
      </c>
      <c r="AC388" s="2">
        <f t="shared" si="86"/>
        <v>1</v>
      </c>
      <c r="AD388" s="2">
        <f t="shared" si="87"/>
        <v>0</v>
      </c>
      <c r="AE388" s="2">
        <f t="shared" si="88"/>
        <v>0</v>
      </c>
      <c r="AF388" s="2">
        <f t="shared" si="89"/>
        <v>0</v>
      </c>
      <c r="AG388" s="2">
        <f t="shared" si="90"/>
        <v>0</v>
      </c>
      <c r="AH388" s="2">
        <f t="shared" si="91"/>
        <v>2</v>
      </c>
      <c r="AI388" s="2">
        <f t="shared" si="92"/>
        <v>2</v>
      </c>
      <c r="AJ388" s="2">
        <f t="shared" si="93"/>
        <v>2</v>
      </c>
      <c r="AK388" s="2">
        <f t="shared" si="94"/>
        <v>2</v>
      </c>
      <c r="AL388" s="2">
        <f t="shared" si="95"/>
        <v>2</v>
      </c>
      <c r="AM388" s="115"/>
      <c r="AN388" s="115"/>
      <c r="AO388" s="63"/>
    </row>
    <row r="389" spans="1:41" ht="28.8" x14ac:dyDescent="0.55000000000000004">
      <c r="A389" s="36">
        <v>2076</v>
      </c>
      <c r="B389" s="113" t="s">
        <v>1648</v>
      </c>
      <c r="C389" s="138" t="s">
        <v>1649</v>
      </c>
      <c r="D389" s="114" t="s">
        <v>52</v>
      </c>
      <c r="E389" s="115"/>
      <c r="F389" s="116"/>
      <c r="G389" s="113" t="s">
        <v>1647</v>
      </c>
      <c r="H389" s="113" t="s">
        <v>1650</v>
      </c>
      <c r="I389" s="113" t="s">
        <v>1651</v>
      </c>
      <c r="J389" s="117"/>
      <c r="K389" s="118"/>
      <c r="L389" s="109">
        <v>2</v>
      </c>
      <c r="M389" s="109">
        <v>2</v>
      </c>
      <c r="N389" s="109"/>
      <c r="O389" s="119"/>
      <c r="P389" s="2">
        <f t="shared" si="80"/>
        <v>1</v>
      </c>
      <c r="Q389" s="110" t="str">
        <f>IF(AND(Drops!$D$45&gt;1,OR(U389&lt;&gt;U388,AND(ROW()=5,U388=U389))),VLOOKUP(U389,Drops!$D$26:$E$44,2,FALSE),"")</f>
        <v/>
      </c>
      <c r="R389" s="2" t="str">
        <f t="shared" si="81"/>
        <v/>
      </c>
      <c r="S389" s="2">
        <f t="shared" ca="1" si="82"/>
        <v>1</v>
      </c>
      <c r="T389" s="2">
        <f t="shared" si="83"/>
        <v>0</v>
      </c>
      <c r="U389" s="110" t="s">
        <v>1442</v>
      </c>
      <c r="V389" s="110">
        <v>3</v>
      </c>
      <c r="W389" s="110">
        <v>1</v>
      </c>
      <c r="X389" s="110">
        <v>0</v>
      </c>
      <c r="Y389" s="110">
        <v>0</v>
      </c>
      <c r="Z389" s="110">
        <v>0</v>
      </c>
      <c r="AA389" s="2">
        <f t="shared" si="84"/>
        <v>1</v>
      </c>
      <c r="AB389" s="2">
        <f t="shared" si="85"/>
        <v>0</v>
      </c>
      <c r="AC389" s="2">
        <f t="shared" si="86"/>
        <v>1</v>
      </c>
      <c r="AD389" s="2">
        <f t="shared" si="87"/>
        <v>1</v>
      </c>
      <c r="AE389" s="2">
        <f t="shared" si="88"/>
        <v>0</v>
      </c>
      <c r="AF389" s="2">
        <f t="shared" si="89"/>
        <v>0</v>
      </c>
      <c r="AG389" s="2">
        <f t="shared" si="90"/>
        <v>0</v>
      </c>
      <c r="AH389" s="2">
        <f t="shared" si="91"/>
        <v>2</v>
      </c>
      <c r="AI389" s="2">
        <f t="shared" si="92"/>
        <v>2</v>
      </c>
      <c r="AJ389" s="2">
        <f t="shared" si="93"/>
        <v>2</v>
      </c>
      <c r="AK389" s="2">
        <f t="shared" si="94"/>
        <v>2</v>
      </c>
      <c r="AL389" s="2">
        <f t="shared" si="95"/>
        <v>2</v>
      </c>
      <c r="AM389" s="115"/>
      <c r="AN389" s="115"/>
      <c r="AO389" s="63"/>
    </row>
    <row r="390" spans="1:41" ht="14.4" x14ac:dyDescent="0.55000000000000004">
      <c r="A390" s="36">
        <v>4241</v>
      </c>
      <c r="B390" s="113" t="s">
        <v>1652</v>
      </c>
      <c r="C390" s="138" t="s">
        <v>1653</v>
      </c>
      <c r="D390" s="114" t="s">
        <v>52</v>
      </c>
      <c r="E390" s="115"/>
      <c r="F390" s="116"/>
      <c r="G390" s="113" t="s">
        <v>1647</v>
      </c>
      <c r="H390" s="113" t="s">
        <v>910</v>
      </c>
      <c r="I390" s="113"/>
      <c r="J390" s="117"/>
      <c r="K390" s="118"/>
      <c r="L390" s="109">
        <v>2</v>
      </c>
      <c r="M390" s="109">
        <v>1</v>
      </c>
      <c r="N390" s="109"/>
      <c r="O390" s="119"/>
      <c r="P390" s="2">
        <f t="shared" ref="P390:P453" si="96">IF($L390="","",IF($D390="Yes",1,IF($D390="No",2,IF($D390="N/A",3,0))))</f>
        <v>1</v>
      </c>
      <c r="Q390" s="110" t="str">
        <f>IF(AND(Drops!$D$45&gt;1,OR(U390&lt;&gt;U389,AND(ROW()=5,U389=U390))),VLOOKUP(U390,Drops!$D$26:$E$44,2,FALSE),"")</f>
        <v/>
      </c>
      <c r="R390" s="2" t="str">
        <f t="shared" ref="R390:R453" si="97">IF(Q390&lt;&gt;"",ROW(),"")</f>
        <v/>
      </c>
      <c r="S390" s="2">
        <f t="shared" ref="S390:S453" ca="1" si="98">OFFSET(AC390,,L390-1)</f>
        <v>1</v>
      </c>
      <c r="T390" s="2">
        <f t="shared" ref="T390:T453" si="99">IF(OR(V390&lt;&gt;V389,U390&lt;&gt;U389,AND(V390&lt;&gt;V389,W390&lt;&gt;W389),AND(V390&lt;&gt;V389,W390&lt;&gt;W389,X390&lt;&gt;X389),AND(V390&lt;&gt;V389,W390&lt;&gt;W389,X390&lt;&gt;X389,Y390&lt;&gt;Y389),AND(V390&lt;&gt;V389,W390&lt;&gt;W389,X390&lt;&gt;X389,Y390&lt;&gt;Y389,Z390&lt;&gt;Z389),L390-L389&gt;1),1,0)</f>
        <v>0</v>
      </c>
      <c r="U390" s="110" t="s">
        <v>1442</v>
      </c>
      <c r="V390" s="110">
        <v>3</v>
      </c>
      <c r="W390" s="110">
        <v>2</v>
      </c>
      <c r="X390" s="110">
        <v>0</v>
      </c>
      <c r="Y390" s="110">
        <v>0</v>
      </c>
      <c r="Z390" s="110">
        <v>0</v>
      </c>
      <c r="AA390" s="2">
        <f t="shared" ref="AA390:AA453" si="100">IF(ROW()=5,1,IF(OR(AH390=1,P390&gt;0,T390=1),1,IF(OR(AND(AH390=2,AI390=1),AND(AI390=2,AJ390=1),AND(AJ390=2,AK390=1),AND(AK390=2,AL390=1)),1,0)))</f>
        <v>1</v>
      </c>
      <c r="AB390" s="2">
        <f t="shared" ref="AB390:AB453" si="101">IF(L391&gt;L390,1,0)</f>
        <v>1</v>
      </c>
      <c r="AC390" s="2">
        <f t="shared" ref="AC390:AC453" si="102">IF(ROW()=5,P390,IF(AND($P390&gt;1,AC$4=$L390),$P390,IF(AND($U390=$U389,V390=V389),AC389,IF(AND($L390=AC$4,P390=1),P390,0))))</f>
        <v>1</v>
      </c>
      <c r="AD390" s="2">
        <f t="shared" ref="AD390:AD453" si="103">IF(AC390&gt;1,AC390,IF(AND($P390&gt;1,AD$4=$L390),$P390,IF(AND($U390=$U389,W390=W389),AD389,IF(AND($L390=AD$4,P390=1),P390,0))))</f>
        <v>1</v>
      </c>
      <c r="AE390" s="2">
        <f t="shared" ref="AE390:AE453" si="104">IF(AD390&gt;1,AD390,IF(AND($P390&gt;1,AE$4=$L390),$P390,IF(AND($U390=$U389,X390=X389),AE389,IF(AND($L390=AE$4,P390=1),P390,0))))</f>
        <v>0</v>
      </c>
      <c r="AF390" s="2">
        <f t="shared" ref="AF390:AF453" si="105">IF(AE390&gt;1,AE390,IF(AND($P390&gt;1,AF$4=$L390),$P390,IF(AND($U390=$U389,Y390=Y389),AF389,IF(AND($L390=AF$4,P390=1),P390,0))))</f>
        <v>0</v>
      </c>
      <c r="AG390" s="2">
        <f t="shared" ref="AG390:AG453" si="106">IF(AF390&gt;1,AF390,IF(AND($P390&gt;1,AG$4=$L390),$P390,IF(AND($U390=$U389,Z390=Z389),AG389,IF(AND($L390=AG$4,P390=1),P390,0))))</f>
        <v>0</v>
      </c>
      <c r="AH390" s="2">
        <f t="shared" ref="AH390:AH453" si="107">IF(AND($P390=1,$L390=AH$4),2,IF(AND($L390&lt;&gt;AH$4,AH389=2),AH389,IF($L390&lt;&gt;AH$4,0,1)))</f>
        <v>2</v>
      </c>
      <c r="AI390" s="2">
        <f t="shared" ref="AI390:AI453" si="108">IF(OR(ROW()=5,$U389&lt;&gt;$U390),0,IF(AND($P390=1,$L390=AI$4),2,IF(AND($L390&lt;&gt;AI$4,AI389=2),AI389,IF($L390&lt;&gt;AI$4,0,1))))</f>
        <v>2</v>
      </c>
      <c r="AJ390" s="2">
        <f t="shared" ref="AJ390:AJ453" si="109">IF(OR(ROW()=5,$U389&lt;&gt;$U390),0,IF(AND($P390=1,$L390=AJ$4),2,IF(AND($L390&lt;&gt;AJ$4,AJ389=2),AJ389,IF($L390&lt;&gt;AJ$4,0,1))))</f>
        <v>2</v>
      </c>
      <c r="AK390" s="2">
        <f t="shared" ref="AK390:AK453" si="110">IF(OR(ROW()=5,$U389&lt;&gt;$U390),0,IF(AND($P390=1,$L390=AK$4),2,IF(AND($L390&lt;&gt;AK$4,AK389=2),AK389,IF($L390&lt;&gt;AK$4,0,1))))</f>
        <v>2</v>
      </c>
      <c r="AL390" s="2">
        <f t="shared" ref="AL390:AL453" si="111">IF(OR(ROW()=5,$U389&lt;&gt;$U390),0,IF(AND($P390=1,$L390=AL$4),2,IF(AND($L390&lt;&gt;AL$4,AL389=2),AL389,IF($L390&lt;&gt;AL$4,0,1))))</f>
        <v>2</v>
      </c>
      <c r="AM390" s="115"/>
      <c r="AN390" s="115"/>
      <c r="AO390" s="63"/>
    </row>
    <row r="391" spans="1:41" ht="28.8" x14ac:dyDescent="0.55000000000000004">
      <c r="A391" s="36">
        <v>4242</v>
      </c>
      <c r="B391" s="113" t="s">
        <v>1654</v>
      </c>
      <c r="C391" s="139" t="s">
        <v>1655</v>
      </c>
      <c r="D391" s="114" t="s">
        <v>52</v>
      </c>
      <c r="E391" s="115"/>
      <c r="F391" s="116"/>
      <c r="G391" s="113" t="s">
        <v>1647</v>
      </c>
      <c r="H391" s="113" t="s">
        <v>1656</v>
      </c>
      <c r="I391" s="113" t="s">
        <v>1651</v>
      </c>
      <c r="J391" s="117"/>
      <c r="K391" s="118"/>
      <c r="L391" s="109">
        <v>3</v>
      </c>
      <c r="M391" s="109">
        <v>3</v>
      </c>
      <c r="N391" s="109"/>
      <c r="O391" s="119"/>
      <c r="P391" s="2">
        <f t="shared" si="96"/>
        <v>1</v>
      </c>
      <c r="Q391" s="110" t="str">
        <f>IF(AND(Drops!$D$45&gt;1,OR(U391&lt;&gt;U390,AND(ROW()=5,U390=U391))),VLOOKUP(U391,Drops!$D$26:$E$44,2,FALSE),"")</f>
        <v/>
      </c>
      <c r="R391" s="2" t="str">
        <f t="shared" si="97"/>
        <v/>
      </c>
      <c r="S391" s="2">
        <f t="shared" ca="1" si="98"/>
        <v>1</v>
      </c>
      <c r="T391" s="2">
        <f t="shared" si="99"/>
        <v>0</v>
      </c>
      <c r="U391" s="110" t="s">
        <v>1442</v>
      </c>
      <c r="V391" s="110">
        <v>3</v>
      </c>
      <c r="W391" s="110">
        <v>2</v>
      </c>
      <c r="X391" s="110">
        <v>1</v>
      </c>
      <c r="Y391" s="110">
        <v>0</v>
      </c>
      <c r="Z391" s="110">
        <v>0</v>
      </c>
      <c r="AA391" s="2">
        <f t="shared" si="100"/>
        <v>1</v>
      </c>
      <c r="AB391" s="2">
        <f t="shared" si="101"/>
        <v>0</v>
      </c>
      <c r="AC391" s="2">
        <f t="shared" si="102"/>
        <v>1</v>
      </c>
      <c r="AD391" s="2">
        <f t="shared" si="103"/>
        <v>1</v>
      </c>
      <c r="AE391" s="2">
        <f t="shared" si="104"/>
        <v>1</v>
      </c>
      <c r="AF391" s="2">
        <f t="shared" si="105"/>
        <v>0</v>
      </c>
      <c r="AG391" s="2">
        <f t="shared" si="106"/>
        <v>0</v>
      </c>
      <c r="AH391" s="2">
        <f t="shared" si="107"/>
        <v>2</v>
      </c>
      <c r="AI391" s="2">
        <f t="shared" si="108"/>
        <v>2</v>
      </c>
      <c r="AJ391" s="2">
        <f t="shared" si="109"/>
        <v>2</v>
      </c>
      <c r="AK391" s="2">
        <f t="shared" si="110"/>
        <v>2</v>
      </c>
      <c r="AL391" s="2">
        <f t="shared" si="111"/>
        <v>2</v>
      </c>
      <c r="AM391" s="115"/>
      <c r="AN391" s="115"/>
      <c r="AO391" s="63"/>
    </row>
    <row r="392" spans="1:41" ht="43.2" x14ac:dyDescent="0.55000000000000004">
      <c r="A392" s="36">
        <v>4243</v>
      </c>
      <c r="B392" s="113" t="s">
        <v>1657</v>
      </c>
      <c r="C392" s="139" t="s">
        <v>1658</v>
      </c>
      <c r="D392" s="114" t="s">
        <v>52</v>
      </c>
      <c r="E392" s="115"/>
      <c r="F392" s="116"/>
      <c r="G392" s="113" t="s">
        <v>1647</v>
      </c>
      <c r="H392" s="113" t="s">
        <v>1656</v>
      </c>
      <c r="I392" s="113"/>
      <c r="J392" s="117"/>
      <c r="K392" s="118"/>
      <c r="L392" s="109">
        <v>3</v>
      </c>
      <c r="M392" s="109">
        <v>3</v>
      </c>
      <c r="N392" s="109"/>
      <c r="O392" s="119"/>
      <c r="P392" s="2">
        <f t="shared" si="96"/>
        <v>1</v>
      </c>
      <c r="Q392" s="110" t="str">
        <f>IF(AND(Drops!$D$45&gt;1,OR(U392&lt;&gt;U391,AND(ROW()=5,U391=U392))),VLOOKUP(U392,Drops!$D$26:$E$44,2,FALSE),"")</f>
        <v/>
      </c>
      <c r="R392" s="2" t="str">
        <f t="shared" si="97"/>
        <v/>
      </c>
      <c r="S392" s="2">
        <f t="shared" ca="1" si="98"/>
        <v>1</v>
      </c>
      <c r="T392" s="2">
        <f t="shared" si="99"/>
        <v>0</v>
      </c>
      <c r="U392" s="110" t="s">
        <v>1442</v>
      </c>
      <c r="V392" s="110">
        <v>3</v>
      </c>
      <c r="W392" s="110">
        <v>2</v>
      </c>
      <c r="X392" s="110">
        <v>2</v>
      </c>
      <c r="Y392" s="110">
        <v>0</v>
      </c>
      <c r="Z392" s="110">
        <v>0</v>
      </c>
      <c r="AA392" s="2">
        <f t="shared" si="100"/>
        <v>1</v>
      </c>
      <c r="AB392" s="2">
        <f t="shared" si="101"/>
        <v>0</v>
      </c>
      <c r="AC392" s="2">
        <f t="shared" si="102"/>
        <v>1</v>
      </c>
      <c r="AD392" s="2">
        <f t="shared" si="103"/>
        <v>1</v>
      </c>
      <c r="AE392" s="2">
        <f t="shared" si="104"/>
        <v>1</v>
      </c>
      <c r="AF392" s="2">
        <f t="shared" si="105"/>
        <v>0</v>
      </c>
      <c r="AG392" s="2">
        <f t="shared" si="106"/>
        <v>0</v>
      </c>
      <c r="AH392" s="2">
        <f t="shared" si="107"/>
        <v>2</v>
      </c>
      <c r="AI392" s="2">
        <f t="shared" si="108"/>
        <v>2</v>
      </c>
      <c r="AJ392" s="2">
        <f t="shared" si="109"/>
        <v>2</v>
      </c>
      <c r="AK392" s="2">
        <f t="shared" si="110"/>
        <v>2</v>
      </c>
      <c r="AL392" s="2">
        <f t="shared" si="111"/>
        <v>2</v>
      </c>
      <c r="AM392" s="115"/>
      <c r="AN392" s="115"/>
      <c r="AO392" s="63"/>
    </row>
    <row r="393" spans="1:41" ht="28.8" x14ac:dyDescent="0.55000000000000004">
      <c r="A393" s="36">
        <v>4244</v>
      </c>
      <c r="B393" s="113" t="s">
        <v>1659</v>
      </c>
      <c r="C393" s="139" t="s">
        <v>1660</v>
      </c>
      <c r="D393" s="114" t="s">
        <v>52</v>
      </c>
      <c r="E393" s="115"/>
      <c r="F393" s="116"/>
      <c r="G393" s="113" t="s">
        <v>1647</v>
      </c>
      <c r="H393" s="113" t="s">
        <v>1656</v>
      </c>
      <c r="I393" s="113"/>
      <c r="J393" s="117"/>
      <c r="K393" s="118"/>
      <c r="L393" s="109">
        <v>3</v>
      </c>
      <c r="M393" s="109">
        <v>2</v>
      </c>
      <c r="N393" s="109"/>
      <c r="O393" s="119"/>
      <c r="P393" s="2">
        <f t="shared" si="96"/>
        <v>1</v>
      </c>
      <c r="Q393" s="110" t="str">
        <f>IF(AND(Drops!$D$45&gt;1,OR(U393&lt;&gt;U392,AND(ROW()=5,U392=U393))),VLOOKUP(U393,Drops!$D$26:$E$44,2,FALSE),"")</f>
        <v/>
      </c>
      <c r="R393" s="2" t="str">
        <f t="shared" si="97"/>
        <v/>
      </c>
      <c r="S393" s="2">
        <f t="shared" ca="1" si="98"/>
        <v>1</v>
      </c>
      <c r="T393" s="2">
        <f t="shared" si="99"/>
        <v>0</v>
      </c>
      <c r="U393" s="110" t="s">
        <v>1442</v>
      </c>
      <c r="V393" s="110">
        <v>3</v>
      </c>
      <c r="W393" s="110">
        <v>2</v>
      </c>
      <c r="X393" s="110">
        <v>3</v>
      </c>
      <c r="Y393" s="110">
        <v>0</v>
      </c>
      <c r="Z393" s="110">
        <v>0</v>
      </c>
      <c r="AA393" s="2">
        <f t="shared" si="100"/>
        <v>1</v>
      </c>
      <c r="AB393" s="2">
        <f t="shared" si="101"/>
        <v>0</v>
      </c>
      <c r="AC393" s="2">
        <f t="shared" si="102"/>
        <v>1</v>
      </c>
      <c r="AD393" s="2">
        <f t="shared" si="103"/>
        <v>1</v>
      </c>
      <c r="AE393" s="2">
        <f t="shared" si="104"/>
        <v>1</v>
      </c>
      <c r="AF393" s="2">
        <f t="shared" si="105"/>
        <v>0</v>
      </c>
      <c r="AG393" s="2">
        <f t="shared" si="106"/>
        <v>0</v>
      </c>
      <c r="AH393" s="2">
        <f t="shared" si="107"/>
        <v>2</v>
      </c>
      <c r="AI393" s="2">
        <f t="shared" si="108"/>
        <v>2</v>
      </c>
      <c r="AJ393" s="2">
        <f t="shared" si="109"/>
        <v>2</v>
      </c>
      <c r="AK393" s="2">
        <f t="shared" si="110"/>
        <v>2</v>
      </c>
      <c r="AL393" s="2">
        <f t="shared" si="111"/>
        <v>2</v>
      </c>
      <c r="AM393" s="115"/>
      <c r="AN393" s="115"/>
      <c r="AO393" s="63"/>
    </row>
    <row r="394" spans="1:41" ht="28.8" x14ac:dyDescent="0.55000000000000004">
      <c r="A394" s="36">
        <v>4245</v>
      </c>
      <c r="B394" s="113" t="s">
        <v>1661</v>
      </c>
      <c r="C394" s="139" t="s">
        <v>1662</v>
      </c>
      <c r="D394" s="114" t="s">
        <v>52</v>
      </c>
      <c r="E394" s="115"/>
      <c r="F394" s="116"/>
      <c r="G394" s="113" t="s">
        <v>1647</v>
      </c>
      <c r="H394" s="113" t="s">
        <v>1663</v>
      </c>
      <c r="I394" s="113"/>
      <c r="J394" s="117"/>
      <c r="K394" s="118"/>
      <c r="L394" s="109">
        <v>3</v>
      </c>
      <c r="M394" s="109">
        <v>2</v>
      </c>
      <c r="N394" s="109"/>
      <c r="O394" s="119"/>
      <c r="P394" s="2">
        <f t="shared" si="96"/>
        <v>1</v>
      </c>
      <c r="Q394" s="110" t="str">
        <f>IF(AND(Drops!$D$45&gt;1,OR(U394&lt;&gt;U393,AND(ROW()=5,U393=U394))),VLOOKUP(U394,Drops!$D$26:$E$44,2,FALSE),"")</f>
        <v/>
      </c>
      <c r="R394" s="2" t="str">
        <f t="shared" si="97"/>
        <v/>
      </c>
      <c r="S394" s="2">
        <f t="shared" ca="1" si="98"/>
        <v>1</v>
      </c>
      <c r="T394" s="2">
        <f t="shared" si="99"/>
        <v>0</v>
      </c>
      <c r="U394" s="110" t="s">
        <v>1442</v>
      </c>
      <c r="V394" s="110">
        <v>3</v>
      </c>
      <c r="W394" s="110">
        <v>2</v>
      </c>
      <c r="X394" s="110">
        <v>4</v>
      </c>
      <c r="Y394" s="110">
        <v>0</v>
      </c>
      <c r="Z394" s="110">
        <v>0</v>
      </c>
      <c r="AA394" s="2">
        <f t="shared" si="100"/>
        <v>1</v>
      </c>
      <c r="AB394" s="2">
        <f t="shared" si="101"/>
        <v>1</v>
      </c>
      <c r="AC394" s="2">
        <f t="shared" si="102"/>
        <v>1</v>
      </c>
      <c r="AD394" s="2">
        <f t="shared" si="103"/>
        <v>1</v>
      </c>
      <c r="AE394" s="2">
        <f t="shared" si="104"/>
        <v>1</v>
      </c>
      <c r="AF394" s="2">
        <f t="shared" si="105"/>
        <v>0</v>
      </c>
      <c r="AG394" s="2">
        <f t="shared" si="106"/>
        <v>0</v>
      </c>
      <c r="AH394" s="2">
        <f t="shared" si="107"/>
        <v>2</v>
      </c>
      <c r="AI394" s="2">
        <f t="shared" si="108"/>
        <v>2</v>
      </c>
      <c r="AJ394" s="2">
        <f t="shared" si="109"/>
        <v>2</v>
      </c>
      <c r="AK394" s="2">
        <f t="shared" si="110"/>
        <v>2</v>
      </c>
      <c r="AL394" s="2">
        <f t="shared" si="111"/>
        <v>2</v>
      </c>
      <c r="AM394" s="115"/>
      <c r="AN394" s="115"/>
      <c r="AO394" s="63"/>
    </row>
    <row r="395" spans="1:41" ht="28.8" x14ac:dyDescent="0.55000000000000004">
      <c r="A395" s="36">
        <v>4246</v>
      </c>
      <c r="B395" s="113" t="s">
        <v>1664</v>
      </c>
      <c r="C395" s="140" t="s">
        <v>1665</v>
      </c>
      <c r="D395" s="114" t="s">
        <v>52</v>
      </c>
      <c r="E395" s="115" t="s">
        <v>1666</v>
      </c>
      <c r="F395" s="116"/>
      <c r="G395" s="113" t="s">
        <v>1647</v>
      </c>
      <c r="H395" s="113" t="s">
        <v>1663</v>
      </c>
      <c r="I395" s="113"/>
      <c r="J395" s="117"/>
      <c r="K395" s="118"/>
      <c r="L395" s="109">
        <v>4</v>
      </c>
      <c r="M395" s="109">
        <v>3</v>
      </c>
      <c r="N395" s="109"/>
      <c r="O395" s="119"/>
      <c r="P395" s="2">
        <f t="shared" si="96"/>
        <v>1</v>
      </c>
      <c r="Q395" s="110" t="str">
        <f>IF(AND(Drops!$D$45&gt;1,OR(U395&lt;&gt;U394,AND(ROW()=5,U394=U395))),VLOOKUP(U395,Drops!$D$26:$E$44,2,FALSE),"")</f>
        <v/>
      </c>
      <c r="R395" s="2" t="str">
        <f t="shared" si="97"/>
        <v/>
      </c>
      <c r="S395" s="2">
        <f t="shared" ca="1" si="98"/>
        <v>1</v>
      </c>
      <c r="T395" s="2">
        <f t="shared" si="99"/>
        <v>0</v>
      </c>
      <c r="U395" s="110" t="s">
        <v>1442</v>
      </c>
      <c r="V395" s="110">
        <v>3</v>
      </c>
      <c r="W395" s="110">
        <v>2</v>
      </c>
      <c r="X395" s="110">
        <v>4</v>
      </c>
      <c r="Y395" s="110">
        <v>1</v>
      </c>
      <c r="Z395" s="110">
        <v>0</v>
      </c>
      <c r="AA395" s="2">
        <f t="shared" si="100"/>
        <v>1</v>
      </c>
      <c r="AB395" s="2">
        <f t="shared" si="101"/>
        <v>0</v>
      </c>
      <c r="AC395" s="2">
        <f t="shared" si="102"/>
        <v>1</v>
      </c>
      <c r="AD395" s="2">
        <f t="shared" si="103"/>
        <v>1</v>
      </c>
      <c r="AE395" s="2">
        <f t="shared" si="104"/>
        <v>1</v>
      </c>
      <c r="AF395" s="2">
        <f t="shared" si="105"/>
        <v>1</v>
      </c>
      <c r="AG395" s="2">
        <f t="shared" si="106"/>
        <v>0</v>
      </c>
      <c r="AH395" s="2">
        <f t="shared" si="107"/>
        <v>2</v>
      </c>
      <c r="AI395" s="2">
        <f t="shared" si="108"/>
        <v>2</v>
      </c>
      <c r="AJ395" s="2">
        <f t="shared" si="109"/>
        <v>2</v>
      </c>
      <c r="AK395" s="2">
        <f t="shared" si="110"/>
        <v>2</v>
      </c>
      <c r="AL395" s="2">
        <f t="shared" si="111"/>
        <v>2</v>
      </c>
      <c r="AM395" s="115"/>
      <c r="AN395" s="115"/>
      <c r="AO395" s="63"/>
    </row>
    <row r="396" spans="1:41" ht="28.8" x14ac:dyDescent="0.55000000000000004">
      <c r="A396" s="36">
        <v>4247</v>
      </c>
      <c r="B396" s="113" t="s">
        <v>1667</v>
      </c>
      <c r="C396" s="140" t="s">
        <v>1668</v>
      </c>
      <c r="D396" s="114" t="s">
        <v>52</v>
      </c>
      <c r="E396" s="115" t="s">
        <v>1669</v>
      </c>
      <c r="F396" s="116"/>
      <c r="G396" s="113" t="s">
        <v>1647</v>
      </c>
      <c r="H396" s="113" t="s">
        <v>1663</v>
      </c>
      <c r="I396" s="113" t="s">
        <v>1670</v>
      </c>
      <c r="J396" s="117"/>
      <c r="K396" s="118"/>
      <c r="L396" s="109">
        <v>4</v>
      </c>
      <c r="M396" s="109">
        <v>3</v>
      </c>
      <c r="N396" s="109"/>
      <c r="O396" s="119"/>
      <c r="P396" s="2">
        <f t="shared" si="96"/>
        <v>1</v>
      </c>
      <c r="Q396" s="110" t="str">
        <f>IF(AND(Drops!$D$45&gt;1,OR(U396&lt;&gt;U395,AND(ROW()=5,U395=U396))),VLOOKUP(U396,Drops!$D$26:$E$44,2,FALSE),"")</f>
        <v/>
      </c>
      <c r="R396" s="2" t="str">
        <f t="shared" si="97"/>
        <v/>
      </c>
      <c r="S396" s="2">
        <f t="shared" ca="1" si="98"/>
        <v>1</v>
      </c>
      <c r="T396" s="2">
        <f t="shared" si="99"/>
        <v>0</v>
      </c>
      <c r="U396" s="110" t="s">
        <v>1442</v>
      </c>
      <c r="V396" s="110">
        <v>3</v>
      </c>
      <c r="W396" s="110">
        <v>2</v>
      </c>
      <c r="X396" s="110">
        <v>4</v>
      </c>
      <c r="Y396" s="110">
        <v>2</v>
      </c>
      <c r="Z396" s="110">
        <v>0</v>
      </c>
      <c r="AA396" s="2">
        <f t="shared" si="100"/>
        <v>1</v>
      </c>
      <c r="AB396" s="2">
        <f t="shared" si="101"/>
        <v>0</v>
      </c>
      <c r="AC396" s="2">
        <f t="shared" si="102"/>
        <v>1</v>
      </c>
      <c r="AD396" s="2">
        <f t="shared" si="103"/>
        <v>1</v>
      </c>
      <c r="AE396" s="2">
        <f t="shared" si="104"/>
        <v>1</v>
      </c>
      <c r="AF396" s="2">
        <f t="shared" si="105"/>
        <v>1</v>
      </c>
      <c r="AG396" s="2">
        <f t="shared" si="106"/>
        <v>0</v>
      </c>
      <c r="AH396" s="2">
        <f t="shared" si="107"/>
        <v>2</v>
      </c>
      <c r="AI396" s="2">
        <f t="shared" si="108"/>
        <v>2</v>
      </c>
      <c r="AJ396" s="2">
        <f t="shared" si="109"/>
        <v>2</v>
      </c>
      <c r="AK396" s="2">
        <f t="shared" si="110"/>
        <v>2</v>
      </c>
      <c r="AL396" s="2">
        <f t="shared" si="111"/>
        <v>2</v>
      </c>
      <c r="AM396" s="115"/>
      <c r="AN396" s="115"/>
      <c r="AO396" s="63"/>
    </row>
    <row r="397" spans="1:41" ht="43.2" x14ac:dyDescent="0.55000000000000004">
      <c r="A397" s="36">
        <v>4248</v>
      </c>
      <c r="B397" s="113" t="s">
        <v>1671</v>
      </c>
      <c r="C397" s="139" t="s">
        <v>1672</v>
      </c>
      <c r="D397" s="114" t="s">
        <v>52</v>
      </c>
      <c r="E397" s="115"/>
      <c r="F397" s="116"/>
      <c r="G397" s="113" t="s">
        <v>1647</v>
      </c>
      <c r="H397" s="113" t="s">
        <v>1673</v>
      </c>
      <c r="I397" s="113"/>
      <c r="J397" s="117"/>
      <c r="K397" s="118"/>
      <c r="L397" s="109">
        <v>3</v>
      </c>
      <c r="M397" s="109">
        <v>3</v>
      </c>
      <c r="N397" s="109"/>
      <c r="O397" s="119"/>
      <c r="P397" s="2">
        <f t="shared" si="96"/>
        <v>1</v>
      </c>
      <c r="Q397" s="110" t="str">
        <f>IF(AND(Drops!$D$45&gt;1,OR(U397&lt;&gt;U396,AND(ROW()=5,U396=U397))),VLOOKUP(U397,Drops!$D$26:$E$44,2,FALSE),"")</f>
        <v/>
      </c>
      <c r="R397" s="2" t="str">
        <f t="shared" si="97"/>
        <v/>
      </c>
      <c r="S397" s="2">
        <f t="shared" ca="1" si="98"/>
        <v>1</v>
      </c>
      <c r="T397" s="2">
        <f t="shared" si="99"/>
        <v>0</v>
      </c>
      <c r="U397" s="110" t="s">
        <v>1442</v>
      </c>
      <c r="V397" s="110">
        <v>3</v>
      </c>
      <c r="W397" s="110">
        <v>2</v>
      </c>
      <c r="X397" s="110">
        <v>5</v>
      </c>
      <c r="Y397" s="110">
        <v>0</v>
      </c>
      <c r="Z397" s="110">
        <v>0</v>
      </c>
      <c r="AA397" s="2">
        <f t="shared" si="100"/>
        <v>1</v>
      </c>
      <c r="AB397" s="2">
        <f t="shared" si="101"/>
        <v>0</v>
      </c>
      <c r="AC397" s="2">
        <f t="shared" si="102"/>
        <v>1</v>
      </c>
      <c r="AD397" s="2">
        <f t="shared" si="103"/>
        <v>1</v>
      </c>
      <c r="AE397" s="2">
        <f t="shared" si="104"/>
        <v>1</v>
      </c>
      <c r="AF397" s="2">
        <f t="shared" si="105"/>
        <v>0</v>
      </c>
      <c r="AG397" s="2">
        <f t="shared" si="106"/>
        <v>0</v>
      </c>
      <c r="AH397" s="2">
        <f t="shared" si="107"/>
        <v>2</v>
      </c>
      <c r="AI397" s="2">
        <f t="shared" si="108"/>
        <v>2</v>
      </c>
      <c r="AJ397" s="2">
        <f t="shared" si="109"/>
        <v>2</v>
      </c>
      <c r="AK397" s="2">
        <f t="shared" si="110"/>
        <v>2</v>
      </c>
      <c r="AL397" s="2">
        <f t="shared" si="111"/>
        <v>2</v>
      </c>
      <c r="AM397" s="115"/>
      <c r="AN397" s="115"/>
      <c r="AO397" s="63"/>
    </row>
    <row r="398" spans="1:41" ht="43.2" x14ac:dyDescent="0.55000000000000004">
      <c r="A398" s="36">
        <v>4250</v>
      </c>
      <c r="B398" s="113" t="s">
        <v>1674</v>
      </c>
      <c r="C398" s="139" t="s">
        <v>1675</v>
      </c>
      <c r="D398" s="114" t="s">
        <v>52</v>
      </c>
      <c r="E398" s="115"/>
      <c r="F398" s="116"/>
      <c r="G398" s="113" t="s">
        <v>1647</v>
      </c>
      <c r="H398" s="113" t="s">
        <v>1673</v>
      </c>
      <c r="I398" s="113"/>
      <c r="J398" s="117"/>
      <c r="K398" s="118"/>
      <c r="L398" s="109">
        <v>3</v>
      </c>
      <c r="M398" s="109">
        <v>3</v>
      </c>
      <c r="N398" s="109"/>
      <c r="O398" s="119"/>
      <c r="P398" s="2">
        <f t="shared" si="96"/>
        <v>1</v>
      </c>
      <c r="Q398" s="110" t="str">
        <f>IF(AND(Drops!$D$45&gt;1,OR(U398&lt;&gt;U397,AND(ROW()=5,U397=U398))),VLOOKUP(U398,Drops!$D$26:$E$44,2,FALSE),"")</f>
        <v/>
      </c>
      <c r="R398" s="2" t="str">
        <f t="shared" si="97"/>
        <v/>
      </c>
      <c r="S398" s="2">
        <f t="shared" ca="1" si="98"/>
        <v>1</v>
      </c>
      <c r="T398" s="2">
        <f t="shared" si="99"/>
        <v>0</v>
      </c>
      <c r="U398" s="110" t="s">
        <v>1442</v>
      </c>
      <c r="V398" s="110">
        <v>3</v>
      </c>
      <c r="W398" s="110">
        <v>2</v>
      </c>
      <c r="X398" s="110">
        <v>7</v>
      </c>
      <c r="Y398" s="110">
        <v>0</v>
      </c>
      <c r="Z398" s="110">
        <v>0</v>
      </c>
      <c r="AA398" s="2">
        <f t="shared" si="100"/>
        <v>1</v>
      </c>
      <c r="AB398" s="2">
        <f t="shared" si="101"/>
        <v>0</v>
      </c>
      <c r="AC398" s="2">
        <f t="shared" si="102"/>
        <v>1</v>
      </c>
      <c r="AD398" s="2">
        <f t="shared" si="103"/>
        <v>1</v>
      </c>
      <c r="AE398" s="2">
        <f t="shared" si="104"/>
        <v>1</v>
      </c>
      <c r="AF398" s="2">
        <f t="shared" si="105"/>
        <v>0</v>
      </c>
      <c r="AG398" s="2">
        <f t="shared" si="106"/>
        <v>0</v>
      </c>
      <c r="AH398" s="2">
        <f t="shared" si="107"/>
        <v>2</v>
      </c>
      <c r="AI398" s="2">
        <f t="shared" si="108"/>
        <v>2</v>
      </c>
      <c r="AJ398" s="2">
        <f t="shared" si="109"/>
        <v>2</v>
      </c>
      <c r="AK398" s="2">
        <f t="shared" si="110"/>
        <v>2</v>
      </c>
      <c r="AL398" s="2">
        <f t="shared" si="111"/>
        <v>2</v>
      </c>
      <c r="AM398" s="115"/>
      <c r="AN398" s="115"/>
      <c r="AO398" s="63"/>
    </row>
    <row r="399" spans="1:41" ht="28.8" x14ac:dyDescent="0.55000000000000004">
      <c r="A399" s="36">
        <v>4252</v>
      </c>
      <c r="B399" s="113" t="s">
        <v>1676</v>
      </c>
      <c r="C399" s="139" t="s">
        <v>1677</v>
      </c>
      <c r="D399" s="114" t="s">
        <v>52</v>
      </c>
      <c r="E399" s="115"/>
      <c r="F399" s="116"/>
      <c r="G399" s="113" t="s">
        <v>1647</v>
      </c>
      <c r="H399" s="113" t="s">
        <v>1678</v>
      </c>
      <c r="I399" s="113"/>
      <c r="J399" s="117"/>
      <c r="K399" s="118"/>
      <c r="L399" s="109">
        <v>3</v>
      </c>
      <c r="M399" s="109">
        <v>2</v>
      </c>
      <c r="N399" s="109"/>
      <c r="O399" s="119"/>
      <c r="P399" s="2">
        <f t="shared" si="96"/>
        <v>1</v>
      </c>
      <c r="Q399" s="110" t="str">
        <f>IF(AND(Drops!$D$45&gt;1,OR(U399&lt;&gt;U398,AND(ROW()=5,U398=U399))),VLOOKUP(U399,Drops!$D$26:$E$44,2,FALSE),"")</f>
        <v/>
      </c>
      <c r="R399" s="2" t="str">
        <f t="shared" si="97"/>
        <v/>
      </c>
      <c r="S399" s="2">
        <f t="shared" ca="1" si="98"/>
        <v>1</v>
      </c>
      <c r="T399" s="2">
        <f t="shared" si="99"/>
        <v>0</v>
      </c>
      <c r="U399" s="110" t="s">
        <v>1442</v>
      </c>
      <c r="V399" s="110">
        <v>3</v>
      </c>
      <c r="W399" s="110">
        <v>2</v>
      </c>
      <c r="X399" s="110">
        <v>9</v>
      </c>
      <c r="Y399" s="110">
        <v>0</v>
      </c>
      <c r="Z399" s="110">
        <v>0</v>
      </c>
      <c r="AA399" s="2">
        <f t="shared" si="100"/>
        <v>1</v>
      </c>
      <c r="AB399" s="2">
        <f t="shared" si="101"/>
        <v>0</v>
      </c>
      <c r="AC399" s="2">
        <f t="shared" si="102"/>
        <v>1</v>
      </c>
      <c r="AD399" s="2">
        <f t="shared" si="103"/>
        <v>1</v>
      </c>
      <c r="AE399" s="2">
        <f t="shared" si="104"/>
        <v>1</v>
      </c>
      <c r="AF399" s="2">
        <f t="shared" si="105"/>
        <v>0</v>
      </c>
      <c r="AG399" s="2">
        <f t="shared" si="106"/>
        <v>0</v>
      </c>
      <c r="AH399" s="2">
        <f t="shared" si="107"/>
        <v>2</v>
      </c>
      <c r="AI399" s="2">
        <f t="shared" si="108"/>
        <v>2</v>
      </c>
      <c r="AJ399" s="2">
        <f t="shared" si="109"/>
        <v>2</v>
      </c>
      <c r="AK399" s="2">
        <f t="shared" si="110"/>
        <v>2</v>
      </c>
      <c r="AL399" s="2">
        <f t="shared" si="111"/>
        <v>2</v>
      </c>
      <c r="AM399" s="115"/>
      <c r="AN399" s="115"/>
      <c r="AO399" s="63"/>
    </row>
    <row r="400" spans="1:41" ht="28.8" x14ac:dyDescent="0.55000000000000004">
      <c r="A400" s="36">
        <v>4253</v>
      </c>
      <c r="B400" s="113" t="s">
        <v>1679</v>
      </c>
      <c r="C400" s="139" t="s">
        <v>1680</v>
      </c>
      <c r="D400" s="114" t="s">
        <v>52</v>
      </c>
      <c r="E400" s="115"/>
      <c r="F400" s="116"/>
      <c r="G400" s="113" t="s">
        <v>1647</v>
      </c>
      <c r="H400" s="113" t="s">
        <v>1678</v>
      </c>
      <c r="I400" s="113"/>
      <c r="J400" s="117"/>
      <c r="K400" s="118"/>
      <c r="L400" s="109">
        <v>3</v>
      </c>
      <c r="M400" s="109">
        <v>3</v>
      </c>
      <c r="N400" s="109"/>
      <c r="O400" s="119"/>
      <c r="P400" s="2">
        <f t="shared" si="96"/>
        <v>1</v>
      </c>
      <c r="Q400" s="110" t="str">
        <f>IF(AND(Drops!$D$45&gt;1,OR(U400&lt;&gt;U399,AND(ROW()=5,U399=U400))),VLOOKUP(U400,Drops!$D$26:$E$44,2,FALSE),"")</f>
        <v/>
      </c>
      <c r="R400" s="2" t="str">
        <f t="shared" si="97"/>
        <v/>
      </c>
      <c r="S400" s="2">
        <f t="shared" ca="1" si="98"/>
        <v>1</v>
      </c>
      <c r="T400" s="2">
        <f t="shared" si="99"/>
        <v>0</v>
      </c>
      <c r="U400" s="110" t="s">
        <v>1442</v>
      </c>
      <c r="V400" s="110">
        <v>3</v>
      </c>
      <c r="W400" s="110">
        <v>2</v>
      </c>
      <c r="X400" s="110">
        <v>10</v>
      </c>
      <c r="Y400" s="110">
        <v>0</v>
      </c>
      <c r="Z400" s="110">
        <v>0</v>
      </c>
      <c r="AA400" s="2">
        <f t="shared" si="100"/>
        <v>1</v>
      </c>
      <c r="AB400" s="2">
        <f t="shared" si="101"/>
        <v>0</v>
      </c>
      <c r="AC400" s="2">
        <f t="shared" si="102"/>
        <v>1</v>
      </c>
      <c r="AD400" s="2">
        <f t="shared" si="103"/>
        <v>1</v>
      </c>
      <c r="AE400" s="2">
        <f t="shared" si="104"/>
        <v>1</v>
      </c>
      <c r="AF400" s="2">
        <f t="shared" si="105"/>
        <v>0</v>
      </c>
      <c r="AG400" s="2">
        <f t="shared" si="106"/>
        <v>0</v>
      </c>
      <c r="AH400" s="2">
        <f t="shared" si="107"/>
        <v>2</v>
      </c>
      <c r="AI400" s="2">
        <f t="shared" si="108"/>
        <v>2</v>
      </c>
      <c r="AJ400" s="2">
        <f t="shared" si="109"/>
        <v>2</v>
      </c>
      <c r="AK400" s="2">
        <f t="shared" si="110"/>
        <v>2</v>
      </c>
      <c r="AL400" s="2">
        <f t="shared" si="111"/>
        <v>2</v>
      </c>
      <c r="AM400" s="115"/>
      <c r="AN400" s="115"/>
      <c r="AO400" s="63"/>
    </row>
    <row r="401" spans="1:41" ht="43.2" x14ac:dyDescent="0.55000000000000004">
      <c r="A401" s="36">
        <v>4254</v>
      </c>
      <c r="B401" s="113" t="s">
        <v>1681</v>
      </c>
      <c r="C401" s="139" t="s">
        <v>1682</v>
      </c>
      <c r="D401" s="114" t="s">
        <v>52</v>
      </c>
      <c r="E401" s="115"/>
      <c r="F401" s="116"/>
      <c r="G401" s="113" t="s">
        <v>1647</v>
      </c>
      <c r="H401" s="113" t="s">
        <v>1683</v>
      </c>
      <c r="I401" s="113"/>
      <c r="J401" s="117" t="s">
        <v>1684</v>
      </c>
      <c r="K401" s="118"/>
      <c r="L401" s="109">
        <v>3</v>
      </c>
      <c r="M401" s="109">
        <v>2</v>
      </c>
      <c r="N401" s="109"/>
      <c r="O401" s="119"/>
      <c r="P401" s="2">
        <f t="shared" si="96"/>
        <v>1</v>
      </c>
      <c r="Q401" s="110" t="str">
        <f>IF(AND(Drops!$D$45&gt;1,OR(U401&lt;&gt;U400,AND(ROW()=5,U400=U401))),VLOOKUP(U401,Drops!$D$26:$E$44,2,FALSE),"")</f>
        <v/>
      </c>
      <c r="R401" s="2" t="str">
        <f t="shared" si="97"/>
        <v/>
      </c>
      <c r="S401" s="2">
        <f t="shared" ca="1" si="98"/>
        <v>1</v>
      </c>
      <c r="T401" s="2">
        <f t="shared" si="99"/>
        <v>0</v>
      </c>
      <c r="U401" s="110" t="s">
        <v>1442</v>
      </c>
      <c r="V401" s="110">
        <v>3</v>
      </c>
      <c r="W401" s="110">
        <v>2</v>
      </c>
      <c r="X401" s="110">
        <v>11</v>
      </c>
      <c r="Y401" s="110">
        <v>0</v>
      </c>
      <c r="Z401" s="110">
        <v>0</v>
      </c>
      <c r="AA401" s="2">
        <f t="shared" si="100"/>
        <v>1</v>
      </c>
      <c r="AB401" s="2">
        <f t="shared" si="101"/>
        <v>0</v>
      </c>
      <c r="AC401" s="2">
        <f t="shared" si="102"/>
        <v>1</v>
      </c>
      <c r="AD401" s="2">
        <f t="shared" si="103"/>
        <v>1</v>
      </c>
      <c r="AE401" s="2">
        <f t="shared" si="104"/>
        <v>1</v>
      </c>
      <c r="AF401" s="2">
        <f t="shared" si="105"/>
        <v>0</v>
      </c>
      <c r="AG401" s="2">
        <f t="shared" si="106"/>
        <v>0</v>
      </c>
      <c r="AH401" s="2">
        <f t="shared" si="107"/>
        <v>2</v>
      </c>
      <c r="AI401" s="2">
        <f t="shared" si="108"/>
        <v>2</v>
      </c>
      <c r="AJ401" s="2">
        <f t="shared" si="109"/>
        <v>2</v>
      </c>
      <c r="AK401" s="2">
        <f t="shared" si="110"/>
        <v>2</v>
      </c>
      <c r="AL401" s="2">
        <f t="shared" si="111"/>
        <v>2</v>
      </c>
      <c r="AM401" s="115"/>
      <c r="AN401" s="115"/>
      <c r="AO401" s="63"/>
    </row>
    <row r="402" spans="1:41" ht="43.2" x14ac:dyDescent="0.55000000000000004">
      <c r="A402" s="36">
        <v>4255</v>
      </c>
      <c r="B402" s="113" t="s">
        <v>1685</v>
      </c>
      <c r="C402" s="139" t="s">
        <v>1686</v>
      </c>
      <c r="D402" s="114" t="s">
        <v>52</v>
      </c>
      <c r="E402" s="115"/>
      <c r="F402" s="116"/>
      <c r="G402" s="113" t="s">
        <v>1647</v>
      </c>
      <c r="H402" s="113" t="s">
        <v>1683</v>
      </c>
      <c r="I402" s="113"/>
      <c r="J402" s="117" t="s">
        <v>1684</v>
      </c>
      <c r="K402" s="118"/>
      <c r="L402" s="109">
        <v>3</v>
      </c>
      <c r="M402" s="109">
        <v>3</v>
      </c>
      <c r="N402" s="109"/>
      <c r="O402" s="119"/>
      <c r="P402" s="2">
        <f t="shared" si="96"/>
        <v>1</v>
      </c>
      <c r="Q402" s="110" t="str">
        <f>IF(AND(Drops!$D$45&gt;1,OR(U402&lt;&gt;U401,AND(ROW()=5,U401=U402))),VLOOKUP(U402,Drops!$D$26:$E$44,2,FALSE),"")</f>
        <v/>
      </c>
      <c r="R402" s="2" t="str">
        <f t="shared" si="97"/>
        <v/>
      </c>
      <c r="S402" s="2">
        <f t="shared" ca="1" si="98"/>
        <v>1</v>
      </c>
      <c r="T402" s="2">
        <f t="shared" si="99"/>
        <v>0</v>
      </c>
      <c r="U402" s="110" t="s">
        <v>1442</v>
      </c>
      <c r="V402" s="110">
        <v>3</v>
      </c>
      <c r="W402" s="110">
        <v>2</v>
      </c>
      <c r="X402" s="110">
        <v>12</v>
      </c>
      <c r="Y402" s="110">
        <v>0</v>
      </c>
      <c r="Z402" s="110">
        <v>0</v>
      </c>
      <c r="AA402" s="2">
        <f t="shared" si="100"/>
        <v>1</v>
      </c>
      <c r="AB402" s="2">
        <f t="shared" si="101"/>
        <v>1</v>
      </c>
      <c r="AC402" s="2">
        <f t="shared" si="102"/>
        <v>1</v>
      </c>
      <c r="AD402" s="2">
        <f t="shared" si="103"/>
        <v>1</v>
      </c>
      <c r="AE402" s="2">
        <f t="shared" si="104"/>
        <v>1</v>
      </c>
      <c r="AF402" s="2">
        <f t="shared" si="105"/>
        <v>0</v>
      </c>
      <c r="AG402" s="2">
        <f t="shared" si="106"/>
        <v>0</v>
      </c>
      <c r="AH402" s="2">
        <f t="shared" si="107"/>
        <v>2</v>
      </c>
      <c r="AI402" s="2">
        <f t="shared" si="108"/>
        <v>2</v>
      </c>
      <c r="AJ402" s="2">
        <f t="shared" si="109"/>
        <v>2</v>
      </c>
      <c r="AK402" s="2">
        <f t="shared" si="110"/>
        <v>2</v>
      </c>
      <c r="AL402" s="2">
        <f t="shared" si="111"/>
        <v>2</v>
      </c>
      <c r="AM402" s="115"/>
      <c r="AN402" s="115"/>
      <c r="AO402" s="63"/>
    </row>
    <row r="403" spans="1:41" ht="43.2" x14ac:dyDescent="0.55000000000000004">
      <c r="A403" s="36">
        <v>4256</v>
      </c>
      <c r="B403" s="113" t="s">
        <v>1687</v>
      </c>
      <c r="C403" s="140" t="s">
        <v>1688</v>
      </c>
      <c r="D403" s="114" t="s">
        <v>52</v>
      </c>
      <c r="E403" s="115"/>
      <c r="F403" s="116"/>
      <c r="G403" s="113" t="s">
        <v>1647</v>
      </c>
      <c r="H403" s="113" t="s">
        <v>1683</v>
      </c>
      <c r="I403" s="113" t="s">
        <v>1689</v>
      </c>
      <c r="J403" s="117" t="s">
        <v>1684</v>
      </c>
      <c r="K403" s="118"/>
      <c r="L403" s="109">
        <v>4</v>
      </c>
      <c r="M403" s="109">
        <v>3</v>
      </c>
      <c r="N403" s="109"/>
      <c r="O403" s="119"/>
      <c r="P403" s="2">
        <f t="shared" si="96"/>
        <v>1</v>
      </c>
      <c r="Q403" s="110" t="str">
        <f>IF(AND(Drops!$D$45&gt;1,OR(U403&lt;&gt;U402,AND(ROW()=5,U402=U403))),VLOOKUP(U403,Drops!$D$26:$E$44,2,FALSE),"")</f>
        <v/>
      </c>
      <c r="R403" s="2" t="str">
        <f t="shared" si="97"/>
        <v/>
      </c>
      <c r="S403" s="2">
        <f t="shared" ca="1" si="98"/>
        <v>1</v>
      </c>
      <c r="T403" s="2">
        <f t="shared" si="99"/>
        <v>0</v>
      </c>
      <c r="U403" s="110" t="s">
        <v>1442</v>
      </c>
      <c r="V403" s="110">
        <v>3</v>
      </c>
      <c r="W403" s="110">
        <v>2</v>
      </c>
      <c r="X403" s="110">
        <v>12</v>
      </c>
      <c r="Y403" s="110">
        <v>1</v>
      </c>
      <c r="Z403" s="110">
        <v>0</v>
      </c>
      <c r="AA403" s="2">
        <f t="shared" si="100"/>
        <v>1</v>
      </c>
      <c r="AB403" s="2">
        <f t="shared" si="101"/>
        <v>0</v>
      </c>
      <c r="AC403" s="2">
        <f t="shared" si="102"/>
        <v>1</v>
      </c>
      <c r="AD403" s="2">
        <f t="shared" si="103"/>
        <v>1</v>
      </c>
      <c r="AE403" s="2">
        <f t="shared" si="104"/>
        <v>1</v>
      </c>
      <c r="AF403" s="2">
        <f t="shared" si="105"/>
        <v>1</v>
      </c>
      <c r="AG403" s="2">
        <f t="shared" si="106"/>
        <v>0</v>
      </c>
      <c r="AH403" s="2">
        <f t="shared" si="107"/>
        <v>2</v>
      </c>
      <c r="AI403" s="2">
        <f t="shared" si="108"/>
        <v>2</v>
      </c>
      <c r="AJ403" s="2">
        <f t="shared" si="109"/>
        <v>2</v>
      </c>
      <c r="AK403" s="2">
        <f t="shared" si="110"/>
        <v>2</v>
      </c>
      <c r="AL403" s="2">
        <f t="shared" si="111"/>
        <v>2</v>
      </c>
      <c r="AM403" s="115"/>
      <c r="AN403" s="115"/>
      <c r="AO403" s="63"/>
    </row>
    <row r="404" spans="1:41" ht="288" x14ac:dyDescent="0.55000000000000004">
      <c r="A404" s="36">
        <v>4260</v>
      </c>
      <c r="B404" s="113" t="s">
        <v>1690</v>
      </c>
      <c r="C404" s="140" t="s">
        <v>1691</v>
      </c>
      <c r="D404" s="114" t="s">
        <v>52</v>
      </c>
      <c r="E404" s="115" t="s">
        <v>1692</v>
      </c>
      <c r="F404" s="116"/>
      <c r="G404" s="113" t="s">
        <v>1647</v>
      </c>
      <c r="H404" s="113" t="s">
        <v>1683</v>
      </c>
      <c r="I404" s="113"/>
      <c r="J404" s="117"/>
      <c r="K404" s="118"/>
      <c r="L404" s="109">
        <v>4</v>
      </c>
      <c r="M404" s="109">
        <v>3</v>
      </c>
      <c r="N404" s="109"/>
      <c r="O404" s="119"/>
      <c r="P404" s="2">
        <f t="shared" si="96"/>
        <v>1</v>
      </c>
      <c r="Q404" s="110" t="str">
        <f>IF(AND(Drops!$D$45&gt;1,OR(U404&lt;&gt;U403,AND(ROW()=5,U403=U404))),VLOOKUP(U404,Drops!$D$26:$E$44,2,FALSE),"")</f>
        <v/>
      </c>
      <c r="R404" s="2" t="str">
        <f t="shared" si="97"/>
        <v/>
      </c>
      <c r="S404" s="2">
        <f t="shared" ca="1" si="98"/>
        <v>1</v>
      </c>
      <c r="T404" s="2">
        <f t="shared" si="99"/>
        <v>0</v>
      </c>
      <c r="U404" s="110" t="s">
        <v>1442</v>
      </c>
      <c r="V404" s="110">
        <v>3</v>
      </c>
      <c r="W404" s="110">
        <v>2</v>
      </c>
      <c r="X404" s="110">
        <v>12</v>
      </c>
      <c r="Y404" s="110">
        <v>4</v>
      </c>
      <c r="Z404" s="110">
        <v>0</v>
      </c>
      <c r="AA404" s="2">
        <f t="shared" si="100"/>
        <v>1</v>
      </c>
      <c r="AB404" s="2">
        <f t="shared" si="101"/>
        <v>0</v>
      </c>
      <c r="AC404" s="2">
        <f t="shared" si="102"/>
        <v>1</v>
      </c>
      <c r="AD404" s="2">
        <f t="shared" si="103"/>
        <v>1</v>
      </c>
      <c r="AE404" s="2">
        <f t="shared" si="104"/>
        <v>1</v>
      </c>
      <c r="AF404" s="2">
        <f t="shared" si="105"/>
        <v>1</v>
      </c>
      <c r="AG404" s="2">
        <f t="shared" si="106"/>
        <v>0</v>
      </c>
      <c r="AH404" s="2">
        <f t="shared" si="107"/>
        <v>2</v>
      </c>
      <c r="AI404" s="2">
        <f t="shared" si="108"/>
        <v>2</v>
      </c>
      <c r="AJ404" s="2">
        <f t="shared" si="109"/>
        <v>2</v>
      </c>
      <c r="AK404" s="2">
        <f t="shared" si="110"/>
        <v>2</v>
      </c>
      <c r="AL404" s="2">
        <f t="shared" si="111"/>
        <v>2</v>
      </c>
      <c r="AM404" s="115"/>
      <c r="AN404" s="115"/>
      <c r="AO404" s="63"/>
    </row>
    <row r="405" spans="1:41" ht="43.2" x14ac:dyDescent="0.55000000000000004">
      <c r="A405" s="36">
        <v>4261</v>
      </c>
      <c r="B405" s="113" t="s">
        <v>1693</v>
      </c>
      <c r="C405" s="140" t="s">
        <v>1694</v>
      </c>
      <c r="D405" s="114" t="s">
        <v>52</v>
      </c>
      <c r="E405" s="115"/>
      <c r="F405" s="116"/>
      <c r="G405" s="113" t="s">
        <v>1647</v>
      </c>
      <c r="H405" s="113" t="s">
        <v>1683</v>
      </c>
      <c r="I405" s="113"/>
      <c r="J405" s="117"/>
      <c r="K405" s="118"/>
      <c r="L405" s="109">
        <v>4</v>
      </c>
      <c r="M405" s="109">
        <v>2</v>
      </c>
      <c r="N405" s="109"/>
      <c r="O405" s="119"/>
      <c r="P405" s="2">
        <f t="shared" si="96"/>
        <v>1</v>
      </c>
      <c r="Q405" s="110" t="str">
        <f>IF(AND(Drops!$D$45&gt;1,OR(U405&lt;&gt;U404,AND(ROW()=5,U404=U405))),VLOOKUP(U405,Drops!$D$26:$E$44,2,FALSE),"")</f>
        <v/>
      </c>
      <c r="R405" s="2" t="str">
        <f t="shared" si="97"/>
        <v/>
      </c>
      <c r="S405" s="2">
        <f t="shared" ca="1" si="98"/>
        <v>1</v>
      </c>
      <c r="T405" s="2">
        <f t="shared" si="99"/>
        <v>0</v>
      </c>
      <c r="U405" s="110" t="s">
        <v>1442</v>
      </c>
      <c r="V405" s="110">
        <v>3</v>
      </c>
      <c r="W405" s="110">
        <v>2</v>
      </c>
      <c r="X405" s="110">
        <v>12</v>
      </c>
      <c r="Y405" s="110">
        <v>5</v>
      </c>
      <c r="Z405" s="110">
        <v>0</v>
      </c>
      <c r="AA405" s="2">
        <f t="shared" si="100"/>
        <v>1</v>
      </c>
      <c r="AB405" s="2">
        <f t="shared" si="101"/>
        <v>0</v>
      </c>
      <c r="AC405" s="2">
        <f t="shared" si="102"/>
        <v>1</v>
      </c>
      <c r="AD405" s="2">
        <f t="shared" si="103"/>
        <v>1</v>
      </c>
      <c r="AE405" s="2">
        <f t="shared" si="104"/>
        <v>1</v>
      </c>
      <c r="AF405" s="2">
        <f t="shared" si="105"/>
        <v>1</v>
      </c>
      <c r="AG405" s="2">
        <f t="shared" si="106"/>
        <v>0</v>
      </c>
      <c r="AH405" s="2">
        <f t="shared" si="107"/>
        <v>2</v>
      </c>
      <c r="AI405" s="2">
        <f t="shared" si="108"/>
        <v>2</v>
      </c>
      <c r="AJ405" s="2">
        <f t="shared" si="109"/>
        <v>2</v>
      </c>
      <c r="AK405" s="2">
        <f t="shared" si="110"/>
        <v>2</v>
      </c>
      <c r="AL405" s="2">
        <f t="shared" si="111"/>
        <v>2</v>
      </c>
      <c r="AM405" s="115"/>
      <c r="AN405" s="115"/>
      <c r="AO405" s="63"/>
    </row>
    <row r="406" spans="1:41" ht="43.2" x14ac:dyDescent="0.55000000000000004">
      <c r="A406" s="36">
        <v>4262</v>
      </c>
      <c r="B406" s="113" t="s">
        <v>1695</v>
      </c>
      <c r="C406" s="139" t="s">
        <v>1696</v>
      </c>
      <c r="D406" s="114" t="s">
        <v>52</v>
      </c>
      <c r="E406" s="115"/>
      <c r="F406" s="116"/>
      <c r="G406" s="113" t="s">
        <v>1647</v>
      </c>
      <c r="H406" s="113" t="s">
        <v>1697</v>
      </c>
      <c r="I406" s="113"/>
      <c r="J406" s="117"/>
      <c r="K406" s="118"/>
      <c r="L406" s="109">
        <v>3</v>
      </c>
      <c r="M406" s="109">
        <v>3</v>
      </c>
      <c r="N406" s="109"/>
      <c r="O406" s="119"/>
      <c r="P406" s="2">
        <f t="shared" si="96"/>
        <v>1</v>
      </c>
      <c r="Q406" s="110" t="str">
        <f>IF(AND(Drops!$D$45&gt;1,OR(U406&lt;&gt;U405,AND(ROW()=5,U405=U406))),VLOOKUP(U406,Drops!$D$26:$E$44,2,FALSE),"")</f>
        <v/>
      </c>
      <c r="R406" s="2" t="str">
        <f t="shared" si="97"/>
        <v/>
      </c>
      <c r="S406" s="2">
        <f t="shared" ca="1" si="98"/>
        <v>1</v>
      </c>
      <c r="T406" s="2">
        <f t="shared" si="99"/>
        <v>0</v>
      </c>
      <c r="U406" s="110" t="s">
        <v>1442</v>
      </c>
      <c r="V406" s="110">
        <v>3</v>
      </c>
      <c r="W406" s="110">
        <v>2</v>
      </c>
      <c r="X406" s="110">
        <v>13</v>
      </c>
      <c r="Y406" s="110">
        <v>0</v>
      </c>
      <c r="Z406" s="110">
        <v>0</v>
      </c>
      <c r="AA406" s="2">
        <f t="shared" si="100"/>
        <v>1</v>
      </c>
      <c r="AB406" s="2">
        <f t="shared" si="101"/>
        <v>0</v>
      </c>
      <c r="AC406" s="2">
        <f t="shared" si="102"/>
        <v>1</v>
      </c>
      <c r="AD406" s="2">
        <f t="shared" si="103"/>
        <v>1</v>
      </c>
      <c r="AE406" s="2">
        <f t="shared" si="104"/>
        <v>1</v>
      </c>
      <c r="AF406" s="2">
        <f t="shared" si="105"/>
        <v>0</v>
      </c>
      <c r="AG406" s="2">
        <f t="shared" si="106"/>
        <v>0</v>
      </c>
      <c r="AH406" s="2">
        <f t="shared" si="107"/>
        <v>2</v>
      </c>
      <c r="AI406" s="2">
        <f t="shared" si="108"/>
        <v>2</v>
      </c>
      <c r="AJ406" s="2">
        <f t="shared" si="109"/>
        <v>2</v>
      </c>
      <c r="AK406" s="2">
        <f t="shared" si="110"/>
        <v>2</v>
      </c>
      <c r="AL406" s="2">
        <f t="shared" si="111"/>
        <v>2</v>
      </c>
      <c r="AM406" s="115"/>
      <c r="AN406" s="115"/>
      <c r="AO406" s="63"/>
    </row>
    <row r="407" spans="1:41" ht="43.2" x14ac:dyDescent="0.55000000000000004">
      <c r="A407" s="36">
        <v>4264</v>
      </c>
      <c r="B407" s="113" t="s">
        <v>1698</v>
      </c>
      <c r="C407" s="139" t="s">
        <v>1699</v>
      </c>
      <c r="D407" s="114" t="s">
        <v>52</v>
      </c>
      <c r="E407" s="115"/>
      <c r="F407" s="116"/>
      <c r="G407" s="113" t="s">
        <v>1647</v>
      </c>
      <c r="H407" s="113" t="s">
        <v>1700</v>
      </c>
      <c r="I407" s="113" t="s">
        <v>1701</v>
      </c>
      <c r="J407" s="117" t="s">
        <v>1702</v>
      </c>
      <c r="K407" s="118"/>
      <c r="L407" s="109">
        <v>3</v>
      </c>
      <c r="M407" s="109">
        <v>2</v>
      </c>
      <c r="N407" s="109"/>
      <c r="O407" s="119"/>
      <c r="P407" s="2">
        <f t="shared" si="96"/>
        <v>1</v>
      </c>
      <c r="Q407" s="110" t="str">
        <f>IF(AND(Drops!$D$45&gt;1,OR(U407&lt;&gt;U406,AND(ROW()=5,U406=U407))),VLOOKUP(U407,Drops!$D$26:$E$44,2,FALSE),"")</f>
        <v/>
      </c>
      <c r="R407" s="2" t="str">
        <f t="shared" si="97"/>
        <v/>
      </c>
      <c r="S407" s="2">
        <f t="shared" ca="1" si="98"/>
        <v>1</v>
      </c>
      <c r="T407" s="2">
        <f t="shared" si="99"/>
        <v>0</v>
      </c>
      <c r="U407" s="110" t="s">
        <v>1442</v>
      </c>
      <c r="V407" s="110">
        <v>3</v>
      </c>
      <c r="W407" s="110">
        <v>2</v>
      </c>
      <c r="X407" s="110">
        <v>14</v>
      </c>
      <c r="Y407" s="110">
        <v>0</v>
      </c>
      <c r="Z407" s="110">
        <v>0</v>
      </c>
      <c r="AA407" s="2">
        <f t="shared" si="100"/>
        <v>1</v>
      </c>
      <c r="AB407" s="2">
        <f t="shared" si="101"/>
        <v>1</v>
      </c>
      <c r="AC407" s="2">
        <f t="shared" si="102"/>
        <v>1</v>
      </c>
      <c r="AD407" s="2">
        <f t="shared" si="103"/>
        <v>1</v>
      </c>
      <c r="AE407" s="2">
        <f t="shared" si="104"/>
        <v>1</v>
      </c>
      <c r="AF407" s="2">
        <f t="shared" si="105"/>
        <v>0</v>
      </c>
      <c r="AG407" s="2">
        <f t="shared" si="106"/>
        <v>0</v>
      </c>
      <c r="AH407" s="2">
        <f t="shared" si="107"/>
        <v>2</v>
      </c>
      <c r="AI407" s="2">
        <f t="shared" si="108"/>
        <v>2</v>
      </c>
      <c r="AJ407" s="2">
        <f t="shared" si="109"/>
        <v>2</v>
      </c>
      <c r="AK407" s="2">
        <f t="shared" si="110"/>
        <v>2</v>
      </c>
      <c r="AL407" s="2">
        <f t="shared" si="111"/>
        <v>2</v>
      </c>
      <c r="AM407" s="115"/>
      <c r="AN407" s="115"/>
      <c r="AO407" s="63"/>
    </row>
    <row r="408" spans="1:41" ht="28.8" x14ac:dyDescent="0.55000000000000004">
      <c r="A408" s="36">
        <v>4265</v>
      </c>
      <c r="B408" s="113" t="s">
        <v>1703</v>
      </c>
      <c r="C408" s="140" t="s">
        <v>1704</v>
      </c>
      <c r="D408" s="114" t="s">
        <v>52</v>
      </c>
      <c r="E408" s="115"/>
      <c r="F408" s="116"/>
      <c r="G408" s="113" t="s">
        <v>1647</v>
      </c>
      <c r="H408" s="113" t="s">
        <v>1700</v>
      </c>
      <c r="I408" s="113" t="s">
        <v>1705</v>
      </c>
      <c r="J408" s="117"/>
      <c r="K408" s="118"/>
      <c r="L408" s="109">
        <v>4</v>
      </c>
      <c r="M408" s="109">
        <v>3</v>
      </c>
      <c r="N408" s="109"/>
      <c r="O408" s="119"/>
      <c r="P408" s="2">
        <f t="shared" si="96"/>
        <v>1</v>
      </c>
      <c r="Q408" s="110" t="str">
        <f>IF(AND(Drops!$D$45&gt;1,OR(U408&lt;&gt;U407,AND(ROW()=5,U407=U408))),VLOOKUP(U408,Drops!$D$26:$E$44,2,FALSE),"")</f>
        <v/>
      </c>
      <c r="R408" s="2" t="str">
        <f t="shared" si="97"/>
        <v/>
      </c>
      <c r="S408" s="2">
        <f t="shared" ca="1" si="98"/>
        <v>1</v>
      </c>
      <c r="T408" s="2">
        <f t="shared" si="99"/>
        <v>0</v>
      </c>
      <c r="U408" s="110" t="s">
        <v>1442</v>
      </c>
      <c r="V408" s="110">
        <v>3</v>
      </c>
      <c r="W408" s="110">
        <v>2</v>
      </c>
      <c r="X408" s="110">
        <v>14</v>
      </c>
      <c r="Y408" s="110">
        <v>1</v>
      </c>
      <c r="Z408" s="110">
        <v>0</v>
      </c>
      <c r="AA408" s="2">
        <f t="shared" si="100"/>
        <v>1</v>
      </c>
      <c r="AB408" s="2">
        <f t="shared" si="101"/>
        <v>0</v>
      </c>
      <c r="AC408" s="2">
        <f t="shared" si="102"/>
        <v>1</v>
      </c>
      <c r="AD408" s="2">
        <f t="shared" si="103"/>
        <v>1</v>
      </c>
      <c r="AE408" s="2">
        <f t="shared" si="104"/>
        <v>1</v>
      </c>
      <c r="AF408" s="2">
        <f t="shared" si="105"/>
        <v>1</v>
      </c>
      <c r="AG408" s="2">
        <f t="shared" si="106"/>
        <v>0</v>
      </c>
      <c r="AH408" s="2">
        <f t="shared" si="107"/>
        <v>2</v>
      </c>
      <c r="AI408" s="2">
        <f t="shared" si="108"/>
        <v>2</v>
      </c>
      <c r="AJ408" s="2">
        <f t="shared" si="109"/>
        <v>2</v>
      </c>
      <c r="AK408" s="2">
        <f t="shared" si="110"/>
        <v>2</v>
      </c>
      <c r="AL408" s="2">
        <f t="shared" si="111"/>
        <v>2</v>
      </c>
      <c r="AM408" s="115"/>
      <c r="AN408" s="115"/>
      <c r="AO408" s="63"/>
    </row>
    <row r="409" spans="1:41" ht="72" x14ac:dyDescent="0.55000000000000004">
      <c r="A409" s="36">
        <v>4268</v>
      </c>
      <c r="B409" s="113" t="s">
        <v>1706</v>
      </c>
      <c r="C409" s="140" t="s">
        <v>1707</v>
      </c>
      <c r="D409" s="114" t="s">
        <v>52</v>
      </c>
      <c r="E409" s="115" t="s">
        <v>1708</v>
      </c>
      <c r="F409" s="116"/>
      <c r="G409" s="113" t="s">
        <v>1647</v>
      </c>
      <c r="H409" s="113" t="s">
        <v>1700</v>
      </c>
      <c r="I409" s="113"/>
      <c r="J409" s="117" t="s">
        <v>1709</v>
      </c>
      <c r="K409" s="118"/>
      <c r="L409" s="109">
        <v>4</v>
      </c>
      <c r="M409" s="109">
        <v>2</v>
      </c>
      <c r="N409" s="109"/>
      <c r="O409" s="119"/>
      <c r="P409" s="2">
        <f t="shared" si="96"/>
        <v>1</v>
      </c>
      <c r="Q409" s="110" t="str">
        <f>IF(AND(Drops!$D$45&gt;1,OR(U409&lt;&gt;U408,AND(ROW()=5,U408=U409))),VLOOKUP(U409,Drops!$D$26:$E$44,2,FALSE),"")</f>
        <v/>
      </c>
      <c r="R409" s="2" t="str">
        <f t="shared" si="97"/>
        <v/>
      </c>
      <c r="S409" s="2">
        <f t="shared" ca="1" si="98"/>
        <v>1</v>
      </c>
      <c r="T409" s="2">
        <f t="shared" si="99"/>
        <v>0</v>
      </c>
      <c r="U409" s="110" t="s">
        <v>1442</v>
      </c>
      <c r="V409" s="110">
        <v>3</v>
      </c>
      <c r="W409" s="110">
        <v>2</v>
      </c>
      <c r="X409" s="110">
        <v>14</v>
      </c>
      <c r="Y409" s="110">
        <v>4</v>
      </c>
      <c r="Z409" s="110">
        <v>0</v>
      </c>
      <c r="AA409" s="2">
        <f t="shared" si="100"/>
        <v>1</v>
      </c>
      <c r="AB409" s="2">
        <f t="shared" si="101"/>
        <v>0</v>
      </c>
      <c r="AC409" s="2">
        <f t="shared" si="102"/>
        <v>1</v>
      </c>
      <c r="AD409" s="2">
        <f t="shared" si="103"/>
        <v>1</v>
      </c>
      <c r="AE409" s="2">
        <f t="shared" si="104"/>
        <v>1</v>
      </c>
      <c r="AF409" s="2">
        <f t="shared" si="105"/>
        <v>1</v>
      </c>
      <c r="AG409" s="2">
        <f t="shared" si="106"/>
        <v>0</v>
      </c>
      <c r="AH409" s="2">
        <f t="shared" si="107"/>
        <v>2</v>
      </c>
      <c r="AI409" s="2">
        <f t="shared" si="108"/>
        <v>2</v>
      </c>
      <c r="AJ409" s="2">
        <f t="shared" si="109"/>
        <v>2</v>
      </c>
      <c r="AK409" s="2">
        <f t="shared" si="110"/>
        <v>2</v>
      </c>
      <c r="AL409" s="2">
        <f t="shared" si="111"/>
        <v>2</v>
      </c>
      <c r="AM409" s="115"/>
      <c r="AN409" s="115"/>
      <c r="AO409" s="63"/>
    </row>
    <row r="410" spans="1:41" ht="28.8" x14ac:dyDescent="0.55000000000000004">
      <c r="A410" s="36">
        <v>2684</v>
      </c>
      <c r="B410" s="113" t="s">
        <v>1710</v>
      </c>
      <c r="C410" s="138" t="s">
        <v>1711</v>
      </c>
      <c r="D410" s="114" t="s">
        <v>55</v>
      </c>
      <c r="E410" s="115"/>
      <c r="F410" s="116"/>
      <c r="G410" s="113" t="s">
        <v>1647</v>
      </c>
      <c r="H410" s="113" t="s">
        <v>1712</v>
      </c>
      <c r="I410" s="113"/>
      <c r="J410" s="117"/>
      <c r="K410" s="118"/>
      <c r="L410" s="109">
        <v>2</v>
      </c>
      <c r="M410" s="109">
        <v>3</v>
      </c>
      <c r="N410" s="109"/>
      <c r="O410" s="119"/>
      <c r="P410" s="2">
        <f t="shared" si="96"/>
        <v>2</v>
      </c>
      <c r="Q410" s="110" t="str">
        <f>IF(AND(Drops!$D$45&gt;1,OR(U410&lt;&gt;U409,AND(ROW()=5,U409=U410))),VLOOKUP(U410,Drops!$D$26:$E$44,2,FALSE),"")</f>
        <v/>
      </c>
      <c r="R410" s="2" t="str">
        <f t="shared" si="97"/>
        <v/>
      </c>
      <c r="S410" s="2">
        <f t="shared" ca="1" si="98"/>
        <v>2</v>
      </c>
      <c r="T410" s="2">
        <f t="shared" si="99"/>
        <v>0</v>
      </c>
      <c r="U410" s="110" t="s">
        <v>1442</v>
      </c>
      <c r="V410" s="110">
        <v>3</v>
      </c>
      <c r="W410" s="110">
        <v>3</v>
      </c>
      <c r="X410" s="110">
        <v>0</v>
      </c>
      <c r="Y410" s="110">
        <v>0</v>
      </c>
      <c r="Z410" s="110">
        <v>0</v>
      </c>
      <c r="AA410" s="2">
        <f t="shared" si="100"/>
        <v>1</v>
      </c>
      <c r="AB410" s="2">
        <f t="shared" si="101"/>
        <v>0</v>
      </c>
      <c r="AC410" s="2">
        <f t="shared" si="102"/>
        <v>1</v>
      </c>
      <c r="AD410" s="2">
        <f t="shared" si="103"/>
        <v>2</v>
      </c>
      <c r="AE410" s="2">
        <f t="shared" si="104"/>
        <v>2</v>
      </c>
      <c r="AF410" s="2">
        <f t="shared" si="105"/>
        <v>2</v>
      </c>
      <c r="AG410" s="2">
        <f t="shared" si="106"/>
        <v>2</v>
      </c>
      <c r="AH410" s="2">
        <f t="shared" si="107"/>
        <v>2</v>
      </c>
      <c r="AI410" s="2">
        <f t="shared" si="108"/>
        <v>1</v>
      </c>
      <c r="AJ410" s="2">
        <f t="shared" si="109"/>
        <v>2</v>
      </c>
      <c r="AK410" s="2">
        <f t="shared" si="110"/>
        <v>2</v>
      </c>
      <c r="AL410" s="2">
        <f t="shared" si="111"/>
        <v>2</v>
      </c>
      <c r="AM410" s="115"/>
      <c r="AN410" s="115"/>
      <c r="AO410" s="63"/>
    </row>
    <row r="411" spans="1:41" ht="14.4" x14ac:dyDescent="0.55000000000000004">
      <c r="A411" s="36">
        <v>3490</v>
      </c>
      <c r="B411" s="113" t="s">
        <v>1713</v>
      </c>
      <c r="C411" s="138" t="s">
        <v>1714</v>
      </c>
      <c r="D411" s="114" t="s">
        <v>52</v>
      </c>
      <c r="E411" s="115"/>
      <c r="F411" s="116"/>
      <c r="G411" s="113" t="s">
        <v>1715</v>
      </c>
      <c r="H411" s="113" t="s">
        <v>910</v>
      </c>
      <c r="I411" s="113"/>
      <c r="J411" s="117"/>
      <c r="K411" s="118"/>
      <c r="L411" s="109">
        <v>2</v>
      </c>
      <c r="M411" s="109">
        <v>1</v>
      </c>
      <c r="N411" s="109"/>
      <c r="O411" s="119"/>
      <c r="P411" s="2">
        <f t="shared" si="96"/>
        <v>1</v>
      </c>
      <c r="Q411" s="110" t="str">
        <f>IF(AND(Drops!$D$45&gt;1,OR(U411&lt;&gt;U410,AND(ROW()=5,U410=U411))),VLOOKUP(U411,Drops!$D$26:$E$44,2,FALSE),"")</f>
        <v/>
      </c>
      <c r="R411" s="2" t="str">
        <f t="shared" si="97"/>
        <v/>
      </c>
      <c r="S411" s="2">
        <f t="shared" ca="1" si="98"/>
        <v>1</v>
      </c>
      <c r="T411" s="2">
        <f t="shared" si="99"/>
        <v>0</v>
      </c>
      <c r="U411" s="110" t="s">
        <v>1442</v>
      </c>
      <c r="V411" s="110">
        <v>3</v>
      </c>
      <c r="W411" s="110">
        <v>6</v>
      </c>
      <c r="X411" s="110">
        <v>0</v>
      </c>
      <c r="Y411" s="110">
        <v>0</v>
      </c>
      <c r="Z411" s="110">
        <v>0</v>
      </c>
      <c r="AA411" s="2">
        <f t="shared" si="100"/>
        <v>1</v>
      </c>
      <c r="AB411" s="2">
        <f t="shared" si="101"/>
        <v>1</v>
      </c>
      <c r="AC411" s="2">
        <f t="shared" si="102"/>
        <v>1</v>
      </c>
      <c r="AD411" s="2">
        <f t="shared" si="103"/>
        <v>1</v>
      </c>
      <c r="AE411" s="2">
        <f t="shared" si="104"/>
        <v>2</v>
      </c>
      <c r="AF411" s="2">
        <f t="shared" si="105"/>
        <v>2</v>
      </c>
      <c r="AG411" s="2">
        <f t="shared" si="106"/>
        <v>2</v>
      </c>
      <c r="AH411" s="2">
        <f t="shared" si="107"/>
        <v>2</v>
      </c>
      <c r="AI411" s="2">
        <f t="shared" si="108"/>
        <v>2</v>
      </c>
      <c r="AJ411" s="2">
        <f t="shared" si="109"/>
        <v>2</v>
      </c>
      <c r="AK411" s="2">
        <f t="shared" si="110"/>
        <v>2</v>
      </c>
      <c r="AL411" s="2">
        <f t="shared" si="111"/>
        <v>2</v>
      </c>
      <c r="AM411" s="115"/>
      <c r="AN411" s="115"/>
      <c r="AO411" s="63"/>
    </row>
    <row r="412" spans="1:41" ht="28.8" x14ac:dyDescent="0.55000000000000004">
      <c r="A412" s="36">
        <v>3491</v>
      </c>
      <c r="B412" s="113" t="s">
        <v>1716</v>
      </c>
      <c r="C412" s="139" t="s">
        <v>1717</v>
      </c>
      <c r="D412" s="114" t="s">
        <v>52</v>
      </c>
      <c r="E412" s="115" t="s">
        <v>1718</v>
      </c>
      <c r="F412" s="116"/>
      <c r="G412" s="113" t="s">
        <v>1715</v>
      </c>
      <c r="H412" s="113" t="s">
        <v>1715</v>
      </c>
      <c r="I412" s="113" t="s">
        <v>1561</v>
      </c>
      <c r="J412" s="117"/>
      <c r="K412" s="118"/>
      <c r="L412" s="109">
        <v>3</v>
      </c>
      <c r="M412" s="109">
        <v>3</v>
      </c>
      <c r="N412" s="109"/>
      <c r="O412" s="119"/>
      <c r="P412" s="2">
        <f t="shared" si="96"/>
        <v>1</v>
      </c>
      <c r="Q412" s="110" t="str">
        <f>IF(AND(Drops!$D$45&gt;1,OR(U412&lt;&gt;U411,AND(ROW()=5,U411=U412))),VLOOKUP(U412,Drops!$D$26:$E$44,2,FALSE),"")</f>
        <v/>
      </c>
      <c r="R412" s="2" t="str">
        <f t="shared" si="97"/>
        <v/>
      </c>
      <c r="S412" s="2">
        <f t="shared" ca="1" si="98"/>
        <v>1</v>
      </c>
      <c r="T412" s="2">
        <f t="shared" si="99"/>
        <v>0</v>
      </c>
      <c r="U412" s="110" t="s">
        <v>1442</v>
      </c>
      <c r="V412" s="110">
        <v>3</v>
      </c>
      <c r="W412" s="110">
        <v>6</v>
      </c>
      <c r="X412" s="110">
        <v>1</v>
      </c>
      <c r="Y412" s="110">
        <v>0</v>
      </c>
      <c r="Z412" s="110">
        <v>0</v>
      </c>
      <c r="AA412" s="2">
        <f t="shared" si="100"/>
        <v>1</v>
      </c>
      <c r="AB412" s="2">
        <f t="shared" si="101"/>
        <v>1</v>
      </c>
      <c r="AC412" s="2">
        <f t="shared" si="102"/>
        <v>1</v>
      </c>
      <c r="AD412" s="2">
        <f t="shared" si="103"/>
        <v>1</v>
      </c>
      <c r="AE412" s="2">
        <f t="shared" si="104"/>
        <v>1</v>
      </c>
      <c r="AF412" s="2">
        <f t="shared" si="105"/>
        <v>2</v>
      </c>
      <c r="AG412" s="2">
        <f t="shared" si="106"/>
        <v>2</v>
      </c>
      <c r="AH412" s="2">
        <f t="shared" si="107"/>
        <v>2</v>
      </c>
      <c r="AI412" s="2">
        <f t="shared" si="108"/>
        <v>2</v>
      </c>
      <c r="AJ412" s="2">
        <f t="shared" si="109"/>
        <v>2</v>
      </c>
      <c r="AK412" s="2">
        <f t="shared" si="110"/>
        <v>2</v>
      </c>
      <c r="AL412" s="2">
        <f t="shared" si="111"/>
        <v>2</v>
      </c>
      <c r="AM412" s="115"/>
      <c r="AN412" s="115"/>
      <c r="AO412" s="63"/>
    </row>
    <row r="413" spans="1:41" ht="28.8" x14ac:dyDescent="0.55000000000000004">
      <c r="A413" s="36">
        <v>4275</v>
      </c>
      <c r="B413" s="113" t="s">
        <v>1719</v>
      </c>
      <c r="C413" s="140" t="s">
        <v>1720</v>
      </c>
      <c r="D413" s="114" t="s">
        <v>52</v>
      </c>
      <c r="E413" s="115"/>
      <c r="F413" s="116"/>
      <c r="G413" s="113" t="s">
        <v>1715</v>
      </c>
      <c r="H413" s="113" t="s">
        <v>1715</v>
      </c>
      <c r="I413" s="113"/>
      <c r="J413" s="117"/>
      <c r="K413" s="118"/>
      <c r="L413" s="109">
        <v>4</v>
      </c>
      <c r="M413" s="109">
        <v>3</v>
      </c>
      <c r="N413" s="109"/>
      <c r="O413" s="119"/>
      <c r="P413" s="2">
        <f t="shared" si="96"/>
        <v>1</v>
      </c>
      <c r="Q413" s="110" t="str">
        <f>IF(AND(Drops!$D$45&gt;1,OR(U413&lt;&gt;U412,AND(ROW()=5,U412=U413))),VLOOKUP(U413,Drops!$D$26:$E$44,2,FALSE),"")</f>
        <v/>
      </c>
      <c r="R413" s="2" t="str">
        <f t="shared" si="97"/>
        <v/>
      </c>
      <c r="S413" s="2">
        <f t="shared" ca="1" si="98"/>
        <v>1</v>
      </c>
      <c r="T413" s="2">
        <f t="shared" si="99"/>
        <v>0</v>
      </c>
      <c r="U413" s="110" t="s">
        <v>1442</v>
      </c>
      <c r="V413" s="110">
        <v>3</v>
      </c>
      <c r="W413" s="110">
        <v>6</v>
      </c>
      <c r="X413" s="110">
        <v>1</v>
      </c>
      <c r="Y413" s="110">
        <v>2</v>
      </c>
      <c r="Z413" s="110">
        <v>0</v>
      </c>
      <c r="AA413" s="2">
        <f t="shared" si="100"/>
        <v>1</v>
      </c>
      <c r="AB413" s="2">
        <f t="shared" si="101"/>
        <v>0</v>
      </c>
      <c r="AC413" s="2">
        <f t="shared" si="102"/>
        <v>1</v>
      </c>
      <c r="AD413" s="2">
        <f t="shared" si="103"/>
        <v>1</v>
      </c>
      <c r="AE413" s="2">
        <f t="shared" si="104"/>
        <v>1</v>
      </c>
      <c r="AF413" s="2">
        <f t="shared" si="105"/>
        <v>1</v>
      </c>
      <c r="AG413" s="2">
        <f t="shared" si="106"/>
        <v>2</v>
      </c>
      <c r="AH413" s="2">
        <f t="shared" si="107"/>
        <v>2</v>
      </c>
      <c r="AI413" s="2">
        <f t="shared" si="108"/>
        <v>2</v>
      </c>
      <c r="AJ413" s="2">
        <f t="shared" si="109"/>
        <v>2</v>
      </c>
      <c r="AK413" s="2">
        <f t="shared" si="110"/>
        <v>2</v>
      </c>
      <c r="AL413" s="2">
        <f t="shared" si="111"/>
        <v>2</v>
      </c>
      <c r="AM413" s="115"/>
      <c r="AN413" s="115"/>
      <c r="AO413" s="63"/>
    </row>
    <row r="414" spans="1:41" ht="14.4" x14ac:dyDescent="0.55000000000000004">
      <c r="A414" s="36">
        <v>3494</v>
      </c>
      <c r="B414" s="113" t="s">
        <v>1721</v>
      </c>
      <c r="C414" s="140" t="s">
        <v>1722</v>
      </c>
      <c r="D414" s="114" t="s">
        <v>52</v>
      </c>
      <c r="E414" s="115" t="s">
        <v>1723</v>
      </c>
      <c r="F414" s="116"/>
      <c r="G414" s="113" t="s">
        <v>1715</v>
      </c>
      <c r="H414" s="113" t="s">
        <v>1715</v>
      </c>
      <c r="I414" s="113"/>
      <c r="J414" s="117"/>
      <c r="K414" s="118"/>
      <c r="L414" s="109">
        <v>4</v>
      </c>
      <c r="M414" s="109">
        <v>3</v>
      </c>
      <c r="N414" s="109"/>
      <c r="O414" s="119"/>
      <c r="P414" s="2">
        <f t="shared" si="96"/>
        <v>1</v>
      </c>
      <c r="Q414" s="110" t="str">
        <f>IF(AND(Drops!$D$45&gt;1,OR(U414&lt;&gt;U413,AND(ROW()=5,U413=U414))),VLOOKUP(U414,Drops!$D$26:$E$44,2,FALSE),"")</f>
        <v/>
      </c>
      <c r="R414" s="2" t="str">
        <f t="shared" si="97"/>
        <v/>
      </c>
      <c r="S414" s="2">
        <f t="shared" ca="1" si="98"/>
        <v>1</v>
      </c>
      <c r="T414" s="2">
        <f t="shared" si="99"/>
        <v>0</v>
      </c>
      <c r="U414" s="110" t="s">
        <v>1442</v>
      </c>
      <c r="V414" s="110">
        <v>3</v>
      </c>
      <c r="W414" s="110">
        <v>6</v>
      </c>
      <c r="X414" s="110">
        <v>1</v>
      </c>
      <c r="Y414" s="110">
        <v>3</v>
      </c>
      <c r="Z414" s="110">
        <v>0</v>
      </c>
      <c r="AA414" s="2">
        <f t="shared" si="100"/>
        <v>1</v>
      </c>
      <c r="AB414" s="2">
        <f t="shared" si="101"/>
        <v>0</v>
      </c>
      <c r="AC414" s="2">
        <f t="shared" si="102"/>
        <v>1</v>
      </c>
      <c r="AD414" s="2">
        <f t="shared" si="103"/>
        <v>1</v>
      </c>
      <c r="AE414" s="2">
        <f t="shared" si="104"/>
        <v>1</v>
      </c>
      <c r="AF414" s="2">
        <f t="shared" si="105"/>
        <v>1</v>
      </c>
      <c r="AG414" s="2">
        <f t="shared" si="106"/>
        <v>2</v>
      </c>
      <c r="AH414" s="2">
        <f t="shared" si="107"/>
        <v>2</v>
      </c>
      <c r="AI414" s="2">
        <f t="shared" si="108"/>
        <v>2</v>
      </c>
      <c r="AJ414" s="2">
        <f t="shared" si="109"/>
        <v>2</v>
      </c>
      <c r="AK414" s="2">
        <f t="shared" si="110"/>
        <v>2</v>
      </c>
      <c r="AL414" s="2">
        <f t="shared" si="111"/>
        <v>2</v>
      </c>
      <c r="AM414" s="115"/>
      <c r="AN414" s="115"/>
      <c r="AO414" s="63"/>
    </row>
    <row r="415" spans="1:41" ht="28.8" x14ac:dyDescent="0.55000000000000004">
      <c r="A415" s="36">
        <v>3495</v>
      </c>
      <c r="B415" s="113" t="s">
        <v>1724</v>
      </c>
      <c r="C415" s="139" t="s">
        <v>1725</v>
      </c>
      <c r="D415" s="114" t="s">
        <v>52</v>
      </c>
      <c r="E415" s="115"/>
      <c r="F415" s="116"/>
      <c r="G415" s="113" t="s">
        <v>1715</v>
      </c>
      <c r="H415" s="113" t="s">
        <v>1715</v>
      </c>
      <c r="I415" s="113" t="s">
        <v>1561</v>
      </c>
      <c r="J415" s="117"/>
      <c r="K415" s="118"/>
      <c r="L415" s="109">
        <v>3</v>
      </c>
      <c r="M415" s="109">
        <v>3</v>
      </c>
      <c r="N415" s="109"/>
      <c r="O415" s="119"/>
      <c r="P415" s="2">
        <f t="shared" si="96"/>
        <v>1</v>
      </c>
      <c r="Q415" s="110" t="str">
        <f>IF(AND(Drops!$D$45&gt;1,OR(U415&lt;&gt;U414,AND(ROW()=5,U414=U415))),VLOOKUP(U415,Drops!$D$26:$E$44,2,FALSE),"")</f>
        <v/>
      </c>
      <c r="R415" s="2" t="str">
        <f t="shared" si="97"/>
        <v/>
      </c>
      <c r="S415" s="2">
        <f t="shared" ca="1" si="98"/>
        <v>1</v>
      </c>
      <c r="T415" s="2">
        <f t="shared" si="99"/>
        <v>0</v>
      </c>
      <c r="U415" s="110" t="s">
        <v>1442</v>
      </c>
      <c r="V415" s="110">
        <v>3</v>
      </c>
      <c r="W415" s="110">
        <v>6</v>
      </c>
      <c r="X415" s="110">
        <v>2</v>
      </c>
      <c r="Y415" s="110">
        <v>0</v>
      </c>
      <c r="Z415" s="110">
        <v>0</v>
      </c>
      <c r="AA415" s="2">
        <f t="shared" si="100"/>
        <v>1</v>
      </c>
      <c r="AB415" s="2">
        <f t="shared" si="101"/>
        <v>0</v>
      </c>
      <c r="AC415" s="2">
        <f t="shared" si="102"/>
        <v>1</v>
      </c>
      <c r="AD415" s="2">
        <f t="shared" si="103"/>
        <v>1</v>
      </c>
      <c r="AE415" s="2">
        <f t="shared" si="104"/>
        <v>1</v>
      </c>
      <c r="AF415" s="2">
        <f t="shared" si="105"/>
        <v>0</v>
      </c>
      <c r="AG415" s="2">
        <f t="shared" si="106"/>
        <v>2</v>
      </c>
      <c r="AH415" s="2">
        <f t="shared" si="107"/>
        <v>2</v>
      </c>
      <c r="AI415" s="2">
        <f t="shared" si="108"/>
        <v>2</v>
      </c>
      <c r="AJ415" s="2">
        <f t="shared" si="109"/>
        <v>2</v>
      </c>
      <c r="AK415" s="2">
        <f t="shared" si="110"/>
        <v>2</v>
      </c>
      <c r="AL415" s="2">
        <f t="shared" si="111"/>
        <v>2</v>
      </c>
      <c r="AM415" s="115"/>
      <c r="AN415" s="115"/>
      <c r="AO415" s="63"/>
    </row>
    <row r="416" spans="1:41" ht="28.8" x14ac:dyDescent="0.55000000000000004">
      <c r="A416" s="36">
        <v>3503</v>
      </c>
      <c r="B416" s="113" t="s">
        <v>1726</v>
      </c>
      <c r="C416" s="139" t="s">
        <v>1727</v>
      </c>
      <c r="D416" s="114" t="s">
        <v>52</v>
      </c>
      <c r="E416" s="115" t="s">
        <v>1728</v>
      </c>
      <c r="F416" s="116"/>
      <c r="G416" s="113" t="s">
        <v>1715</v>
      </c>
      <c r="H416" s="113" t="s">
        <v>1729</v>
      </c>
      <c r="I416" s="113"/>
      <c r="J416" s="117"/>
      <c r="K416" s="118"/>
      <c r="L416" s="109">
        <v>3</v>
      </c>
      <c r="M416" s="109">
        <v>3</v>
      </c>
      <c r="N416" s="109"/>
      <c r="O416" s="119"/>
      <c r="P416" s="2">
        <f t="shared" si="96"/>
        <v>1</v>
      </c>
      <c r="Q416" s="110" t="str">
        <f>IF(AND(Drops!$D$45&gt;1,OR(U416&lt;&gt;U415,AND(ROW()=5,U415=U416))),VLOOKUP(U416,Drops!$D$26:$E$44,2,FALSE),"")</f>
        <v/>
      </c>
      <c r="R416" s="2" t="str">
        <f t="shared" si="97"/>
        <v/>
      </c>
      <c r="S416" s="2">
        <f t="shared" ca="1" si="98"/>
        <v>1</v>
      </c>
      <c r="T416" s="2">
        <f t="shared" si="99"/>
        <v>0</v>
      </c>
      <c r="U416" s="110" t="s">
        <v>1442</v>
      </c>
      <c r="V416" s="110">
        <v>3</v>
      </c>
      <c r="W416" s="110">
        <v>6</v>
      </c>
      <c r="X416" s="110">
        <v>3</v>
      </c>
      <c r="Y416" s="110">
        <v>0</v>
      </c>
      <c r="Z416" s="110">
        <v>0</v>
      </c>
      <c r="AA416" s="2">
        <f t="shared" si="100"/>
        <v>1</v>
      </c>
      <c r="AB416" s="2">
        <f t="shared" si="101"/>
        <v>0</v>
      </c>
      <c r="AC416" s="2">
        <f t="shared" si="102"/>
        <v>1</v>
      </c>
      <c r="AD416" s="2">
        <f t="shared" si="103"/>
        <v>1</v>
      </c>
      <c r="AE416" s="2">
        <f t="shared" si="104"/>
        <v>1</v>
      </c>
      <c r="AF416" s="2">
        <f t="shared" si="105"/>
        <v>0</v>
      </c>
      <c r="AG416" s="2">
        <f t="shared" si="106"/>
        <v>2</v>
      </c>
      <c r="AH416" s="2">
        <f t="shared" si="107"/>
        <v>2</v>
      </c>
      <c r="AI416" s="2">
        <f t="shared" si="108"/>
        <v>2</v>
      </c>
      <c r="AJ416" s="2">
        <f t="shared" si="109"/>
        <v>2</v>
      </c>
      <c r="AK416" s="2">
        <f t="shared" si="110"/>
        <v>2</v>
      </c>
      <c r="AL416" s="2">
        <f t="shared" si="111"/>
        <v>2</v>
      </c>
      <c r="AM416" s="115"/>
      <c r="AN416" s="115"/>
      <c r="AO416" s="63"/>
    </row>
    <row r="417" spans="1:41" ht="28.8" x14ac:dyDescent="0.55000000000000004">
      <c r="A417" s="36">
        <v>3512</v>
      </c>
      <c r="B417" s="113" t="s">
        <v>1730</v>
      </c>
      <c r="C417" s="139" t="s">
        <v>1731</v>
      </c>
      <c r="D417" s="114" t="s">
        <v>52</v>
      </c>
      <c r="E417" s="115"/>
      <c r="F417" s="116"/>
      <c r="G417" s="113" t="s">
        <v>1715</v>
      </c>
      <c r="H417" s="113" t="s">
        <v>909</v>
      </c>
      <c r="I417" s="113"/>
      <c r="J417" s="117"/>
      <c r="K417" s="118"/>
      <c r="L417" s="109">
        <v>3</v>
      </c>
      <c r="M417" s="109">
        <v>3</v>
      </c>
      <c r="N417" s="109"/>
      <c r="O417" s="119"/>
      <c r="P417" s="2">
        <f t="shared" si="96"/>
        <v>1</v>
      </c>
      <c r="Q417" s="110" t="str">
        <f>IF(AND(Drops!$D$45&gt;1,OR(U417&lt;&gt;U416,AND(ROW()=5,U416=U417))),VLOOKUP(U417,Drops!$D$26:$E$44,2,FALSE),"")</f>
        <v/>
      </c>
      <c r="R417" s="2" t="str">
        <f t="shared" si="97"/>
        <v/>
      </c>
      <c r="S417" s="2">
        <f t="shared" ca="1" si="98"/>
        <v>1</v>
      </c>
      <c r="T417" s="2">
        <f t="shared" si="99"/>
        <v>0</v>
      </c>
      <c r="U417" s="110" t="s">
        <v>1442</v>
      </c>
      <c r="V417" s="110">
        <v>3</v>
      </c>
      <c r="W417" s="110">
        <v>6</v>
      </c>
      <c r="X417" s="110">
        <v>5</v>
      </c>
      <c r="Y417" s="110">
        <v>0</v>
      </c>
      <c r="Z417" s="110">
        <v>0</v>
      </c>
      <c r="AA417" s="2">
        <f t="shared" si="100"/>
        <v>1</v>
      </c>
      <c r="AB417" s="2">
        <f t="shared" si="101"/>
        <v>0</v>
      </c>
      <c r="AC417" s="2">
        <f t="shared" si="102"/>
        <v>1</v>
      </c>
      <c r="AD417" s="2">
        <f t="shared" si="103"/>
        <v>1</v>
      </c>
      <c r="AE417" s="2">
        <f t="shared" si="104"/>
        <v>1</v>
      </c>
      <c r="AF417" s="2">
        <f t="shared" si="105"/>
        <v>0</v>
      </c>
      <c r="AG417" s="2">
        <f t="shared" si="106"/>
        <v>2</v>
      </c>
      <c r="AH417" s="2">
        <f t="shared" si="107"/>
        <v>2</v>
      </c>
      <c r="AI417" s="2">
        <f t="shared" si="108"/>
        <v>2</v>
      </c>
      <c r="AJ417" s="2">
        <f t="shared" si="109"/>
        <v>2</v>
      </c>
      <c r="AK417" s="2">
        <f t="shared" si="110"/>
        <v>2</v>
      </c>
      <c r="AL417" s="2">
        <f t="shared" si="111"/>
        <v>2</v>
      </c>
      <c r="AM417" s="115"/>
      <c r="AN417" s="115"/>
      <c r="AO417" s="63"/>
    </row>
    <row r="418" spans="1:41" ht="86.4" x14ac:dyDescent="0.55000000000000004">
      <c r="A418" s="36">
        <v>3826</v>
      </c>
      <c r="B418" s="113" t="s">
        <v>281</v>
      </c>
      <c r="C418" s="113" t="s">
        <v>1732</v>
      </c>
      <c r="D418" s="114" t="s">
        <v>52</v>
      </c>
      <c r="E418" s="115" t="s">
        <v>1733</v>
      </c>
      <c r="F418" s="116"/>
      <c r="G418" s="113" t="s">
        <v>1734</v>
      </c>
      <c r="H418" s="113" t="s">
        <v>910</v>
      </c>
      <c r="I418" s="113"/>
      <c r="J418" s="117"/>
      <c r="K418" s="118"/>
      <c r="L418" s="109">
        <v>1</v>
      </c>
      <c r="M418" s="109">
        <v>1</v>
      </c>
      <c r="N418" s="109"/>
      <c r="O418" s="119"/>
      <c r="P418" s="2">
        <f t="shared" si="96"/>
        <v>1</v>
      </c>
      <c r="Q418" s="110" t="str">
        <f>IF(AND(Drops!$D$45&gt;1,OR(U418&lt;&gt;U417,AND(ROW()=5,U417=U418))),VLOOKUP(U418,Drops!$D$26:$E$44,2,FALSE),"")</f>
        <v/>
      </c>
      <c r="R418" s="2" t="str">
        <f t="shared" si="97"/>
        <v/>
      </c>
      <c r="S418" s="2">
        <f t="shared" ca="1" si="98"/>
        <v>1</v>
      </c>
      <c r="T418" s="2">
        <f t="shared" si="99"/>
        <v>1</v>
      </c>
      <c r="U418" s="110" t="s">
        <v>1442</v>
      </c>
      <c r="V418" s="110">
        <v>4</v>
      </c>
      <c r="W418" s="110">
        <v>0</v>
      </c>
      <c r="X418" s="110">
        <v>0</v>
      </c>
      <c r="Y418" s="110">
        <v>0</v>
      </c>
      <c r="Z418" s="110">
        <v>0</v>
      </c>
      <c r="AA418" s="2">
        <f t="shared" si="100"/>
        <v>1</v>
      </c>
      <c r="AB418" s="2">
        <f t="shared" si="101"/>
        <v>1</v>
      </c>
      <c r="AC418" s="2">
        <f t="shared" si="102"/>
        <v>1</v>
      </c>
      <c r="AD418" s="2">
        <f t="shared" si="103"/>
        <v>0</v>
      </c>
      <c r="AE418" s="2">
        <f t="shared" si="104"/>
        <v>0</v>
      </c>
      <c r="AF418" s="2">
        <f t="shared" si="105"/>
        <v>0</v>
      </c>
      <c r="AG418" s="2">
        <f t="shared" si="106"/>
        <v>2</v>
      </c>
      <c r="AH418" s="2">
        <f t="shared" si="107"/>
        <v>2</v>
      </c>
      <c r="AI418" s="2">
        <f t="shared" si="108"/>
        <v>2</v>
      </c>
      <c r="AJ418" s="2">
        <f t="shared" si="109"/>
        <v>2</v>
      </c>
      <c r="AK418" s="2">
        <f t="shared" si="110"/>
        <v>2</v>
      </c>
      <c r="AL418" s="2">
        <f t="shared" si="111"/>
        <v>2</v>
      </c>
      <c r="AM418" s="115"/>
      <c r="AN418" s="115"/>
      <c r="AO418" s="63"/>
    </row>
    <row r="419" spans="1:41" ht="28.8" x14ac:dyDescent="0.55000000000000004">
      <c r="A419" s="36">
        <v>3829</v>
      </c>
      <c r="B419" s="113" t="s">
        <v>1735</v>
      </c>
      <c r="C419" s="138" t="s">
        <v>1736</v>
      </c>
      <c r="D419" s="114" t="s">
        <v>52</v>
      </c>
      <c r="E419" s="115"/>
      <c r="F419" s="116"/>
      <c r="G419" s="113" t="s">
        <v>1734</v>
      </c>
      <c r="H419" s="113" t="s">
        <v>910</v>
      </c>
      <c r="I419" s="113"/>
      <c r="J419" s="117"/>
      <c r="K419" s="118"/>
      <c r="L419" s="109">
        <v>2</v>
      </c>
      <c r="M419" s="109">
        <v>1</v>
      </c>
      <c r="N419" s="109"/>
      <c r="O419" s="119"/>
      <c r="P419" s="2">
        <f t="shared" si="96"/>
        <v>1</v>
      </c>
      <c r="Q419" s="110" t="str">
        <f>IF(AND(Drops!$D$45&gt;1,OR(U419&lt;&gt;U418,AND(ROW()=5,U418=U419))),VLOOKUP(U419,Drops!$D$26:$E$44,2,FALSE),"")</f>
        <v/>
      </c>
      <c r="R419" s="2" t="str">
        <f t="shared" si="97"/>
        <v/>
      </c>
      <c r="S419" s="2">
        <f t="shared" ca="1" si="98"/>
        <v>1</v>
      </c>
      <c r="T419" s="2">
        <f t="shared" si="99"/>
        <v>0</v>
      </c>
      <c r="U419" s="110" t="s">
        <v>1442</v>
      </c>
      <c r="V419" s="110">
        <v>4</v>
      </c>
      <c r="W419" s="110">
        <v>1</v>
      </c>
      <c r="X419" s="110">
        <v>0</v>
      </c>
      <c r="Y419" s="110">
        <v>0</v>
      </c>
      <c r="Z419" s="110">
        <v>0</v>
      </c>
      <c r="AA419" s="2">
        <f t="shared" si="100"/>
        <v>1</v>
      </c>
      <c r="AB419" s="2">
        <f t="shared" si="101"/>
        <v>0</v>
      </c>
      <c r="AC419" s="2">
        <f t="shared" si="102"/>
        <v>1</v>
      </c>
      <c r="AD419" s="2">
        <f t="shared" si="103"/>
        <v>1</v>
      </c>
      <c r="AE419" s="2">
        <f t="shared" si="104"/>
        <v>0</v>
      </c>
      <c r="AF419" s="2">
        <f t="shared" si="105"/>
        <v>0</v>
      </c>
      <c r="AG419" s="2">
        <f t="shared" si="106"/>
        <v>2</v>
      </c>
      <c r="AH419" s="2">
        <f t="shared" si="107"/>
        <v>2</v>
      </c>
      <c r="AI419" s="2">
        <f t="shared" si="108"/>
        <v>2</v>
      </c>
      <c r="AJ419" s="2">
        <f t="shared" si="109"/>
        <v>2</v>
      </c>
      <c r="AK419" s="2">
        <f t="shared" si="110"/>
        <v>2</v>
      </c>
      <c r="AL419" s="2">
        <f t="shared" si="111"/>
        <v>2</v>
      </c>
      <c r="AM419" s="115"/>
      <c r="AN419" s="115"/>
      <c r="AO419" s="63"/>
    </row>
    <row r="420" spans="1:41" ht="28.8" x14ac:dyDescent="0.55000000000000004">
      <c r="A420" s="36">
        <v>4102</v>
      </c>
      <c r="B420" s="113" t="s">
        <v>1737</v>
      </c>
      <c r="C420" s="138" t="s">
        <v>1738</v>
      </c>
      <c r="D420" s="114" t="s">
        <v>52</v>
      </c>
      <c r="E420" s="115"/>
      <c r="F420" s="116"/>
      <c r="G420" s="113" t="s">
        <v>1734</v>
      </c>
      <c r="H420" s="113" t="s">
        <v>1739</v>
      </c>
      <c r="I420" s="113"/>
      <c r="J420" s="117"/>
      <c r="K420" s="118"/>
      <c r="L420" s="109">
        <v>2</v>
      </c>
      <c r="M420" s="109">
        <v>3</v>
      </c>
      <c r="N420" s="109"/>
      <c r="O420" s="119"/>
      <c r="P420" s="2">
        <f t="shared" si="96"/>
        <v>1</v>
      </c>
      <c r="Q420" s="110" t="str">
        <f>IF(AND(Drops!$D$45&gt;1,OR(U420&lt;&gt;U419,AND(ROW()=5,U419=U420))),VLOOKUP(U420,Drops!$D$26:$E$44,2,FALSE),"")</f>
        <v/>
      </c>
      <c r="R420" s="2" t="str">
        <f t="shared" si="97"/>
        <v/>
      </c>
      <c r="S420" s="2">
        <f t="shared" ca="1" si="98"/>
        <v>1</v>
      </c>
      <c r="T420" s="2">
        <f t="shared" si="99"/>
        <v>0</v>
      </c>
      <c r="U420" s="110" t="s">
        <v>1442</v>
      </c>
      <c r="V420" s="110">
        <v>4</v>
      </c>
      <c r="W420" s="110">
        <v>2</v>
      </c>
      <c r="X420" s="110">
        <v>0</v>
      </c>
      <c r="Y420" s="110">
        <v>0</v>
      </c>
      <c r="Z420" s="110">
        <v>0</v>
      </c>
      <c r="AA420" s="2">
        <f t="shared" si="100"/>
        <v>1</v>
      </c>
      <c r="AB420" s="2">
        <f t="shared" si="101"/>
        <v>0</v>
      </c>
      <c r="AC420" s="2">
        <f t="shared" si="102"/>
        <v>1</v>
      </c>
      <c r="AD420" s="2">
        <f t="shared" si="103"/>
        <v>1</v>
      </c>
      <c r="AE420" s="2">
        <f t="shared" si="104"/>
        <v>0</v>
      </c>
      <c r="AF420" s="2">
        <f t="shared" si="105"/>
        <v>0</v>
      </c>
      <c r="AG420" s="2">
        <f t="shared" si="106"/>
        <v>2</v>
      </c>
      <c r="AH420" s="2">
        <f t="shared" si="107"/>
        <v>2</v>
      </c>
      <c r="AI420" s="2">
        <f t="shared" si="108"/>
        <v>2</v>
      </c>
      <c r="AJ420" s="2">
        <f t="shared" si="109"/>
        <v>2</v>
      </c>
      <c r="AK420" s="2">
        <f t="shared" si="110"/>
        <v>2</v>
      </c>
      <c r="AL420" s="2">
        <f t="shared" si="111"/>
        <v>2</v>
      </c>
      <c r="AM420" s="115"/>
      <c r="AN420" s="115"/>
      <c r="AO420" s="63"/>
    </row>
    <row r="421" spans="1:41" ht="43.2" x14ac:dyDescent="0.55000000000000004">
      <c r="A421" s="36">
        <v>2241</v>
      </c>
      <c r="B421" s="113" t="s">
        <v>314</v>
      </c>
      <c r="C421" s="113" t="s">
        <v>1740</v>
      </c>
      <c r="D421" s="114" t="s">
        <v>52</v>
      </c>
      <c r="E421" s="115"/>
      <c r="F421" s="116"/>
      <c r="G421" s="113" t="s">
        <v>1741</v>
      </c>
      <c r="H421" s="113" t="s">
        <v>1742</v>
      </c>
      <c r="I421" s="113"/>
      <c r="J421" s="117" t="s">
        <v>1743</v>
      </c>
      <c r="K421" s="118"/>
      <c r="L421" s="109">
        <v>1</v>
      </c>
      <c r="M421" s="109">
        <v>2</v>
      </c>
      <c r="N421" s="109"/>
      <c r="O421" s="119"/>
      <c r="P421" s="2">
        <f t="shared" si="96"/>
        <v>1</v>
      </c>
      <c r="Q421" s="110" t="str">
        <f>IF(AND(Drops!$D$45&gt;1,OR(U421&lt;&gt;U420,AND(ROW()=5,U420=U421))),VLOOKUP(U421,Drops!$D$26:$E$44,2,FALSE),"")</f>
        <v>J. Incident Event &amp; Comm Mgmt</v>
      </c>
      <c r="R421" s="2">
        <f t="shared" si="97"/>
        <v>421</v>
      </c>
      <c r="S421" s="2">
        <f t="shared" ca="1" si="98"/>
        <v>1</v>
      </c>
      <c r="T421" s="2">
        <f t="shared" si="99"/>
        <v>1</v>
      </c>
      <c r="U421" s="110" t="s">
        <v>1744</v>
      </c>
      <c r="V421" s="110">
        <v>1</v>
      </c>
      <c r="W421" s="110">
        <v>0</v>
      </c>
      <c r="X421" s="110">
        <v>0</v>
      </c>
      <c r="Y421" s="110">
        <v>0</v>
      </c>
      <c r="Z421" s="110">
        <v>0</v>
      </c>
      <c r="AA421" s="2">
        <f t="shared" si="100"/>
        <v>1</v>
      </c>
      <c r="AB421" s="2">
        <f t="shared" si="101"/>
        <v>1</v>
      </c>
      <c r="AC421" s="2">
        <f t="shared" si="102"/>
        <v>1</v>
      </c>
      <c r="AD421" s="2">
        <f t="shared" si="103"/>
        <v>0</v>
      </c>
      <c r="AE421" s="2">
        <f t="shared" si="104"/>
        <v>0</v>
      </c>
      <c r="AF421" s="2">
        <f t="shared" si="105"/>
        <v>0</v>
      </c>
      <c r="AG421" s="2">
        <f t="shared" si="106"/>
        <v>0</v>
      </c>
      <c r="AH421" s="2">
        <f t="shared" si="107"/>
        <v>2</v>
      </c>
      <c r="AI421" s="2">
        <f t="shared" si="108"/>
        <v>0</v>
      </c>
      <c r="AJ421" s="2">
        <f t="shared" si="109"/>
        <v>0</v>
      </c>
      <c r="AK421" s="2">
        <f t="shared" si="110"/>
        <v>0</v>
      </c>
      <c r="AL421" s="2">
        <f t="shared" si="111"/>
        <v>0</v>
      </c>
      <c r="AM421" s="115"/>
      <c r="AN421" s="115"/>
      <c r="AO421" s="63"/>
    </row>
    <row r="422" spans="1:41" ht="43.2" x14ac:dyDescent="0.55000000000000004">
      <c r="A422" s="36">
        <v>2276</v>
      </c>
      <c r="B422" s="113" t="s">
        <v>1745</v>
      </c>
      <c r="C422" s="138" t="s">
        <v>1746</v>
      </c>
      <c r="D422" s="114" t="s">
        <v>52</v>
      </c>
      <c r="E422" s="115" t="s">
        <v>1747</v>
      </c>
      <c r="F422" s="116"/>
      <c r="G422" s="113" t="s">
        <v>1741</v>
      </c>
      <c r="H422" s="113" t="s">
        <v>1748</v>
      </c>
      <c r="I422" s="113" t="s">
        <v>1749</v>
      </c>
      <c r="J422" s="117"/>
      <c r="K422" s="118"/>
      <c r="L422" s="109">
        <v>2</v>
      </c>
      <c r="M422" s="109">
        <v>3</v>
      </c>
      <c r="N422" s="109"/>
      <c r="O422" s="119"/>
      <c r="P422" s="2">
        <f t="shared" si="96"/>
        <v>1</v>
      </c>
      <c r="Q422" s="110" t="str">
        <f>IF(AND(Drops!$D$45&gt;1,OR(U422&lt;&gt;U421,AND(ROW()=5,U421=U422))),VLOOKUP(U422,Drops!$D$26:$E$44,2,FALSE),"")</f>
        <v/>
      </c>
      <c r="R422" s="2" t="str">
        <f t="shared" si="97"/>
        <v/>
      </c>
      <c r="S422" s="2">
        <f t="shared" ca="1" si="98"/>
        <v>1</v>
      </c>
      <c r="T422" s="2">
        <f t="shared" si="99"/>
        <v>0</v>
      </c>
      <c r="U422" s="110" t="s">
        <v>1744</v>
      </c>
      <c r="V422" s="110">
        <v>1</v>
      </c>
      <c r="W422" s="110">
        <v>1</v>
      </c>
      <c r="X422" s="110">
        <v>0</v>
      </c>
      <c r="Y422" s="110">
        <v>0</v>
      </c>
      <c r="Z422" s="110">
        <v>0</v>
      </c>
      <c r="AA422" s="2">
        <f t="shared" si="100"/>
        <v>1</v>
      </c>
      <c r="AB422" s="2">
        <f t="shared" si="101"/>
        <v>0</v>
      </c>
      <c r="AC422" s="2">
        <f t="shared" si="102"/>
        <v>1</v>
      </c>
      <c r="AD422" s="2">
        <f t="shared" si="103"/>
        <v>1</v>
      </c>
      <c r="AE422" s="2">
        <f t="shared" si="104"/>
        <v>0</v>
      </c>
      <c r="AF422" s="2">
        <f t="shared" si="105"/>
        <v>0</v>
      </c>
      <c r="AG422" s="2">
        <f t="shared" si="106"/>
        <v>0</v>
      </c>
      <c r="AH422" s="2">
        <f t="shared" si="107"/>
        <v>2</v>
      </c>
      <c r="AI422" s="2">
        <f t="shared" si="108"/>
        <v>2</v>
      </c>
      <c r="AJ422" s="2">
        <f t="shared" si="109"/>
        <v>0</v>
      </c>
      <c r="AK422" s="2">
        <f t="shared" si="110"/>
        <v>0</v>
      </c>
      <c r="AL422" s="2">
        <f t="shared" si="111"/>
        <v>0</v>
      </c>
      <c r="AM422" s="115"/>
      <c r="AN422" s="115"/>
      <c r="AO422" s="63"/>
    </row>
    <row r="423" spans="1:41" ht="28.8" x14ac:dyDescent="0.55000000000000004">
      <c r="A423" s="36">
        <v>4745</v>
      </c>
      <c r="B423" s="113" t="s">
        <v>1750</v>
      </c>
      <c r="C423" s="138" t="s">
        <v>1751</v>
      </c>
      <c r="D423" s="114" t="s">
        <v>52</v>
      </c>
      <c r="E423" s="115"/>
      <c r="F423" s="116"/>
      <c r="G423" s="113" t="s">
        <v>1741</v>
      </c>
      <c r="H423" s="113" t="s">
        <v>1748</v>
      </c>
      <c r="I423" s="113" t="s">
        <v>1752</v>
      </c>
      <c r="J423" s="117"/>
      <c r="K423" s="118"/>
      <c r="L423" s="109">
        <v>2</v>
      </c>
      <c r="M423" s="109">
        <v>3</v>
      </c>
      <c r="N423" s="109"/>
      <c r="O423" s="119"/>
      <c r="P423" s="2">
        <f t="shared" si="96"/>
        <v>1</v>
      </c>
      <c r="Q423" s="110" t="str">
        <f>IF(AND(Drops!$D$45&gt;1,OR(U423&lt;&gt;U422,AND(ROW()=5,U422=U423))),VLOOKUP(U423,Drops!$D$26:$E$44,2,FALSE),"")</f>
        <v/>
      </c>
      <c r="R423" s="2" t="str">
        <f t="shared" si="97"/>
        <v/>
      </c>
      <c r="S423" s="2">
        <f t="shared" ca="1" si="98"/>
        <v>1</v>
      </c>
      <c r="T423" s="2">
        <f t="shared" si="99"/>
        <v>0</v>
      </c>
      <c r="U423" s="110" t="s">
        <v>1744</v>
      </c>
      <c r="V423" s="110">
        <v>1</v>
      </c>
      <c r="W423" s="110">
        <v>4</v>
      </c>
      <c r="X423" s="110">
        <v>0</v>
      </c>
      <c r="Y423" s="110">
        <v>0</v>
      </c>
      <c r="Z423" s="110">
        <v>0</v>
      </c>
      <c r="AA423" s="2">
        <f t="shared" si="100"/>
        <v>1</v>
      </c>
      <c r="AB423" s="2">
        <f t="shared" si="101"/>
        <v>0</v>
      </c>
      <c r="AC423" s="2">
        <f t="shared" si="102"/>
        <v>1</v>
      </c>
      <c r="AD423" s="2">
        <f t="shared" si="103"/>
        <v>1</v>
      </c>
      <c r="AE423" s="2">
        <f t="shared" si="104"/>
        <v>0</v>
      </c>
      <c r="AF423" s="2">
        <f t="shared" si="105"/>
        <v>0</v>
      </c>
      <c r="AG423" s="2">
        <f t="shared" si="106"/>
        <v>0</v>
      </c>
      <c r="AH423" s="2">
        <f t="shared" si="107"/>
        <v>2</v>
      </c>
      <c r="AI423" s="2">
        <f t="shared" si="108"/>
        <v>2</v>
      </c>
      <c r="AJ423" s="2">
        <f t="shared" si="109"/>
        <v>0</v>
      </c>
      <c r="AK423" s="2">
        <f t="shared" si="110"/>
        <v>0</v>
      </c>
      <c r="AL423" s="2">
        <f t="shared" si="111"/>
        <v>0</v>
      </c>
      <c r="AM423" s="115"/>
      <c r="AN423" s="115"/>
      <c r="AO423" s="63"/>
    </row>
    <row r="424" spans="1:41" ht="28.8" x14ac:dyDescent="0.55000000000000004">
      <c r="A424" s="36">
        <v>4747</v>
      </c>
      <c r="B424" s="113" t="s">
        <v>1753</v>
      </c>
      <c r="C424" s="138" t="s">
        <v>1754</v>
      </c>
      <c r="D424" s="114" t="s">
        <v>52</v>
      </c>
      <c r="E424" s="115"/>
      <c r="F424" s="116"/>
      <c r="G424" s="113" t="s">
        <v>1741</v>
      </c>
      <c r="H424" s="113" t="s">
        <v>1748</v>
      </c>
      <c r="I424" s="113"/>
      <c r="J424" s="117"/>
      <c r="K424" s="118"/>
      <c r="L424" s="109">
        <v>2</v>
      </c>
      <c r="M424" s="109">
        <v>3</v>
      </c>
      <c r="N424" s="109"/>
      <c r="O424" s="119"/>
      <c r="P424" s="2">
        <f t="shared" si="96"/>
        <v>1</v>
      </c>
      <c r="Q424" s="110" t="str">
        <f>IF(AND(Drops!$D$45&gt;1,OR(U424&lt;&gt;U423,AND(ROW()=5,U423=U424))),VLOOKUP(U424,Drops!$D$26:$E$44,2,FALSE),"")</f>
        <v/>
      </c>
      <c r="R424" s="2" t="str">
        <f t="shared" si="97"/>
        <v/>
      </c>
      <c r="S424" s="2">
        <f t="shared" ca="1" si="98"/>
        <v>1</v>
      </c>
      <c r="T424" s="2">
        <f t="shared" si="99"/>
        <v>0</v>
      </c>
      <c r="U424" s="110" t="s">
        <v>1744</v>
      </c>
      <c r="V424" s="110">
        <v>1</v>
      </c>
      <c r="W424" s="110">
        <v>6</v>
      </c>
      <c r="X424" s="110">
        <v>0</v>
      </c>
      <c r="Y424" s="110">
        <v>0</v>
      </c>
      <c r="Z424" s="110">
        <v>0</v>
      </c>
      <c r="AA424" s="2">
        <f t="shared" si="100"/>
        <v>1</v>
      </c>
      <c r="AB424" s="2">
        <f t="shared" si="101"/>
        <v>0</v>
      </c>
      <c r="AC424" s="2">
        <f t="shared" si="102"/>
        <v>1</v>
      </c>
      <c r="AD424" s="2">
        <f t="shared" si="103"/>
        <v>1</v>
      </c>
      <c r="AE424" s="2">
        <f t="shared" si="104"/>
        <v>0</v>
      </c>
      <c r="AF424" s="2">
        <f t="shared" si="105"/>
        <v>0</v>
      </c>
      <c r="AG424" s="2">
        <f t="shared" si="106"/>
        <v>0</v>
      </c>
      <c r="AH424" s="2">
        <f t="shared" si="107"/>
        <v>2</v>
      </c>
      <c r="AI424" s="2">
        <f t="shared" si="108"/>
        <v>2</v>
      </c>
      <c r="AJ424" s="2">
        <f t="shared" si="109"/>
        <v>0</v>
      </c>
      <c r="AK424" s="2">
        <f t="shared" si="110"/>
        <v>0</v>
      </c>
      <c r="AL424" s="2">
        <f t="shared" si="111"/>
        <v>0</v>
      </c>
      <c r="AM424" s="115"/>
      <c r="AN424" s="115"/>
      <c r="AO424" s="63"/>
    </row>
    <row r="425" spans="1:41" ht="273.60000000000002" x14ac:dyDescent="0.55000000000000004">
      <c r="A425" s="36">
        <v>2246</v>
      </c>
      <c r="B425" s="113" t="s">
        <v>316</v>
      </c>
      <c r="C425" s="113" t="s">
        <v>1755</v>
      </c>
      <c r="D425" s="114" t="s">
        <v>52</v>
      </c>
      <c r="E425" s="115" t="s">
        <v>1756</v>
      </c>
      <c r="F425" s="116"/>
      <c r="G425" s="113" t="s">
        <v>1741</v>
      </c>
      <c r="H425" s="113" t="s">
        <v>1757</v>
      </c>
      <c r="I425" s="113" t="s">
        <v>1758</v>
      </c>
      <c r="J425" s="117" t="s">
        <v>1759</v>
      </c>
      <c r="K425" s="118"/>
      <c r="L425" s="109">
        <v>1</v>
      </c>
      <c r="M425" s="109">
        <v>2</v>
      </c>
      <c r="N425" s="109"/>
      <c r="O425" s="119"/>
      <c r="P425" s="2">
        <f t="shared" si="96"/>
        <v>1</v>
      </c>
      <c r="Q425" s="110" t="str">
        <f>IF(AND(Drops!$D$45&gt;1,OR(U425&lt;&gt;U424,AND(ROW()=5,U424=U425))),VLOOKUP(U425,Drops!$D$26:$E$44,2,FALSE),"")</f>
        <v/>
      </c>
      <c r="R425" s="2" t="str">
        <f t="shared" si="97"/>
        <v/>
      </c>
      <c r="S425" s="2">
        <f t="shared" ca="1" si="98"/>
        <v>1</v>
      </c>
      <c r="T425" s="2">
        <f t="shared" si="99"/>
        <v>1</v>
      </c>
      <c r="U425" s="110" t="s">
        <v>1744</v>
      </c>
      <c r="V425" s="110">
        <v>2</v>
      </c>
      <c r="W425" s="110">
        <v>0</v>
      </c>
      <c r="X425" s="110">
        <v>0</v>
      </c>
      <c r="Y425" s="110">
        <v>0</v>
      </c>
      <c r="Z425" s="110">
        <v>0</v>
      </c>
      <c r="AA425" s="2">
        <f t="shared" si="100"/>
        <v>1</v>
      </c>
      <c r="AB425" s="2">
        <f t="shared" si="101"/>
        <v>1</v>
      </c>
      <c r="AC425" s="2">
        <f t="shared" si="102"/>
        <v>1</v>
      </c>
      <c r="AD425" s="2">
        <f t="shared" si="103"/>
        <v>0</v>
      </c>
      <c r="AE425" s="2">
        <f t="shared" si="104"/>
        <v>0</v>
      </c>
      <c r="AF425" s="2">
        <f t="shared" si="105"/>
        <v>0</v>
      </c>
      <c r="AG425" s="2">
        <f t="shared" si="106"/>
        <v>0</v>
      </c>
      <c r="AH425" s="2">
        <f t="shared" si="107"/>
        <v>2</v>
      </c>
      <c r="AI425" s="2">
        <f t="shared" si="108"/>
        <v>2</v>
      </c>
      <c r="AJ425" s="2">
        <f t="shared" si="109"/>
        <v>0</v>
      </c>
      <c r="AK425" s="2">
        <f t="shared" si="110"/>
        <v>0</v>
      </c>
      <c r="AL425" s="2">
        <f t="shared" si="111"/>
        <v>0</v>
      </c>
      <c r="AM425" s="115"/>
      <c r="AN425" s="115"/>
      <c r="AO425" s="63"/>
    </row>
    <row r="426" spans="1:41" ht="72" x14ac:dyDescent="0.55000000000000004">
      <c r="A426" s="36">
        <v>2699</v>
      </c>
      <c r="B426" s="113" t="s">
        <v>1760</v>
      </c>
      <c r="C426" s="138" t="s">
        <v>1761</v>
      </c>
      <c r="D426" s="114" t="s">
        <v>52</v>
      </c>
      <c r="E426" s="115"/>
      <c r="F426" s="116"/>
      <c r="G426" s="113" t="s">
        <v>1741</v>
      </c>
      <c r="H426" s="113" t="s">
        <v>1757</v>
      </c>
      <c r="I426" s="113" t="s">
        <v>1758</v>
      </c>
      <c r="J426" s="117" t="s">
        <v>1762</v>
      </c>
      <c r="K426" s="118"/>
      <c r="L426" s="109">
        <v>2</v>
      </c>
      <c r="M426" s="109">
        <v>2</v>
      </c>
      <c r="N426" s="109"/>
      <c r="O426" s="119"/>
      <c r="P426" s="2">
        <f t="shared" si="96"/>
        <v>1</v>
      </c>
      <c r="Q426" s="110" t="str">
        <f>IF(AND(Drops!$D$45&gt;1,OR(U426&lt;&gt;U425,AND(ROW()=5,U425=U426))),VLOOKUP(U426,Drops!$D$26:$E$44,2,FALSE),"")</f>
        <v/>
      </c>
      <c r="R426" s="2" t="str">
        <f t="shared" si="97"/>
        <v/>
      </c>
      <c r="S426" s="2">
        <f t="shared" ca="1" si="98"/>
        <v>1</v>
      </c>
      <c r="T426" s="2">
        <f t="shared" si="99"/>
        <v>0</v>
      </c>
      <c r="U426" s="110" t="s">
        <v>1744</v>
      </c>
      <c r="V426" s="110">
        <v>2</v>
      </c>
      <c r="W426" s="110">
        <v>10</v>
      </c>
      <c r="X426" s="110">
        <v>0</v>
      </c>
      <c r="Y426" s="110">
        <v>0</v>
      </c>
      <c r="Z426" s="110">
        <v>0</v>
      </c>
      <c r="AA426" s="2">
        <f t="shared" si="100"/>
        <v>1</v>
      </c>
      <c r="AB426" s="2">
        <f t="shared" si="101"/>
        <v>0</v>
      </c>
      <c r="AC426" s="2">
        <f t="shared" si="102"/>
        <v>1</v>
      </c>
      <c r="AD426" s="2">
        <f t="shared" si="103"/>
        <v>1</v>
      </c>
      <c r="AE426" s="2">
        <f t="shared" si="104"/>
        <v>0</v>
      </c>
      <c r="AF426" s="2">
        <f t="shared" si="105"/>
        <v>0</v>
      </c>
      <c r="AG426" s="2">
        <f t="shared" si="106"/>
        <v>0</v>
      </c>
      <c r="AH426" s="2">
        <f t="shared" si="107"/>
        <v>2</v>
      </c>
      <c r="AI426" s="2">
        <f t="shared" si="108"/>
        <v>2</v>
      </c>
      <c r="AJ426" s="2">
        <f t="shared" si="109"/>
        <v>0</v>
      </c>
      <c r="AK426" s="2">
        <f t="shared" si="110"/>
        <v>0</v>
      </c>
      <c r="AL426" s="2">
        <f t="shared" si="111"/>
        <v>0</v>
      </c>
      <c r="AM426" s="115"/>
      <c r="AN426" s="115"/>
      <c r="AO426" s="63"/>
    </row>
    <row r="427" spans="1:41" ht="57.6" x14ac:dyDescent="0.55000000000000004">
      <c r="A427" s="36">
        <v>2280</v>
      </c>
      <c r="B427" s="113" t="s">
        <v>1763</v>
      </c>
      <c r="C427" s="138" t="s">
        <v>1764</v>
      </c>
      <c r="D427" s="114" t="s">
        <v>52</v>
      </c>
      <c r="E427" s="115"/>
      <c r="F427" s="116"/>
      <c r="G427" s="113" t="s">
        <v>1741</v>
      </c>
      <c r="H427" s="113" t="s">
        <v>1757</v>
      </c>
      <c r="I427" s="113" t="s">
        <v>1758</v>
      </c>
      <c r="J427" s="117" t="s">
        <v>1765</v>
      </c>
      <c r="K427" s="118"/>
      <c r="L427" s="109">
        <v>2</v>
      </c>
      <c r="M427" s="109">
        <v>3</v>
      </c>
      <c r="N427" s="109"/>
      <c r="O427" s="119"/>
      <c r="P427" s="2">
        <f t="shared" si="96"/>
        <v>1</v>
      </c>
      <c r="Q427" s="110" t="str">
        <f>IF(AND(Drops!$D$45&gt;1,OR(U427&lt;&gt;U426,AND(ROW()=5,U426=U427))),VLOOKUP(U427,Drops!$D$26:$E$44,2,FALSE),"")</f>
        <v/>
      </c>
      <c r="R427" s="2" t="str">
        <f t="shared" si="97"/>
        <v/>
      </c>
      <c r="S427" s="2">
        <f t="shared" ca="1" si="98"/>
        <v>1</v>
      </c>
      <c r="T427" s="2">
        <f t="shared" si="99"/>
        <v>0</v>
      </c>
      <c r="U427" s="110" t="s">
        <v>1744</v>
      </c>
      <c r="V427" s="110">
        <v>2</v>
      </c>
      <c r="W427" s="110">
        <v>11</v>
      </c>
      <c r="X427" s="110">
        <v>0</v>
      </c>
      <c r="Y427" s="110">
        <v>0</v>
      </c>
      <c r="Z427" s="110">
        <v>0</v>
      </c>
      <c r="AA427" s="2">
        <f t="shared" si="100"/>
        <v>1</v>
      </c>
      <c r="AB427" s="2">
        <f t="shared" si="101"/>
        <v>0</v>
      </c>
      <c r="AC427" s="2">
        <f t="shared" si="102"/>
        <v>1</v>
      </c>
      <c r="AD427" s="2">
        <f t="shared" si="103"/>
        <v>1</v>
      </c>
      <c r="AE427" s="2">
        <f t="shared" si="104"/>
        <v>0</v>
      </c>
      <c r="AF427" s="2">
        <f t="shared" si="105"/>
        <v>0</v>
      </c>
      <c r="AG427" s="2">
        <f t="shared" si="106"/>
        <v>0</v>
      </c>
      <c r="AH427" s="2">
        <f t="shared" si="107"/>
        <v>2</v>
      </c>
      <c r="AI427" s="2">
        <f t="shared" si="108"/>
        <v>2</v>
      </c>
      <c r="AJ427" s="2">
        <f t="shared" si="109"/>
        <v>0</v>
      </c>
      <c r="AK427" s="2">
        <f t="shared" si="110"/>
        <v>0</v>
      </c>
      <c r="AL427" s="2">
        <f t="shared" si="111"/>
        <v>0</v>
      </c>
      <c r="AM427" s="115"/>
      <c r="AN427" s="115"/>
      <c r="AO427" s="63"/>
    </row>
    <row r="428" spans="1:41" ht="43.2" x14ac:dyDescent="0.55000000000000004">
      <c r="A428" s="36">
        <v>2702</v>
      </c>
      <c r="B428" s="113" t="s">
        <v>1766</v>
      </c>
      <c r="C428" s="138" t="s">
        <v>1767</v>
      </c>
      <c r="D428" s="114" t="s">
        <v>52</v>
      </c>
      <c r="E428" s="115"/>
      <c r="F428" s="116"/>
      <c r="G428" s="113" t="s">
        <v>1741</v>
      </c>
      <c r="H428" s="113" t="s">
        <v>1757</v>
      </c>
      <c r="I428" s="113"/>
      <c r="J428" s="117" t="s">
        <v>1768</v>
      </c>
      <c r="K428" s="118"/>
      <c r="L428" s="109">
        <v>2</v>
      </c>
      <c r="M428" s="109">
        <v>3</v>
      </c>
      <c r="N428" s="109"/>
      <c r="O428" s="119"/>
      <c r="P428" s="2">
        <f t="shared" si="96"/>
        <v>1</v>
      </c>
      <c r="Q428" s="110" t="str">
        <f>IF(AND(Drops!$D$45&gt;1,OR(U428&lt;&gt;U427,AND(ROW()=5,U427=U428))),VLOOKUP(U428,Drops!$D$26:$E$44,2,FALSE),"")</f>
        <v/>
      </c>
      <c r="R428" s="2" t="str">
        <f t="shared" si="97"/>
        <v/>
      </c>
      <c r="S428" s="2">
        <f t="shared" ca="1" si="98"/>
        <v>1</v>
      </c>
      <c r="T428" s="2">
        <f t="shared" si="99"/>
        <v>0</v>
      </c>
      <c r="U428" s="110" t="s">
        <v>1744</v>
      </c>
      <c r="V428" s="110">
        <v>2</v>
      </c>
      <c r="W428" s="110">
        <v>12</v>
      </c>
      <c r="X428" s="110">
        <v>0</v>
      </c>
      <c r="Y428" s="110">
        <v>0</v>
      </c>
      <c r="Z428" s="110">
        <v>0</v>
      </c>
      <c r="AA428" s="2">
        <f t="shared" si="100"/>
        <v>1</v>
      </c>
      <c r="AB428" s="2">
        <f t="shared" si="101"/>
        <v>0</v>
      </c>
      <c r="AC428" s="2">
        <f t="shared" si="102"/>
        <v>1</v>
      </c>
      <c r="AD428" s="2">
        <f t="shared" si="103"/>
        <v>1</v>
      </c>
      <c r="AE428" s="2">
        <f t="shared" si="104"/>
        <v>0</v>
      </c>
      <c r="AF428" s="2">
        <f t="shared" si="105"/>
        <v>0</v>
      </c>
      <c r="AG428" s="2">
        <f t="shared" si="106"/>
        <v>0</v>
      </c>
      <c r="AH428" s="2">
        <f t="shared" si="107"/>
        <v>2</v>
      </c>
      <c r="AI428" s="2">
        <f t="shared" si="108"/>
        <v>2</v>
      </c>
      <c r="AJ428" s="2">
        <f t="shared" si="109"/>
        <v>0</v>
      </c>
      <c r="AK428" s="2">
        <f t="shared" si="110"/>
        <v>0</v>
      </c>
      <c r="AL428" s="2">
        <f t="shared" si="111"/>
        <v>0</v>
      </c>
      <c r="AM428" s="115"/>
      <c r="AN428" s="115"/>
      <c r="AO428" s="63"/>
    </row>
    <row r="429" spans="1:41" ht="57.6" x14ac:dyDescent="0.55000000000000004">
      <c r="A429" s="36">
        <v>2704</v>
      </c>
      <c r="B429" s="113" t="s">
        <v>1769</v>
      </c>
      <c r="C429" s="138" t="s">
        <v>1770</v>
      </c>
      <c r="D429" s="114" t="s">
        <v>52</v>
      </c>
      <c r="E429" s="115"/>
      <c r="F429" s="116"/>
      <c r="G429" s="113" t="s">
        <v>1741</v>
      </c>
      <c r="H429" s="113" t="s">
        <v>1757</v>
      </c>
      <c r="I429" s="113" t="s">
        <v>1758</v>
      </c>
      <c r="J429" s="117" t="s">
        <v>1771</v>
      </c>
      <c r="K429" s="118"/>
      <c r="L429" s="109">
        <v>2</v>
      </c>
      <c r="M429" s="109">
        <v>2</v>
      </c>
      <c r="N429" s="109"/>
      <c r="O429" s="119"/>
      <c r="P429" s="2">
        <f t="shared" si="96"/>
        <v>1</v>
      </c>
      <c r="Q429" s="110" t="str">
        <f>IF(AND(Drops!$D$45&gt;1,OR(U429&lt;&gt;U428,AND(ROW()=5,U428=U429))),VLOOKUP(U429,Drops!$D$26:$E$44,2,FALSE),"")</f>
        <v/>
      </c>
      <c r="R429" s="2" t="str">
        <f t="shared" si="97"/>
        <v/>
      </c>
      <c r="S429" s="2">
        <f t="shared" ca="1" si="98"/>
        <v>1</v>
      </c>
      <c r="T429" s="2">
        <f t="shared" si="99"/>
        <v>0</v>
      </c>
      <c r="U429" s="110" t="s">
        <v>1744</v>
      </c>
      <c r="V429" s="110">
        <v>2</v>
      </c>
      <c r="W429" s="110">
        <v>14</v>
      </c>
      <c r="X429" s="110">
        <v>0</v>
      </c>
      <c r="Y429" s="110">
        <v>0</v>
      </c>
      <c r="Z429" s="110">
        <v>0</v>
      </c>
      <c r="AA429" s="2">
        <f t="shared" si="100"/>
        <v>1</v>
      </c>
      <c r="AB429" s="2">
        <f t="shared" si="101"/>
        <v>0</v>
      </c>
      <c r="AC429" s="2">
        <f t="shared" si="102"/>
        <v>1</v>
      </c>
      <c r="AD429" s="2">
        <f t="shared" si="103"/>
        <v>1</v>
      </c>
      <c r="AE429" s="2">
        <f t="shared" si="104"/>
        <v>0</v>
      </c>
      <c r="AF429" s="2">
        <f t="shared" si="105"/>
        <v>0</v>
      </c>
      <c r="AG429" s="2">
        <f t="shared" si="106"/>
        <v>0</v>
      </c>
      <c r="AH429" s="2">
        <f t="shared" si="107"/>
        <v>2</v>
      </c>
      <c r="AI429" s="2">
        <f t="shared" si="108"/>
        <v>2</v>
      </c>
      <c r="AJ429" s="2">
        <f t="shared" si="109"/>
        <v>0</v>
      </c>
      <c r="AK429" s="2">
        <f t="shared" si="110"/>
        <v>0</v>
      </c>
      <c r="AL429" s="2">
        <f t="shared" si="111"/>
        <v>0</v>
      </c>
      <c r="AM429" s="115"/>
      <c r="AN429" s="115"/>
      <c r="AO429" s="63"/>
    </row>
    <row r="430" spans="1:41" ht="43.2" x14ac:dyDescent="0.55000000000000004">
      <c r="A430" s="36">
        <v>2705</v>
      </c>
      <c r="B430" s="113" t="s">
        <v>1772</v>
      </c>
      <c r="C430" s="138" t="s">
        <v>1773</v>
      </c>
      <c r="D430" s="114" t="s">
        <v>52</v>
      </c>
      <c r="E430" s="115"/>
      <c r="F430" s="116"/>
      <c r="G430" s="113" t="s">
        <v>1741</v>
      </c>
      <c r="H430" s="113" t="s">
        <v>1757</v>
      </c>
      <c r="I430" s="113" t="s">
        <v>1774</v>
      </c>
      <c r="J430" s="117" t="s">
        <v>1775</v>
      </c>
      <c r="K430" s="118"/>
      <c r="L430" s="109">
        <v>2</v>
      </c>
      <c r="M430" s="109">
        <v>3</v>
      </c>
      <c r="N430" s="109"/>
      <c r="O430" s="119"/>
      <c r="P430" s="2">
        <f t="shared" si="96"/>
        <v>1</v>
      </c>
      <c r="Q430" s="110" t="str">
        <f>IF(AND(Drops!$D$45&gt;1,OR(U430&lt;&gt;U429,AND(ROW()=5,U429=U430))),VLOOKUP(U430,Drops!$D$26:$E$44,2,FALSE),"")</f>
        <v/>
      </c>
      <c r="R430" s="2" t="str">
        <f t="shared" si="97"/>
        <v/>
      </c>
      <c r="S430" s="2">
        <f t="shared" ca="1" si="98"/>
        <v>1</v>
      </c>
      <c r="T430" s="2">
        <f t="shared" si="99"/>
        <v>0</v>
      </c>
      <c r="U430" s="110" t="s">
        <v>1744</v>
      </c>
      <c r="V430" s="110">
        <v>2</v>
      </c>
      <c r="W430" s="110">
        <v>15</v>
      </c>
      <c r="X430" s="110">
        <v>0</v>
      </c>
      <c r="Y430" s="110">
        <v>0</v>
      </c>
      <c r="Z430" s="110">
        <v>0</v>
      </c>
      <c r="AA430" s="2">
        <f t="shared" si="100"/>
        <v>1</v>
      </c>
      <c r="AB430" s="2">
        <f t="shared" si="101"/>
        <v>0</v>
      </c>
      <c r="AC430" s="2">
        <f t="shared" si="102"/>
        <v>1</v>
      </c>
      <c r="AD430" s="2">
        <f t="shared" si="103"/>
        <v>1</v>
      </c>
      <c r="AE430" s="2">
        <f t="shared" si="104"/>
        <v>0</v>
      </c>
      <c r="AF430" s="2">
        <f t="shared" si="105"/>
        <v>0</v>
      </c>
      <c r="AG430" s="2">
        <f t="shared" si="106"/>
        <v>0</v>
      </c>
      <c r="AH430" s="2">
        <f t="shared" si="107"/>
        <v>2</v>
      </c>
      <c r="AI430" s="2">
        <f t="shared" si="108"/>
        <v>2</v>
      </c>
      <c r="AJ430" s="2">
        <f t="shared" si="109"/>
        <v>0</v>
      </c>
      <c r="AK430" s="2">
        <f t="shared" si="110"/>
        <v>0</v>
      </c>
      <c r="AL430" s="2">
        <f t="shared" si="111"/>
        <v>0</v>
      </c>
      <c r="AM430" s="115"/>
      <c r="AN430" s="115"/>
      <c r="AO430" s="63"/>
    </row>
    <row r="431" spans="1:41" ht="57.6" x14ac:dyDescent="0.55000000000000004">
      <c r="A431" s="36">
        <v>2273</v>
      </c>
      <c r="B431" s="113" t="s">
        <v>1776</v>
      </c>
      <c r="C431" s="138" t="s">
        <v>1777</v>
      </c>
      <c r="D431" s="114" t="s">
        <v>52</v>
      </c>
      <c r="E431" s="115"/>
      <c r="F431" s="116"/>
      <c r="G431" s="113" t="s">
        <v>1741</v>
      </c>
      <c r="H431" s="113" t="s">
        <v>1757</v>
      </c>
      <c r="I431" s="113" t="s">
        <v>1778</v>
      </c>
      <c r="J431" s="117" t="s">
        <v>1779</v>
      </c>
      <c r="K431" s="118"/>
      <c r="L431" s="109">
        <v>2</v>
      </c>
      <c r="M431" s="109">
        <v>3</v>
      </c>
      <c r="N431" s="109"/>
      <c r="O431" s="119"/>
      <c r="P431" s="2">
        <f t="shared" si="96"/>
        <v>1</v>
      </c>
      <c r="Q431" s="110" t="str">
        <f>IF(AND(Drops!$D$45&gt;1,OR(U431&lt;&gt;U430,AND(ROW()=5,U430=U431))),VLOOKUP(U431,Drops!$D$26:$E$44,2,FALSE),"")</f>
        <v/>
      </c>
      <c r="R431" s="2" t="str">
        <f t="shared" si="97"/>
        <v/>
      </c>
      <c r="S431" s="2">
        <f t="shared" ca="1" si="98"/>
        <v>1</v>
      </c>
      <c r="T431" s="2">
        <f t="shared" si="99"/>
        <v>0</v>
      </c>
      <c r="U431" s="110" t="s">
        <v>1744</v>
      </c>
      <c r="V431" s="110">
        <v>2</v>
      </c>
      <c r="W431" s="110">
        <v>16</v>
      </c>
      <c r="X431" s="110">
        <v>0</v>
      </c>
      <c r="Y431" s="110">
        <v>0</v>
      </c>
      <c r="Z431" s="110">
        <v>0</v>
      </c>
      <c r="AA431" s="2">
        <f t="shared" si="100"/>
        <v>1</v>
      </c>
      <c r="AB431" s="2">
        <f t="shared" si="101"/>
        <v>0</v>
      </c>
      <c r="AC431" s="2">
        <f t="shared" si="102"/>
        <v>1</v>
      </c>
      <c r="AD431" s="2">
        <f t="shared" si="103"/>
        <v>1</v>
      </c>
      <c r="AE431" s="2">
        <f t="shared" si="104"/>
        <v>0</v>
      </c>
      <c r="AF431" s="2">
        <f t="shared" si="105"/>
        <v>0</v>
      </c>
      <c r="AG431" s="2">
        <f t="shared" si="106"/>
        <v>0</v>
      </c>
      <c r="AH431" s="2">
        <f t="shared" si="107"/>
        <v>2</v>
      </c>
      <c r="AI431" s="2">
        <f t="shared" si="108"/>
        <v>2</v>
      </c>
      <c r="AJ431" s="2">
        <f t="shared" si="109"/>
        <v>0</v>
      </c>
      <c r="AK431" s="2">
        <f t="shared" si="110"/>
        <v>0</v>
      </c>
      <c r="AL431" s="2">
        <f t="shared" si="111"/>
        <v>0</v>
      </c>
      <c r="AM431" s="115"/>
      <c r="AN431" s="115"/>
      <c r="AO431" s="63"/>
    </row>
    <row r="432" spans="1:41" ht="43.2" x14ac:dyDescent="0.55000000000000004">
      <c r="A432" s="36">
        <v>4239</v>
      </c>
      <c r="B432" s="113" t="s">
        <v>1780</v>
      </c>
      <c r="C432" s="138" t="s">
        <v>1781</v>
      </c>
      <c r="D432" s="114" t="s">
        <v>52</v>
      </c>
      <c r="E432" s="115"/>
      <c r="F432" s="116"/>
      <c r="G432" s="113" t="s">
        <v>1741</v>
      </c>
      <c r="H432" s="113" t="s">
        <v>1757</v>
      </c>
      <c r="I432" s="113" t="s">
        <v>1778</v>
      </c>
      <c r="J432" s="117" t="s">
        <v>1782</v>
      </c>
      <c r="K432" s="118"/>
      <c r="L432" s="109">
        <v>2</v>
      </c>
      <c r="M432" s="109">
        <v>3</v>
      </c>
      <c r="N432" s="109"/>
      <c r="O432" s="119"/>
      <c r="P432" s="2">
        <f t="shared" si="96"/>
        <v>1</v>
      </c>
      <c r="Q432" s="110" t="str">
        <f>IF(AND(Drops!$D$45&gt;1,OR(U432&lt;&gt;U431,AND(ROW()=5,U431=U432))),VLOOKUP(U432,Drops!$D$26:$E$44,2,FALSE),"")</f>
        <v/>
      </c>
      <c r="R432" s="2" t="str">
        <f t="shared" si="97"/>
        <v/>
      </c>
      <c r="S432" s="2">
        <f t="shared" ca="1" si="98"/>
        <v>1</v>
      </c>
      <c r="T432" s="2">
        <f t="shared" si="99"/>
        <v>0</v>
      </c>
      <c r="U432" s="110" t="s">
        <v>1744</v>
      </c>
      <c r="V432" s="110">
        <v>2</v>
      </c>
      <c r="W432" s="110">
        <v>17</v>
      </c>
      <c r="X432" s="110">
        <v>0</v>
      </c>
      <c r="Y432" s="110">
        <v>0</v>
      </c>
      <c r="Z432" s="110">
        <v>0</v>
      </c>
      <c r="AA432" s="2">
        <f t="shared" si="100"/>
        <v>1</v>
      </c>
      <c r="AB432" s="2">
        <f t="shared" si="101"/>
        <v>1</v>
      </c>
      <c r="AC432" s="2">
        <f t="shared" si="102"/>
        <v>1</v>
      </c>
      <c r="AD432" s="2">
        <f t="shared" si="103"/>
        <v>1</v>
      </c>
      <c r="AE432" s="2">
        <f t="shared" si="104"/>
        <v>0</v>
      </c>
      <c r="AF432" s="2">
        <f t="shared" si="105"/>
        <v>0</v>
      </c>
      <c r="AG432" s="2">
        <f t="shared" si="106"/>
        <v>0</v>
      </c>
      <c r="AH432" s="2">
        <f t="shared" si="107"/>
        <v>2</v>
      </c>
      <c r="AI432" s="2">
        <f t="shared" si="108"/>
        <v>2</v>
      </c>
      <c r="AJ432" s="2">
        <f t="shared" si="109"/>
        <v>0</v>
      </c>
      <c r="AK432" s="2">
        <f t="shared" si="110"/>
        <v>0</v>
      </c>
      <c r="AL432" s="2">
        <f t="shared" si="111"/>
        <v>0</v>
      </c>
      <c r="AM432" s="115"/>
      <c r="AN432" s="115"/>
      <c r="AO432" s="63"/>
    </row>
    <row r="433" spans="1:41" ht="57.6" x14ac:dyDescent="0.55000000000000004">
      <c r="A433" s="36">
        <v>4748</v>
      </c>
      <c r="B433" s="113" t="s">
        <v>1783</v>
      </c>
      <c r="C433" s="139" t="s">
        <v>1784</v>
      </c>
      <c r="D433" s="114" t="s">
        <v>52</v>
      </c>
      <c r="E433" s="115"/>
      <c r="F433" s="116"/>
      <c r="G433" s="113" t="s">
        <v>1741</v>
      </c>
      <c r="H433" s="113" t="s">
        <v>1757</v>
      </c>
      <c r="I433" s="113" t="s">
        <v>1778</v>
      </c>
      <c r="J433" s="117" t="s">
        <v>1779</v>
      </c>
      <c r="K433" s="118"/>
      <c r="L433" s="109">
        <v>3</v>
      </c>
      <c r="M433" s="109">
        <v>3</v>
      </c>
      <c r="N433" s="109"/>
      <c r="O433" s="119"/>
      <c r="P433" s="2">
        <f t="shared" si="96"/>
        <v>1</v>
      </c>
      <c r="Q433" s="110" t="str">
        <f>IF(AND(Drops!$D$45&gt;1,OR(U433&lt;&gt;U432,AND(ROW()=5,U432=U433))),VLOOKUP(U433,Drops!$D$26:$E$44,2,FALSE),"")</f>
        <v/>
      </c>
      <c r="R433" s="2" t="str">
        <f t="shared" si="97"/>
        <v/>
      </c>
      <c r="S433" s="2">
        <f t="shared" ca="1" si="98"/>
        <v>1</v>
      </c>
      <c r="T433" s="2">
        <f t="shared" si="99"/>
        <v>0</v>
      </c>
      <c r="U433" s="110" t="s">
        <v>1744</v>
      </c>
      <c r="V433" s="110">
        <v>2</v>
      </c>
      <c r="W433" s="110">
        <v>17</v>
      </c>
      <c r="X433" s="110">
        <v>1</v>
      </c>
      <c r="Y433" s="110">
        <v>0</v>
      </c>
      <c r="Z433" s="110">
        <v>0</v>
      </c>
      <c r="AA433" s="2">
        <f t="shared" si="100"/>
        <v>1</v>
      </c>
      <c r="AB433" s="2">
        <f t="shared" si="101"/>
        <v>0</v>
      </c>
      <c r="AC433" s="2">
        <f t="shared" si="102"/>
        <v>1</v>
      </c>
      <c r="AD433" s="2">
        <f t="shared" si="103"/>
        <v>1</v>
      </c>
      <c r="AE433" s="2">
        <f t="shared" si="104"/>
        <v>1</v>
      </c>
      <c r="AF433" s="2">
        <f t="shared" si="105"/>
        <v>0</v>
      </c>
      <c r="AG433" s="2">
        <f t="shared" si="106"/>
        <v>0</v>
      </c>
      <c r="AH433" s="2">
        <f t="shared" si="107"/>
        <v>2</v>
      </c>
      <c r="AI433" s="2">
        <f t="shared" si="108"/>
        <v>2</v>
      </c>
      <c r="AJ433" s="2">
        <f t="shared" si="109"/>
        <v>2</v>
      </c>
      <c r="AK433" s="2">
        <f t="shared" si="110"/>
        <v>0</v>
      </c>
      <c r="AL433" s="2">
        <f t="shared" si="111"/>
        <v>0</v>
      </c>
      <c r="AM433" s="115"/>
      <c r="AN433" s="115"/>
      <c r="AO433" s="63"/>
    </row>
    <row r="434" spans="1:41" ht="57.6" x14ac:dyDescent="0.55000000000000004">
      <c r="A434" s="36">
        <v>4460</v>
      </c>
      <c r="B434" s="113" t="s">
        <v>1785</v>
      </c>
      <c r="C434" s="138" t="s">
        <v>1786</v>
      </c>
      <c r="D434" s="114" t="s">
        <v>52</v>
      </c>
      <c r="E434" s="115"/>
      <c r="F434" s="116"/>
      <c r="G434" s="113" t="s">
        <v>1741</v>
      </c>
      <c r="H434" s="113" t="s">
        <v>1757</v>
      </c>
      <c r="I434" s="113" t="s">
        <v>1787</v>
      </c>
      <c r="J434" s="117" t="s">
        <v>1771</v>
      </c>
      <c r="K434" s="118"/>
      <c r="L434" s="109">
        <v>2</v>
      </c>
      <c r="M434" s="109">
        <v>3</v>
      </c>
      <c r="N434" s="109"/>
      <c r="O434" s="119"/>
      <c r="P434" s="2">
        <f t="shared" si="96"/>
        <v>1</v>
      </c>
      <c r="Q434" s="110" t="str">
        <f>IF(AND(Drops!$D$45&gt;1,OR(U434&lt;&gt;U433,AND(ROW()=5,U433=U434))),VLOOKUP(U434,Drops!$D$26:$E$44,2,FALSE),"")</f>
        <v/>
      </c>
      <c r="R434" s="2" t="str">
        <f t="shared" si="97"/>
        <v/>
      </c>
      <c r="S434" s="2">
        <f t="shared" ca="1" si="98"/>
        <v>1</v>
      </c>
      <c r="T434" s="2">
        <f t="shared" si="99"/>
        <v>0</v>
      </c>
      <c r="U434" s="110" t="s">
        <v>1744</v>
      </c>
      <c r="V434" s="110">
        <v>2</v>
      </c>
      <c r="W434" s="110">
        <v>20</v>
      </c>
      <c r="X434" s="110">
        <v>0</v>
      </c>
      <c r="Y434" s="110">
        <v>0</v>
      </c>
      <c r="Z434" s="110">
        <v>0</v>
      </c>
      <c r="AA434" s="2">
        <f t="shared" si="100"/>
        <v>1</v>
      </c>
      <c r="AB434" s="2">
        <f t="shared" si="101"/>
        <v>0</v>
      </c>
      <c r="AC434" s="2">
        <f t="shared" si="102"/>
        <v>1</v>
      </c>
      <c r="AD434" s="2">
        <f t="shared" si="103"/>
        <v>1</v>
      </c>
      <c r="AE434" s="2">
        <f t="shared" si="104"/>
        <v>0</v>
      </c>
      <c r="AF434" s="2">
        <f t="shared" si="105"/>
        <v>0</v>
      </c>
      <c r="AG434" s="2">
        <f t="shared" si="106"/>
        <v>0</v>
      </c>
      <c r="AH434" s="2">
        <f t="shared" si="107"/>
        <v>2</v>
      </c>
      <c r="AI434" s="2">
        <f t="shared" si="108"/>
        <v>2</v>
      </c>
      <c r="AJ434" s="2">
        <f t="shared" si="109"/>
        <v>2</v>
      </c>
      <c r="AK434" s="2">
        <f t="shared" si="110"/>
        <v>0</v>
      </c>
      <c r="AL434" s="2">
        <f t="shared" si="111"/>
        <v>0</v>
      </c>
      <c r="AM434" s="115"/>
      <c r="AN434" s="115"/>
      <c r="AO434" s="63"/>
    </row>
    <row r="435" spans="1:41" ht="57.6" x14ac:dyDescent="0.55000000000000004">
      <c r="A435" s="36">
        <v>4750</v>
      </c>
      <c r="B435" s="113" t="s">
        <v>1788</v>
      </c>
      <c r="C435" s="138" t="s">
        <v>1789</v>
      </c>
      <c r="D435" s="114" t="s">
        <v>52</v>
      </c>
      <c r="E435" s="115"/>
      <c r="F435" s="116"/>
      <c r="G435" s="113" t="s">
        <v>1741</v>
      </c>
      <c r="H435" s="113" t="s">
        <v>1757</v>
      </c>
      <c r="I435" s="113" t="s">
        <v>1790</v>
      </c>
      <c r="J435" s="117" t="s">
        <v>1791</v>
      </c>
      <c r="K435" s="118"/>
      <c r="L435" s="109">
        <v>2</v>
      </c>
      <c r="M435" s="109">
        <v>3</v>
      </c>
      <c r="N435" s="109"/>
      <c r="O435" s="119"/>
      <c r="P435" s="2">
        <f t="shared" si="96"/>
        <v>1</v>
      </c>
      <c r="Q435" s="110" t="str">
        <f>IF(AND(Drops!$D$45&gt;1,OR(U435&lt;&gt;U434,AND(ROW()=5,U434=U435))),VLOOKUP(U435,Drops!$D$26:$E$44,2,FALSE),"")</f>
        <v/>
      </c>
      <c r="R435" s="2" t="str">
        <f t="shared" si="97"/>
        <v/>
      </c>
      <c r="S435" s="2">
        <f t="shared" ca="1" si="98"/>
        <v>1</v>
      </c>
      <c r="T435" s="2">
        <f t="shared" si="99"/>
        <v>0</v>
      </c>
      <c r="U435" s="110" t="s">
        <v>1744</v>
      </c>
      <c r="V435" s="110">
        <v>2</v>
      </c>
      <c r="W435" s="110">
        <v>22</v>
      </c>
      <c r="X435" s="110">
        <v>0</v>
      </c>
      <c r="Y435" s="110">
        <v>0</v>
      </c>
      <c r="Z435" s="110">
        <v>0</v>
      </c>
      <c r="AA435" s="2">
        <f t="shared" si="100"/>
        <v>1</v>
      </c>
      <c r="AB435" s="2">
        <f t="shared" si="101"/>
        <v>1</v>
      </c>
      <c r="AC435" s="2">
        <f t="shared" si="102"/>
        <v>1</v>
      </c>
      <c r="AD435" s="2">
        <f t="shared" si="103"/>
        <v>1</v>
      </c>
      <c r="AE435" s="2">
        <f t="shared" si="104"/>
        <v>0</v>
      </c>
      <c r="AF435" s="2">
        <f t="shared" si="105"/>
        <v>0</v>
      </c>
      <c r="AG435" s="2">
        <f t="shared" si="106"/>
        <v>0</v>
      </c>
      <c r="AH435" s="2">
        <f t="shared" si="107"/>
        <v>2</v>
      </c>
      <c r="AI435" s="2">
        <f t="shared" si="108"/>
        <v>2</v>
      </c>
      <c r="AJ435" s="2">
        <f t="shared" si="109"/>
        <v>2</v>
      </c>
      <c r="AK435" s="2">
        <f t="shared" si="110"/>
        <v>0</v>
      </c>
      <c r="AL435" s="2">
        <f t="shared" si="111"/>
        <v>0</v>
      </c>
      <c r="AM435" s="115"/>
      <c r="AN435" s="115"/>
      <c r="AO435" s="63"/>
    </row>
    <row r="436" spans="1:41" ht="43.2" x14ac:dyDescent="0.55000000000000004">
      <c r="A436" s="36">
        <v>4751</v>
      </c>
      <c r="B436" s="113" t="s">
        <v>1792</v>
      </c>
      <c r="C436" s="139" t="s">
        <v>1793</v>
      </c>
      <c r="D436" s="114" t="s">
        <v>52</v>
      </c>
      <c r="E436" s="115"/>
      <c r="F436" s="116"/>
      <c r="G436" s="113" t="s">
        <v>1741</v>
      </c>
      <c r="H436" s="113" t="s">
        <v>1757</v>
      </c>
      <c r="I436" s="113" t="s">
        <v>1794</v>
      </c>
      <c r="J436" s="117" t="s">
        <v>1795</v>
      </c>
      <c r="K436" s="118"/>
      <c r="L436" s="109">
        <v>3</v>
      </c>
      <c r="M436" s="109">
        <v>3</v>
      </c>
      <c r="N436" s="109"/>
      <c r="O436" s="119"/>
      <c r="P436" s="2">
        <f t="shared" si="96"/>
        <v>1</v>
      </c>
      <c r="Q436" s="110" t="str">
        <f>IF(AND(Drops!$D$45&gt;1,OR(U436&lt;&gt;U435,AND(ROW()=5,U435=U436))),VLOOKUP(U436,Drops!$D$26:$E$44,2,FALSE),"")</f>
        <v/>
      </c>
      <c r="R436" s="2" t="str">
        <f t="shared" si="97"/>
        <v/>
      </c>
      <c r="S436" s="2">
        <f t="shared" ca="1" si="98"/>
        <v>1</v>
      </c>
      <c r="T436" s="2">
        <f t="shared" si="99"/>
        <v>0</v>
      </c>
      <c r="U436" s="110" t="s">
        <v>1744</v>
      </c>
      <c r="V436" s="110">
        <v>2</v>
      </c>
      <c r="W436" s="110">
        <v>22</v>
      </c>
      <c r="X436" s="110">
        <v>1</v>
      </c>
      <c r="Y436" s="110">
        <v>0</v>
      </c>
      <c r="Z436" s="110">
        <v>0</v>
      </c>
      <c r="AA436" s="2">
        <f t="shared" si="100"/>
        <v>1</v>
      </c>
      <c r="AB436" s="2">
        <f t="shared" si="101"/>
        <v>0</v>
      </c>
      <c r="AC436" s="2">
        <f t="shared" si="102"/>
        <v>1</v>
      </c>
      <c r="AD436" s="2">
        <f t="shared" si="103"/>
        <v>1</v>
      </c>
      <c r="AE436" s="2">
        <f t="shared" si="104"/>
        <v>1</v>
      </c>
      <c r="AF436" s="2">
        <f t="shared" si="105"/>
        <v>0</v>
      </c>
      <c r="AG436" s="2">
        <f t="shared" si="106"/>
        <v>0</v>
      </c>
      <c r="AH436" s="2">
        <f t="shared" si="107"/>
        <v>2</v>
      </c>
      <c r="AI436" s="2">
        <f t="shared" si="108"/>
        <v>2</v>
      </c>
      <c r="AJ436" s="2">
        <f t="shared" si="109"/>
        <v>2</v>
      </c>
      <c r="AK436" s="2">
        <f t="shared" si="110"/>
        <v>0</v>
      </c>
      <c r="AL436" s="2">
        <f t="shared" si="111"/>
        <v>0</v>
      </c>
      <c r="AM436" s="115"/>
      <c r="AN436" s="115"/>
      <c r="AO436" s="63"/>
    </row>
    <row r="437" spans="1:41" ht="57.6" x14ac:dyDescent="0.55000000000000004">
      <c r="A437" s="36">
        <v>4752</v>
      </c>
      <c r="B437" s="113" t="s">
        <v>1796</v>
      </c>
      <c r="C437" s="138" t="s">
        <v>1797</v>
      </c>
      <c r="D437" s="114" t="s">
        <v>52</v>
      </c>
      <c r="E437" s="115"/>
      <c r="F437" s="116"/>
      <c r="G437" s="113" t="s">
        <v>1741</v>
      </c>
      <c r="H437" s="113" t="s">
        <v>1757</v>
      </c>
      <c r="I437" s="113" t="s">
        <v>1798</v>
      </c>
      <c r="J437" s="117" t="s">
        <v>1795</v>
      </c>
      <c r="K437" s="118"/>
      <c r="L437" s="109">
        <v>2</v>
      </c>
      <c r="M437" s="109">
        <v>3</v>
      </c>
      <c r="N437" s="109"/>
      <c r="O437" s="119"/>
      <c r="P437" s="2">
        <f t="shared" si="96"/>
        <v>1</v>
      </c>
      <c r="Q437" s="110" t="str">
        <f>IF(AND(Drops!$D$45&gt;1,OR(U437&lt;&gt;U436,AND(ROW()=5,U436=U437))),VLOOKUP(U437,Drops!$D$26:$E$44,2,FALSE),"")</f>
        <v/>
      </c>
      <c r="R437" s="2" t="str">
        <f t="shared" si="97"/>
        <v/>
      </c>
      <c r="S437" s="2">
        <f t="shared" ca="1" si="98"/>
        <v>1</v>
      </c>
      <c r="T437" s="2">
        <f t="shared" si="99"/>
        <v>0</v>
      </c>
      <c r="U437" s="110" t="s">
        <v>1744</v>
      </c>
      <c r="V437" s="110">
        <v>2</v>
      </c>
      <c r="W437" s="110">
        <v>23</v>
      </c>
      <c r="X437" s="110">
        <v>0</v>
      </c>
      <c r="Y437" s="110">
        <v>0</v>
      </c>
      <c r="Z437" s="110">
        <v>0</v>
      </c>
      <c r="AA437" s="2">
        <f t="shared" si="100"/>
        <v>1</v>
      </c>
      <c r="AB437" s="2">
        <f t="shared" si="101"/>
        <v>1</v>
      </c>
      <c r="AC437" s="2">
        <f t="shared" si="102"/>
        <v>1</v>
      </c>
      <c r="AD437" s="2">
        <f t="shared" si="103"/>
        <v>1</v>
      </c>
      <c r="AE437" s="2">
        <f t="shared" si="104"/>
        <v>0</v>
      </c>
      <c r="AF437" s="2">
        <f t="shared" si="105"/>
        <v>0</v>
      </c>
      <c r="AG437" s="2">
        <f t="shared" si="106"/>
        <v>0</v>
      </c>
      <c r="AH437" s="2">
        <f t="shared" si="107"/>
        <v>2</v>
      </c>
      <c r="AI437" s="2">
        <f t="shared" si="108"/>
        <v>2</v>
      </c>
      <c r="AJ437" s="2">
        <f t="shared" si="109"/>
        <v>2</v>
      </c>
      <c r="AK437" s="2">
        <f t="shared" si="110"/>
        <v>0</v>
      </c>
      <c r="AL437" s="2">
        <f t="shared" si="111"/>
        <v>0</v>
      </c>
      <c r="AM437" s="115"/>
      <c r="AN437" s="115"/>
      <c r="AO437" s="63"/>
    </row>
    <row r="438" spans="1:41" ht="43.2" x14ac:dyDescent="0.55000000000000004">
      <c r="A438" s="36">
        <v>4753</v>
      </c>
      <c r="B438" s="113" t="s">
        <v>1799</v>
      </c>
      <c r="C438" s="139" t="s">
        <v>1800</v>
      </c>
      <c r="D438" s="114" t="s">
        <v>52</v>
      </c>
      <c r="E438" s="115"/>
      <c r="F438" s="116"/>
      <c r="G438" s="113" t="s">
        <v>1741</v>
      </c>
      <c r="H438" s="113" t="s">
        <v>1757</v>
      </c>
      <c r="I438" s="113" t="s">
        <v>1794</v>
      </c>
      <c r="J438" s="117"/>
      <c r="K438" s="118"/>
      <c r="L438" s="109">
        <v>3</v>
      </c>
      <c r="M438" s="109">
        <v>3</v>
      </c>
      <c r="N438" s="109"/>
      <c r="O438" s="119"/>
      <c r="P438" s="2">
        <f t="shared" si="96"/>
        <v>1</v>
      </c>
      <c r="Q438" s="110" t="str">
        <f>IF(AND(Drops!$D$45&gt;1,OR(U438&lt;&gt;U437,AND(ROW()=5,U437=U438))),VLOOKUP(U438,Drops!$D$26:$E$44,2,FALSE),"")</f>
        <v/>
      </c>
      <c r="R438" s="2" t="str">
        <f t="shared" si="97"/>
        <v/>
      </c>
      <c r="S438" s="2">
        <f t="shared" ca="1" si="98"/>
        <v>1</v>
      </c>
      <c r="T438" s="2">
        <f t="shared" si="99"/>
        <v>0</v>
      </c>
      <c r="U438" s="110" t="s">
        <v>1744</v>
      </c>
      <c r="V438" s="110">
        <v>2</v>
      </c>
      <c r="W438" s="110">
        <v>23</v>
      </c>
      <c r="X438" s="110">
        <v>1</v>
      </c>
      <c r="Y438" s="110">
        <v>0</v>
      </c>
      <c r="Z438" s="110">
        <v>0</v>
      </c>
      <c r="AA438" s="2">
        <f t="shared" si="100"/>
        <v>1</v>
      </c>
      <c r="AB438" s="2">
        <f t="shared" si="101"/>
        <v>0</v>
      </c>
      <c r="AC438" s="2">
        <f t="shared" si="102"/>
        <v>1</v>
      </c>
      <c r="AD438" s="2">
        <f t="shared" si="103"/>
        <v>1</v>
      </c>
      <c r="AE438" s="2">
        <f t="shared" si="104"/>
        <v>1</v>
      </c>
      <c r="AF438" s="2">
        <f t="shared" si="105"/>
        <v>0</v>
      </c>
      <c r="AG438" s="2">
        <f t="shared" si="106"/>
        <v>0</v>
      </c>
      <c r="AH438" s="2">
        <f t="shared" si="107"/>
        <v>2</v>
      </c>
      <c r="AI438" s="2">
        <f t="shared" si="108"/>
        <v>2</v>
      </c>
      <c r="AJ438" s="2">
        <f t="shared" si="109"/>
        <v>2</v>
      </c>
      <c r="AK438" s="2">
        <f t="shared" si="110"/>
        <v>0</v>
      </c>
      <c r="AL438" s="2">
        <f t="shared" si="111"/>
        <v>0</v>
      </c>
      <c r="AM438" s="115"/>
      <c r="AN438" s="115"/>
      <c r="AO438" s="63"/>
    </row>
    <row r="439" spans="1:41" ht="28.8" x14ac:dyDescent="0.55000000000000004">
      <c r="A439" s="36">
        <v>2709</v>
      </c>
      <c r="B439" s="113" t="s">
        <v>318</v>
      </c>
      <c r="C439" s="113" t="s">
        <v>1801</v>
      </c>
      <c r="D439" s="114" t="s">
        <v>52</v>
      </c>
      <c r="E439" s="115"/>
      <c r="F439" s="116"/>
      <c r="G439" s="113" t="s">
        <v>1741</v>
      </c>
      <c r="H439" s="113" t="s">
        <v>1802</v>
      </c>
      <c r="I439" s="113" t="s">
        <v>1758</v>
      </c>
      <c r="J439" s="117" t="s">
        <v>1803</v>
      </c>
      <c r="K439" s="118"/>
      <c r="L439" s="109">
        <v>1</v>
      </c>
      <c r="M439" s="109">
        <v>3</v>
      </c>
      <c r="N439" s="109"/>
      <c r="O439" s="119"/>
      <c r="P439" s="2">
        <f t="shared" si="96"/>
        <v>1</v>
      </c>
      <c r="Q439" s="110" t="str">
        <f>IF(AND(Drops!$D$45&gt;1,OR(U439&lt;&gt;U438,AND(ROW()=5,U438=U439))),VLOOKUP(U439,Drops!$D$26:$E$44,2,FALSE),"")</f>
        <v/>
      </c>
      <c r="R439" s="2" t="str">
        <f t="shared" si="97"/>
        <v/>
      </c>
      <c r="S439" s="2">
        <f t="shared" ca="1" si="98"/>
        <v>1</v>
      </c>
      <c r="T439" s="2">
        <f t="shared" si="99"/>
        <v>1</v>
      </c>
      <c r="U439" s="110" t="s">
        <v>1744</v>
      </c>
      <c r="V439" s="110">
        <v>3</v>
      </c>
      <c r="W439" s="110">
        <v>0</v>
      </c>
      <c r="X439" s="110">
        <v>0</v>
      </c>
      <c r="Y439" s="110">
        <v>0</v>
      </c>
      <c r="Z439" s="110">
        <v>0</v>
      </c>
      <c r="AA439" s="2">
        <f t="shared" si="100"/>
        <v>1</v>
      </c>
      <c r="AB439" s="2">
        <f t="shared" si="101"/>
        <v>0</v>
      </c>
      <c r="AC439" s="2">
        <f t="shared" si="102"/>
        <v>1</v>
      </c>
      <c r="AD439" s="2">
        <f t="shared" si="103"/>
        <v>0</v>
      </c>
      <c r="AE439" s="2">
        <f t="shared" si="104"/>
        <v>0</v>
      </c>
      <c r="AF439" s="2">
        <f t="shared" si="105"/>
        <v>0</v>
      </c>
      <c r="AG439" s="2">
        <f t="shared" si="106"/>
        <v>0</v>
      </c>
      <c r="AH439" s="2">
        <f t="shared" si="107"/>
        <v>2</v>
      </c>
      <c r="AI439" s="2">
        <f t="shared" si="108"/>
        <v>2</v>
      </c>
      <c r="AJ439" s="2">
        <f t="shared" si="109"/>
        <v>2</v>
      </c>
      <c r="AK439" s="2">
        <f t="shared" si="110"/>
        <v>0</v>
      </c>
      <c r="AL439" s="2">
        <f t="shared" si="111"/>
        <v>0</v>
      </c>
      <c r="AM439" s="115"/>
      <c r="AN439" s="115"/>
      <c r="AO439" s="63"/>
    </row>
    <row r="440" spans="1:41" ht="28.8" x14ac:dyDescent="0.55000000000000004">
      <c r="A440" s="36">
        <v>3426</v>
      </c>
      <c r="B440" s="113" t="s">
        <v>320</v>
      </c>
      <c r="C440" s="113" t="s">
        <v>1804</v>
      </c>
      <c r="D440" s="114" t="s">
        <v>52</v>
      </c>
      <c r="E440" s="115"/>
      <c r="F440" s="116"/>
      <c r="G440" s="113" t="s">
        <v>1741</v>
      </c>
      <c r="H440" s="113" t="s">
        <v>1805</v>
      </c>
      <c r="I440" s="113" t="s">
        <v>1758</v>
      </c>
      <c r="J440" s="117"/>
      <c r="K440" s="118"/>
      <c r="L440" s="109">
        <v>1</v>
      </c>
      <c r="M440" s="109">
        <v>3</v>
      </c>
      <c r="N440" s="109"/>
      <c r="O440" s="119"/>
      <c r="P440" s="2">
        <f t="shared" si="96"/>
        <v>1</v>
      </c>
      <c r="Q440" s="110" t="str">
        <f>IF(AND(Drops!$D$45&gt;1,OR(U440&lt;&gt;U439,AND(ROW()=5,U439=U440))),VLOOKUP(U440,Drops!$D$26:$E$44,2,FALSE),"")</f>
        <v/>
      </c>
      <c r="R440" s="2" t="str">
        <f t="shared" si="97"/>
        <v/>
      </c>
      <c r="S440" s="2">
        <f t="shared" ca="1" si="98"/>
        <v>1</v>
      </c>
      <c r="T440" s="2">
        <f t="shared" si="99"/>
        <v>1</v>
      </c>
      <c r="U440" s="110" t="s">
        <v>1744</v>
      </c>
      <c r="V440" s="110">
        <v>4</v>
      </c>
      <c r="W440" s="110">
        <v>0</v>
      </c>
      <c r="X440" s="110">
        <v>0</v>
      </c>
      <c r="Y440" s="110">
        <v>0</v>
      </c>
      <c r="Z440" s="110">
        <v>0</v>
      </c>
      <c r="AA440" s="2">
        <f t="shared" si="100"/>
        <v>1</v>
      </c>
      <c r="AB440" s="2">
        <f t="shared" si="101"/>
        <v>0</v>
      </c>
      <c r="AC440" s="2">
        <f t="shared" si="102"/>
        <v>1</v>
      </c>
      <c r="AD440" s="2">
        <f t="shared" si="103"/>
        <v>0</v>
      </c>
      <c r="AE440" s="2">
        <f t="shared" si="104"/>
        <v>0</v>
      </c>
      <c r="AF440" s="2">
        <f t="shared" si="105"/>
        <v>0</v>
      </c>
      <c r="AG440" s="2">
        <f t="shared" si="106"/>
        <v>0</v>
      </c>
      <c r="AH440" s="2">
        <f t="shared" si="107"/>
        <v>2</v>
      </c>
      <c r="AI440" s="2">
        <f t="shared" si="108"/>
        <v>2</v>
      </c>
      <c r="AJ440" s="2">
        <f t="shared" si="109"/>
        <v>2</v>
      </c>
      <c r="AK440" s="2">
        <f t="shared" si="110"/>
        <v>0</v>
      </c>
      <c r="AL440" s="2">
        <f t="shared" si="111"/>
        <v>0</v>
      </c>
      <c r="AM440" s="115"/>
      <c r="AN440" s="115"/>
      <c r="AO440" s="63"/>
    </row>
    <row r="441" spans="1:41" ht="43.2" x14ac:dyDescent="0.55000000000000004">
      <c r="A441" s="36">
        <v>4462</v>
      </c>
      <c r="B441" s="113" t="s">
        <v>322</v>
      </c>
      <c r="C441" s="113" t="s">
        <v>1806</v>
      </c>
      <c r="D441" s="114" t="s">
        <v>52</v>
      </c>
      <c r="E441" s="115"/>
      <c r="F441" s="116"/>
      <c r="G441" s="113" t="s">
        <v>1807</v>
      </c>
      <c r="H441" s="113" t="s">
        <v>1808</v>
      </c>
      <c r="I441" s="113"/>
      <c r="J441" s="117" t="s">
        <v>1803</v>
      </c>
      <c r="K441" s="118"/>
      <c r="L441" s="109">
        <v>1</v>
      </c>
      <c r="M441" s="109">
        <v>2</v>
      </c>
      <c r="N441" s="109"/>
      <c r="O441" s="119"/>
      <c r="P441" s="2">
        <f t="shared" si="96"/>
        <v>1</v>
      </c>
      <c r="Q441" s="110" t="str">
        <f>IF(AND(Drops!$D$45&gt;1,OR(U441&lt;&gt;U440,AND(ROW()=5,U440=U441))),VLOOKUP(U441,Drops!$D$26:$E$44,2,FALSE),"")</f>
        <v/>
      </c>
      <c r="R441" s="2" t="str">
        <f t="shared" si="97"/>
        <v/>
      </c>
      <c r="S441" s="2">
        <f t="shared" ca="1" si="98"/>
        <v>1</v>
      </c>
      <c r="T441" s="2">
        <f t="shared" si="99"/>
        <v>1</v>
      </c>
      <c r="U441" s="110" t="s">
        <v>1744</v>
      </c>
      <c r="V441" s="110">
        <v>5</v>
      </c>
      <c r="W441" s="110">
        <v>0</v>
      </c>
      <c r="X441" s="110">
        <v>0</v>
      </c>
      <c r="Y441" s="110">
        <v>0</v>
      </c>
      <c r="Z441" s="110">
        <v>0</v>
      </c>
      <c r="AA441" s="2">
        <f t="shared" si="100"/>
        <v>1</v>
      </c>
      <c r="AB441" s="2">
        <f t="shared" si="101"/>
        <v>1</v>
      </c>
      <c r="AC441" s="2">
        <f t="shared" si="102"/>
        <v>1</v>
      </c>
      <c r="AD441" s="2">
        <f t="shared" si="103"/>
        <v>0</v>
      </c>
      <c r="AE441" s="2">
        <f t="shared" si="104"/>
        <v>0</v>
      </c>
      <c r="AF441" s="2">
        <f t="shared" si="105"/>
        <v>0</v>
      </c>
      <c r="AG441" s="2">
        <f t="shared" si="106"/>
        <v>0</v>
      </c>
      <c r="AH441" s="2">
        <f t="shared" si="107"/>
        <v>2</v>
      </c>
      <c r="AI441" s="2">
        <f t="shared" si="108"/>
        <v>2</v>
      </c>
      <c r="AJ441" s="2">
        <f t="shared" si="109"/>
        <v>2</v>
      </c>
      <c r="AK441" s="2">
        <f t="shared" si="110"/>
        <v>0</v>
      </c>
      <c r="AL441" s="2">
        <f t="shared" si="111"/>
        <v>0</v>
      </c>
      <c r="AM441" s="115"/>
      <c r="AN441" s="115"/>
      <c r="AO441" s="63"/>
    </row>
    <row r="442" spans="1:41" ht="28.8" x14ac:dyDescent="0.55000000000000004">
      <c r="A442" s="36">
        <v>4463</v>
      </c>
      <c r="B442" s="113" t="s">
        <v>1809</v>
      </c>
      <c r="C442" s="138" t="s">
        <v>1810</v>
      </c>
      <c r="D442" s="114" t="s">
        <v>52</v>
      </c>
      <c r="E442" s="115"/>
      <c r="F442" s="116"/>
      <c r="G442" s="113" t="s">
        <v>1807</v>
      </c>
      <c r="H442" s="113" t="s">
        <v>1808</v>
      </c>
      <c r="I442" s="113" t="s">
        <v>1787</v>
      </c>
      <c r="J442" s="117" t="s">
        <v>646</v>
      </c>
      <c r="K442" s="118"/>
      <c r="L442" s="109">
        <v>2</v>
      </c>
      <c r="M442" s="109">
        <v>3</v>
      </c>
      <c r="N442" s="109"/>
      <c r="O442" s="119"/>
      <c r="P442" s="2">
        <f t="shared" si="96"/>
        <v>1</v>
      </c>
      <c r="Q442" s="110" t="str">
        <f>IF(AND(Drops!$D$45&gt;1,OR(U442&lt;&gt;U441,AND(ROW()=5,U441=U442))),VLOOKUP(U442,Drops!$D$26:$E$44,2,FALSE),"")</f>
        <v/>
      </c>
      <c r="R442" s="2" t="str">
        <f t="shared" si="97"/>
        <v/>
      </c>
      <c r="S442" s="2">
        <f t="shared" ca="1" si="98"/>
        <v>1</v>
      </c>
      <c r="T442" s="2">
        <f t="shared" si="99"/>
        <v>0</v>
      </c>
      <c r="U442" s="110" t="s">
        <v>1744</v>
      </c>
      <c r="V442" s="110">
        <v>5</v>
      </c>
      <c r="W442" s="110">
        <v>1</v>
      </c>
      <c r="X442" s="110">
        <v>0</v>
      </c>
      <c r="Y442" s="110">
        <v>0</v>
      </c>
      <c r="Z442" s="110">
        <v>0</v>
      </c>
      <c r="AA442" s="2">
        <f t="shared" si="100"/>
        <v>1</v>
      </c>
      <c r="AB442" s="2">
        <f t="shared" si="101"/>
        <v>0</v>
      </c>
      <c r="AC442" s="2">
        <f t="shared" si="102"/>
        <v>1</v>
      </c>
      <c r="AD442" s="2">
        <f t="shared" si="103"/>
        <v>1</v>
      </c>
      <c r="AE442" s="2">
        <f t="shared" si="104"/>
        <v>0</v>
      </c>
      <c r="AF442" s="2">
        <f t="shared" si="105"/>
        <v>0</v>
      </c>
      <c r="AG442" s="2">
        <f t="shared" si="106"/>
        <v>0</v>
      </c>
      <c r="AH442" s="2">
        <f t="shared" si="107"/>
        <v>2</v>
      </c>
      <c r="AI442" s="2">
        <f t="shared" si="108"/>
        <v>2</v>
      </c>
      <c r="AJ442" s="2">
        <f t="shared" si="109"/>
        <v>2</v>
      </c>
      <c r="AK442" s="2">
        <f t="shared" si="110"/>
        <v>0</v>
      </c>
      <c r="AL442" s="2">
        <f t="shared" si="111"/>
        <v>0</v>
      </c>
      <c r="AM442" s="115"/>
      <c r="AN442" s="115"/>
      <c r="AO442" s="63"/>
    </row>
    <row r="443" spans="1:41" ht="28.8" x14ac:dyDescent="0.55000000000000004">
      <c r="A443" s="36">
        <v>4464</v>
      </c>
      <c r="B443" s="113" t="s">
        <v>1811</v>
      </c>
      <c r="C443" s="138" t="s">
        <v>1812</v>
      </c>
      <c r="D443" s="114" t="s">
        <v>52</v>
      </c>
      <c r="E443" s="115"/>
      <c r="F443" s="116"/>
      <c r="G443" s="113" t="s">
        <v>1807</v>
      </c>
      <c r="H443" s="113" t="s">
        <v>1808</v>
      </c>
      <c r="I443" s="113"/>
      <c r="J443" s="117"/>
      <c r="K443" s="118"/>
      <c r="L443" s="109">
        <v>2</v>
      </c>
      <c r="M443" s="109">
        <v>3</v>
      </c>
      <c r="N443" s="109"/>
      <c r="O443" s="119"/>
      <c r="P443" s="2">
        <f t="shared" si="96"/>
        <v>1</v>
      </c>
      <c r="Q443" s="110" t="str">
        <f>IF(AND(Drops!$D$45&gt;1,OR(U443&lt;&gt;U442,AND(ROW()=5,U442=U443))),VLOOKUP(U443,Drops!$D$26:$E$44,2,FALSE),"")</f>
        <v/>
      </c>
      <c r="R443" s="2" t="str">
        <f t="shared" si="97"/>
        <v/>
      </c>
      <c r="S443" s="2">
        <f t="shared" ca="1" si="98"/>
        <v>1</v>
      </c>
      <c r="T443" s="2">
        <f t="shared" si="99"/>
        <v>0</v>
      </c>
      <c r="U443" s="110" t="s">
        <v>1744</v>
      </c>
      <c r="V443" s="110">
        <v>5</v>
      </c>
      <c r="W443" s="110">
        <v>2</v>
      </c>
      <c r="X443" s="110">
        <v>0</v>
      </c>
      <c r="Y443" s="110">
        <v>0</v>
      </c>
      <c r="Z443" s="110">
        <v>0</v>
      </c>
      <c r="AA443" s="2">
        <f t="shared" si="100"/>
        <v>1</v>
      </c>
      <c r="AB443" s="2">
        <f t="shared" si="101"/>
        <v>0</v>
      </c>
      <c r="AC443" s="2">
        <f t="shared" si="102"/>
        <v>1</v>
      </c>
      <c r="AD443" s="2">
        <f t="shared" si="103"/>
        <v>1</v>
      </c>
      <c r="AE443" s="2">
        <f t="shared" si="104"/>
        <v>0</v>
      </c>
      <c r="AF443" s="2">
        <f t="shared" si="105"/>
        <v>0</v>
      </c>
      <c r="AG443" s="2">
        <f t="shared" si="106"/>
        <v>0</v>
      </c>
      <c r="AH443" s="2">
        <f t="shared" si="107"/>
        <v>2</v>
      </c>
      <c r="AI443" s="2">
        <f t="shared" si="108"/>
        <v>2</v>
      </c>
      <c r="AJ443" s="2">
        <f t="shared" si="109"/>
        <v>2</v>
      </c>
      <c r="AK443" s="2">
        <f t="shared" si="110"/>
        <v>0</v>
      </c>
      <c r="AL443" s="2">
        <f t="shared" si="111"/>
        <v>0</v>
      </c>
      <c r="AM443" s="115"/>
      <c r="AN443" s="115"/>
      <c r="AO443" s="63"/>
    </row>
    <row r="444" spans="1:41" ht="28.8" x14ac:dyDescent="0.55000000000000004">
      <c r="A444" s="36">
        <v>4755</v>
      </c>
      <c r="B444" s="113" t="s">
        <v>1813</v>
      </c>
      <c r="C444" s="138" t="s">
        <v>1814</v>
      </c>
      <c r="D444" s="114" t="s">
        <v>52</v>
      </c>
      <c r="E444" s="115"/>
      <c r="F444" s="116"/>
      <c r="G444" s="113" t="s">
        <v>1412</v>
      </c>
      <c r="H444" s="113" t="s">
        <v>1815</v>
      </c>
      <c r="I444" s="113" t="s">
        <v>1414</v>
      </c>
      <c r="J444" s="117"/>
      <c r="K444" s="118"/>
      <c r="L444" s="109">
        <v>2</v>
      </c>
      <c r="M444" s="109">
        <v>3</v>
      </c>
      <c r="N444" s="109"/>
      <c r="O444" s="119"/>
      <c r="P444" s="2">
        <f t="shared" si="96"/>
        <v>1</v>
      </c>
      <c r="Q444" s="110" t="str">
        <f>IF(AND(Drops!$D$45&gt;1,OR(U444&lt;&gt;U443,AND(ROW()=5,U443=U444))),VLOOKUP(U444,Drops!$D$26:$E$44,2,FALSE),"")</f>
        <v/>
      </c>
      <c r="R444" s="2" t="str">
        <f t="shared" si="97"/>
        <v/>
      </c>
      <c r="S444" s="2">
        <f t="shared" ca="1" si="98"/>
        <v>1</v>
      </c>
      <c r="T444" s="2">
        <f t="shared" si="99"/>
        <v>0</v>
      </c>
      <c r="U444" s="110" t="s">
        <v>1744</v>
      </c>
      <c r="V444" s="110">
        <v>5</v>
      </c>
      <c r="W444" s="110">
        <v>4</v>
      </c>
      <c r="X444" s="110">
        <v>0</v>
      </c>
      <c r="Y444" s="110">
        <v>0</v>
      </c>
      <c r="Z444" s="110">
        <v>0</v>
      </c>
      <c r="AA444" s="2">
        <f t="shared" si="100"/>
        <v>1</v>
      </c>
      <c r="AB444" s="2">
        <f t="shared" si="101"/>
        <v>0</v>
      </c>
      <c r="AC444" s="2">
        <f t="shared" si="102"/>
        <v>1</v>
      </c>
      <c r="AD444" s="2">
        <f t="shared" si="103"/>
        <v>1</v>
      </c>
      <c r="AE444" s="2">
        <f t="shared" si="104"/>
        <v>0</v>
      </c>
      <c r="AF444" s="2">
        <f t="shared" si="105"/>
        <v>0</v>
      </c>
      <c r="AG444" s="2">
        <f t="shared" si="106"/>
        <v>0</v>
      </c>
      <c r="AH444" s="2">
        <f t="shared" si="107"/>
        <v>2</v>
      </c>
      <c r="AI444" s="2">
        <f t="shared" si="108"/>
        <v>2</v>
      </c>
      <c r="AJ444" s="2">
        <f t="shared" si="109"/>
        <v>2</v>
      </c>
      <c r="AK444" s="2">
        <f t="shared" si="110"/>
        <v>0</v>
      </c>
      <c r="AL444" s="2">
        <f t="shared" si="111"/>
        <v>0</v>
      </c>
      <c r="AM444" s="115"/>
      <c r="AN444" s="115"/>
      <c r="AO444" s="63"/>
    </row>
    <row r="445" spans="1:41" ht="28.8" x14ac:dyDescent="0.55000000000000004">
      <c r="A445" s="36">
        <v>4756</v>
      </c>
      <c r="B445" s="113" t="s">
        <v>1816</v>
      </c>
      <c r="C445" s="138" t="s">
        <v>1817</v>
      </c>
      <c r="D445" s="114" t="s">
        <v>52</v>
      </c>
      <c r="E445" s="115"/>
      <c r="F445" s="116"/>
      <c r="G445" s="113" t="s">
        <v>1412</v>
      </c>
      <c r="H445" s="113" t="s">
        <v>1815</v>
      </c>
      <c r="I445" s="113"/>
      <c r="J445" s="117"/>
      <c r="K445" s="118"/>
      <c r="L445" s="109">
        <v>2</v>
      </c>
      <c r="M445" s="109">
        <v>3</v>
      </c>
      <c r="N445" s="109"/>
      <c r="O445" s="119"/>
      <c r="P445" s="2">
        <f t="shared" si="96"/>
        <v>1</v>
      </c>
      <c r="Q445" s="110" t="str">
        <f>IF(AND(Drops!$D$45&gt;1,OR(U445&lt;&gt;U444,AND(ROW()=5,U444=U445))),VLOOKUP(U445,Drops!$D$26:$E$44,2,FALSE),"")</f>
        <v/>
      </c>
      <c r="R445" s="2" t="str">
        <f t="shared" si="97"/>
        <v/>
      </c>
      <c r="S445" s="2">
        <f t="shared" ca="1" si="98"/>
        <v>1</v>
      </c>
      <c r="T445" s="2">
        <f t="shared" si="99"/>
        <v>0</v>
      </c>
      <c r="U445" s="110" t="s">
        <v>1744</v>
      </c>
      <c r="V445" s="110">
        <v>5</v>
      </c>
      <c r="W445" s="110">
        <v>5</v>
      </c>
      <c r="X445" s="110">
        <v>0</v>
      </c>
      <c r="Y445" s="110">
        <v>0</v>
      </c>
      <c r="Z445" s="110">
        <v>0</v>
      </c>
      <c r="AA445" s="2">
        <f t="shared" si="100"/>
        <v>1</v>
      </c>
      <c r="AB445" s="2">
        <f t="shared" si="101"/>
        <v>0</v>
      </c>
      <c r="AC445" s="2">
        <f t="shared" si="102"/>
        <v>1</v>
      </c>
      <c r="AD445" s="2">
        <f t="shared" si="103"/>
        <v>1</v>
      </c>
      <c r="AE445" s="2">
        <f t="shared" si="104"/>
        <v>0</v>
      </c>
      <c r="AF445" s="2">
        <f t="shared" si="105"/>
        <v>0</v>
      </c>
      <c r="AG445" s="2">
        <f t="shared" si="106"/>
        <v>0</v>
      </c>
      <c r="AH445" s="2">
        <f t="shared" si="107"/>
        <v>2</v>
      </c>
      <c r="AI445" s="2">
        <f t="shared" si="108"/>
        <v>2</v>
      </c>
      <c r="AJ445" s="2">
        <f t="shared" si="109"/>
        <v>2</v>
      </c>
      <c r="AK445" s="2">
        <f t="shared" si="110"/>
        <v>0</v>
      </c>
      <c r="AL445" s="2">
        <f t="shared" si="111"/>
        <v>0</v>
      </c>
      <c r="AM445" s="115"/>
      <c r="AN445" s="115"/>
      <c r="AO445" s="63"/>
    </row>
    <row r="446" spans="1:41" ht="28.8" x14ac:dyDescent="0.55000000000000004">
      <c r="A446" s="36">
        <v>4466</v>
      </c>
      <c r="B446" s="113" t="s">
        <v>1818</v>
      </c>
      <c r="C446" s="138" t="s">
        <v>1819</v>
      </c>
      <c r="D446" s="114" t="s">
        <v>52</v>
      </c>
      <c r="E446" s="115"/>
      <c r="F446" s="116"/>
      <c r="G446" s="113" t="s">
        <v>1807</v>
      </c>
      <c r="H446" s="113" t="s">
        <v>1820</v>
      </c>
      <c r="I446" s="113"/>
      <c r="J446" s="117"/>
      <c r="K446" s="118"/>
      <c r="L446" s="109">
        <v>2</v>
      </c>
      <c r="M446" s="109">
        <v>3</v>
      </c>
      <c r="N446" s="109"/>
      <c r="O446" s="119"/>
      <c r="P446" s="2">
        <f t="shared" si="96"/>
        <v>1</v>
      </c>
      <c r="Q446" s="110" t="str">
        <f>IF(AND(Drops!$D$45&gt;1,OR(U446&lt;&gt;U445,AND(ROW()=5,U445=U446))),VLOOKUP(U446,Drops!$D$26:$E$44,2,FALSE),"")</f>
        <v/>
      </c>
      <c r="R446" s="2" t="str">
        <f t="shared" si="97"/>
        <v/>
      </c>
      <c r="S446" s="2">
        <f t="shared" ca="1" si="98"/>
        <v>1</v>
      </c>
      <c r="T446" s="2">
        <f t="shared" si="99"/>
        <v>0</v>
      </c>
      <c r="U446" s="110" t="s">
        <v>1744</v>
      </c>
      <c r="V446" s="110">
        <v>5</v>
      </c>
      <c r="W446" s="110">
        <v>6</v>
      </c>
      <c r="X446" s="110">
        <v>0</v>
      </c>
      <c r="Y446" s="110">
        <v>0</v>
      </c>
      <c r="Z446" s="110">
        <v>0</v>
      </c>
      <c r="AA446" s="2">
        <f t="shared" si="100"/>
        <v>1</v>
      </c>
      <c r="AB446" s="2">
        <f t="shared" si="101"/>
        <v>0</v>
      </c>
      <c r="AC446" s="2">
        <f t="shared" si="102"/>
        <v>1</v>
      </c>
      <c r="AD446" s="2">
        <f t="shared" si="103"/>
        <v>1</v>
      </c>
      <c r="AE446" s="2">
        <f t="shared" si="104"/>
        <v>0</v>
      </c>
      <c r="AF446" s="2">
        <f t="shared" si="105"/>
        <v>0</v>
      </c>
      <c r="AG446" s="2">
        <f t="shared" si="106"/>
        <v>0</v>
      </c>
      <c r="AH446" s="2">
        <f t="shared" si="107"/>
        <v>2</v>
      </c>
      <c r="AI446" s="2">
        <f t="shared" si="108"/>
        <v>2</v>
      </c>
      <c r="AJ446" s="2">
        <f t="shared" si="109"/>
        <v>2</v>
      </c>
      <c r="AK446" s="2">
        <f t="shared" si="110"/>
        <v>0</v>
      </c>
      <c r="AL446" s="2">
        <f t="shared" si="111"/>
        <v>0</v>
      </c>
      <c r="AM446" s="115"/>
      <c r="AN446" s="115"/>
      <c r="AO446" s="63"/>
    </row>
    <row r="447" spans="1:41" ht="28.8" x14ac:dyDescent="0.55000000000000004">
      <c r="A447" s="36">
        <v>4467</v>
      </c>
      <c r="B447" s="113" t="s">
        <v>1821</v>
      </c>
      <c r="C447" s="138" t="s">
        <v>1822</v>
      </c>
      <c r="D447" s="114" t="s">
        <v>52</v>
      </c>
      <c r="E447" s="115"/>
      <c r="F447" s="116"/>
      <c r="G447" s="113" t="s">
        <v>1807</v>
      </c>
      <c r="H447" s="113" t="s">
        <v>1823</v>
      </c>
      <c r="I447" s="113" t="s">
        <v>1263</v>
      </c>
      <c r="J447" s="117"/>
      <c r="K447" s="118"/>
      <c r="L447" s="109">
        <v>2</v>
      </c>
      <c r="M447" s="109">
        <v>3</v>
      </c>
      <c r="N447" s="109"/>
      <c r="O447" s="119"/>
      <c r="P447" s="2">
        <f t="shared" si="96"/>
        <v>1</v>
      </c>
      <c r="Q447" s="110" t="str">
        <f>IF(AND(Drops!$D$45&gt;1,OR(U447&lt;&gt;U446,AND(ROW()=5,U446=U447))),VLOOKUP(U447,Drops!$D$26:$E$44,2,FALSE),"")</f>
        <v/>
      </c>
      <c r="R447" s="2" t="str">
        <f t="shared" si="97"/>
        <v/>
      </c>
      <c r="S447" s="2">
        <f t="shared" ca="1" si="98"/>
        <v>1</v>
      </c>
      <c r="T447" s="2">
        <f t="shared" si="99"/>
        <v>0</v>
      </c>
      <c r="U447" s="110" t="s">
        <v>1744</v>
      </c>
      <c r="V447" s="110">
        <v>5</v>
      </c>
      <c r="W447" s="110">
        <v>7</v>
      </c>
      <c r="X447" s="110">
        <v>0</v>
      </c>
      <c r="Y447" s="110">
        <v>0</v>
      </c>
      <c r="Z447" s="110">
        <v>0</v>
      </c>
      <c r="AA447" s="2">
        <f t="shared" si="100"/>
        <v>1</v>
      </c>
      <c r="AB447" s="2">
        <f t="shared" si="101"/>
        <v>0</v>
      </c>
      <c r="AC447" s="2">
        <f t="shared" si="102"/>
        <v>1</v>
      </c>
      <c r="AD447" s="2">
        <f t="shared" si="103"/>
        <v>1</v>
      </c>
      <c r="AE447" s="2">
        <f t="shared" si="104"/>
        <v>0</v>
      </c>
      <c r="AF447" s="2">
        <f t="shared" si="105"/>
        <v>0</v>
      </c>
      <c r="AG447" s="2">
        <f t="shared" si="106"/>
        <v>0</v>
      </c>
      <c r="AH447" s="2">
        <f t="shared" si="107"/>
        <v>2</v>
      </c>
      <c r="AI447" s="2">
        <f t="shared" si="108"/>
        <v>2</v>
      </c>
      <c r="AJ447" s="2">
        <f t="shared" si="109"/>
        <v>2</v>
      </c>
      <c r="AK447" s="2">
        <f t="shared" si="110"/>
        <v>0</v>
      </c>
      <c r="AL447" s="2">
        <f t="shared" si="111"/>
        <v>0</v>
      </c>
      <c r="AM447" s="115"/>
      <c r="AN447" s="115"/>
      <c r="AO447" s="63"/>
    </row>
    <row r="448" spans="1:41" ht="28.8" x14ac:dyDescent="0.55000000000000004">
      <c r="A448" s="36">
        <v>4337</v>
      </c>
      <c r="B448" s="113" t="s">
        <v>1824</v>
      </c>
      <c r="C448" s="138" t="s">
        <v>1825</v>
      </c>
      <c r="D448" s="114" t="s">
        <v>52</v>
      </c>
      <c r="E448" s="115"/>
      <c r="F448" s="116"/>
      <c r="G448" s="113" t="s">
        <v>1807</v>
      </c>
      <c r="H448" s="113" t="s">
        <v>1826</v>
      </c>
      <c r="I448" s="113"/>
      <c r="J448" s="117"/>
      <c r="K448" s="118"/>
      <c r="L448" s="109">
        <v>2</v>
      </c>
      <c r="M448" s="109">
        <v>3</v>
      </c>
      <c r="N448" s="109"/>
      <c r="O448" s="119"/>
      <c r="P448" s="2">
        <f t="shared" si="96"/>
        <v>1</v>
      </c>
      <c r="Q448" s="110" t="str">
        <f>IF(AND(Drops!$D$45&gt;1,OR(U448&lt;&gt;U447,AND(ROW()=5,U447=U448))),VLOOKUP(U448,Drops!$D$26:$E$44,2,FALSE),"")</f>
        <v/>
      </c>
      <c r="R448" s="2" t="str">
        <f t="shared" si="97"/>
        <v/>
      </c>
      <c r="S448" s="2">
        <f t="shared" ca="1" si="98"/>
        <v>1</v>
      </c>
      <c r="T448" s="2">
        <f t="shared" si="99"/>
        <v>0</v>
      </c>
      <c r="U448" s="110" t="s">
        <v>1744</v>
      </c>
      <c r="V448" s="110">
        <v>5</v>
      </c>
      <c r="W448" s="110">
        <v>8</v>
      </c>
      <c r="X448" s="110">
        <v>0</v>
      </c>
      <c r="Y448" s="110">
        <v>0</v>
      </c>
      <c r="Z448" s="110">
        <v>0</v>
      </c>
      <c r="AA448" s="2">
        <f t="shared" si="100"/>
        <v>1</v>
      </c>
      <c r="AB448" s="2">
        <f t="shared" si="101"/>
        <v>0</v>
      </c>
      <c r="AC448" s="2">
        <f t="shared" si="102"/>
        <v>1</v>
      </c>
      <c r="AD448" s="2">
        <f t="shared" si="103"/>
        <v>1</v>
      </c>
      <c r="AE448" s="2">
        <f t="shared" si="104"/>
        <v>0</v>
      </c>
      <c r="AF448" s="2">
        <f t="shared" si="105"/>
        <v>0</v>
      </c>
      <c r="AG448" s="2">
        <f t="shared" si="106"/>
        <v>0</v>
      </c>
      <c r="AH448" s="2">
        <f t="shared" si="107"/>
        <v>2</v>
      </c>
      <c r="AI448" s="2">
        <f t="shared" si="108"/>
        <v>2</v>
      </c>
      <c r="AJ448" s="2">
        <f t="shared" si="109"/>
        <v>2</v>
      </c>
      <c r="AK448" s="2">
        <f t="shared" si="110"/>
        <v>0</v>
      </c>
      <c r="AL448" s="2">
        <f t="shared" si="111"/>
        <v>0</v>
      </c>
      <c r="AM448" s="115"/>
      <c r="AN448" s="115"/>
      <c r="AO448" s="63"/>
    </row>
    <row r="449" spans="1:41" ht="28.8" x14ac:dyDescent="0.55000000000000004">
      <c r="A449" s="36">
        <v>4382</v>
      </c>
      <c r="B449" s="113" t="s">
        <v>1827</v>
      </c>
      <c r="C449" s="138" t="s">
        <v>1828</v>
      </c>
      <c r="D449" s="114" t="s">
        <v>52</v>
      </c>
      <c r="E449" s="115"/>
      <c r="F449" s="116"/>
      <c r="G449" s="113" t="s">
        <v>1807</v>
      </c>
      <c r="H449" s="113" t="s">
        <v>1829</v>
      </c>
      <c r="I449" s="113"/>
      <c r="J449" s="117"/>
      <c r="K449" s="118"/>
      <c r="L449" s="109">
        <v>2</v>
      </c>
      <c r="M449" s="109">
        <v>3</v>
      </c>
      <c r="N449" s="109"/>
      <c r="O449" s="119"/>
      <c r="P449" s="2">
        <f t="shared" si="96"/>
        <v>1</v>
      </c>
      <c r="Q449" s="110" t="str">
        <f>IF(AND(Drops!$D$45&gt;1,OR(U449&lt;&gt;U448,AND(ROW()=5,U448=U449))),VLOOKUP(U449,Drops!$D$26:$E$44,2,FALSE),"")</f>
        <v/>
      </c>
      <c r="R449" s="2" t="str">
        <f t="shared" si="97"/>
        <v/>
      </c>
      <c r="S449" s="2">
        <f t="shared" ca="1" si="98"/>
        <v>1</v>
      </c>
      <c r="T449" s="2">
        <f t="shared" si="99"/>
        <v>0</v>
      </c>
      <c r="U449" s="110" t="s">
        <v>1744</v>
      </c>
      <c r="V449" s="110">
        <v>5</v>
      </c>
      <c r="W449" s="110">
        <v>9</v>
      </c>
      <c r="X449" s="110">
        <v>0</v>
      </c>
      <c r="Y449" s="110">
        <v>0</v>
      </c>
      <c r="Z449" s="110">
        <v>0</v>
      </c>
      <c r="AA449" s="2">
        <f t="shared" si="100"/>
        <v>1</v>
      </c>
      <c r="AB449" s="2">
        <f t="shared" si="101"/>
        <v>0</v>
      </c>
      <c r="AC449" s="2">
        <f t="shared" si="102"/>
        <v>1</v>
      </c>
      <c r="AD449" s="2">
        <f t="shared" si="103"/>
        <v>1</v>
      </c>
      <c r="AE449" s="2">
        <f t="shared" si="104"/>
        <v>0</v>
      </c>
      <c r="AF449" s="2">
        <f t="shared" si="105"/>
        <v>0</v>
      </c>
      <c r="AG449" s="2">
        <f t="shared" si="106"/>
        <v>0</v>
      </c>
      <c r="AH449" s="2">
        <f t="shared" si="107"/>
        <v>2</v>
      </c>
      <c r="AI449" s="2">
        <f t="shared" si="108"/>
        <v>2</v>
      </c>
      <c r="AJ449" s="2">
        <f t="shared" si="109"/>
        <v>2</v>
      </c>
      <c r="AK449" s="2">
        <f t="shared" si="110"/>
        <v>0</v>
      </c>
      <c r="AL449" s="2">
        <f t="shared" si="111"/>
        <v>0</v>
      </c>
      <c r="AM449" s="115"/>
      <c r="AN449" s="115"/>
      <c r="AO449" s="63"/>
    </row>
    <row r="450" spans="1:41" ht="28.8" x14ac:dyDescent="0.55000000000000004">
      <c r="A450" s="36">
        <v>3654</v>
      </c>
      <c r="B450" s="113" t="s">
        <v>1830</v>
      </c>
      <c r="C450" s="138" t="s">
        <v>1831</v>
      </c>
      <c r="D450" s="114" t="s">
        <v>52</v>
      </c>
      <c r="E450" s="115"/>
      <c r="F450" s="116"/>
      <c r="G450" s="113" t="s">
        <v>1807</v>
      </c>
      <c r="H450" s="113" t="s">
        <v>1832</v>
      </c>
      <c r="I450" s="113"/>
      <c r="J450" s="117"/>
      <c r="K450" s="118"/>
      <c r="L450" s="109">
        <v>2</v>
      </c>
      <c r="M450" s="109">
        <v>3</v>
      </c>
      <c r="N450" s="109"/>
      <c r="O450" s="119"/>
      <c r="P450" s="2">
        <f t="shared" si="96"/>
        <v>1</v>
      </c>
      <c r="Q450" s="110" t="str">
        <f>IF(AND(Drops!$D$45&gt;1,OR(U450&lt;&gt;U449,AND(ROW()=5,U449=U450))),VLOOKUP(U450,Drops!$D$26:$E$44,2,FALSE),"")</f>
        <v/>
      </c>
      <c r="R450" s="2" t="str">
        <f t="shared" si="97"/>
        <v/>
      </c>
      <c r="S450" s="2">
        <f t="shared" ca="1" si="98"/>
        <v>1</v>
      </c>
      <c r="T450" s="2">
        <f t="shared" si="99"/>
        <v>0</v>
      </c>
      <c r="U450" s="110" t="s">
        <v>1744</v>
      </c>
      <c r="V450" s="110">
        <v>5</v>
      </c>
      <c r="W450" s="110">
        <v>10</v>
      </c>
      <c r="X450" s="110">
        <v>0</v>
      </c>
      <c r="Y450" s="110">
        <v>0</v>
      </c>
      <c r="Z450" s="110">
        <v>0</v>
      </c>
      <c r="AA450" s="2">
        <f t="shared" si="100"/>
        <v>1</v>
      </c>
      <c r="AB450" s="2">
        <f t="shared" si="101"/>
        <v>0</v>
      </c>
      <c r="AC450" s="2">
        <f t="shared" si="102"/>
        <v>1</v>
      </c>
      <c r="AD450" s="2">
        <f t="shared" si="103"/>
        <v>1</v>
      </c>
      <c r="AE450" s="2">
        <f t="shared" si="104"/>
        <v>0</v>
      </c>
      <c r="AF450" s="2">
        <f t="shared" si="105"/>
        <v>0</v>
      </c>
      <c r="AG450" s="2">
        <f t="shared" si="106"/>
        <v>0</v>
      </c>
      <c r="AH450" s="2">
        <f t="shared" si="107"/>
        <v>2</v>
      </c>
      <c r="AI450" s="2">
        <f t="shared" si="108"/>
        <v>2</v>
      </c>
      <c r="AJ450" s="2">
        <f t="shared" si="109"/>
        <v>2</v>
      </c>
      <c r="AK450" s="2">
        <f t="shared" si="110"/>
        <v>0</v>
      </c>
      <c r="AL450" s="2">
        <f t="shared" si="111"/>
        <v>0</v>
      </c>
      <c r="AM450" s="115"/>
      <c r="AN450" s="115"/>
      <c r="AO450" s="63"/>
    </row>
    <row r="451" spans="1:41" ht="28.8" x14ac:dyDescent="0.55000000000000004">
      <c r="A451" s="36">
        <v>4468</v>
      </c>
      <c r="B451" s="113" t="s">
        <v>1833</v>
      </c>
      <c r="C451" s="138" t="s">
        <v>1834</v>
      </c>
      <c r="D451" s="114" t="s">
        <v>52</v>
      </c>
      <c r="E451" s="115"/>
      <c r="F451" s="116"/>
      <c r="G451" s="113" t="s">
        <v>1807</v>
      </c>
      <c r="H451" s="113" t="s">
        <v>1835</v>
      </c>
      <c r="I451" s="113" t="s">
        <v>1651</v>
      </c>
      <c r="J451" s="117"/>
      <c r="K451" s="118"/>
      <c r="L451" s="109">
        <v>2</v>
      </c>
      <c r="M451" s="109">
        <v>3</v>
      </c>
      <c r="N451" s="109"/>
      <c r="O451" s="119"/>
      <c r="P451" s="2">
        <f t="shared" si="96"/>
        <v>1</v>
      </c>
      <c r="Q451" s="110" t="str">
        <f>IF(AND(Drops!$D$45&gt;1,OR(U451&lt;&gt;U450,AND(ROW()=5,U450=U451))),VLOOKUP(U451,Drops!$D$26:$E$44,2,FALSE),"")</f>
        <v/>
      </c>
      <c r="R451" s="2" t="str">
        <f t="shared" si="97"/>
        <v/>
      </c>
      <c r="S451" s="2">
        <f t="shared" ca="1" si="98"/>
        <v>1</v>
      </c>
      <c r="T451" s="2">
        <f t="shared" si="99"/>
        <v>0</v>
      </c>
      <c r="U451" s="110" t="s">
        <v>1744</v>
      </c>
      <c r="V451" s="110">
        <v>5</v>
      </c>
      <c r="W451" s="110">
        <v>11</v>
      </c>
      <c r="X451" s="110">
        <v>0</v>
      </c>
      <c r="Y451" s="110">
        <v>0</v>
      </c>
      <c r="Z451" s="110">
        <v>0</v>
      </c>
      <c r="AA451" s="2">
        <f t="shared" si="100"/>
        <v>1</v>
      </c>
      <c r="AB451" s="2">
        <f t="shared" si="101"/>
        <v>0</v>
      </c>
      <c r="AC451" s="2">
        <f t="shared" si="102"/>
        <v>1</v>
      </c>
      <c r="AD451" s="2">
        <f t="shared" si="103"/>
        <v>1</v>
      </c>
      <c r="AE451" s="2">
        <f t="shared" si="104"/>
        <v>0</v>
      </c>
      <c r="AF451" s="2">
        <f t="shared" si="105"/>
        <v>0</v>
      </c>
      <c r="AG451" s="2">
        <f t="shared" si="106"/>
        <v>0</v>
      </c>
      <c r="AH451" s="2">
        <f t="shared" si="107"/>
        <v>2</v>
      </c>
      <c r="AI451" s="2">
        <f t="shared" si="108"/>
        <v>2</v>
      </c>
      <c r="AJ451" s="2">
        <f t="shared" si="109"/>
        <v>2</v>
      </c>
      <c r="AK451" s="2">
        <f t="shared" si="110"/>
        <v>0</v>
      </c>
      <c r="AL451" s="2">
        <f t="shared" si="111"/>
        <v>0</v>
      </c>
      <c r="AM451" s="115"/>
      <c r="AN451" s="115"/>
      <c r="AO451" s="63"/>
    </row>
    <row r="452" spans="1:41" ht="28.8" x14ac:dyDescent="0.55000000000000004">
      <c r="A452" s="36">
        <v>4385</v>
      </c>
      <c r="B452" s="113" t="s">
        <v>1836</v>
      </c>
      <c r="C452" s="138" t="s">
        <v>1837</v>
      </c>
      <c r="D452" s="114" t="s">
        <v>52</v>
      </c>
      <c r="E452" s="115"/>
      <c r="F452" s="116"/>
      <c r="G452" s="113" t="s">
        <v>1807</v>
      </c>
      <c r="H452" s="113" t="s">
        <v>1838</v>
      </c>
      <c r="I452" s="113" t="s">
        <v>1758</v>
      </c>
      <c r="J452" s="117"/>
      <c r="K452" s="118"/>
      <c r="L452" s="109">
        <v>2</v>
      </c>
      <c r="M452" s="109">
        <v>2</v>
      </c>
      <c r="N452" s="109"/>
      <c r="O452" s="119"/>
      <c r="P452" s="2">
        <f t="shared" si="96"/>
        <v>1</v>
      </c>
      <c r="Q452" s="110" t="str">
        <f>IF(AND(Drops!$D$45&gt;1,OR(U452&lt;&gt;U451,AND(ROW()=5,U451=U452))),VLOOKUP(U452,Drops!$D$26:$E$44,2,FALSE),"")</f>
        <v/>
      </c>
      <c r="R452" s="2" t="str">
        <f t="shared" si="97"/>
        <v/>
      </c>
      <c r="S452" s="2">
        <f t="shared" ca="1" si="98"/>
        <v>1</v>
      </c>
      <c r="T452" s="2">
        <f t="shared" si="99"/>
        <v>0</v>
      </c>
      <c r="U452" s="110" t="s">
        <v>1744</v>
      </c>
      <c r="V452" s="110">
        <v>5</v>
      </c>
      <c r="W452" s="110">
        <v>12</v>
      </c>
      <c r="X452" s="110">
        <v>0</v>
      </c>
      <c r="Y452" s="110">
        <v>0</v>
      </c>
      <c r="Z452" s="110">
        <v>0</v>
      </c>
      <c r="AA452" s="2">
        <f t="shared" si="100"/>
        <v>1</v>
      </c>
      <c r="AB452" s="2">
        <f t="shared" si="101"/>
        <v>0</v>
      </c>
      <c r="AC452" s="2">
        <f t="shared" si="102"/>
        <v>1</v>
      </c>
      <c r="AD452" s="2">
        <f t="shared" si="103"/>
        <v>1</v>
      </c>
      <c r="AE452" s="2">
        <f t="shared" si="104"/>
        <v>0</v>
      </c>
      <c r="AF452" s="2">
        <f t="shared" si="105"/>
        <v>0</v>
      </c>
      <c r="AG452" s="2">
        <f t="shared" si="106"/>
        <v>0</v>
      </c>
      <c r="AH452" s="2">
        <f t="shared" si="107"/>
        <v>2</v>
      </c>
      <c r="AI452" s="2">
        <f t="shared" si="108"/>
        <v>2</v>
      </c>
      <c r="AJ452" s="2">
        <f t="shared" si="109"/>
        <v>2</v>
      </c>
      <c r="AK452" s="2">
        <f t="shared" si="110"/>
        <v>0</v>
      </c>
      <c r="AL452" s="2">
        <f t="shared" si="111"/>
        <v>0</v>
      </c>
      <c r="AM452" s="115"/>
      <c r="AN452" s="115"/>
      <c r="AO452" s="63"/>
    </row>
    <row r="453" spans="1:41" ht="43.2" x14ac:dyDescent="0.55000000000000004">
      <c r="A453" s="36">
        <v>3596</v>
      </c>
      <c r="B453" s="113" t="s">
        <v>324</v>
      </c>
      <c r="C453" s="113" t="s">
        <v>1839</v>
      </c>
      <c r="D453" s="114" t="s">
        <v>52</v>
      </c>
      <c r="E453" s="115"/>
      <c r="F453" s="116"/>
      <c r="G453" s="113" t="s">
        <v>1807</v>
      </c>
      <c r="H453" s="113" t="s">
        <v>1840</v>
      </c>
      <c r="I453" s="113"/>
      <c r="J453" s="117"/>
      <c r="K453" s="118"/>
      <c r="L453" s="109">
        <v>1</v>
      </c>
      <c r="M453" s="109">
        <v>3</v>
      </c>
      <c r="N453" s="109"/>
      <c r="O453" s="119"/>
      <c r="P453" s="2">
        <f t="shared" si="96"/>
        <v>1</v>
      </c>
      <c r="Q453" s="110" t="str">
        <f>IF(AND(Drops!$D$45&gt;1,OR(U453&lt;&gt;U452,AND(ROW()=5,U452=U453))),VLOOKUP(U453,Drops!$D$26:$E$44,2,FALSE),"")</f>
        <v/>
      </c>
      <c r="R453" s="2" t="str">
        <f t="shared" si="97"/>
        <v/>
      </c>
      <c r="S453" s="2">
        <f t="shared" ca="1" si="98"/>
        <v>1</v>
      </c>
      <c r="T453" s="2">
        <f t="shared" si="99"/>
        <v>1</v>
      </c>
      <c r="U453" s="110" t="s">
        <v>1744</v>
      </c>
      <c r="V453" s="110">
        <v>6</v>
      </c>
      <c r="W453" s="110">
        <v>0</v>
      </c>
      <c r="X453" s="110">
        <v>0</v>
      </c>
      <c r="Y453" s="110">
        <v>0</v>
      </c>
      <c r="Z453" s="110">
        <v>0</v>
      </c>
      <c r="AA453" s="2">
        <f t="shared" si="100"/>
        <v>1</v>
      </c>
      <c r="AB453" s="2">
        <f t="shared" si="101"/>
        <v>0</v>
      </c>
      <c r="AC453" s="2">
        <f t="shared" si="102"/>
        <v>1</v>
      </c>
      <c r="AD453" s="2">
        <f t="shared" si="103"/>
        <v>0</v>
      </c>
      <c r="AE453" s="2">
        <f t="shared" si="104"/>
        <v>0</v>
      </c>
      <c r="AF453" s="2">
        <f t="shared" si="105"/>
        <v>0</v>
      </c>
      <c r="AG453" s="2">
        <f t="shared" si="106"/>
        <v>0</v>
      </c>
      <c r="AH453" s="2">
        <f t="shared" si="107"/>
        <v>2</v>
      </c>
      <c r="AI453" s="2">
        <f t="shared" si="108"/>
        <v>2</v>
      </c>
      <c r="AJ453" s="2">
        <f t="shared" si="109"/>
        <v>2</v>
      </c>
      <c r="AK453" s="2">
        <f t="shared" si="110"/>
        <v>0</v>
      </c>
      <c r="AL453" s="2">
        <f t="shared" si="111"/>
        <v>0</v>
      </c>
      <c r="AM453" s="115"/>
      <c r="AN453" s="115"/>
      <c r="AO453" s="63"/>
    </row>
    <row r="454" spans="1:41" ht="57.6" x14ac:dyDescent="0.55000000000000004">
      <c r="A454" s="36">
        <v>2719</v>
      </c>
      <c r="B454" s="113" t="s">
        <v>336</v>
      </c>
      <c r="C454" s="113" t="s">
        <v>1841</v>
      </c>
      <c r="D454" s="114" t="s">
        <v>52</v>
      </c>
      <c r="E454" s="115" t="s">
        <v>1842</v>
      </c>
      <c r="F454" s="116"/>
      <c r="G454" s="113" t="s">
        <v>1843</v>
      </c>
      <c r="H454" s="113" t="s">
        <v>1844</v>
      </c>
      <c r="I454" s="113" t="s">
        <v>1845</v>
      </c>
      <c r="J454" s="117"/>
      <c r="K454" s="118"/>
      <c r="L454" s="109">
        <v>1</v>
      </c>
      <c r="M454" s="109">
        <v>2</v>
      </c>
      <c r="N454" s="109"/>
      <c r="O454" s="119"/>
      <c r="P454" s="2">
        <f t="shared" ref="P454:P517" si="112">IF($L454="","",IF($D454="Yes",1,IF($D454="No",2,IF($D454="N/A",3,0))))</f>
        <v>1</v>
      </c>
      <c r="Q454" s="110" t="str">
        <f>IF(AND(Drops!$D$45&gt;1,OR(U454&lt;&gt;U453,AND(ROW()=5,U453=U454))),VLOOKUP(U454,Drops!$D$26:$E$44,2,FALSE),"")</f>
        <v>K. Business Resiliency</v>
      </c>
      <c r="R454" s="2">
        <f t="shared" ref="R454:R517" si="113">IF(Q454&lt;&gt;"",ROW(),"")</f>
        <v>454</v>
      </c>
      <c r="S454" s="2">
        <f t="shared" ref="S454:S517" ca="1" si="114">OFFSET(AC454,,L454-1)</f>
        <v>1</v>
      </c>
      <c r="T454" s="2">
        <f t="shared" ref="T454:T517" si="115">IF(OR(V454&lt;&gt;V453,U454&lt;&gt;U453,AND(V454&lt;&gt;V453,W454&lt;&gt;W453),AND(V454&lt;&gt;V453,W454&lt;&gt;W453,X454&lt;&gt;X453),AND(V454&lt;&gt;V453,W454&lt;&gt;W453,X454&lt;&gt;X453,Y454&lt;&gt;Y453),AND(V454&lt;&gt;V453,W454&lt;&gt;W453,X454&lt;&gt;X453,Y454&lt;&gt;Y453,Z454&lt;&gt;Z453),L454-L453&gt;1),1,0)</f>
        <v>1</v>
      </c>
      <c r="U454" s="110" t="s">
        <v>1846</v>
      </c>
      <c r="V454" s="110">
        <v>1</v>
      </c>
      <c r="W454" s="110">
        <v>0</v>
      </c>
      <c r="X454" s="110">
        <v>0</v>
      </c>
      <c r="Y454" s="110">
        <v>0</v>
      </c>
      <c r="Z454" s="110">
        <v>0</v>
      </c>
      <c r="AA454" s="2">
        <f t="shared" ref="AA454:AA517" si="116">IF(ROW()=5,1,IF(OR(AH454=1,P454&gt;0,T454=1),1,IF(OR(AND(AH454=2,AI454=1),AND(AI454=2,AJ454=1),AND(AJ454=2,AK454=1),AND(AK454=2,AL454=1)),1,0)))</f>
        <v>1</v>
      </c>
      <c r="AB454" s="2">
        <f t="shared" ref="AB454:AB517" si="117">IF(L455&gt;L454,1,0)</f>
        <v>1</v>
      </c>
      <c r="AC454" s="2">
        <f t="shared" ref="AC454:AC517" si="118">IF(ROW()=5,P454,IF(AND($P454&gt;1,AC$4=$L454),$P454,IF(AND($U454=$U453,V454=V453),AC453,IF(AND($L454=AC$4,P454=1),P454,0))))</f>
        <v>1</v>
      </c>
      <c r="AD454" s="2">
        <f t="shared" ref="AD454:AD517" si="119">IF(AC454&gt;1,AC454,IF(AND($P454&gt;1,AD$4=$L454),$P454,IF(AND($U454=$U453,W454=W453),AD453,IF(AND($L454=AD$4,P454=1),P454,0))))</f>
        <v>0</v>
      </c>
      <c r="AE454" s="2">
        <f t="shared" ref="AE454:AE517" si="120">IF(AD454&gt;1,AD454,IF(AND($P454&gt;1,AE$4=$L454),$P454,IF(AND($U454=$U453,X454=X453),AE453,IF(AND($L454=AE$4,P454=1),P454,0))))</f>
        <v>0</v>
      </c>
      <c r="AF454" s="2">
        <f t="shared" ref="AF454:AF517" si="121">IF(AE454&gt;1,AE454,IF(AND($P454&gt;1,AF$4=$L454),$P454,IF(AND($U454=$U453,Y454=Y453),AF453,IF(AND($L454=AF$4,P454=1),P454,0))))</f>
        <v>0</v>
      </c>
      <c r="AG454" s="2">
        <f t="shared" ref="AG454:AG517" si="122">IF(AF454&gt;1,AF454,IF(AND($P454&gt;1,AG$4=$L454),$P454,IF(AND($U454=$U453,Z454=Z453),AG453,IF(AND($L454=AG$4,P454=1),P454,0))))</f>
        <v>0</v>
      </c>
      <c r="AH454" s="2">
        <f t="shared" ref="AH454:AH517" si="123">IF(AND($P454=1,$L454=AH$4),2,IF(AND($L454&lt;&gt;AH$4,AH453=2),AH453,IF($L454&lt;&gt;AH$4,0,1)))</f>
        <v>2</v>
      </c>
      <c r="AI454" s="2">
        <f t="shared" ref="AI454:AI517" si="124">IF(OR(ROW()=5,$U453&lt;&gt;$U454),0,IF(AND($P454=1,$L454=AI$4),2,IF(AND($L454&lt;&gt;AI$4,AI453=2),AI453,IF($L454&lt;&gt;AI$4,0,1))))</f>
        <v>0</v>
      </c>
      <c r="AJ454" s="2">
        <f t="shared" ref="AJ454:AJ517" si="125">IF(OR(ROW()=5,$U453&lt;&gt;$U454),0,IF(AND($P454=1,$L454=AJ$4),2,IF(AND($L454&lt;&gt;AJ$4,AJ453=2),AJ453,IF($L454&lt;&gt;AJ$4,0,1))))</f>
        <v>0</v>
      </c>
      <c r="AK454" s="2">
        <f t="shared" ref="AK454:AK517" si="126">IF(OR(ROW()=5,$U453&lt;&gt;$U454),0,IF(AND($P454=1,$L454=AK$4),2,IF(AND($L454&lt;&gt;AK$4,AK453=2),AK453,IF($L454&lt;&gt;AK$4,0,1))))</f>
        <v>0</v>
      </c>
      <c r="AL454" s="2">
        <f t="shared" ref="AL454:AL517" si="127">IF(OR(ROW()=5,$U453&lt;&gt;$U454),0,IF(AND($P454=1,$L454=AL$4),2,IF(AND($L454&lt;&gt;AL$4,AL453=2),AL453,IF($L454&lt;&gt;AL$4,0,1))))</f>
        <v>0</v>
      </c>
      <c r="AM454" s="115"/>
      <c r="AN454" s="115"/>
      <c r="AO454" s="63"/>
    </row>
    <row r="455" spans="1:41" ht="28.8" x14ac:dyDescent="0.55000000000000004">
      <c r="A455" s="36">
        <v>4014</v>
      </c>
      <c r="B455" s="113" t="s">
        <v>1847</v>
      </c>
      <c r="C455" s="138" t="s">
        <v>1848</v>
      </c>
      <c r="D455" s="114" t="s">
        <v>52</v>
      </c>
      <c r="E455" s="115"/>
      <c r="F455" s="116"/>
      <c r="G455" s="113" t="s">
        <v>1843</v>
      </c>
      <c r="H455" s="113" t="s">
        <v>1844</v>
      </c>
      <c r="I455" s="113" t="s">
        <v>1845</v>
      </c>
      <c r="J455" s="117"/>
      <c r="K455" s="118"/>
      <c r="L455" s="109">
        <v>2</v>
      </c>
      <c r="M455" s="109">
        <v>3</v>
      </c>
      <c r="N455" s="109"/>
      <c r="O455" s="119"/>
      <c r="P455" s="2">
        <f t="shared" si="112"/>
        <v>1</v>
      </c>
      <c r="Q455" s="110" t="str">
        <f>IF(AND(Drops!$D$45&gt;1,OR(U455&lt;&gt;U454,AND(ROW()=5,U454=U455))),VLOOKUP(U455,Drops!$D$26:$E$44,2,FALSE),"")</f>
        <v/>
      </c>
      <c r="R455" s="2" t="str">
        <f t="shared" si="113"/>
        <v/>
      </c>
      <c r="S455" s="2">
        <f t="shared" ca="1" si="114"/>
        <v>1</v>
      </c>
      <c r="T455" s="2">
        <f t="shared" si="115"/>
        <v>0</v>
      </c>
      <c r="U455" s="110" t="s">
        <v>1846</v>
      </c>
      <c r="V455" s="110">
        <v>1</v>
      </c>
      <c r="W455" s="110">
        <v>1</v>
      </c>
      <c r="X455" s="110">
        <v>0</v>
      </c>
      <c r="Y455" s="110">
        <v>0</v>
      </c>
      <c r="Z455" s="110">
        <v>0</v>
      </c>
      <c r="AA455" s="2">
        <f t="shared" si="116"/>
        <v>1</v>
      </c>
      <c r="AB455" s="2">
        <f t="shared" si="117"/>
        <v>0</v>
      </c>
      <c r="AC455" s="2">
        <f t="shared" si="118"/>
        <v>1</v>
      </c>
      <c r="AD455" s="2">
        <f t="shared" si="119"/>
        <v>1</v>
      </c>
      <c r="AE455" s="2">
        <f t="shared" si="120"/>
        <v>0</v>
      </c>
      <c r="AF455" s="2">
        <f t="shared" si="121"/>
        <v>0</v>
      </c>
      <c r="AG455" s="2">
        <f t="shared" si="122"/>
        <v>0</v>
      </c>
      <c r="AH455" s="2">
        <f t="shared" si="123"/>
        <v>2</v>
      </c>
      <c r="AI455" s="2">
        <f t="shared" si="124"/>
        <v>2</v>
      </c>
      <c r="AJ455" s="2">
        <f t="shared" si="125"/>
        <v>0</v>
      </c>
      <c r="AK455" s="2">
        <f t="shared" si="126"/>
        <v>0</v>
      </c>
      <c r="AL455" s="2">
        <f t="shared" si="127"/>
        <v>0</v>
      </c>
      <c r="AM455" s="115"/>
      <c r="AN455" s="115"/>
      <c r="AO455" s="63"/>
    </row>
    <row r="456" spans="1:41" ht="43.2" x14ac:dyDescent="0.55000000000000004">
      <c r="A456" s="36">
        <v>4026</v>
      </c>
      <c r="B456" s="113" t="s">
        <v>1849</v>
      </c>
      <c r="C456" s="138" t="s">
        <v>1850</v>
      </c>
      <c r="D456" s="114" t="s">
        <v>52</v>
      </c>
      <c r="E456" s="115"/>
      <c r="F456" s="116"/>
      <c r="G456" s="113" t="s">
        <v>1843</v>
      </c>
      <c r="H456" s="113" t="s">
        <v>1851</v>
      </c>
      <c r="I456" s="113" t="s">
        <v>1845</v>
      </c>
      <c r="J456" s="117"/>
      <c r="K456" s="118"/>
      <c r="L456" s="109">
        <v>2</v>
      </c>
      <c r="M456" s="109">
        <v>3</v>
      </c>
      <c r="N456" s="109"/>
      <c r="O456" s="119"/>
      <c r="P456" s="2">
        <f t="shared" si="112"/>
        <v>1</v>
      </c>
      <c r="Q456" s="110" t="str">
        <f>IF(AND(Drops!$D$45&gt;1,OR(U456&lt;&gt;U455,AND(ROW()=5,U455=U456))),VLOOKUP(U456,Drops!$D$26:$E$44,2,FALSE),"")</f>
        <v/>
      </c>
      <c r="R456" s="2" t="str">
        <f t="shared" si="113"/>
        <v/>
      </c>
      <c r="S456" s="2">
        <f t="shared" ca="1" si="114"/>
        <v>1</v>
      </c>
      <c r="T456" s="2">
        <f t="shared" si="115"/>
        <v>0</v>
      </c>
      <c r="U456" s="110" t="s">
        <v>1846</v>
      </c>
      <c r="V456" s="110">
        <v>1</v>
      </c>
      <c r="W456" s="110">
        <v>2</v>
      </c>
      <c r="X456" s="110">
        <v>0</v>
      </c>
      <c r="Y456" s="110">
        <v>0</v>
      </c>
      <c r="Z456" s="110">
        <v>0</v>
      </c>
      <c r="AA456" s="2">
        <f t="shared" si="116"/>
        <v>1</v>
      </c>
      <c r="AB456" s="2">
        <f t="shared" si="117"/>
        <v>0</v>
      </c>
      <c r="AC456" s="2">
        <f t="shared" si="118"/>
        <v>1</v>
      </c>
      <c r="AD456" s="2">
        <f t="shared" si="119"/>
        <v>1</v>
      </c>
      <c r="AE456" s="2">
        <f t="shared" si="120"/>
        <v>0</v>
      </c>
      <c r="AF456" s="2">
        <f t="shared" si="121"/>
        <v>0</v>
      </c>
      <c r="AG456" s="2">
        <f t="shared" si="122"/>
        <v>0</v>
      </c>
      <c r="AH456" s="2">
        <f t="shared" si="123"/>
        <v>2</v>
      </c>
      <c r="AI456" s="2">
        <f t="shared" si="124"/>
        <v>2</v>
      </c>
      <c r="AJ456" s="2">
        <f t="shared" si="125"/>
        <v>0</v>
      </c>
      <c r="AK456" s="2">
        <f t="shared" si="126"/>
        <v>0</v>
      </c>
      <c r="AL456" s="2">
        <f t="shared" si="127"/>
        <v>0</v>
      </c>
      <c r="AM456" s="115"/>
      <c r="AN456" s="115"/>
      <c r="AO456" s="63"/>
    </row>
    <row r="457" spans="1:41" ht="43.2" x14ac:dyDescent="0.55000000000000004">
      <c r="A457" s="36">
        <v>2341</v>
      </c>
      <c r="B457" s="113" t="s">
        <v>1852</v>
      </c>
      <c r="C457" s="138" t="s">
        <v>1853</v>
      </c>
      <c r="D457" s="114" t="s">
        <v>52</v>
      </c>
      <c r="E457" s="115"/>
      <c r="F457" s="116"/>
      <c r="G457" s="113" t="s">
        <v>1843</v>
      </c>
      <c r="H457" s="113" t="s">
        <v>1854</v>
      </c>
      <c r="I457" s="113" t="s">
        <v>1845</v>
      </c>
      <c r="J457" s="117" t="s">
        <v>1855</v>
      </c>
      <c r="K457" s="118"/>
      <c r="L457" s="109">
        <v>2</v>
      </c>
      <c r="M457" s="109">
        <v>2</v>
      </c>
      <c r="N457" s="109"/>
      <c r="O457" s="119"/>
      <c r="P457" s="2">
        <f t="shared" si="112"/>
        <v>1</v>
      </c>
      <c r="Q457" s="110" t="str">
        <f>IF(AND(Drops!$D$45&gt;1,OR(U457&lt;&gt;U456,AND(ROW()=5,U456=U457))),VLOOKUP(U457,Drops!$D$26:$E$44,2,FALSE),"")</f>
        <v/>
      </c>
      <c r="R457" s="2" t="str">
        <f t="shared" si="113"/>
        <v/>
      </c>
      <c r="S457" s="2">
        <f t="shared" ca="1" si="114"/>
        <v>1</v>
      </c>
      <c r="T457" s="2">
        <f t="shared" si="115"/>
        <v>0</v>
      </c>
      <c r="U457" s="110" t="s">
        <v>1846</v>
      </c>
      <c r="V457" s="110">
        <v>1</v>
      </c>
      <c r="W457" s="110">
        <v>3</v>
      </c>
      <c r="X457" s="110">
        <v>0</v>
      </c>
      <c r="Y457" s="110">
        <v>0</v>
      </c>
      <c r="Z457" s="110">
        <v>0</v>
      </c>
      <c r="AA457" s="2">
        <f t="shared" si="116"/>
        <v>1</v>
      </c>
      <c r="AB457" s="2">
        <f t="shared" si="117"/>
        <v>1</v>
      </c>
      <c r="AC457" s="2">
        <f t="shared" si="118"/>
        <v>1</v>
      </c>
      <c r="AD457" s="2">
        <f t="shared" si="119"/>
        <v>1</v>
      </c>
      <c r="AE457" s="2">
        <f t="shared" si="120"/>
        <v>0</v>
      </c>
      <c r="AF457" s="2">
        <f t="shared" si="121"/>
        <v>0</v>
      </c>
      <c r="AG457" s="2">
        <f t="shared" si="122"/>
        <v>0</v>
      </c>
      <c r="AH457" s="2">
        <f t="shared" si="123"/>
        <v>2</v>
      </c>
      <c r="AI457" s="2">
        <f t="shared" si="124"/>
        <v>2</v>
      </c>
      <c r="AJ457" s="2">
        <f t="shared" si="125"/>
        <v>0</v>
      </c>
      <c r="AK457" s="2">
        <f t="shared" si="126"/>
        <v>0</v>
      </c>
      <c r="AL457" s="2">
        <f t="shared" si="127"/>
        <v>0</v>
      </c>
      <c r="AM457" s="115"/>
      <c r="AN457" s="115"/>
      <c r="AO457" s="63"/>
    </row>
    <row r="458" spans="1:41" ht="28.8" x14ac:dyDescent="0.55000000000000004">
      <c r="A458" s="36">
        <v>4018</v>
      </c>
      <c r="B458" s="113" t="s">
        <v>1856</v>
      </c>
      <c r="C458" s="139" t="s">
        <v>1857</v>
      </c>
      <c r="D458" s="114" t="s">
        <v>52</v>
      </c>
      <c r="E458" s="115"/>
      <c r="F458" s="116"/>
      <c r="G458" s="113" t="s">
        <v>1843</v>
      </c>
      <c r="H458" s="113" t="s">
        <v>1854</v>
      </c>
      <c r="I458" s="113" t="s">
        <v>1845</v>
      </c>
      <c r="J458" s="117"/>
      <c r="K458" s="118"/>
      <c r="L458" s="109">
        <v>3</v>
      </c>
      <c r="M458" s="109">
        <v>3</v>
      </c>
      <c r="N458" s="109"/>
      <c r="O458" s="119"/>
      <c r="P458" s="2">
        <f t="shared" si="112"/>
        <v>1</v>
      </c>
      <c r="Q458" s="110" t="str">
        <f>IF(AND(Drops!$D$45&gt;1,OR(U458&lt;&gt;U457,AND(ROW()=5,U457=U458))),VLOOKUP(U458,Drops!$D$26:$E$44,2,FALSE),"")</f>
        <v/>
      </c>
      <c r="R458" s="2" t="str">
        <f t="shared" si="113"/>
        <v/>
      </c>
      <c r="S458" s="2">
        <f t="shared" ca="1" si="114"/>
        <v>1</v>
      </c>
      <c r="T458" s="2">
        <f t="shared" si="115"/>
        <v>0</v>
      </c>
      <c r="U458" s="110" t="s">
        <v>1846</v>
      </c>
      <c r="V458" s="110">
        <v>1</v>
      </c>
      <c r="W458" s="110">
        <v>3</v>
      </c>
      <c r="X458" s="110">
        <v>1</v>
      </c>
      <c r="Y458" s="110">
        <v>0</v>
      </c>
      <c r="Z458" s="110">
        <v>0</v>
      </c>
      <c r="AA458" s="2">
        <f t="shared" si="116"/>
        <v>1</v>
      </c>
      <c r="AB458" s="2">
        <f t="shared" si="117"/>
        <v>0</v>
      </c>
      <c r="AC458" s="2">
        <f t="shared" si="118"/>
        <v>1</v>
      </c>
      <c r="AD458" s="2">
        <f t="shared" si="119"/>
        <v>1</v>
      </c>
      <c r="AE458" s="2">
        <f t="shared" si="120"/>
        <v>1</v>
      </c>
      <c r="AF458" s="2">
        <f t="shared" si="121"/>
        <v>0</v>
      </c>
      <c r="AG458" s="2">
        <f t="shared" si="122"/>
        <v>0</v>
      </c>
      <c r="AH458" s="2">
        <f t="shared" si="123"/>
        <v>2</v>
      </c>
      <c r="AI458" s="2">
        <f t="shared" si="124"/>
        <v>2</v>
      </c>
      <c r="AJ458" s="2">
        <f t="shared" si="125"/>
        <v>2</v>
      </c>
      <c r="AK458" s="2">
        <f t="shared" si="126"/>
        <v>0</v>
      </c>
      <c r="AL458" s="2">
        <f t="shared" si="127"/>
        <v>0</v>
      </c>
      <c r="AM458" s="115"/>
      <c r="AN458" s="115"/>
      <c r="AO458" s="63"/>
    </row>
    <row r="459" spans="1:41" ht="43.2" x14ac:dyDescent="0.55000000000000004">
      <c r="A459" s="36">
        <v>4019</v>
      </c>
      <c r="B459" s="113" t="s">
        <v>1858</v>
      </c>
      <c r="C459" s="139" t="s">
        <v>1859</v>
      </c>
      <c r="D459" s="114" t="s">
        <v>52</v>
      </c>
      <c r="E459" s="115"/>
      <c r="F459" s="116"/>
      <c r="G459" s="113" t="s">
        <v>1843</v>
      </c>
      <c r="H459" s="113" t="s">
        <v>1854</v>
      </c>
      <c r="I459" s="113" t="s">
        <v>1845</v>
      </c>
      <c r="J459" s="117" t="s">
        <v>1855</v>
      </c>
      <c r="K459" s="118"/>
      <c r="L459" s="109">
        <v>3</v>
      </c>
      <c r="M459" s="109">
        <v>3</v>
      </c>
      <c r="N459" s="109"/>
      <c r="O459" s="119"/>
      <c r="P459" s="2">
        <f t="shared" si="112"/>
        <v>1</v>
      </c>
      <c r="Q459" s="110" t="str">
        <f>IF(AND(Drops!$D$45&gt;1,OR(U459&lt;&gt;U458,AND(ROW()=5,U458=U459))),VLOOKUP(U459,Drops!$D$26:$E$44,2,FALSE),"")</f>
        <v/>
      </c>
      <c r="R459" s="2" t="str">
        <f t="shared" si="113"/>
        <v/>
      </c>
      <c r="S459" s="2">
        <f t="shared" ca="1" si="114"/>
        <v>1</v>
      </c>
      <c r="T459" s="2">
        <f t="shared" si="115"/>
        <v>0</v>
      </c>
      <c r="U459" s="110" t="s">
        <v>1846</v>
      </c>
      <c r="V459" s="110">
        <v>1</v>
      </c>
      <c r="W459" s="110">
        <v>3</v>
      </c>
      <c r="X459" s="110">
        <v>2</v>
      </c>
      <c r="Y459" s="110">
        <v>0</v>
      </c>
      <c r="Z459" s="110">
        <v>0</v>
      </c>
      <c r="AA459" s="2">
        <f t="shared" si="116"/>
        <v>1</v>
      </c>
      <c r="AB459" s="2">
        <f t="shared" si="117"/>
        <v>0</v>
      </c>
      <c r="AC459" s="2">
        <f t="shared" si="118"/>
        <v>1</v>
      </c>
      <c r="AD459" s="2">
        <f t="shared" si="119"/>
        <v>1</v>
      </c>
      <c r="AE459" s="2">
        <f t="shared" si="120"/>
        <v>1</v>
      </c>
      <c r="AF459" s="2">
        <f t="shared" si="121"/>
        <v>0</v>
      </c>
      <c r="AG459" s="2">
        <f t="shared" si="122"/>
        <v>0</v>
      </c>
      <c r="AH459" s="2">
        <f t="shared" si="123"/>
        <v>2</v>
      </c>
      <c r="AI459" s="2">
        <f t="shared" si="124"/>
        <v>2</v>
      </c>
      <c r="AJ459" s="2">
        <f t="shared" si="125"/>
        <v>2</v>
      </c>
      <c r="AK459" s="2">
        <f t="shared" si="126"/>
        <v>0</v>
      </c>
      <c r="AL459" s="2">
        <f t="shared" si="127"/>
        <v>0</v>
      </c>
      <c r="AM459" s="115"/>
      <c r="AN459" s="115"/>
      <c r="AO459" s="63"/>
    </row>
    <row r="460" spans="1:41" ht="43.2" x14ac:dyDescent="0.55000000000000004">
      <c r="A460" s="36">
        <v>4020</v>
      </c>
      <c r="B460" s="113" t="s">
        <v>1860</v>
      </c>
      <c r="C460" s="139" t="s">
        <v>1861</v>
      </c>
      <c r="D460" s="114" t="s">
        <v>52</v>
      </c>
      <c r="E460" s="115"/>
      <c r="F460" s="116"/>
      <c r="G460" s="113" t="s">
        <v>1843</v>
      </c>
      <c r="H460" s="113" t="s">
        <v>1854</v>
      </c>
      <c r="I460" s="113" t="s">
        <v>1845</v>
      </c>
      <c r="J460" s="117"/>
      <c r="K460" s="118"/>
      <c r="L460" s="109">
        <v>3</v>
      </c>
      <c r="M460" s="109">
        <v>3</v>
      </c>
      <c r="N460" s="109"/>
      <c r="O460" s="119"/>
      <c r="P460" s="2">
        <f t="shared" si="112"/>
        <v>1</v>
      </c>
      <c r="Q460" s="110" t="str">
        <f>IF(AND(Drops!$D$45&gt;1,OR(U460&lt;&gt;U459,AND(ROW()=5,U459=U460))),VLOOKUP(U460,Drops!$D$26:$E$44,2,FALSE),"")</f>
        <v/>
      </c>
      <c r="R460" s="2" t="str">
        <f t="shared" si="113"/>
        <v/>
      </c>
      <c r="S460" s="2">
        <f t="shared" ca="1" si="114"/>
        <v>1</v>
      </c>
      <c r="T460" s="2">
        <f t="shared" si="115"/>
        <v>0</v>
      </c>
      <c r="U460" s="110" t="s">
        <v>1846</v>
      </c>
      <c r="V460" s="110">
        <v>1</v>
      </c>
      <c r="W460" s="110">
        <v>3</v>
      </c>
      <c r="X460" s="110">
        <v>3</v>
      </c>
      <c r="Y460" s="110">
        <v>0</v>
      </c>
      <c r="Z460" s="110">
        <v>0</v>
      </c>
      <c r="AA460" s="2">
        <f t="shared" si="116"/>
        <v>1</v>
      </c>
      <c r="AB460" s="2">
        <f t="shared" si="117"/>
        <v>1</v>
      </c>
      <c r="AC460" s="2">
        <f t="shared" si="118"/>
        <v>1</v>
      </c>
      <c r="AD460" s="2">
        <f t="shared" si="119"/>
        <v>1</v>
      </c>
      <c r="AE460" s="2">
        <f t="shared" si="120"/>
        <v>1</v>
      </c>
      <c r="AF460" s="2">
        <f t="shared" si="121"/>
        <v>0</v>
      </c>
      <c r="AG460" s="2">
        <f t="shared" si="122"/>
        <v>0</v>
      </c>
      <c r="AH460" s="2">
        <f t="shared" si="123"/>
        <v>2</v>
      </c>
      <c r="AI460" s="2">
        <f t="shared" si="124"/>
        <v>2</v>
      </c>
      <c r="AJ460" s="2">
        <f t="shared" si="125"/>
        <v>2</v>
      </c>
      <c r="AK460" s="2">
        <f t="shared" si="126"/>
        <v>0</v>
      </c>
      <c r="AL460" s="2">
        <f t="shared" si="127"/>
        <v>0</v>
      </c>
      <c r="AM460" s="115"/>
      <c r="AN460" s="115"/>
      <c r="AO460" s="63"/>
    </row>
    <row r="461" spans="1:41" ht="28.8" x14ac:dyDescent="0.55000000000000004">
      <c r="A461" s="36">
        <v>5780</v>
      </c>
      <c r="B461" s="113" t="s">
        <v>1862</v>
      </c>
      <c r="C461" s="140" t="s">
        <v>1863</v>
      </c>
      <c r="D461" s="114" t="s">
        <v>52</v>
      </c>
      <c r="E461" s="115"/>
      <c r="F461" s="116"/>
      <c r="G461" s="113" t="s">
        <v>1843</v>
      </c>
      <c r="H461" s="113" t="s">
        <v>1844</v>
      </c>
      <c r="I461" s="113" t="s">
        <v>1864</v>
      </c>
      <c r="J461" s="117"/>
      <c r="K461" s="118"/>
      <c r="L461" s="109">
        <v>4</v>
      </c>
      <c r="M461" s="109">
        <v>3</v>
      </c>
      <c r="N461" s="109"/>
      <c r="O461" s="119"/>
      <c r="P461" s="2">
        <f t="shared" si="112"/>
        <v>1</v>
      </c>
      <c r="Q461" s="110" t="str">
        <f>IF(AND(Drops!$D$45&gt;1,OR(U461&lt;&gt;U460,AND(ROW()=5,U460=U461))),VLOOKUP(U461,Drops!$D$26:$E$44,2,FALSE),"")</f>
        <v/>
      </c>
      <c r="R461" s="2" t="str">
        <f t="shared" si="113"/>
        <v/>
      </c>
      <c r="S461" s="2">
        <f t="shared" ca="1" si="114"/>
        <v>1</v>
      </c>
      <c r="T461" s="2">
        <f t="shared" si="115"/>
        <v>0</v>
      </c>
      <c r="U461" s="110" t="s">
        <v>1846</v>
      </c>
      <c r="V461" s="110">
        <v>1</v>
      </c>
      <c r="W461" s="110">
        <v>3</v>
      </c>
      <c r="X461" s="110">
        <v>3</v>
      </c>
      <c r="Y461" s="110">
        <v>1</v>
      </c>
      <c r="Z461" s="110">
        <v>0</v>
      </c>
      <c r="AA461" s="2">
        <f t="shared" si="116"/>
        <v>1</v>
      </c>
      <c r="AB461" s="2">
        <f t="shared" si="117"/>
        <v>0</v>
      </c>
      <c r="AC461" s="2">
        <f t="shared" si="118"/>
        <v>1</v>
      </c>
      <c r="AD461" s="2">
        <f t="shared" si="119"/>
        <v>1</v>
      </c>
      <c r="AE461" s="2">
        <f t="shared" si="120"/>
        <v>1</v>
      </c>
      <c r="AF461" s="2">
        <f t="shared" si="121"/>
        <v>1</v>
      </c>
      <c r="AG461" s="2">
        <f t="shared" si="122"/>
        <v>0</v>
      </c>
      <c r="AH461" s="2">
        <f t="shared" si="123"/>
        <v>2</v>
      </c>
      <c r="AI461" s="2">
        <f t="shared" si="124"/>
        <v>2</v>
      </c>
      <c r="AJ461" s="2">
        <f t="shared" si="125"/>
        <v>2</v>
      </c>
      <c r="AK461" s="2">
        <f t="shared" si="126"/>
        <v>2</v>
      </c>
      <c r="AL461" s="2">
        <f t="shared" si="127"/>
        <v>0</v>
      </c>
      <c r="AM461" s="115"/>
      <c r="AN461" s="115"/>
      <c r="AO461" s="63"/>
    </row>
    <row r="462" spans="1:41" ht="43.2" x14ac:dyDescent="0.55000000000000004">
      <c r="A462" s="36">
        <v>4021</v>
      </c>
      <c r="B462" s="113" t="s">
        <v>1865</v>
      </c>
      <c r="C462" s="139" t="s">
        <v>1866</v>
      </c>
      <c r="D462" s="114" t="s">
        <v>52</v>
      </c>
      <c r="E462" s="115"/>
      <c r="F462" s="116"/>
      <c r="G462" s="113" t="s">
        <v>1843</v>
      </c>
      <c r="H462" s="113" t="s">
        <v>1854</v>
      </c>
      <c r="I462" s="113" t="s">
        <v>1845</v>
      </c>
      <c r="J462" s="117" t="s">
        <v>1855</v>
      </c>
      <c r="K462" s="118"/>
      <c r="L462" s="109">
        <v>3</v>
      </c>
      <c r="M462" s="109">
        <v>3</v>
      </c>
      <c r="N462" s="109"/>
      <c r="O462" s="119"/>
      <c r="P462" s="2">
        <f t="shared" si="112"/>
        <v>1</v>
      </c>
      <c r="Q462" s="110" t="str">
        <f>IF(AND(Drops!$D$45&gt;1,OR(U462&lt;&gt;U461,AND(ROW()=5,U461=U462))),VLOOKUP(U462,Drops!$D$26:$E$44,2,FALSE),"")</f>
        <v/>
      </c>
      <c r="R462" s="2" t="str">
        <f t="shared" si="113"/>
        <v/>
      </c>
      <c r="S462" s="2">
        <f t="shared" ca="1" si="114"/>
        <v>1</v>
      </c>
      <c r="T462" s="2">
        <f t="shared" si="115"/>
        <v>0</v>
      </c>
      <c r="U462" s="110" t="s">
        <v>1846</v>
      </c>
      <c r="V462" s="110">
        <v>1</v>
      </c>
      <c r="W462" s="110">
        <v>3</v>
      </c>
      <c r="X462" s="110">
        <v>4</v>
      </c>
      <c r="Y462" s="110">
        <v>0</v>
      </c>
      <c r="Z462" s="110">
        <v>0</v>
      </c>
      <c r="AA462" s="2">
        <f t="shared" si="116"/>
        <v>1</v>
      </c>
      <c r="AB462" s="2">
        <f t="shared" si="117"/>
        <v>0</v>
      </c>
      <c r="AC462" s="2">
        <f t="shared" si="118"/>
        <v>1</v>
      </c>
      <c r="AD462" s="2">
        <f t="shared" si="119"/>
        <v>1</v>
      </c>
      <c r="AE462" s="2">
        <f t="shared" si="120"/>
        <v>1</v>
      </c>
      <c r="AF462" s="2">
        <f t="shared" si="121"/>
        <v>0</v>
      </c>
      <c r="AG462" s="2">
        <f t="shared" si="122"/>
        <v>0</v>
      </c>
      <c r="AH462" s="2">
        <f t="shared" si="123"/>
        <v>2</v>
      </c>
      <c r="AI462" s="2">
        <f t="shared" si="124"/>
        <v>2</v>
      </c>
      <c r="AJ462" s="2">
        <f t="shared" si="125"/>
        <v>2</v>
      </c>
      <c r="AK462" s="2">
        <f t="shared" si="126"/>
        <v>2</v>
      </c>
      <c r="AL462" s="2">
        <f t="shared" si="127"/>
        <v>0</v>
      </c>
      <c r="AM462" s="115"/>
      <c r="AN462" s="115"/>
      <c r="AO462" s="63"/>
    </row>
    <row r="463" spans="1:41" ht="28.8" x14ac:dyDescent="0.55000000000000004">
      <c r="A463" s="36">
        <v>4023</v>
      </c>
      <c r="B463" s="113" t="s">
        <v>1867</v>
      </c>
      <c r="C463" s="139" t="s">
        <v>1868</v>
      </c>
      <c r="D463" s="114" t="s">
        <v>52</v>
      </c>
      <c r="E463" s="115"/>
      <c r="F463" s="116"/>
      <c r="G463" s="113" t="s">
        <v>1843</v>
      </c>
      <c r="H463" s="113" t="s">
        <v>1854</v>
      </c>
      <c r="I463" s="113" t="s">
        <v>1845</v>
      </c>
      <c r="J463" s="117"/>
      <c r="K463" s="118"/>
      <c r="L463" s="109">
        <v>3</v>
      </c>
      <c r="M463" s="109">
        <v>3</v>
      </c>
      <c r="N463" s="109"/>
      <c r="O463" s="119"/>
      <c r="P463" s="2">
        <f t="shared" si="112"/>
        <v>1</v>
      </c>
      <c r="Q463" s="110" t="str">
        <f>IF(AND(Drops!$D$45&gt;1,OR(U463&lt;&gt;U462,AND(ROW()=5,U462=U463))),VLOOKUP(U463,Drops!$D$26:$E$44,2,FALSE),"")</f>
        <v/>
      </c>
      <c r="R463" s="2" t="str">
        <f t="shared" si="113"/>
        <v/>
      </c>
      <c r="S463" s="2">
        <f t="shared" ca="1" si="114"/>
        <v>1</v>
      </c>
      <c r="T463" s="2">
        <f t="shared" si="115"/>
        <v>0</v>
      </c>
      <c r="U463" s="110" t="s">
        <v>1846</v>
      </c>
      <c r="V463" s="110">
        <v>1</v>
      </c>
      <c r="W463" s="110">
        <v>3</v>
      </c>
      <c r="X463" s="110">
        <v>5</v>
      </c>
      <c r="Y463" s="110">
        <v>0</v>
      </c>
      <c r="Z463" s="110">
        <v>0</v>
      </c>
      <c r="AA463" s="2">
        <f t="shared" si="116"/>
        <v>1</v>
      </c>
      <c r="AB463" s="2">
        <f t="shared" si="117"/>
        <v>0</v>
      </c>
      <c r="AC463" s="2">
        <f t="shared" si="118"/>
        <v>1</v>
      </c>
      <c r="AD463" s="2">
        <f t="shared" si="119"/>
        <v>1</v>
      </c>
      <c r="AE463" s="2">
        <f t="shared" si="120"/>
        <v>1</v>
      </c>
      <c r="AF463" s="2">
        <f t="shared" si="121"/>
        <v>0</v>
      </c>
      <c r="AG463" s="2">
        <f t="shared" si="122"/>
        <v>0</v>
      </c>
      <c r="AH463" s="2">
        <f t="shared" si="123"/>
        <v>2</v>
      </c>
      <c r="AI463" s="2">
        <f t="shared" si="124"/>
        <v>2</v>
      </c>
      <c r="AJ463" s="2">
        <f t="shared" si="125"/>
        <v>2</v>
      </c>
      <c r="AK463" s="2">
        <f t="shared" si="126"/>
        <v>2</v>
      </c>
      <c r="AL463" s="2">
        <f t="shared" si="127"/>
        <v>0</v>
      </c>
      <c r="AM463" s="115"/>
      <c r="AN463" s="115"/>
      <c r="AO463" s="63"/>
    </row>
    <row r="464" spans="1:41" ht="28.8" x14ac:dyDescent="0.55000000000000004">
      <c r="A464" s="36">
        <v>5855</v>
      </c>
      <c r="B464" s="113" t="s">
        <v>1869</v>
      </c>
      <c r="C464" s="139" t="s">
        <v>1870</v>
      </c>
      <c r="D464" s="114" t="s">
        <v>52</v>
      </c>
      <c r="E464" s="115"/>
      <c r="F464" s="116"/>
      <c r="G464" s="113" t="s">
        <v>1843</v>
      </c>
      <c r="H464" s="113" t="s">
        <v>1854</v>
      </c>
      <c r="I464" s="113"/>
      <c r="J464" s="117"/>
      <c r="K464" s="118"/>
      <c r="L464" s="109">
        <v>3</v>
      </c>
      <c r="M464" s="109">
        <v>3</v>
      </c>
      <c r="N464" s="109"/>
      <c r="O464" s="119"/>
      <c r="P464" s="2">
        <f t="shared" si="112"/>
        <v>1</v>
      </c>
      <c r="Q464" s="110" t="str">
        <f>IF(AND(Drops!$D$45&gt;1,OR(U464&lt;&gt;U463,AND(ROW()=5,U463=U464))),VLOOKUP(U464,Drops!$D$26:$E$44,2,FALSE),"")</f>
        <v/>
      </c>
      <c r="R464" s="2" t="str">
        <f t="shared" si="113"/>
        <v/>
      </c>
      <c r="S464" s="2">
        <f t="shared" ca="1" si="114"/>
        <v>1</v>
      </c>
      <c r="T464" s="2">
        <f t="shared" si="115"/>
        <v>0</v>
      </c>
      <c r="U464" s="110" t="s">
        <v>1846</v>
      </c>
      <c r="V464" s="110">
        <v>1</v>
      </c>
      <c r="W464" s="110">
        <v>3</v>
      </c>
      <c r="X464" s="110">
        <v>6</v>
      </c>
      <c r="Y464" s="110">
        <v>0</v>
      </c>
      <c r="Z464" s="110">
        <v>0</v>
      </c>
      <c r="AA464" s="2">
        <f t="shared" si="116"/>
        <v>1</v>
      </c>
      <c r="AB464" s="2">
        <f t="shared" si="117"/>
        <v>0</v>
      </c>
      <c r="AC464" s="2">
        <f t="shared" si="118"/>
        <v>1</v>
      </c>
      <c r="AD464" s="2">
        <f t="shared" si="119"/>
        <v>1</v>
      </c>
      <c r="AE464" s="2">
        <f t="shared" si="120"/>
        <v>1</v>
      </c>
      <c r="AF464" s="2">
        <f t="shared" si="121"/>
        <v>0</v>
      </c>
      <c r="AG464" s="2">
        <f t="shared" si="122"/>
        <v>0</v>
      </c>
      <c r="AH464" s="2">
        <f t="shared" si="123"/>
        <v>2</v>
      </c>
      <c r="AI464" s="2">
        <f t="shared" si="124"/>
        <v>2</v>
      </c>
      <c r="AJ464" s="2">
        <f t="shared" si="125"/>
        <v>2</v>
      </c>
      <c r="AK464" s="2">
        <f t="shared" si="126"/>
        <v>2</v>
      </c>
      <c r="AL464" s="2">
        <f t="shared" si="127"/>
        <v>0</v>
      </c>
      <c r="AM464" s="115"/>
      <c r="AN464" s="115"/>
      <c r="AO464" s="63"/>
    </row>
    <row r="465" spans="1:41" ht="28.8" x14ac:dyDescent="0.55000000000000004">
      <c r="A465" s="36">
        <v>4027</v>
      </c>
      <c r="B465" s="113" t="s">
        <v>1871</v>
      </c>
      <c r="C465" s="138" t="s">
        <v>1872</v>
      </c>
      <c r="D465" s="114" t="s">
        <v>52</v>
      </c>
      <c r="E465" s="115"/>
      <c r="F465" s="116"/>
      <c r="G465" s="113" t="s">
        <v>1843</v>
      </c>
      <c r="H465" s="113" t="s">
        <v>1873</v>
      </c>
      <c r="I465" s="113"/>
      <c r="J465" s="117"/>
      <c r="K465" s="118"/>
      <c r="L465" s="109">
        <v>2</v>
      </c>
      <c r="M465" s="109">
        <v>3</v>
      </c>
      <c r="N465" s="109"/>
      <c r="O465" s="119"/>
      <c r="P465" s="2">
        <f t="shared" si="112"/>
        <v>1</v>
      </c>
      <c r="Q465" s="110" t="str">
        <f>IF(AND(Drops!$D$45&gt;1,OR(U465&lt;&gt;U464,AND(ROW()=5,U464=U465))),VLOOKUP(U465,Drops!$D$26:$E$44,2,FALSE),"")</f>
        <v/>
      </c>
      <c r="R465" s="2" t="str">
        <f t="shared" si="113"/>
        <v/>
      </c>
      <c r="S465" s="2">
        <f t="shared" ca="1" si="114"/>
        <v>1</v>
      </c>
      <c r="T465" s="2">
        <f t="shared" si="115"/>
        <v>0</v>
      </c>
      <c r="U465" s="110" t="s">
        <v>1846</v>
      </c>
      <c r="V465" s="110">
        <v>1</v>
      </c>
      <c r="W465" s="110">
        <v>4</v>
      </c>
      <c r="X465" s="110">
        <v>0</v>
      </c>
      <c r="Y465" s="110">
        <v>0</v>
      </c>
      <c r="Z465" s="110">
        <v>0</v>
      </c>
      <c r="AA465" s="2">
        <f t="shared" si="116"/>
        <v>1</v>
      </c>
      <c r="AB465" s="2">
        <f t="shared" si="117"/>
        <v>1</v>
      </c>
      <c r="AC465" s="2">
        <f t="shared" si="118"/>
        <v>1</v>
      </c>
      <c r="AD465" s="2">
        <f t="shared" si="119"/>
        <v>1</v>
      </c>
      <c r="AE465" s="2">
        <f t="shared" si="120"/>
        <v>0</v>
      </c>
      <c r="AF465" s="2">
        <f t="shared" si="121"/>
        <v>0</v>
      </c>
      <c r="AG465" s="2">
        <f t="shared" si="122"/>
        <v>0</v>
      </c>
      <c r="AH465" s="2">
        <f t="shared" si="123"/>
        <v>2</v>
      </c>
      <c r="AI465" s="2">
        <f t="shared" si="124"/>
        <v>2</v>
      </c>
      <c r="AJ465" s="2">
        <f t="shared" si="125"/>
        <v>2</v>
      </c>
      <c r="AK465" s="2">
        <f t="shared" si="126"/>
        <v>2</v>
      </c>
      <c r="AL465" s="2">
        <f t="shared" si="127"/>
        <v>0</v>
      </c>
      <c r="AM465" s="115"/>
      <c r="AN465" s="115"/>
      <c r="AO465" s="63"/>
    </row>
    <row r="466" spans="1:41" ht="28.8" x14ac:dyDescent="0.55000000000000004">
      <c r="A466" s="36">
        <v>4028</v>
      </c>
      <c r="B466" s="113" t="s">
        <v>1874</v>
      </c>
      <c r="C466" s="139" t="s">
        <v>1875</v>
      </c>
      <c r="D466" s="114" t="s">
        <v>52</v>
      </c>
      <c r="E466" s="115"/>
      <c r="F466" s="116"/>
      <c r="G466" s="113" t="s">
        <v>1843</v>
      </c>
      <c r="H466" s="113" t="s">
        <v>1873</v>
      </c>
      <c r="I466" s="113"/>
      <c r="J466" s="117"/>
      <c r="K466" s="118"/>
      <c r="L466" s="109">
        <v>3</v>
      </c>
      <c r="M466" s="109">
        <v>3</v>
      </c>
      <c r="N466" s="109"/>
      <c r="O466" s="119"/>
      <c r="P466" s="2">
        <f t="shared" si="112"/>
        <v>1</v>
      </c>
      <c r="Q466" s="110" t="str">
        <f>IF(AND(Drops!$D$45&gt;1,OR(U466&lt;&gt;U465,AND(ROW()=5,U465=U466))),VLOOKUP(U466,Drops!$D$26:$E$44,2,FALSE),"")</f>
        <v/>
      </c>
      <c r="R466" s="2" t="str">
        <f t="shared" si="113"/>
        <v/>
      </c>
      <c r="S466" s="2">
        <f t="shared" ca="1" si="114"/>
        <v>1</v>
      </c>
      <c r="T466" s="2">
        <f t="shared" si="115"/>
        <v>0</v>
      </c>
      <c r="U466" s="110" t="s">
        <v>1846</v>
      </c>
      <c r="V466" s="110">
        <v>1</v>
      </c>
      <c r="W466" s="110">
        <v>4</v>
      </c>
      <c r="X466" s="110">
        <v>1</v>
      </c>
      <c r="Y466" s="110">
        <v>0</v>
      </c>
      <c r="Z466" s="110">
        <v>0</v>
      </c>
      <c r="AA466" s="2">
        <f t="shared" si="116"/>
        <v>1</v>
      </c>
      <c r="AB466" s="2">
        <f t="shared" si="117"/>
        <v>0</v>
      </c>
      <c r="AC466" s="2">
        <f t="shared" si="118"/>
        <v>1</v>
      </c>
      <c r="AD466" s="2">
        <f t="shared" si="119"/>
        <v>1</v>
      </c>
      <c r="AE466" s="2">
        <f t="shared" si="120"/>
        <v>1</v>
      </c>
      <c r="AF466" s="2">
        <f t="shared" si="121"/>
        <v>0</v>
      </c>
      <c r="AG466" s="2">
        <f t="shared" si="122"/>
        <v>0</v>
      </c>
      <c r="AH466" s="2">
        <f t="shared" si="123"/>
        <v>2</v>
      </c>
      <c r="AI466" s="2">
        <f t="shared" si="124"/>
        <v>2</v>
      </c>
      <c r="AJ466" s="2">
        <f t="shared" si="125"/>
        <v>2</v>
      </c>
      <c r="AK466" s="2">
        <f t="shared" si="126"/>
        <v>2</v>
      </c>
      <c r="AL466" s="2">
        <f t="shared" si="127"/>
        <v>0</v>
      </c>
      <c r="AM466" s="115"/>
      <c r="AN466" s="115"/>
      <c r="AO466" s="63"/>
    </row>
    <row r="467" spans="1:41" ht="28.8" x14ac:dyDescent="0.55000000000000004">
      <c r="A467" s="36">
        <v>4030</v>
      </c>
      <c r="B467" s="113" t="s">
        <v>1876</v>
      </c>
      <c r="C467" s="139" t="s">
        <v>1877</v>
      </c>
      <c r="D467" s="114" t="s">
        <v>52</v>
      </c>
      <c r="E467" s="115"/>
      <c r="F467" s="116"/>
      <c r="G467" s="113" t="s">
        <v>1843</v>
      </c>
      <c r="H467" s="113" t="s">
        <v>1873</v>
      </c>
      <c r="I467" s="113"/>
      <c r="J467" s="117"/>
      <c r="K467" s="118"/>
      <c r="L467" s="109">
        <v>3</v>
      </c>
      <c r="M467" s="109">
        <v>3</v>
      </c>
      <c r="N467" s="109"/>
      <c r="O467" s="119"/>
      <c r="P467" s="2">
        <f t="shared" si="112"/>
        <v>1</v>
      </c>
      <c r="Q467" s="110" t="str">
        <f>IF(AND(Drops!$D$45&gt;1,OR(U467&lt;&gt;U466,AND(ROW()=5,U466=U467))),VLOOKUP(U467,Drops!$D$26:$E$44,2,FALSE),"")</f>
        <v/>
      </c>
      <c r="R467" s="2" t="str">
        <f t="shared" si="113"/>
        <v/>
      </c>
      <c r="S467" s="2">
        <f t="shared" ca="1" si="114"/>
        <v>1</v>
      </c>
      <c r="T467" s="2">
        <f t="shared" si="115"/>
        <v>0</v>
      </c>
      <c r="U467" s="110" t="s">
        <v>1846</v>
      </c>
      <c r="V467" s="110">
        <v>1</v>
      </c>
      <c r="W467" s="110">
        <v>4</v>
      </c>
      <c r="X467" s="110">
        <v>2</v>
      </c>
      <c r="Y467" s="110">
        <v>0</v>
      </c>
      <c r="Z467" s="110">
        <v>0</v>
      </c>
      <c r="AA467" s="2">
        <f t="shared" si="116"/>
        <v>1</v>
      </c>
      <c r="AB467" s="2">
        <f t="shared" si="117"/>
        <v>0</v>
      </c>
      <c r="AC467" s="2">
        <f t="shared" si="118"/>
        <v>1</v>
      </c>
      <c r="AD467" s="2">
        <f t="shared" si="119"/>
        <v>1</v>
      </c>
      <c r="AE467" s="2">
        <f t="shared" si="120"/>
        <v>1</v>
      </c>
      <c r="AF467" s="2">
        <f t="shared" si="121"/>
        <v>0</v>
      </c>
      <c r="AG467" s="2">
        <f t="shared" si="122"/>
        <v>0</v>
      </c>
      <c r="AH467" s="2">
        <f t="shared" si="123"/>
        <v>2</v>
      </c>
      <c r="AI467" s="2">
        <f t="shared" si="124"/>
        <v>2</v>
      </c>
      <c r="AJ467" s="2">
        <f t="shared" si="125"/>
        <v>2</v>
      </c>
      <c r="AK467" s="2">
        <f t="shared" si="126"/>
        <v>2</v>
      </c>
      <c r="AL467" s="2">
        <f t="shared" si="127"/>
        <v>0</v>
      </c>
      <c r="AM467" s="115"/>
      <c r="AN467" s="115"/>
      <c r="AO467" s="63"/>
    </row>
    <row r="468" spans="1:41" ht="28.8" x14ac:dyDescent="0.55000000000000004">
      <c r="A468" s="36">
        <v>2765</v>
      </c>
      <c r="B468" s="113" t="s">
        <v>1878</v>
      </c>
      <c r="C468" s="138" t="s">
        <v>1879</v>
      </c>
      <c r="D468" s="114" t="s">
        <v>52</v>
      </c>
      <c r="E468" s="115"/>
      <c r="F468" s="116"/>
      <c r="G468" s="113" t="s">
        <v>1843</v>
      </c>
      <c r="H468" s="113" t="s">
        <v>1880</v>
      </c>
      <c r="I468" s="113"/>
      <c r="J468" s="117"/>
      <c r="K468" s="118"/>
      <c r="L468" s="109">
        <v>2</v>
      </c>
      <c r="M468" s="109">
        <v>2</v>
      </c>
      <c r="N468" s="109"/>
      <c r="O468" s="119"/>
      <c r="P468" s="2">
        <f t="shared" si="112"/>
        <v>1</v>
      </c>
      <c r="Q468" s="110" t="str">
        <f>IF(AND(Drops!$D$45&gt;1,OR(U468&lt;&gt;U467,AND(ROW()=5,U467=U468))),VLOOKUP(U468,Drops!$D$26:$E$44,2,FALSE),"")</f>
        <v/>
      </c>
      <c r="R468" s="2" t="str">
        <f t="shared" si="113"/>
        <v/>
      </c>
      <c r="S468" s="2">
        <f t="shared" ca="1" si="114"/>
        <v>1</v>
      </c>
      <c r="T468" s="2">
        <f t="shared" si="115"/>
        <v>0</v>
      </c>
      <c r="U468" s="110" t="s">
        <v>1846</v>
      </c>
      <c r="V468" s="110">
        <v>1</v>
      </c>
      <c r="W468" s="110">
        <v>5</v>
      </c>
      <c r="X468" s="110">
        <v>0</v>
      </c>
      <c r="Y468" s="110">
        <v>0</v>
      </c>
      <c r="Z468" s="110">
        <v>0</v>
      </c>
      <c r="AA468" s="2">
        <f t="shared" si="116"/>
        <v>1</v>
      </c>
      <c r="AB468" s="2">
        <f t="shared" si="117"/>
        <v>0</v>
      </c>
      <c r="AC468" s="2">
        <f t="shared" si="118"/>
        <v>1</v>
      </c>
      <c r="AD468" s="2">
        <f t="shared" si="119"/>
        <v>1</v>
      </c>
      <c r="AE468" s="2">
        <f t="shared" si="120"/>
        <v>0</v>
      </c>
      <c r="AF468" s="2">
        <f t="shared" si="121"/>
        <v>0</v>
      </c>
      <c r="AG468" s="2">
        <f t="shared" si="122"/>
        <v>0</v>
      </c>
      <c r="AH468" s="2">
        <f t="shared" si="123"/>
        <v>2</v>
      </c>
      <c r="AI468" s="2">
        <f t="shared" si="124"/>
        <v>2</v>
      </c>
      <c r="AJ468" s="2">
        <f t="shared" si="125"/>
        <v>2</v>
      </c>
      <c r="AK468" s="2">
        <f t="shared" si="126"/>
        <v>2</v>
      </c>
      <c r="AL468" s="2">
        <f t="shared" si="127"/>
        <v>0</v>
      </c>
      <c r="AM468" s="115"/>
      <c r="AN468" s="115"/>
      <c r="AO468" s="63"/>
    </row>
    <row r="469" spans="1:41" ht="129.6" x14ac:dyDescent="0.55000000000000004">
      <c r="A469" s="36">
        <v>2329</v>
      </c>
      <c r="B469" s="113" t="s">
        <v>338</v>
      </c>
      <c r="C469" s="113" t="s">
        <v>1881</v>
      </c>
      <c r="D469" s="114" t="s">
        <v>52</v>
      </c>
      <c r="E469" s="115"/>
      <c r="F469" s="116"/>
      <c r="G469" s="113" t="s">
        <v>1882</v>
      </c>
      <c r="H469" s="113" t="s">
        <v>1883</v>
      </c>
      <c r="I469" s="113"/>
      <c r="J469" s="117" t="s">
        <v>1884</v>
      </c>
      <c r="K469" s="118"/>
      <c r="L469" s="109">
        <v>1</v>
      </c>
      <c r="M469" s="109">
        <v>3</v>
      </c>
      <c r="N469" s="109"/>
      <c r="O469" s="119"/>
      <c r="P469" s="2">
        <f t="shared" si="112"/>
        <v>1</v>
      </c>
      <c r="Q469" s="110" t="str">
        <f>IF(AND(Drops!$D$45&gt;1,OR(U469&lt;&gt;U468,AND(ROW()=5,U468=U469))),VLOOKUP(U469,Drops!$D$26:$E$44,2,FALSE),"")</f>
        <v/>
      </c>
      <c r="R469" s="2" t="str">
        <f t="shared" si="113"/>
        <v/>
      </c>
      <c r="S469" s="2">
        <f t="shared" ca="1" si="114"/>
        <v>1</v>
      </c>
      <c r="T469" s="2">
        <f t="shared" si="115"/>
        <v>1</v>
      </c>
      <c r="U469" s="110" t="s">
        <v>1846</v>
      </c>
      <c r="V469" s="110">
        <v>2</v>
      </c>
      <c r="W469" s="110">
        <v>0</v>
      </c>
      <c r="X469" s="110">
        <v>0</v>
      </c>
      <c r="Y469" s="110">
        <v>0</v>
      </c>
      <c r="Z469" s="110">
        <v>0</v>
      </c>
      <c r="AA469" s="2">
        <f t="shared" si="116"/>
        <v>1</v>
      </c>
      <c r="AB469" s="2">
        <f t="shared" si="117"/>
        <v>1</v>
      </c>
      <c r="AC469" s="2">
        <f t="shared" si="118"/>
        <v>1</v>
      </c>
      <c r="AD469" s="2">
        <f t="shared" si="119"/>
        <v>0</v>
      </c>
      <c r="AE469" s="2">
        <f t="shared" si="120"/>
        <v>0</v>
      </c>
      <c r="AF469" s="2">
        <f t="shared" si="121"/>
        <v>0</v>
      </c>
      <c r="AG469" s="2">
        <f t="shared" si="122"/>
        <v>0</v>
      </c>
      <c r="AH469" s="2">
        <f t="shared" si="123"/>
        <v>2</v>
      </c>
      <c r="AI469" s="2">
        <f t="shared" si="124"/>
        <v>2</v>
      </c>
      <c r="AJ469" s="2">
        <f t="shared" si="125"/>
        <v>2</v>
      </c>
      <c r="AK469" s="2">
        <f t="shared" si="126"/>
        <v>2</v>
      </c>
      <c r="AL469" s="2">
        <f t="shared" si="127"/>
        <v>0</v>
      </c>
      <c r="AM469" s="115"/>
      <c r="AN469" s="115"/>
      <c r="AO469" s="63"/>
    </row>
    <row r="470" spans="1:41" ht="43.2" x14ac:dyDescent="0.55000000000000004">
      <c r="A470" s="36">
        <v>4035</v>
      </c>
      <c r="B470" s="113" t="s">
        <v>1885</v>
      </c>
      <c r="C470" s="138" t="s">
        <v>1886</v>
      </c>
      <c r="D470" s="114" t="s">
        <v>52</v>
      </c>
      <c r="E470" s="115"/>
      <c r="F470" s="116"/>
      <c r="G470" s="113" t="s">
        <v>1882</v>
      </c>
      <c r="H470" s="113" t="s">
        <v>1883</v>
      </c>
      <c r="I470" s="113" t="s">
        <v>1887</v>
      </c>
      <c r="J470" s="117" t="s">
        <v>1855</v>
      </c>
      <c r="K470" s="118"/>
      <c r="L470" s="109">
        <v>2</v>
      </c>
      <c r="M470" s="109">
        <v>3</v>
      </c>
      <c r="N470" s="109"/>
      <c r="O470" s="119"/>
      <c r="P470" s="2">
        <f t="shared" si="112"/>
        <v>1</v>
      </c>
      <c r="Q470" s="110" t="str">
        <f>IF(AND(Drops!$D$45&gt;1,OR(U470&lt;&gt;U469,AND(ROW()=5,U469=U470))),VLOOKUP(U470,Drops!$D$26:$E$44,2,FALSE),"")</f>
        <v/>
      </c>
      <c r="R470" s="2" t="str">
        <f t="shared" si="113"/>
        <v/>
      </c>
      <c r="S470" s="2">
        <f t="shared" ca="1" si="114"/>
        <v>1</v>
      </c>
      <c r="T470" s="2">
        <f t="shared" si="115"/>
        <v>0</v>
      </c>
      <c r="U470" s="110" t="s">
        <v>1846</v>
      </c>
      <c r="V470" s="110">
        <v>2</v>
      </c>
      <c r="W470" s="110">
        <v>1</v>
      </c>
      <c r="X470" s="110">
        <v>0</v>
      </c>
      <c r="Y470" s="110">
        <v>0</v>
      </c>
      <c r="Z470" s="110">
        <v>0</v>
      </c>
      <c r="AA470" s="2">
        <f t="shared" si="116"/>
        <v>1</v>
      </c>
      <c r="AB470" s="2">
        <f t="shared" si="117"/>
        <v>0</v>
      </c>
      <c r="AC470" s="2">
        <f t="shared" si="118"/>
        <v>1</v>
      </c>
      <c r="AD470" s="2">
        <f t="shared" si="119"/>
        <v>1</v>
      </c>
      <c r="AE470" s="2">
        <f t="shared" si="120"/>
        <v>0</v>
      </c>
      <c r="AF470" s="2">
        <f t="shared" si="121"/>
        <v>0</v>
      </c>
      <c r="AG470" s="2">
        <f t="shared" si="122"/>
        <v>0</v>
      </c>
      <c r="AH470" s="2">
        <f t="shared" si="123"/>
        <v>2</v>
      </c>
      <c r="AI470" s="2">
        <f t="shared" si="124"/>
        <v>2</v>
      </c>
      <c r="AJ470" s="2">
        <f t="shared" si="125"/>
        <v>2</v>
      </c>
      <c r="AK470" s="2">
        <f t="shared" si="126"/>
        <v>2</v>
      </c>
      <c r="AL470" s="2">
        <f t="shared" si="127"/>
        <v>0</v>
      </c>
      <c r="AM470" s="115"/>
      <c r="AN470" s="115"/>
      <c r="AO470" s="63"/>
    </row>
    <row r="471" spans="1:41" ht="43.2" x14ac:dyDescent="0.55000000000000004">
      <c r="A471" s="36">
        <v>2334</v>
      </c>
      <c r="B471" s="113" t="s">
        <v>1888</v>
      </c>
      <c r="C471" s="138" t="s">
        <v>1889</v>
      </c>
      <c r="D471" s="114" t="s">
        <v>52</v>
      </c>
      <c r="E471" s="115"/>
      <c r="F471" s="116"/>
      <c r="G471" s="113" t="s">
        <v>1882</v>
      </c>
      <c r="H471" s="113" t="s">
        <v>1883</v>
      </c>
      <c r="I471" s="113" t="s">
        <v>1887</v>
      </c>
      <c r="J471" s="117"/>
      <c r="K471" s="118"/>
      <c r="L471" s="109">
        <v>2</v>
      </c>
      <c r="M471" s="109">
        <v>3</v>
      </c>
      <c r="N471" s="109"/>
      <c r="O471" s="119"/>
      <c r="P471" s="2">
        <f t="shared" si="112"/>
        <v>1</v>
      </c>
      <c r="Q471" s="110" t="str">
        <f>IF(AND(Drops!$D$45&gt;1,OR(U471&lt;&gt;U470,AND(ROW()=5,U470=U471))),VLOOKUP(U471,Drops!$D$26:$E$44,2,FALSE),"")</f>
        <v/>
      </c>
      <c r="R471" s="2" t="str">
        <f t="shared" si="113"/>
        <v/>
      </c>
      <c r="S471" s="2">
        <f t="shared" ca="1" si="114"/>
        <v>1</v>
      </c>
      <c r="T471" s="2">
        <f t="shared" si="115"/>
        <v>0</v>
      </c>
      <c r="U471" s="110" t="s">
        <v>1846</v>
      </c>
      <c r="V471" s="110">
        <v>2</v>
      </c>
      <c r="W471" s="110">
        <v>2</v>
      </c>
      <c r="X471" s="110">
        <v>0</v>
      </c>
      <c r="Y471" s="110">
        <v>0</v>
      </c>
      <c r="Z471" s="110">
        <v>0</v>
      </c>
      <c r="AA471" s="2">
        <f t="shared" si="116"/>
        <v>1</v>
      </c>
      <c r="AB471" s="2">
        <f t="shared" si="117"/>
        <v>0</v>
      </c>
      <c r="AC471" s="2">
        <f t="shared" si="118"/>
        <v>1</v>
      </c>
      <c r="AD471" s="2">
        <f t="shared" si="119"/>
        <v>1</v>
      </c>
      <c r="AE471" s="2">
        <f t="shared" si="120"/>
        <v>0</v>
      </c>
      <c r="AF471" s="2">
        <f t="shared" si="121"/>
        <v>0</v>
      </c>
      <c r="AG471" s="2">
        <f t="shared" si="122"/>
        <v>0</v>
      </c>
      <c r="AH471" s="2">
        <f t="shared" si="123"/>
        <v>2</v>
      </c>
      <c r="AI471" s="2">
        <f t="shared" si="124"/>
        <v>2</v>
      </c>
      <c r="AJ471" s="2">
        <f t="shared" si="125"/>
        <v>2</v>
      </c>
      <c r="AK471" s="2">
        <f t="shared" si="126"/>
        <v>2</v>
      </c>
      <c r="AL471" s="2">
        <f t="shared" si="127"/>
        <v>0</v>
      </c>
      <c r="AM471" s="115"/>
      <c r="AN471" s="115"/>
      <c r="AO471" s="63"/>
    </row>
    <row r="472" spans="1:41" ht="43.2" x14ac:dyDescent="0.55000000000000004">
      <c r="A472" s="36">
        <v>2299</v>
      </c>
      <c r="B472" s="113" t="s">
        <v>1890</v>
      </c>
      <c r="C472" s="138" t="s">
        <v>1891</v>
      </c>
      <c r="D472" s="114" t="s">
        <v>52</v>
      </c>
      <c r="E472" s="115"/>
      <c r="F472" s="116"/>
      <c r="G472" s="113" t="s">
        <v>1882</v>
      </c>
      <c r="H472" s="113" t="s">
        <v>1883</v>
      </c>
      <c r="I472" s="113" t="s">
        <v>1887</v>
      </c>
      <c r="J472" s="117"/>
      <c r="K472" s="118"/>
      <c r="L472" s="109">
        <v>2</v>
      </c>
      <c r="M472" s="109">
        <v>3</v>
      </c>
      <c r="N472" s="109"/>
      <c r="O472" s="119"/>
      <c r="P472" s="2">
        <f t="shared" si="112"/>
        <v>1</v>
      </c>
      <c r="Q472" s="110" t="str">
        <f>IF(AND(Drops!$D$45&gt;1,OR(U472&lt;&gt;U471,AND(ROW()=5,U471=U472))),VLOOKUP(U472,Drops!$D$26:$E$44,2,FALSE),"")</f>
        <v/>
      </c>
      <c r="R472" s="2" t="str">
        <f t="shared" si="113"/>
        <v/>
      </c>
      <c r="S472" s="2">
        <f t="shared" ca="1" si="114"/>
        <v>1</v>
      </c>
      <c r="T472" s="2">
        <f t="shared" si="115"/>
        <v>0</v>
      </c>
      <c r="U472" s="110" t="s">
        <v>1846</v>
      </c>
      <c r="V472" s="110">
        <v>2</v>
      </c>
      <c r="W472" s="110">
        <v>3</v>
      </c>
      <c r="X472" s="110">
        <v>0</v>
      </c>
      <c r="Y472" s="110">
        <v>0</v>
      </c>
      <c r="Z472" s="110">
        <v>0</v>
      </c>
      <c r="AA472" s="2">
        <f t="shared" si="116"/>
        <v>1</v>
      </c>
      <c r="AB472" s="2">
        <f t="shared" si="117"/>
        <v>0</v>
      </c>
      <c r="AC472" s="2">
        <f t="shared" si="118"/>
        <v>1</v>
      </c>
      <c r="AD472" s="2">
        <f t="shared" si="119"/>
        <v>1</v>
      </c>
      <c r="AE472" s="2">
        <f t="shared" si="120"/>
        <v>0</v>
      </c>
      <c r="AF472" s="2">
        <f t="shared" si="121"/>
        <v>0</v>
      </c>
      <c r="AG472" s="2">
        <f t="shared" si="122"/>
        <v>0</v>
      </c>
      <c r="AH472" s="2">
        <f t="shared" si="123"/>
        <v>2</v>
      </c>
      <c r="AI472" s="2">
        <f t="shared" si="124"/>
        <v>2</v>
      </c>
      <c r="AJ472" s="2">
        <f t="shared" si="125"/>
        <v>2</v>
      </c>
      <c r="AK472" s="2">
        <f t="shared" si="126"/>
        <v>2</v>
      </c>
      <c r="AL472" s="2">
        <f t="shared" si="127"/>
        <v>0</v>
      </c>
      <c r="AM472" s="115"/>
      <c r="AN472" s="115"/>
      <c r="AO472" s="63"/>
    </row>
    <row r="473" spans="1:41" ht="28.8" x14ac:dyDescent="0.55000000000000004">
      <c r="A473" s="36">
        <v>5781</v>
      </c>
      <c r="B473" s="113" t="s">
        <v>1892</v>
      </c>
      <c r="C473" s="138" t="s">
        <v>1893</v>
      </c>
      <c r="D473" s="114" t="s">
        <v>52</v>
      </c>
      <c r="E473" s="115"/>
      <c r="F473" s="116"/>
      <c r="G473" s="113" t="s">
        <v>1882</v>
      </c>
      <c r="H473" s="113" t="s">
        <v>1883</v>
      </c>
      <c r="I473" s="113" t="s">
        <v>1887</v>
      </c>
      <c r="J473" s="117"/>
      <c r="K473" s="118"/>
      <c r="L473" s="109">
        <v>2</v>
      </c>
      <c r="M473" s="109">
        <v>3</v>
      </c>
      <c r="N473" s="109"/>
      <c r="O473" s="119"/>
      <c r="P473" s="2">
        <f t="shared" si="112"/>
        <v>1</v>
      </c>
      <c r="Q473" s="110" t="str">
        <f>IF(AND(Drops!$D$45&gt;1,OR(U473&lt;&gt;U472,AND(ROW()=5,U472=U473))),VLOOKUP(U473,Drops!$D$26:$E$44,2,FALSE),"")</f>
        <v/>
      </c>
      <c r="R473" s="2" t="str">
        <f t="shared" si="113"/>
        <v/>
      </c>
      <c r="S473" s="2">
        <f t="shared" ca="1" si="114"/>
        <v>1</v>
      </c>
      <c r="T473" s="2">
        <f t="shared" si="115"/>
        <v>0</v>
      </c>
      <c r="U473" s="110" t="s">
        <v>1846</v>
      </c>
      <c r="V473" s="110">
        <v>2</v>
      </c>
      <c r="W473" s="110">
        <v>4</v>
      </c>
      <c r="X473" s="110">
        <v>0</v>
      </c>
      <c r="Y473" s="110">
        <v>0</v>
      </c>
      <c r="Z473" s="110">
        <v>0</v>
      </c>
      <c r="AA473" s="2">
        <f t="shared" si="116"/>
        <v>1</v>
      </c>
      <c r="AB473" s="2">
        <f t="shared" si="117"/>
        <v>0</v>
      </c>
      <c r="AC473" s="2">
        <f t="shared" si="118"/>
        <v>1</v>
      </c>
      <c r="AD473" s="2">
        <f t="shared" si="119"/>
        <v>1</v>
      </c>
      <c r="AE473" s="2">
        <f t="shared" si="120"/>
        <v>0</v>
      </c>
      <c r="AF473" s="2">
        <f t="shared" si="121"/>
        <v>0</v>
      </c>
      <c r="AG473" s="2">
        <f t="shared" si="122"/>
        <v>0</v>
      </c>
      <c r="AH473" s="2">
        <f t="shared" si="123"/>
        <v>2</v>
      </c>
      <c r="AI473" s="2">
        <f t="shared" si="124"/>
        <v>2</v>
      </c>
      <c r="AJ473" s="2">
        <f t="shared" si="125"/>
        <v>2</v>
      </c>
      <c r="AK473" s="2">
        <f t="shared" si="126"/>
        <v>2</v>
      </c>
      <c r="AL473" s="2">
        <f t="shared" si="127"/>
        <v>0</v>
      </c>
      <c r="AM473" s="115"/>
      <c r="AN473" s="115"/>
      <c r="AO473" s="63"/>
    </row>
    <row r="474" spans="1:41" ht="43.2" x14ac:dyDescent="0.55000000000000004">
      <c r="A474" s="36">
        <v>2338</v>
      </c>
      <c r="B474" s="113" t="s">
        <v>1894</v>
      </c>
      <c r="C474" s="138" t="s">
        <v>1895</v>
      </c>
      <c r="D474" s="114" t="s">
        <v>52</v>
      </c>
      <c r="E474" s="115"/>
      <c r="F474" s="116"/>
      <c r="G474" s="113" t="s">
        <v>1882</v>
      </c>
      <c r="H474" s="113" t="s">
        <v>1883</v>
      </c>
      <c r="I474" s="113" t="s">
        <v>1887</v>
      </c>
      <c r="J474" s="117"/>
      <c r="K474" s="118"/>
      <c r="L474" s="109">
        <v>2</v>
      </c>
      <c r="M474" s="109">
        <v>3</v>
      </c>
      <c r="N474" s="109"/>
      <c r="O474" s="119"/>
      <c r="P474" s="2">
        <f t="shared" si="112"/>
        <v>1</v>
      </c>
      <c r="Q474" s="110" t="str">
        <f>IF(AND(Drops!$D$45&gt;1,OR(U474&lt;&gt;U473,AND(ROW()=5,U473=U474))),VLOOKUP(U474,Drops!$D$26:$E$44,2,FALSE),"")</f>
        <v/>
      </c>
      <c r="R474" s="2" t="str">
        <f t="shared" si="113"/>
        <v/>
      </c>
      <c r="S474" s="2">
        <f t="shared" ca="1" si="114"/>
        <v>1</v>
      </c>
      <c r="T474" s="2">
        <f t="shared" si="115"/>
        <v>0</v>
      </c>
      <c r="U474" s="110" t="s">
        <v>1846</v>
      </c>
      <c r="V474" s="110">
        <v>2</v>
      </c>
      <c r="W474" s="110">
        <v>5</v>
      </c>
      <c r="X474" s="110">
        <v>0</v>
      </c>
      <c r="Y474" s="110">
        <v>0</v>
      </c>
      <c r="Z474" s="110">
        <v>0</v>
      </c>
      <c r="AA474" s="2">
        <f t="shared" si="116"/>
        <v>1</v>
      </c>
      <c r="AB474" s="2">
        <f t="shared" si="117"/>
        <v>0</v>
      </c>
      <c r="AC474" s="2">
        <f t="shared" si="118"/>
        <v>1</v>
      </c>
      <c r="AD474" s="2">
        <f t="shared" si="119"/>
        <v>1</v>
      </c>
      <c r="AE474" s="2">
        <f t="shared" si="120"/>
        <v>0</v>
      </c>
      <c r="AF474" s="2">
        <f t="shared" si="121"/>
        <v>0</v>
      </c>
      <c r="AG474" s="2">
        <f t="shared" si="122"/>
        <v>0</v>
      </c>
      <c r="AH474" s="2">
        <f t="shared" si="123"/>
        <v>2</v>
      </c>
      <c r="AI474" s="2">
        <f t="shared" si="124"/>
        <v>2</v>
      </c>
      <c r="AJ474" s="2">
        <f t="shared" si="125"/>
        <v>2</v>
      </c>
      <c r="AK474" s="2">
        <f t="shared" si="126"/>
        <v>2</v>
      </c>
      <c r="AL474" s="2">
        <f t="shared" si="127"/>
        <v>0</v>
      </c>
      <c r="AM474" s="115"/>
      <c r="AN474" s="115"/>
      <c r="AO474" s="63"/>
    </row>
    <row r="475" spans="1:41" ht="43.2" x14ac:dyDescent="0.55000000000000004">
      <c r="A475" s="36">
        <v>2335</v>
      </c>
      <c r="B475" s="113" t="s">
        <v>1896</v>
      </c>
      <c r="C475" s="138" t="s">
        <v>1897</v>
      </c>
      <c r="D475" s="114" t="s">
        <v>52</v>
      </c>
      <c r="E475" s="115"/>
      <c r="F475" s="116"/>
      <c r="G475" s="113" t="s">
        <v>1882</v>
      </c>
      <c r="H475" s="113" t="s">
        <v>1883</v>
      </c>
      <c r="I475" s="113" t="s">
        <v>1887</v>
      </c>
      <c r="J475" s="117"/>
      <c r="K475" s="118"/>
      <c r="L475" s="109">
        <v>2</v>
      </c>
      <c r="M475" s="109">
        <v>3</v>
      </c>
      <c r="N475" s="109"/>
      <c r="O475" s="119"/>
      <c r="P475" s="2">
        <f t="shared" si="112"/>
        <v>1</v>
      </c>
      <c r="Q475" s="110" t="str">
        <f>IF(AND(Drops!$D$45&gt;1,OR(U475&lt;&gt;U474,AND(ROW()=5,U474=U475))),VLOOKUP(U475,Drops!$D$26:$E$44,2,FALSE),"")</f>
        <v/>
      </c>
      <c r="R475" s="2" t="str">
        <f t="shared" si="113"/>
        <v/>
      </c>
      <c r="S475" s="2">
        <f t="shared" ca="1" si="114"/>
        <v>1</v>
      </c>
      <c r="T475" s="2">
        <f t="shared" si="115"/>
        <v>0</v>
      </c>
      <c r="U475" s="110" t="s">
        <v>1846</v>
      </c>
      <c r="V475" s="110">
        <v>2</v>
      </c>
      <c r="W475" s="110">
        <v>6</v>
      </c>
      <c r="X475" s="110">
        <v>0</v>
      </c>
      <c r="Y475" s="110">
        <v>0</v>
      </c>
      <c r="Z475" s="110">
        <v>0</v>
      </c>
      <c r="AA475" s="2">
        <f t="shared" si="116"/>
        <v>1</v>
      </c>
      <c r="AB475" s="2">
        <f t="shared" si="117"/>
        <v>0</v>
      </c>
      <c r="AC475" s="2">
        <f t="shared" si="118"/>
        <v>1</v>
      </c>
      <c r="AD475" s="2">
        <f t="shared" si="119"/>
        <v>1</v>
      </c>
      <c r="AE475" s="2">
        <f t="shared" si="120"/>
        <v>0</v>
      </c>
      <c r="AF475" s="2">
        <f t="shared" si="121"/>
        <v>0</v>
      </c>
      <c r="AG475" s="2">
        <f t="shared" si="122"/>
        <v>0</v>
      </c>
      <c r="AH475" s="2">
        <f t="shared" si="123"/>
        <v>2</v>
      </c>
      <c r="AI475" s="2">
        <f t="shared" si="124"/>
        <v>2</v>
      </c>
      <c r="AJ475" s="2">
        <f t="shared" si="125"/>
        <v>2</v>
      </c>
      <c r="AK475" s="2">
        <f t="shared" si="126"/>
        <v>2</v>
      </c>
      <c r="AL475" s="2">
        <f t="shared" si="127"/>
        <v>0</v>
      </c>
      <c r="AM475" s="115"/>
      <c r="AN475" s="115"/>
      <c r="AO475" s="63"/>
    </row>
    <row r="476" spans="1:41" ht="28.8" x14ac:dyDescent="0.55000000000000004">
      <c r="A476" s="36">
        <v>2337</v>
      </c>
      <c r="B476" s="113" t="s">
        <v>1898</v>
      </c>
      <c r="C476" s="138" t="s">
        <v>1899</v>
      </c>
      <c r="D476" s="114" t="s">
        <v>52</v>
      </c>
      <c r="E476" s="115"/>
      <c r="F476" s="116"/>
      <c r="G476" s="113" t="s">
        <v>1882</v>
      </c>
      <c r="H476" s="113" t="s">
        <v>1883</v>
      </c>
      <c r="I476" s="113" t="s">
        <v>1887</v>
      </c>
      <c r="J476" s="117"/>
      <c r="K476" s="118"/>
      <c r="L476" s="109">
        <v>2</v>
      </c>
      <c r="M476" s="109">
        <v>3</v>
      </c>
      <c r="N476" s="109"/>
      <c r="O476" s="119"/>
      <c r="P476" s="2">
        <f t="shared" si="112"/>
        <v>1</v>
      </c>
      <c r="Q476" s="110" t="str">
        <f>IF(AND(Drops!$D$45&gt;1,OR(U476&lt;&gt;U475,AND(ROW()=5,U475=U476))),VLOOKUP(U476,Drops!$D$26:$E$44,2,FALSE),"")</f>
        <v/>
      </c>
      <c r="R476" s="2" t="str">
        <f t="shared" si="113"/>
        <v/>
      </c>
      <c r="S476" s="2">
        <f t="shared" ca="1" si="114"/>
        <v>1</v>
      </c>
      <c r="T476" s="2">
        <f t="shared" si="115"/>
        <v>0</v>
      </c>
      <c r="U476" s="110" t="s">
        <v>1846</v>
      </c>
      <c r="V476" s="110">
        <v>2</v>
      </c>
      <c r="W476" s="110">
        <v>7</v>
      </c>
      <c r="X476" s="110">
        <v>0</v>
      </c>
      <c r="Y476" s="110">
        <v>0</v>
      </c>
      <c r="Z476" s="110">
        <v>0</v>
      </c>
      <c r="AA476" s="2">
        <f t="shared" si="116"/>
        <v>1</v>
      </c>
      <c r="AB476" s="2">
        <f t="shared" si="117"/>
        <v>0</v>
      </c>
      <c r="AC476" s="2">
        <f t="shared" si="118"/>
        <v>1</v>
      </c>
      <c r="AD476" s="2">
        <f t="shared" si="119"/>
        <v>1</v>
      </c>
      <c r="AE476" s="2">
        <f t="shared" si="120"/>
        <v>0</v>
      </c>
      <c r="AF476" s="2">
        <f t="shared" si="121"/>
        <v>0</v>
      </c>
      <c r="AG476" s="2">
        <f t="shared" si="122"/>
        <v>0</v>
      </c>
      <c r="AH476" s="2">
        <f t="shared" si="123"/>
        <v>2</v>
      </c>
      <c r="AI476" s="2">
        <f t="shared" si="124"/>
        <v>2</v>
      </c>
      <c r="AJ476" s="2">
        <f t="shared" si="125"/>
        <v>2</v>
      </c>
      <c r="AK476" s="2">
        <f t="shared" si="126"/>
        <v>2</v>
      </c>
      <c r="AL476" s="2">
        <f t="shared" si="127"/>
        <v>0</v>
      </c>
      <c r="AM476" s="115"/>
      <c r="AN476" s="115"/>
      <c r="AO476" s="63"/>
    </row>
    <row r="477" spans="1:41" ht="43.2" x14ac:dyDescent="0.55000000000000004">
      <c r="A477" s="36">
        <v>2760</v>
      </c>
      <c r="B477" s="113" t="s">
        <v>1900</v>
      </c>
      <c r="C477" s="138" t="s">
        <v>1901</v>
      </c>
      <c r="D477" s="114" t="s">
        <v>52</v>
      </c>
      <c r="E477" s="115"/>
      <c r="F477" s="116"/>
      <c r="G477" s="113" t="s">
        <v>1882</v>
      </c>
      <c r="H477" s="113" t="s">
        <v>1883</v>
      </c>
      <c r="I477" s="113" t="s">
        <v>1887</v>
      </c>
      <c r="J477" s="117" t="s">
        <v>1902</v>
      </c>
      <c r="K477" s="118"/>
      <c r="L477" s="109">
        <v>2</v>
      </c>
      <c r="M477" s="109">
        <v>3</v>
      </c>
      <c r="N477" s="109"/>
      <c r="O477" s="119"/>
      <c r="P477" s="2">
        <f t="shared" si="112"/>
        <v>1</v>
      </c>
      <c r="Q477" s="110" t="str">
        <f>IF(AND(Drops!$D$45&gt;1,OR(U477&lt;&gt;U476,AND(ROW()=5,U476=U477))),VLOOKUP(U477,Drops!$D$26:$E$44,2,FALSE),"")</f>
        <v/>
      </c>
      <c r="R477" s="2" t="str">
        <f t="shared" si="113"/>
        <v/>
      </c>
      <c r="S477" s="2">
        <f t="shared" ca="1" si="114"/>
        <v>1</v>
      </c>
      <c r="T477" s="2">
        <f t="shared" si="115"/>
        <v>0</v>
      </c>
      <c r="U477" s="110" t="s">
        <v>1846</v>
      </c>
      <c r="V477" s="110">
        <v>2</v>
      </c>
      <c r="W477" s="110">
        <v>8</v>
      </c>
      <c r="X477" s="110">
        <v>0</v>
      </c>
      <c r="Y477" s="110">
        <v>0</v>
      </c>
      <c r="Z477" s="110">
        <v>0</v>
      </c>
      <c r="AA477" s="2">
        <f t="shared" si="116"/>
        <v>1</v>
      </c>
      <c r="AB477" s="2">
        <f t="shared" si="117"/>
        <v>0</v>
      </c>
      <c r="AC477" s="2">
        <f t="shared" si="118"/>
        <v>1</v>
      </c>
      <c r="AD477" s="2">
        <f t="shared" si="119"/>
        <v>1</v>
      </c>
      <c r="AE477" s="2">
        <f t="shared" si="120"/>
        <v>0</v>
      </c>
      <c r="AF477" s="2">
        <f t="shared" si="121"/>
        <v>0</v>
      </c>
      <c r="AG477" s="2">
        <f t="shared" si="122"/>
        <v>0</v>
      </c>
      <c r="AH477" s="2">
        <f t="shared" si="123"/>
        <v>2</v>
      </c>
      <c r="AI477" s="2">
        <f t="shared" si="124"/>
        <v>2</v>
      </c>
      <c r="AJ477" s="2">
        <f t="shared" si="125"/>
        <v>2</v>
      </c>
      <c r="AK477" s="2">
        <f t="shared" si="126"/>
        <v>2</v>
      </c>
      <c r="AL477" s="2">
        <f t="shared" si="127"/>
        <v>0</v>
      </c>
      <c r="AM477" s="115"/>
      <c r="AN477" s="115"/>
      <c r="AO477" s="63"/>
    </row>
    <row r="478" spans="1:41" ht="43.2" x14ac:dyDescent="0.55000000000000004">
      <c r="A478" s="36">
        <v>5782</v>
      </c>
      <c r="B478" s="113" t="s">
        <v>1903</v>
      </c>
      <c r="C478" s="138" t="s">
        <v>1904</v>
      </c>
      <c r="D478" s="114" t="s">
        <v>52</v>
      </c>
      <c r="E478" s="115"/>
      <c r="F478" s="116"/>
      <c r="G478" s="113" t="s">
        <v>1882</v>
      </c>
      <c r="H478" s="113" t="s">
        <v>1883</v>
      </c>
      <c r="I478" s="113" t="s">
        <v>1887</v>
      </c>
      <c r="J478" s="117"/>
      <c r="K478" s="118"/>
      <c r="L478" s="109">
        <v>2</v>
      </c>
      <c r="M478" s="109">
        <v>3</v>
      </c>
      <c r="N478" s="109"/>
      <c r="O478" s="119"/>
      <c r="P478" s="2">
        <f t="shared" si="112"/>
        <v>1</v>
      </c>
      <c r="Q478" s="110" t="str">
        <f>IF(AND(Drops!$D$45&gt;1,OR(U478&lt;&gt;U477,AND(ROW()=5,U477=U478))),VLOOKUP(U478,Drops!$D$26:$E$44,2,FALSE),"")</f>
        <v/>
      </c>
      <c r="R478" s="2" t="str">
        <f t="shared" si="113"/>
        <v/>
      </c>
      <c r="S478" s="2">
        <f t="shared" ca="1" si="114"/>
        <v>1</v>
      </c>
      <c r="T478" s="2">
        <f t="shared" si="115"/>
        <v>0</v>
      </c>
      <c r="U478" s="110" t="s">
        <v>1846</v>
      </c>
      <c r="V478" s="110">
        <v>2</v>
      </c>
      <c r="W478" s="110">
        <v>9</v>
      </c>
      <c r="X478" s="110">
        <v>0</v>
      </c>
      <c r="Y478" s="110">
        <v>0</v>
      </c>
      <c r="Z478" s="110">
        <v>0</v>
      </c>
      <c r="AA478" s="2">
        <f t="shared" si="116"/>
        <v>1</v>
      </c>
      <c r="AB478" s="2">
        <f t="shared" si="117"/>
        <v>0</v>
      </c>
      <c r="AC478" s="2">
        <f t="shared" si="118"/>
        <v>1</v>
      </c>
      <c r="AD478" s="2">
        <f t="shared" si="119"/>
        <v>1</v>
      </c>
      <c r="AE478" s="2">
        <f t="shared" si="120"/>
        <v>0</v>
      </c>
      <c r="AF478" s="2">
        <f t="shared" si="121"/>
        <v>0</v>
      </c>
      <c r="AG478" s="2">
        <f t="shared" si="122"/>
        <v>0</v>
      </c>
      <c r="AH478" s="2">
        <f t="shared" si="123"/>
        <v>2</v>
      </c>
      <c r="AI478" s="2">
        <f t="shared" si="124"/>
        <v>2</v>
      </c>
      <c r="AJ478" s="2">
        <f t="shared" si="125"/>
        <v>2</v>
      </c>
      <c r="AK478" s="2">
        <f t="shared" si="126"/>
        <v>2</v>
      </c>
      <c r="AL478" s="2">
        <f t="shared" si="127"/>
        <v>0</v>
      </c>
      <c r="AM478" s="115"/>
      <c r="AN478" s="115"/>
      <c r="AO478" s="63"/>
    </row>
    <row r="479" spans="1:41" ht="100.8" x14ac:dyDescent="0.55000000000000004">
      <c r="A479" s="36">
        <v>5783</v>
      </c>
      <c r="B479" s="113" t="s">
        <v>1905</v>
      </c>
      <c r="C479" s="138" t="s">
        <v>1906</v>
      </c>
      <c r="D479" s="114" t="s">
        <v>52</v>
      </c>
      <c r="E479" s="115"/>
      <c r="F479" s="116"/>
      <c r="G479" s="113" t="s">
        <v>1882</v>
      </c>
      <c r="H479" s="113" t="s">
        <v>1883</v>
      </c>
      <c r="I479" s="113" t="s">
        <v>1887</v>
      </c>
      <c r="J479" s="117" t="s">
        <v>1907</v>
      </c>
      <c r="K479" s="118"/>
      <c r="L479" s="109">
        <v>2</v>
      </c>
      <c r="M479" s="109">
        <v>3</v>
      </c>
      <c r="N479" s="109"/>
      <c r="O479" s="119"/>
      <c r="P479" s="2">
        <f t="shared" si="112"/>
        <v>1</v>
      </c>
      <c r="Q479" s="110" t="str">
        <f>IF(AND(Drops!$D$45&gt;1,OR(U479&lt;&gt;U478,AND(ROW()=5,U478=U479))),VLOOKUP(U479,Drops!$D$26:$E$44,2,FALSE),"")</f>
        <v/>
      </c>
      <c r="R479" s="2" t="str">
        <f t="shared" si="113"/>
        <v/>
      </c>
      <c r="S479" s="2">
        <f t="shared" ca="1" si="114"/>
        <v>1</v>
      </c>
      <c r="T479" s="2">
        <f t="shared" si="115"/>
        <v>0</v>
      </c>
      <c r="U479" s="110" t="s">
        <v>1846</v>
      </c>
      <c r="V479" s="110">
        <v>2</v>
      </c>
      <c r="W479" s="110">
        <v>10</v>
      </c>
      <c r="X479" s="110">
        <v>0</v>
      </c>
      <c r="Y479" s="110">
        <v>0</v>
      </c>
      <c r="Z479" s="110">
        <v>0</v>
      </c>
      <c r="AA479" s="2">
        <f t="shared" si="116"/>
        <v>1</v>
      </c>
      <c r="AB479" s="2">
        <f t="shared" si="117"/>
        <v>0</v>
      </c>
      <c r="AC479" s="2">
        <f t="shared" si="118"/>
        <v>1</v>
      </c>
      <c r="AD479" s="2">
        <f t="shared" si="119"/>
        <v>1</v>
      </c>
      <c r="AE479" s="2">
        <f t="shared" si="120"/>
        <v>0</v>
      </c>
      <c r="AF479" s="2">
        <f t="shared" si="121"/>
        <v>0</v>
      </c>
      <c r="AG479" s="2">
        <f t="shared" si="122"/>
        <v>0</v>
      </c>
      <c r="AH479" s="2">
        <f t="shared" si="123"/>
        <v>2</v>
      </c>
      <c r="AI479" s="2">
        <f t="shared" si="124"/>
        <v>2</v>
      </c>
      <c r="AJ479" s="2">
        <f t="shared" si="125"/>
        <v>2</v>
      </c>
      <c r="AK479" s="2">
        <f t="shared" si="126"/>
        <v>2</v>
      </c>
      <c r="AL479" s="2">
        <f t="shared" si="127"/>
        <v>0</v>
      </c>
      <c r="AM479" s="115"/>
      <c r="AN479" s="115"/>
      <c r="AO479" s="63"/>
    </row>
    <row r="480" spans="1:41" ht="43.2" x14ac:dyDescent="0.55000000000000004">
      <c r="A480" s="36">
        <v>5856</v>
      </c>
      <c r="B480" s="113" t="s">
        <v>1908</v>
      </c>
      <c r="C480" s="138" t="s">
        <v>1909</v>
      </c>
      <c r="D480" s="114" t="s">
        <v>52</v>
      </c>
      <c r="E480" s="115"/>
      <c r="F480" s="116"/>
      <c r="G480" s="113" t="s">
        <v>1882</v>
      </c>
      <c r="H480" s="113" t="s">
        <v>1883</v>
      </c>
      <c r="I480" s="113"/>
      <c r="J480" s="117"/>
      <c r="K480" s="118"/>
      <c r="L480" s="109">
        <v>2</v>
      </c>
      <c r="M480" s="109">
        <v>3</v>
      </c>
      <c r="N480" s="109"/>
      <c r="O480" s="119"/>
      <c r="P480" s="2">
        <f t="shared" si="112"/>
        <v>1</v>
      </c>
      <c r="Q480" s="110" t="str">
        <f>IF(AND(Drops!$D$45&gt;1,OR(U480&lt;&gt;U479,AND(ROW()=5,U479=U480))),VLOOKUP(U480,Drops!$D$26:$E$44,2,FALSE),"")</f>
        <v/>
      </c>
      <c r="R480" s="2" t="str">
        <f t="shared" si="113"/>
        <v/>
      </c>
      <c r="S480" s="2">
        <f t="shared" ca="1" si="114"/>
        <v>1</v>
      </c>
      <c r="T480" s="2">
        <f t="shared" si="115"/>
        <v>0</v>
      </c>
      <c r="U480" s="110" t="s">
        <v>1846</v>
      </c>
      <c r="V480" s="110">
        <v>2</v>
      </c>
      <c r="W480" s="110">
        <v>11</v>
      </c>
      <c r="X480" s="110">
        <v>0</v>
      </c>
      <c r="Y480" s="110">
        <v>0</v>
      </c>
      <c r="Z480" s="110">
        <v>0</v>
      </c>
      <c r="AA480" s="2">
        <f t="shared" si="116"/>
        <v>1</v>
      </c>
      <c r="AB480" s="2">
        <f t="shared" si="117"/>
        <v>1</v>
      </c>
      <c r="AC480" s="2">
        <f t="shared" si="118"/>
        <v>1</v>
      </c>
      <c r="AD480" s="2">
        <f t="shared" si="119"/>
        <v>1</v>
      </c>
      <c r="AE480" s="2">
        <f t="shared" si="120"/>
        <v>0</v>
      </c>
      <c r="AF480" s="2">
        <f t="shared" si="121"/>
        <v>0</v>
      </c>
      <c r="AG480" s="2">
        <f t="shared" si="122"/>
        <v>0</v>
      </c>
      <c r="AH480" s="2">
        <f t="shared" si="123"/>
        <v>2</v>
      </c>
      <c r="AI480" s="2">
        <f t="shared" si="124"/>
        <v>2</v>
      </c>
      <c r="AJ480" s="2">
        <f t="shared" si="125"/>
        <v>2</v>
      </c>
      <c r="AK480" s="2">
        <f t="shared" si="126"/>
        <v>2</v>
      </c>
      <c r="AL480" s="2">
        <f t="shared" si="127"/>
        <v>0</v>
      </c>
      <c r="AM480" s="115"/>
      <c r="AN480" s="115"/>
      <c r="AO480" s="63"/>
    </row>
    <row r="481" spans="1:41" ht="28.8" x14ac:dyDescent="0.55000000000000004">
      <c r="A481" s="36">
        <v>5857</v>
      </c>
      <c r="B481" s="113" t="s">
        <v>1910</v>
      </c>
      <c r="C481" s="139" t="s">
        <v>1911</v>
      </c>
      <c r="D481" s="114" t="s">
        <v>52</v>
      </c>
      <c r="E481" s="115"/>
      <c r="F481" s="116"/>
      <c r="G481" s="113" t="s">
        <v>1882</v>
      </c>
      <c r="H481" s="113" t="s">
        <v>1883</v>
      </c>
      <c r="I481" s="113"/>
      <c r="J481" s="117"/>
      <c r="K481" s="118"/>
      <c r="L481" s="109">
        <v>3</v>
      </c>
      <c r="M481" s="109">
        <v>3</v>
      </c>
      <c r="N481" s="109"/>
      <c r="O481" s="119"/>
      <c r="P481" s="2">
        <f t="shared" si="112"/>
        <v>1</v>
      </c>
      <c r="Q481" s="110" t="str">
        <f>IF(AND(Drops!$D$45&gt;1,OR(U481&lt;&gt;U480,AND(ROW()=5,U480=U481))),VLOOKUP(U481,Drops!$D$26:$E$44,2,FALSE),"")</f>
        <v/>
      </c>
      <c r="R481" s="2" t="str">
        <f t="shared" si="113"/>
        <v/>
      </c>
      <c r="S481" s="2">
        <f t="shared" ca="1" si="114"/>
        <v>1</v>
      </c>
      <c r="T481" s="2">
        <f t="shared" si="115"/>
        <v>0</v>
      </c>
      <c r="U481" s="110" t="s">
        <v>1846</v>
      </c>
      <c r="V481" s="110">
        <v>2</v>
      </c>
      <c r="W481" s="110">
        <v>11</v>
      </c>
      <c r="X481" s="110">
        <v>1</v>
      </c>
      <c r="Y481" s="110">
        <v>0</v>
      </c>
      <c r="Z481" s="110">
        <v>0</v>
      </c>
      <c r="AA481" s="2">
        <f t="shared" si="116"/>
        <v>1</v>
      </c>
      <c r="AB481" s="2">
        <f t="shared" si="117"/>
        <v>0</v>
      </c>
      <c r="AC481" s="2">
        <f t="shared" si="118"/>
        <v>1</v>
      </c>
      <c r="AD481" s="2">
        <f t="shared" si="119"/>
        <v>1</v>
      </c>
      <c r="AE481" s="2">
        <f t="shared" si="120"/>
        <v>1</v>
      </c>
      <c r="AF481" s="2">
        <f t="shared" si="121"/>
        <v>0</v>
      </c>
      <c r="AG481" s="2">
        <f t="shared" si="122"/>
        <v>0</v>
      </c>
      <c r="AH481" s="2">
        <f t="shared" si="123"/>
        <v>2</v>
      </c>
      <c r="AI481" s="2">
        <f t="shared" si="124"/>
        <v>2</v>
      </c>
      <c r="AJ481" s="2">
        <f t="shared" si="125"/>
        <v>2</v>
      </c>
      <c r="AK481" s="2">
        <f t="shared" si="126"/>
        <v>2</v>
      </c>
      <c r="AL481" s="2">
        <f t="shared" si="127"/>
        <v>0</v>
      </c>
      <c r="AM481" s="115"/>
      <c r="AN481" s="115"/>
      <c r="AO481" s="63"/>
    </row>
    <row r="482" spans="1:41" ht="28.8" x14ac:dyDescent="0.55000000000000004">
      <c r="A482" s="36">
        <v>5858</v>
      </c>
      <c r="B482" s="113" t="s">
        <v>1912</v>
      </c>
      <c r="C482" s="139" t="s">
        <v>1913</v>
      </c>
      <c r="D482" s="114" t="s">
        <v>52</v>
      </c>
      <c r="E482" s="115"/>
      <c r="F482" s="116"/>
      <c r="G482" s="113" t="s">
        <v>1882</v>
      </c>
      <c r="H482" s="113" t="s">
        <v>1883</v>
      </c>
      <c r="I482" s="113" t="s">
        <v>1887</v>
      </c>
      <c r="J482" s="117"/>
      <c r="K482" s="118"/>
      <c r="L482" s="109">
        <v>3</v>
      </c>
      <c r="M482" s="109">
        <v>3</v>
      </c>
      <c r="N482" s="109"/>
      <c r="O482" s="119"/>
      <c r="P482" s="2">
        <f t="shared" si="112"/>
        <v>1</v>
      </c>
      <c r="Q482" s="110" t="str">
        <f>IF(AND(Drops!$D$45&gt;1,OR(U482&lt;&gt;U481,AND(ROW()=5,U481=U482))),VLOOKUP(U482,Drops!$D$26:$E$44,2,FALSE),"")</f>
        <v/>
      </c>
      <c r="R482" s="2" t="str">
        <f t="shared" si="113"/>
        <v/>
      </c>
      <c r="S482" s="2">
        <f t="shared" ca="1" si="114"/>
        <v>1</v>
      </c>
      <c r="T482" s="2">
        <f t="shared" si="115"/>
        <v>0</v>
      </c>
      <c r="U482" s="110" t="s">
        <v>1846</v>
      </c>
      <c r="V482" s="110">
        <v>2</v>
      </c>
      <c r="W482" s="110">
        <v>11</v>
      </c>
      <c r="X482" s="110">
        <v>2</v>
      </c>
      <c r="Y482" s="110">
        <v>0</v>
      </c>
      <c r="Z482" s="110">
        <v>0</v>
      </c>
      <c r="AA482" s="2">
        <f t="shared" si="116"/>
        <v>1</v>
      </c>
      <c r="AB482" s="2">
        <f t="shared" si="117"/>
        <v>0</v>
      </c>
      <c r="AC482" s="2">
        <f t="shared" si="118"/>
        <v>1</v>
      </c>
      <c r="AD482" s="2">
        <f t="shared" si="119"/>
        <v>1</v>
      </c>
      <c r="AE482" s="2">
        <f t="shared" si="120"/>
        <v>1</v>
      </c>
      <c r="AF482" s="2">
        <f t="shared" si="121"/>
        <v>0</v>
      </c>
      <c r="AG482" s="2">
        <f t="shared" si="122"/>
        <v>0</v>
      </c>
      <c r="AH482" s="2">
        <f t="shared" si="123"/>
        <v>2</v>
      </c>
      <c r="AI482" s="2">
        <f t="shared" si="124"/>
        <v>2</v>
      </c>
      <c r="AJ482" s="2">
        <f t="shared" si="125"/>
        <v>2</v>
      </c>
      <c r="AK482" s="2">
        <f t="shared" si="126"/>
        <v>2</v>
      </c>
      <c r="AL482" s="2">
        <f t="shared" si="127"/>
        <v>0</v>
      </c>
      <c r="AM482" s="115"/>
      <c r="AN482" s="115"/>
      <c r="AO482" s="63"/>
    </row>
    <row r="483" spans="1:41" ht="28.8" x14ac:dyDescent="0.55000000000000004">
      <c r="A483" s="36">
        <v>5859</v>
      </c>
      <c r="B483" s="113" t="s">
        <v>1914</v>
      </c>
      <c r="C483" s="139" t="s">
        <v>1915</v>
      </c>
      <c r="D483" s="114" t="s">
        <v>52</v>
      </c>
      <c r="E483" s="115"/>
      <c r="F483" s="116"/>
      <c r="G483" s="113" t="s">
        <v>1882</v>
      </c>
      <c r="H483" s="113" t="s">
        <v>1883</v>
      </c>
      <c r="I483" s="113" t="s">
        <v>1887</v>
      </c>
      <c r="J483" s="117"/>
      <c r="K483" s="118"/>
      <c r="L483" s="109">
        <v>3</v>
      </c>
      <c r="M483" s="109">
        <v>3</v>
      </c>
      <c r="N483" s="109"/>
      <c r="O483" s="119"/>
      <c r="P483" s="2">
        <f t="shared" si="112"/>
        <v>1</v>
      </c>
      <c r="Q483" s="110" t="str">
        <f>IF(AND(Drops!$D$45&gt;1,OR(U483&lt;&gt;U482,AND(ROW()=5,U482=U483))),VLOOKUP(U483,Drops!$D$26:$E$44,2,FALSE),"")</f>
        <v/>
      </c>
      <c r="R483" s="2" t="str">
        <f t="shared" si="113"/>
        <v/>
      </c>
      <c r="S483" s="2">
        <f t="shared" ca="1" si="114"/>
        <v>1</v>
      </c>
      <c r="T483" s="2">
        <f t="shared" si="115"/>
        <v>0</v>
      </c>
      <c r="U483" s="110" t="s">
        <v>1846</v>
      </c>
      <c r="V483" s="110">
        <v>2</v>
      </c>
      <c r="W483" s="110">
        <v>11</v>
      </c>
      <c r="X483" s="110">
        <v>3</v>
      </c>
      <c r="Y483" s="110">
        <v>0</v>
      </c>
      <c r="Z483" s="110">
        <v>0</v>
      </c>
      <c r="AA483" s="2">
        <f t="shared" si="116"/>
        <v>1</v>
      </c>
      <c r="AB483" s="2">
        <f t="shared" si="117"/>
        <v>0</v>
      </c>
      <c r="AC483" s="2">
        <f t="shared" si="118"/>
        <v>1</v>
      </c>
      <c r="AD483" s="2">
        <f t="shared" si="119"/>
        <v>1</v>
      </c>
      <c r="AE483" s="2">
        <f t="shared" si="120"/>
        <v>1</v>
      </c>
      <c r="AF483" s="2">
        <f t="shared" si="121"/>
        <v>0</v>
      </c>
      <c r="AG483" s="2">
        <f t="shared" si="122"/>
        <v>0</v>
      </c>
      <c r="AH483" s="2">
        <f t="shared" si="123"/>
        <v>2</v>
      </c>
      <c r="AI483" s="2">
        <f t="shared" si="124"/>
        <v>2</v>
      </c>
      <c r="AJ483" s="2">
        <f t="shared" si="125"/>
        <v>2</v>
      </c>
      <c r="AK483" s="2">
        <f t="shared" si="126"/>
        <v>2</v>
      </c>
      <c r="AL483" s="2">
        <f t="shared" si="127"/>
        <v>0</v>
      </c>
      <c r="AM483" s="115"/>
      <c r="AN483" s="115"/>
      <c r="AO483" s="63"/>
    </row>
    <row r="484" spans="1:41" ht="72" x14ac:dyDescent="0.55000000000000004">
      <c r="A484" s="36">
        <v>4038</v>
      </c>
      <c r="B484" s="113" t="s">
        <v>340</v>
      </c>
      <c r="C484" s="113" t="s">
        <v>1916</v>
      </c>
      <c r="D484" s="114" t="s">
        <v>52</v>
      </c>
      <c r="E484" s="115" t="s">
        <v>1917</v>
      </c>
      <c r="F484" s="116"/>
      <c r="G484" s="113" t="s">
        <v>1882</v>
      </c>
      <c r="H484" s="113" t="s">
        <v>1918</v>
      </c>
      <c r="I484" s="113"/>
      <c r="J484" s="117"/>
      <c r="K484" s="118"/>
      <c r="L484" s="109">
        <v>1</v>
      </c>
      <c r="M484" s="109">
        <v>3</v>
      </c>
      <c r="N484" s="109"/>
      <c r="O484" s="119"/>
      <c r="P484" s="2">
        <f t="shared" si="112"/>
        <v>1</v>
      </c>
      <c r="Q484" s="110" t="str">
        <f>IF(AND(Drops!$D$45&gt;1,OR(U484&lt;&gt;U483,AND(ROW()=5,U483=U484))),VLOOKUP(U484,Drops!$D$26:$E$44,2,FALSE),"")</f>
        <v/>
      </c>
      <c r="R484" s="2" t="str">
        <f t="shared" si="113"/>
        <v/>
      </c>
      <c r="S484" s="2">
        <f t="shared" ca="1" si="114"/>
        <v>1</v>
      </c>
      <c r="T484" s="2">
        <f t="shared" si="115"/>
        <v>1</v>
      </c>
      <c r="U484" s="110" t="s">
        <v>1846</v>
      </c>
      <c r="V484" s="110">
        <v>3</v>
      </c>
      <c r="W484" s="110">
        <v>0</v>
      </c>
      <c r="X484" s="110">
        <v>0</v>
      </c>
      <c r="Y484" s="110">
        <v>0</v>
      </c>
      <c r="Z484" s="110">
        <v>0</v>
      </c>
      <c r="AA484" s="2">
        <f t="shared" si="116"/>
        <v>1</v>
      </c>
      <c r="AB484" s="2">
        <f t="shared" si="117"/>
        <v>1</v>
      </c>
      <c r="AC484" s="2">
        <f t="shared" si="118"/>
        <v>1</v>
      </c>
      <c r="AD484" s="2">
        <f t="shared" si="119"/>
        <v>0</v>
      </c>
      <c r="AE484" s="2">
        <f t="shared" si="120"/>
        <v>0</v>
      </c>
      <c r="AF484" s="2">
        <f t="shared" si="121"/>
        <v>0</v>
      </c>
      <c r="AG484" s="2">
        <f t="shared" si="122"/>
        <v>0</v>
      </c>
      <c r="AH484" s="2">
        <f t="shared" si="123"/>
        <v>2</v>
      </c>
      <c r="AI484" s="2">
        <f t="shared" si="124"/>
        <v>2</v>
      </c>
      <c r="AJ484" s="2">
        <f t="shared" si="125"/>
        <v>2</v>
      </c>
      <c r="AK484" s="2">
        <f t="shared" si="126"/>
        <v>2</v>
      </c>
      <c r="AL484" s="2">
        <f t="shared" si="127"/>
        <v>0</v>
      </c>
      <c r="AM484" s="115"/>
      <c r="AN484" s="115"/>
      <c r="AO484" s="63"/>
    </row>
    <row r="485" spans="1:41" ht="28.8" x14ac:dyDescent="0.55000000000000004">
      <c r="A485" s="36">
        <v>5784</v>
      </c>
      <c r="B485" s="113" t="s">
        <v>1919</v>
      </c>
      <c r="C485" s="138" t="s">
        <v>1920</v>
      </c>
      <c r="D485" s="114" t="s">
        <v>52</v>
      </c>
      <c r="E485" s="115"/>
      <c r="F485" s="116"/>
      <c r="G485" s="113" t="s">
        <v>1882</v>
      </c>
      <c r="H485" s="113" t="s">
        <v>1918</v>
      </c>
      <c r="I485" s="113"/>
      <c r="J485" s="117"/>
      <c r="K485" s="118"/>
      <c r="L485" s="109">
        <v>2</v>
      </c>
      <c r="M485" s="109">
        <v>3</v>
      </c>
      <c r="N485" s="109"/>
      <c r="O485" s="119"/>
      <c r="P485" s="2">
        <f t="shared" si="112"/>
        <v>1</v>
      </c>
      <c r="Q485" s="110" t="str">
        <f>IF(AND(Drops!$D$45&gt;1,OR(U485&lt;&gt;U484,AND(ROW()=5,U484=U485))),VLOOKUP(U485,Drops!$D$26:$E$44,2,FALSE),"")</f>
        <v/>
      </c>
      <c r="R485" s="2" t="str">
        <f t="shared" si="113"/>
        <v/>
      </c>
      <c r="S485" s="2">
        <f t="shared" ca="1" si="114"/>
        <v>1</v>
      </c>
      <c r="T485" s="2">
        <f t="shared" si="115"/>
        <v>0</v>
      </c>
      <c r="U485" s="110" t="s">
        <v>1846</v>
      </c>
      <c r="V485" s="110">
        <v>3</v>
      </c>
      <c r="W485" s="110">
        <v>1</v>
      </c>
      <c r="X485" s="110">
        <v>0</v>
      </c>
      <c r="Y485" s="110">
        <v>0</v>
      </c>
      <c r="Z485" s="110">
        <v>0</v>
      </c>
      <c r="AA485" s="2">
        <f t="shared" si="116"/>
        <v>1</v>
      </c>
      <c r="AB485" s="2">
        <f t="shared" si="117"/>
        <v>0</v>
      </c>
      <c r="AC485" s="2">
        <f t="shared" si="118"/>
        <v>1</v>
      </c>
      <c r="AD485" s="2">
        <f t="shared" si="119"/>
        <v>1</v>
      </c>
      <c r="AE485" s="2">
        <f t="shared" si="120"/>
        <v>0</v>
      </c>
      <c r="AF485" s="2">
        <f t="shared" si="121"/>
        <v>0</v>
      </c>
      <c r="AG485" s="2">
        <f t="shared" si="122"/>
        <v>0</v>
      </c>
      <c r="AH485" s="2">
        <f t="shared" si="123"/>
        <v>2</v>
      </c>
      <c r="AI485" s="2">
        <f t="shared" si="124"/>
        <v>2</v>
      </c>
      <c r="AJ485" s="2">
        <f t="shared" si="125"/>
        <v>2</v>
      </c>
      <c r="AK485" s="2">
        <f t="shared" si="126"/>
        <v>2</v>
      </c>
      <c r="AL485" s="2">
        <f t="shared" si="127"/>
        <v>0</v>
      </c>
      <c r="AM485" s="115"/>
      <c r="AN485" s="115"/>
      <c r="AO485" s="63"/>
    </row>
    <row r="486" spans="1:41" ht="43.2" x14ac:dyDescent="0.55000000000000004">
      <c r="A486" s="36">
        <v>5785</v>
      </c>
      <c r="B486" s="113" t="s">
        <v>1921</v>
      </c>
      <c r="C486" s="138" t="s">
        <v>1922</v>
      </c>
      <c r="D486" s="114" t="s">
        <v>52</v>
      </c>
      <c r="E486" s="115"/>
      <c r="F486" s="116"/>
      <c r="G486" s="113" t="s">
        <v>1882</v>
      </c>
      <c r="H486" s="113" t="s">
        <v>1918</v>
      </c>
      <c r="I486" s="113"/>
      <c r="J486" s="117"/>
      <c r="K486" s="118"/>
      <c r="L486" s="109">
        <v>2</v>
      </c>
      <c r="M486" s="109">
        <v>3</v>
      </c>
      <c r="N486" s="109"/>
      <c r="O486" s="119"/>
      <c r="P486" s="2">
        <f t="shared" si="112"/>
        <v>1</v>
      </c>
      <c r="Q486" s="110" t="str">
        <f>IF(AND(Drops!$D$45&gt;1,OR(U486&lt;&gt;U485,AND(ROW()=5,U485=U486))),VLOOKUP(U486,Drops!$D$26:$E$44,2,FALSE),"")</f>
        <v/>
      </c>
      <c r="R486" s="2" t="str">
        <f t="shared" si="113"/>
        <v/>
      </c>
      <c r="S486" s="2">
        <f t="shared" ca="1" si="114"/>
        <v>1</v>
      </c>
      <c r="T486" s="2">
        <f t="shared" si="115"/>
        <v>0</v>
      </c>
      <c r="U486" s="110" t="s">
        <v>1846</v>
      </c>
      <c r="V486" s="110">
        <v>3</v>
      </c>
      <c r="W486" s="110">
        <v>2</v>
      </c>
      <c r="X486" s="110">
        <v>0</v>
      </c>
      <c r="Y486" s="110">
        <v>0</v>
      </c>
      <c r="Z486" s="110">
        <v>0</v>
      </c>
      <c r="AA486" s="2">
        <f t="shared" si="116"/>
        <v>1</v>
      </c>
      <c r="AB486" s="2">
        <f t="shared" si="117"/>
        <v>0</v>
      </c>
      <c r="AC486" s="2">
        <f t="shared" si="118"/>
        <v>1</v>
      </c>
      <c r="AD486" s="2">
        <f t="shared" si="119"/>
        <v>1</v>
      </c>
      <c r="AE486" s="2">
        <f t="shared" si="120"/>
        <v>0</v>
      </c>
      <c r="AF486" s="2">
        <f t="shared" si="121"/>
        <v>0</v>
      </c>
      <c r="AG486" s="2">
        <f t="shared" si="122"/>
        <v>0</v>
      </c>
      <c r="AH486" s="2">
        <f t="shared" si="123"/>
        <v>2</v>
      </c>
      <c r="AI486" s="2">
        <f t="shared" si="124"/>
        <v>2</v>
      </c>
      <c r="AJ486" s="2">
        <f t="shared" si="125"/>
        <v>2</v>
      </c>
      <c r="AK486" s="2">
        <f t="shared" si="126"/>
        <v>2</v>
      </c>
      <c r="AL486" s="2">
        <f t="shared" si="127"/>
        <v>0</v>
      </c>
      <c r="AM486" s="115"/>
      <c r="AN486" s="115"/>
      <c r="AO486" s="63"/>
    </row>
    <row r="487" spans="1:41" ht="28.8" x14ac:dyDescent="0.55000000000000004">
      <c r="A487" s="36">
        <v>4040</v>
      </c>
      <c r="B487" s="113" t="s">
        <v>1923</v>
      </c>
      <c r="C487" s="138" t="s">
        <v>1924</v>
      </c>
      <c r="D487" s="114" t="s">
        <v>52</v>
      </c>
      <c r="E487" s="115"/>
      <c r="F487" s="116"/>
      <c r="G487" s="113" t="s">
        <v>1882</v>
      </c>
      <c r="H487" s="113" t="s">
        <v>1918</v>
      </c>
      <c r="I487" s="113"/>
      <c r="J487" s="117"/>
      <c r="K487" s="118"/>
      <c r="L487" s="109">
        <v>2</v>
      </c>
      <c r="M487" s="109">
        <v>3</v>
      </c>
      <c r="N487" s="109"/>
      <c r="O487" s="119"/>
      <c r="P487" s="2">
        <f t="shared" si="112"/>
        <v>1</v>
      </c>
      <c r="Q487" s="110" t="str">
        <f>IF(AND(Drops!$D$45&gt;1,OR(U487&lt;&gt;U486,AND(ROW()=5,U486=U487))),VLOOKUP(U487,Drops!$D$26:$E$44,2,FALSE),"")</f>
        <v/>
      </c>
      <c r="R487" s="2" t="str">
        <f t="shared" si="113"/>
        <v/>
      </c>
      <c r="S487" s="2">
        <f t="shared" ca="1" si="114"/>
        <v>1</v>
      </c>
      <c r="T487" s="2">
        <f t="shared" si="115"/>
        <v>0</v>
      </c>
      <c r="U487" s="110" t="s">
        <v>1846</v>
      </c>
      <c r="V487" s="110">
        <v>3</v>
      </c>
      <c r="W487" s="110">
        <v>3</v>
      </c>
      <c r="X487" s="110">
        <v>0</v>
      </c>
      <c r="Y487" s="110">
        <v>0</v>
      </c>
      <c r="Z487" s="110">
        <v>0</v>
      </c>
      <c r="AA487" s="2">
        <f t="shared" si="116"/>
        <v>1</v>
      </c>
      <c r="AB487" s="2">
        <f t="shared" si="117"/>
        <v>0</v>
      </c>
      <c r="AC487" s="2">
        <f t="shared" si="118"/>
        <v>1</v>
      </c>
      <c r="AD487" s="2">
        <f t="shared" si="119"/>
        <v>1</v>
      </c>
      <c r="AE487" s="2">
        <f t="shared" si="120"/>
        <v>0</v>
      </c>
      <c r="AF487" s="2">
        <f t="shared" si="121"/>
        <v>0</v>
      </c>
      <c r="AG487" s="2">
        <f t="shared" si="122"/>
        <v>0</v>
      </c>
      <c r="AH487" s="2">
        <f t="shared" si="123"/>
        <v>2</v>
      </c>
      <c r="AI487" s="2">
        <f t="shared" si="124"/>
        <v>2</v>
      </c>
      <c r="AJ487" s="2">
        <f t="shared" si="125"/>
        <v>2</v>
      </c>
      <c r="AK487" s="2">
        <f t="shared" si="126"/>
        <v>2</v>
      </c>
      <c r="AL487" s="2">
        <f t="shared" si="127"/>
        <v>0</v>
      </c>
      <c r="AM487" s="115"/>
      <c r="AN487" s="115"/>
      <c r="AO487" s="63"/>
    </row>
    <row r="488" spans="1:41" ht="28.8" x14ac:dyDescent="0.55000000000000004">
      <c r="A488" s="36">
        <v>4041</v>
      </c>
      <c r="B488" s="113" t="s">
        <v>1925</v>
      </c>
      <c r="C488" s="138" t="s">
        <v>1926</v>
      </c>
      <c r="D488" s="114" t="s">
        <v>52</v>
      </c>
      <c r="E488" s="115"/>
      <c r="F488" s="116"/>
      <c r="G488" s="113" t="s">
        <v>1882</v>
      </c>
      <c r="H488" s="113" t="s">
        <v>1918</v>
      </c>
      <c r="I488" s="113"/>
      <c r="J488" s="117"/>
      <c r="K488" s="118"/>
      <c r="L488" s="109">
        <v>2</v>
      </c>
      <c r="M488" s="109">
        <v>3</v>
      </c>
      <c r="N488" s="109"/>
      <c r="O488" s="119"/>
      <c r="P488" s="2">
        <f t="shared" si="112"/>
        <v>1</v>
      </c>
      <c r="Q488" s="110" t="str">
        <f>IF(AND(Drops!$D$45&gt;1,OR(U488&lt;&gt;U487,AND(ROW()=5,U487=U488))),VLOOKUP(U488,Drops!$D$26:$E$44,2,FALSE),"")</f>
        <v/>
      </c>
      <c r="R488" s="2" t="str">
        <f t="shared" si="113"/>
        <v/>
      </c>
      <c r="S488" s="2">
        <f t="shared" ca="1" si="114"/>
        <v>1</v>
      </c>
      <c r="T488" s="2">
        <f t="shared" si="115"/>
        <v>0</v>
      </c>
      <c r="U488" s="110" t="s">
        <v>1846</v>
      </c>
      <c r="V488" s="110">
        <v>3</v>
      </c>
      <c r="W488" s="110">
        <v>4</v>
      </c>
      <c r="X488" s="110">
        <v>0</v>
      </c>
      <c r="Y488" s="110">
        <v>0</v>
      </c>
      <c r="Z488" s="110">
        <v>0</v>
      </c>
      <c r="AA488" s="2">
        <f t="shared" si="116"/>
        <v>1</v>
      </c>
      <c r="AB488" s="2">
        <f t="shared" si="117"/>
        <v>0</v>
      </c>
      <c r="AC488" s="2">
        <f t="shared" si="118"/>
        <v>1</v>
      </c>
      <c r="AD488" s="2">
        <f t="shared" si="119"/>
        <v>1</v>
      </c>
      <c r="AE488" s="2">
        <f t="shared" si="120"/>
        <v>0</v>
      </c>
      <c r="AF488" s="2">
        <f t="shared" si="121"/>
        <v>0</v>
      </c>
      <c r="AG488" s="2">
        <f t="shared" si="122"/>
        <v>0</v>
      </c>
      <c r="AH488" s="2">
        <f t="shared" si="123"/>
        <v>2</v>
      </c>
      <c r="AI488" s="2">
        <f t="shared" si="124"/>
        <v>2</v>
      </c>
      <c r="AJ488" s="2">
        <f t="shared" si="125"/>
        <v>2</v>
      </c>
      <c r="AK488" s="2">
        <f t="shared" si="126"/>
        <v>2</v>
      </c>
      <c r="AL488" s="2">
        <f t="shared" si="127"/>
        <v>0</v>
      </c>
      <c r="AM488" s="115"/>
      <c r="AN488" s="115"/>
      <c r="AO488" s="63"/>
    </row>
    <row r="489" spans="1:41" ht="28.8" x14ac:dyDescent="0.55000000000000004">
      <c r="A489" s="36">
        <v>4042</v>
      </c>
      <c r="B489" s="113" t="s">
        <v>342</v>
      </c>
      <c r="C489" s="113" t="s">
        <v>1927</v>
      </c>
      <c r="D489" s="114" t="s">
        <v>52</v>
      </c>
      <c r="E489" s="115"/>
      <c r="F489" s="116"/>
      <c r="G489" s="113" t="s">
        <v>1882</v>
      </c>
      <c r="H489" s="113" t="s">
        <v>1928</v>
      </c>
      <c r="I489" s="113" t="s">
        <v>1929</v>
      </c>
      <c r="J489" s="117"/>
      <c r="K489" s="118"/>
      <c r="L489" s="109">
        <v>1</v>
      </c>
      <c r="M489" s="109">
        <v>3</v>
      </c>
      <c r="N489" s="109"/>
      <c r="O489" s="119"/>
      <c r="P489" s="2">
        <f t="shared" si="112"/>
        <v>1</v>
      </c>
      <c r="Q489" s="110" t="str">
        <f>IF(AND(Drops!$D$45&gt;1,OR(U489&lt;&gt;U488,AND(ROW()=5,U488=U489))),VLOOKUP(U489,Drops!$D$26:$E$44,2,FALSE),"")</f>
        <v/>
      </c>
      <c r="R489" s="2" t="str">
        <f t="shared" si="113"/>
        <v/>
      </c>
      <c r="S489" s="2">
        <f t="shared" ca="1" si="114"/>
        <v>1</v>
      </c>
      <c r="T489" s="2">
        <f t="shared" si="115"/>
        <v>1</v>
      </c>
      <c r="U489" s="110" t="s">
        <v>1846</v>
      </c>
      <c r="V489" s="110">
        <v>4</v>
      </c>
      <c r="W489" s="110">
        <v>0</v>
      </c>
      <c r="X489" s="110">
        <v>0</v>
      </c>
      <c r="Y489" s="110">
        <v>0</v>
      </c>
      <c r="Z489" s="110">
        <v>0</v>
      </c>
      <c r="AA489" s="2">
        <f t="shared" si="116"/>
        <v>1</v>
      </c>
      <c r="AB489" s="2">
        <f t="shared" si="117"/>
        <v>1</v>
      </c>
      <c r="AC489" s="2">
        <f t="shared" si="118"/>
        <v>1</v>
      </c>
      <c r="AD489" s="2">
        <f t="shared" si="119"/>
        <v>0</v>
      </c>
      <c r="AE489" s="2">
        <f t="shared" si="120"/>
        <v>0</v>
      </c>
      <c r="AF489" s="2">
        <f t="shared" si="121"/>
        <v>0</v>
      </c>
      <c r="AG489" s="2">
        <f t="shared" si="122"/>
        <v>0</v>
      </c>
      <c r="AH489" s="2">
        <f t="shared" si="123"/>
        <v>2</v>
      </c>
      <c r="AI489" s="2">
        <f t="shared" si="124"/>
        <v>2</v>
      </c>
      <c r="AJ489" s="2">
        <f t="shared" si="125"/>
        <v>2</v>
      </c>
      <c r="AK489" s="2">
        <f t="shared" si="126"/>
        <v>2</v>
      </c>
      <c r="AL489" s="2">
        <f t="shared" si="127"/>
        <v>0</v>
      </c>
      <c r="AM489" s="115"/>
      <c r="AN489" s="115"/>
      <c r="AO489" s="63"/>
    </row>
    <row r="490" spans="1:41" ht="28.8" x14ac:dyDescent="0.55000000000000004">
      <c r="A490" s="36">
        <v>4044</v>
      </c>
      <c r="B490" s="113" t="s">
        <v>1930</v>
      </c>
      <c r="C490" s="138" t="s">
        <v>1931</v>
      </c>
      <c r="D490" s="114" t="s">
        <v>52</v>
      </c>
      <c r="E490" s="115"/>
      <c r="F490" s="116"/>
      <c r="G490" s="113" t="s">
        <v>1882</v>
      </c>
      <c r="H490" s="113" t="s">
        <v>1928</v>
      </c>
      <c r="I490" s="113"/>
      <c r="J490" s="117"/>
      <c r="K490" s="118"/>
      <c r="L490" s="109">
        <v>2</v>
      </c>
      <c r="M490" s="109">
        <v>3</v>
      </c>
      <c r="N490" s="109"/>
      <c r="O490" s="119"/>
      <c r="P490" s="2">
        <f t="shared" si="112"/>
        <v>1</v>
      </c>
      <c r="Q490" s="110" t="str">
        <f>IF(AND(Drops!$D$45&gt;1,OR(U490&lt;&gt;U489,AND(ROW()=5,U489=U490))),VLOOKUP(U490,Drops!$D$26:$E$44,2,FALSE),"")</f>
        <v/>
      </c>
      <c r="R490" s="2" t="str">
        <f t="shared" si="113"/>
        <v/>
      </c>
      <c r="S490" s="2">
        <f t="shared" ca="1" si="114"/>
        <v>1</v>
      </c>
      <c r="T490" s="2">
        <f t="shared" si="115"/>
        <v>0</v>
      </c>
      <c r="U490" s="110" t="s">
        <v>1846</v>
      </c>
      <c r="V490" s="110">
        <v>4</v>
      </c>
      <c r="W490" s="110">
        <v>1</v>
      </c>
      <c r="X490" s="110">
        <v>0</v>
      </c>
      <c r="Y490" s="110">
        <v>0</v>
      </c>
      <c r="Z490" s="110">
        <v>0</v>
      </c>
      <c r="AA490" s="2">
        <f t="shared" si="116"/>
        <v>1</v>
      </c>
      <c r="AB490" s="2">
        <f t="shared" si="117"/>
        <v>0</v>
      </c>
      <c r="AC490" s="2">
        <f t="shared" si="118"/>
        <v>1</v>
      </c>
      <c r="AD490" s="2">
        <f t="shared" si="119"/>
        <v>1</v>
      </c>
      <c r="AE490" s="2">
        <f t="shared" si="120"/>
        <v>0</v>
      </c>
      <c r="AF490" s="2">
        <f t="shared" si="121"/>
        <v>0</v>
      </c>
      <c r="AG490" s="2">
        <f t="shared" si="122"/>
        <v>0</v>
      </c>
      <c r="AH490" s="2">
        <f t="shared" si="123"/>
        <v>2</v>
      </c>
      <c r="AI490" s="2">
        <f t="shared" si="124"/>
        <v>2</v>
      </c>
      <c r="AJ490" s="2">
        <f t="shared" si="125"/>
        <v>2</v>
      </c>
      <c r="AK490" s="2">
        <f t="shared" si="126"/>
        <v>2</v>
      </c>
      <c r="AL490" s="2">
        <f t="shared" si="127"/>
        <v>0</v>
      </c>
      <c r="AM490" s="115"/>
      <c r="AN490" s="115"/>
      <c r="AO490" s="63"/>
    </row>
    <row r="491" spans="1:41" ht="28.8" x14ac:dyDescent="0.55000000000000004">
      <c r="A491" s="36">
        <v>4045</v>
      </c>
      <c r="B491" s="113" t="s">
        <v>1932</v>
      </c>
      <c r="C491" s="138" t="s">
        <v>1933</v>
      </c>
      <c r="D491" s="114" t="s">
        <v>52</v>
      </c>
      <c r="E491" s="115"/>
      <c r="F491" s="116"/>
      <c r="G491" s="113" t="s">
        <v>1882</v>
      </c>
      <c r="H491" s="113" t="s">
        <v>1928</v>
      </c>
      <c r="I491" s="113"/>
      <c r="J491" s="117"/>
      <c r="K491" s="118"/>
      <c r="L491" s="109">
        <v>2</v>
      </c>
      <c r="M491" s="109">
        <v>3</v>
      </c>
      <c r="N491" s="109"/>
      <c r="O491" s="119"/>
      <c r="P491" s="2">
        <f t="shared" si="112"/>
        <v>1</v>
      </c>
      <c r="Q491" s="110" t="str">
        <f>IF(AND(Drops!$D$45&gt;1,OR(U491&lt;&gt;U490,AND(ROW()=5,U490=U491))),VLOOKUP(U491,Drops!$D$26:$E$44,2,FALSE),"")</f>
        <v/>
      </c>
      <c r="R491" s="2" t="str">
        <f t="shared" si="113"/>
        <v/>
      </c>
      <c r="S491" s="2">
        <f t="shared" ca="1" si="114"/>
        <v>1</v>
      </c>
      <c r="T491" s="2">
        <f t="shared" si="115"/>
        <v>0</v>
      </c>
      <c r="U491" s="110" t="s">
        <v>1846</v>
      </c>
      <c r="V491" s="110">
        <v>4</v>
      </c>
      <c r="W491" s="110">
        <v>2</v>
      </c>
      <c r="X491" s="110">
        <v>0</v>
      </c>
      <c r="Y491" s="110">
        <v>0</v>
      </c>
      <c r="Z491" s="110">
        <v>0</v>
      </c>
      <c r="AA491" s="2">
        <f t="shared" si="116"/>
        <v>1</v>
      </c>
      <c r="AB491" s="2">
        <f t="shared" si="117"/>
        <v>0</v>
      </c>
      <c r="AC491" s="2">
        <f t="shared" si="118"/>
        <v>1</v>
      </c>
      <c r="AD491" s="2">
        <f t="shared" si="119"/>
        <v>1</v>
      </c>
      <c r="AE491" s="2">
        <f t="shared" si="120"/>
        <v>0</v>
      </c>
      <c r="AF491" s="2">
        <f t="shared" si="121"/>
        <v>0</v>
      </c>
      <c r="AG491" s="2">
        <f t="shared" si="122"/>
        <v>0</v>
      </c>
      <c r="AH491" s="2">
        <f t="shared" si="123"/>
        <v>2</v>
      </c>
      <c r="AI491" s="2">
        <f t="shared" si="124"/>
        <v>2</v>
      </c>
      <c r="AJ491" s="2">
        <f t="shared" si="125"/>
        <v>2</v>
      </c>
      <c r="AK491" s="2">
        <f t="shared" si="126"/>
        <v>2</v>
      </c>
      <c r="AL491" s="2">
        <f t="shared" si="127"/>
        <v>0</v>
      </c>
      <c r="AM491" s="115"/>
      <c r="AN491" s="115"/>
      <c r="AO491" s="63"/>
    </row>
    <row r="492" spans="1:41" ht="28.8" x14ac:dyDescent="0.55000000000000004">
      <c r="A492" s="36">
        <v>4046</v>
      </c>
      <c r="B492" s="113" t="s">
        <v>1934</v>
      </c>
      <c r="C492" s="138" t="s">
        <v>1935</v>
      </c>
      <c r="D492" s="114" t="s">
        <v>52</v>
      </c>
      <c r="E492" s="115"/>
      <c r="F492" s="116"/>
      <c r="G492" s="113" t="s">
        <v>1882</v>
      </c>
      <c r="H492" s="113" t="s">
        <v>1928</v>
      </c>
      <c r="I492" s="113"/>
      <c r="J492" s="117"/>
      <c r="K492" s="118"/>
      <c r="L492" s="109">
        <v>2</v>
      </c>
      <c r="M492" s="109">
        <v>3</v>
      </c>
      <c r="N492" s="109"/>
      <c r="O492" s="119"/>
      <c r="P492" s="2">
        <f t="shared" si="112"/>
        <v>1</v>
      </c>
      <c r="Q492" s="110" t="str">
        <f>IF(AND(Drops!$D$45&gt;1,OR(U492&lt;&gt;U491,AND(ROW()=5,U491=U492))),VLOOKUP(U492,Drops!$D$26:$E$44,2,FALSE),"")</f>
        <v/>
      </c>
      <c r="R492" s="2" t="str">
        <f t="shared" si="113"/>
        <v/>
      </c>
      <c r="S492" s="2">
        <f t="shared" ca="1" si="114"/>
        <v>1</v>
      </c>
      <c r="T492" s="2">
        <f t="shared" si="115"/>
        <v>0</v>
      </c>
      <c r="U492" s="110" t="s">
        <v>1846</v>
      </c>
      <c r="V492" s="110">
        <v>4</v>
      </c>
      <c r="W492" s="110">
        <v>3</v>
      </c>
      <c r="X492" s="110">
        <v>0</v>
      </c>
      <c r="Y492" s="110">
        <v>0</v>
      </c>
      <c r="Z492" s="110">
        <v>0</v>
      </c>
      <c r="AA492" s="2">
        <f t="shared" si="116"/>
        <v>1</v>
      </c>
      <c r="AB492" s="2">
        <f t="shared" si="117"/>
        <v>0</v>
      </c>
      <c r="AC492" s="2">
        <f t="shared" si="118"/>
        <v>1</v>
      </c>
      <c r="AD492" s="2">
        <f t="shared" si="119"/>
        <v>1</v>
      </c>
      <c r="AE492" s="2">
        <f t="shared" si="120"/>
        <v>0</v>
      </c>
      <c r="AF492" s="2">
        <f t="shared" si="121"/>
        <v>0</v>
      </c>
      <c r="AG492" s="2">
        <f t="shared" si="122"/>
        <v>0</v>
      </c>
      <c r="AH492" s="2">
        <f t="shared" si="123"/>
        <v>2</v>
      </c>
      <c r="AI492" s="2">
        <f t="shared" si="124"/>
        <v>2</v>
      </c>
      <c r="AJ492" s="2">
        <f t="shared" si="125"/>
        <v>2</v>
      </c>
      <c r="AK492" s="2">
        <f t="shared" si="126"/>
        <v>2</v>
      </c>
      <c r="AL492" s="2">
        <f t="shared" si="127"/>
        <v>0</v>
      </c>
      <c r="AM492" s="115"/>
      <c r="AN492" s="115"/>
      <c r="AO492" s="63"/>
    </row>
    <row r="493" spans="1:41" ht="28.8" x14ac:dyDescent="0.55000000000000004">
      <c r="A493" s="36">
        <v>4047</v>
      </c>
      <c r="B493" s="113" t="s">
        <v>1936</v>
      </c>
      <c r="C493" s="138" t="s">
        <v>1937</v>
      </c>
      <c r="D493" s="114" t="s">
        <v>52</v>
      </c>
      <c r="E493" s="115"/>
      <c r="F493" s="116"/>
      <c r="G493" s="113" t="s">
        <v>1882</v>
      </c>
      <c r="H493" s="113" t="s">
        <v>1928</v>
      </c>
      <c r="I493" s="113" t="s">
        <v>1929</v>
      </c>
      <c r="J493" s="117"/>
      <c r="K493" s="118"/>
      <c r="L493" s="109">
        <v>2</v>
      </c>
      <c r="M493" s="109">
        <v>3</v>
      </c>
      <c r="N493" s="109"/>
      <c r="O493" s="119"/>
      <c r="P493" s="2">
        <f t="shared" si="112"/>
        <v>1</v>
      </c>
      <c r="Q493" s="110" t="str">
        <f>IF(AND(Drops!$D$45&gt;1,OR(U493&lt;&gt;U492,AND(ROW()=5,U492=U493))),VLOOKUP(U493,Drops!$D$26:$E$44,2,FALSE),"")</f>
        <v/>
      </c>
      <c r="R493" s="2" t="str">
        <f t="shared" si="113"/>
        <v/>
      </c>
      <c r="S493" s="2">
        <f t="shared" ca="1" si="114"/>
        <v>1</v>
      </c>
      <c r="T493" s="2">
        <f t="shared" si="115"/>
        <v>0</v>
      </c>
      <c r="U493" s="110" t="s">
        <v>1846</v>
      </c>
      <c r="V493" s="110">
        <v>4</v>
      </c>
      <c r="W493" s="110">
        <v>4</v>
      </c>
      <c r="X493" s="110">
        <v>0</v>
      </c>
      <c r="Y493" s="110">
        <v>0</v>
      </c>
      <c r="Z493" s="110">
        <v>0</v>
      </c>
      <c r="AA493" s="2">
        <f t="shared" si="116"/>
        <v>1</v>
      </c>
      <c r="AB493" s="2">
        <f t="shared" si="117"/>
        <v>0</v>
      </c>
      <c r="AC493" s="2">
        <f t="shared" si="118"/>
        <v>1</v>
      </c>
      <c r="AD493" s="2">
        <f t="shared" si="119"/>
        <v>1</v>
      </c>
      <c r="AE493" s="2">
        <f t="shared" si="120"/>
        <v>0</v>
      </c>
      <c r="AF493" s="2">
        <f t="shared" si="121"/>
        <v>0</v>
      </c>
      <c r="AG493" s="2">
        <f t="shared" si="122"/>
        <v>0</v>
      </c>
      <c r="AH493" s="2">
        <f t="shared" si="123"/>
        <v>2</v>
      </c>
      <c r="AI493" s="2">
        <f t="shared" si="124"/>
        <v>2</v>
      </c>
      <c r="AJ493" s="2">
        <f t="shared" si="125"/>
        <v>2</v>
      </c>
      <c r="AK493" s="2">
        <f t="shared" si="126"/>
        <v>2</v>
      </c>
      <c r="AL493" s="2">
        <f t="shared" si="127"/>
        <v>0</v>
      </c>
      <c r="AM493" s="115"/>
      <c r="AN493" s="115"/>
      <c r="AO493" s="63"/>
    </row>
    <row r="494" spans="1:41" ht="28.8" x14ac:dyDescent="0.55000000000000004">
      <c r="A494" s="36">
        <v>4048</v>
      </c>
      <c r="B494" s="113" t="s">
        <v>1938</v>
      </c>
      <c r="C494" s="138" t="s">
        <v>1939</v>
      </c>
      <c r="D494" s="114" t="s">
        <v>52</v>
      </c>
      <c r="E494" s="115"/>
      <c r="F494" s="116"/>
      <c r="G494" s="113" t="s">
        <v>1882</v>
      </c>
      <c r="H494" s="113" t="s">
        <v>1928</v>
      </c>
      <c r="I494" s="113" t="s">
        <v>1929</v>
      </c>
      <c r="J494" s="117"/>
      <c r="K494" s="118"/>
      <c r="L494" s="109">
        <v>2</v>
      </c>
      <c r="M494" s="109">
        <v>3</v>
      </c>
      <c r="N494" s="109"/>
      <c r="O494" s="119"/>
      <c r="P494" s="2">
        <f t="shared" si="112"/>
        <v>1</v>
      </c>
      <c r="Q494" s="110" t="str">
        <f>IF(AND(Drops!$D$45&gt;1,OR(U494&lt;&gt;U493,AND(ROW()=5,U493=U494))),VLOOKUP(U494,Drops!$D$26:$E$44,2,FALSE),"")</f>
        <v/>
      </c>
      <c r="R494" s="2" t="str">
        <f t="shared" si="113"/>
        <v/>
      </c>
      <c r="S494" s="2">
        <f t="shared" ca="1" si="114"/>
        <v>1</v>
      </c>
      <c r="T494" s="2">
        <f t="shared" si="115"/>
        <v>0</v>
      </c>
      <c r="U494" s="110" t="s">
        <v>1846</v>
      </c>
      <c r="V494" s="110">
        <v>4</v>
      </c>
      <c r="W494" s="110">
        <v>5</v>
      </c>
      <c r="X494" s="110">
        <v>0</v>
      </c>
      <c r="Y494" s="110">
        <v>0</v>
      </c>
      <c r="Z494" s="110">
        <v>0</v>
      </c>
      <c r="AA494" s="2">
        <f t="shared" si="116"/>
        <v>1</v>
      </c>
      <c r="AB494" s="2">
        <f t="shared" si="117"/>
        <v>0</v>
      </c>
      <c r="AC494" s="2">
        <f t="shared" si="118"/>
        <v>1</v>
      </c>
      <c r="AD494" s="2">
        <f t="shared" si="119"/>
        <v>1</v>
      </c>
      <c r="AE494" s="2">
        <f t="shared" si="120"/>
        <v>0</v>
      </c>
      <c r="AF494" s="2">
        <f t="shared" si="121"/>
        <v>0</v>
      </c>
      <c r="AG494" s="2">
        <f t="shared" si="122"/>
        <v>0</v>
      </c>
      <c r="AH494" s="2">
        <f t="shared" si="123"/>
        <v>2</v>
      </c>
      <c r="AI494" s="2">
        <f t="shared" si="124"/>
        <v>2</v>
      </c>
      <c r="AJ494" s="2">
        <f t="shared" si="125"/>
        <v>2</v>
      </c>
      <c r="AK494" s="2">
        <f t="shared" si="126"/>
        <v>2</v>
      </c>
      <c r="AL494" s="2">
        <f t="shared" si="127"/>
        <v>0</v>
      </c>
      <c r="AM494" s="115"/>
      <c r="AN494" s="115"/>
      <c r="AO494" s="63"/>
    </row>
    <row r="495" spans="1:41" ht="28.8" x14ac:dyDescent="0.55000000000000004">
      <c r="A495" s="36">
        <v>5861</v>
      </c>
      <c r="B495" s="113" t="s">
        <v>1940</v>
      </c>
      <c r="C495" s="138" t="s">
        <v>1941</v>
      </c>
      <c r="D495" s="114" t="s">
        <v>52</v>
      </c>
      <c r="E495" s="115"/>
      <c r="F495" s="116"/>
      <c r="G495" s="113" t="s">
        <v>1882</v>
      </c>
      <c r="H495" s="113" t="s">
        <v>1928</v>
      </c>
      <c r="I495" s="113"/>
      <c r="J495" s="117"/>
      <c r="K495" s="118"/>
      <c r="L495" s="109">
        <v>2</v>
      </c>
      <c r="M495" s="109">
        <v>3</v>
      </c>
      <c r="N495" s="109"/>
      <c r="O495" s="119"/>
      <c r="P495" s="2">
        <f t="shared" si="112"/>
        <v>1</v>
      </c>
      <c r="Q495" s="110" t="str">
        <f>IF(AND(Drops!$D$45&gt;1,OR(U495&lt;&gt;U494,AND(ROW()=5,U494=U495))),VLOOKUP(U495,Drops!$D$26:$E$44,2,FALSE),"")</f>
        <v/>
      </c>
      <c r="R495" s="2" t="str">
        <f t="shared" si="113"/>
        <v/>
      </c>
      <c r="S495" s="2">
        <f t="shared" ca="1" si="114"/>
        <v>1</v>
      </c>
      <c r="T495" s="2">
        <f t="shared" si="115"/>
        <v>0</v>
      </c>
      <c r="U495" s="110" t="s">
        <v>1846</v>
      </c>
      <c r="V495" s="110">
        <v>4</v>
      </c>
      <c r="W495" s="110">
        <v>7</v>
      </c>
      <c r="X495" s="110">
        <v>0</v>
      </c>
      <c r="Y495" s="110">
        <v>0</v>
      </c>
      <c r="Z495" s="110">
        <v>0</v>
      </c>
      <c r="AA495" s="2">
        <f t="shared" si="116"/>
        <v>1</v>
      </c>
      <c r="AB495" s="2">
        <f t="shared" si="117"/>
        <v>0</v>
      </c>
      <c r="AC495" s="2">
        <f t="shared" si="118"/>
        <v>1</v>
      </c>
      <c r="AD495" s="2">
        <f t="shared" si="119"/>
        <v>1</v>
      </c>
      <c r="AE495" s="2">
        <f t="shared" si="120"/>
        <v>0</v>
      </c>
      <c r="AF495" s="2">
        <f t="shared" si="121"/>
        <v>0</v>
      </c>
      <c r="AG495" s="2">
        <f t="shared" si="122"/>
        <v>0</v>
      </c>
      <c r="AH495" s="2">
        <f t="shared" si="123"/>
        <v>2</v>
      </c>
      <c r="AI495" s="2">
        <f t="shared" si="124"/>
        <v>2</v>
      </c>
      <c r="AJ495" s="2">
        <f t="shared" si="125"/>
        <v>2</v>
      </c>
      <c r="AK495" s="2">
        <f t="shared" si="126"/>
        <v>2</v>
      </c>
      <c r="AL495" s="2">
        <f t="shared" si="127"/>
        <v>0</v>
      </c>
      <c r="AM495" s="115"/>
      <c r="AN495" s="115"/>
      <c r="AO495" s="63"/>
    </row>
    <row r="496" spans="1:41" ht="144" x14ac:dyDescent="0.55000000000000004">
      <c r="A496" s="36">
        <v>4049</v>
      </c>
      <c r="B496" s="113" t="s">
        <v>344</v>
      </c>
      <c r="C496" s="113" t="s">
        <v>1942</v>
      </c>
      <c r="D496" s="114" t="s">
        <v>52</v>
      </c>
      <c r="E496" s="115" t="s">
        <v>3459</v>
      </c>
      <c r="F496" s="116"/>
      <c r="G496" s="113" t="s">
        <v>1882</v>
      </c>
      <c r="H496" s="113" t="s">
        <v>1943</v>
      </c>
      <c r="I496" s="113"/>
      <c r="J496" s="117"/>
      <c r="K496" s="118"/>
      <c r="L496" s="109">
        <v>1</v>
      </c>
      <c r="M496" s="109">
        <v>2</v>
      </c>
      <c r="N496" s="109"/>
      <c r="O496" s="119"/>
      <c r="P496" s="2">
        <f t="shared" si="112"/>
        <v>1</v>
      </c>
      <c r="Q496" s="110" t="str">
        <f>IF(AND(Drops!$D$45&gt;1,OR(U496&lt;&gt;U495,AND(ROW()=5,U495=U496))),VLOOKUP(U496,Drops!$D$26:$E$44,2,FALSE),"")</f>
        <v/>
      </c>
      <c r="R496" s="2" t="str">
        <f t="shared" si="113"/>
        <v/>
      </c>
      <c r="S496" s="2">
        <f t="shared" ca="1" si="114"/>
        <v>1</v>
      </c>
      <c r="T496" s="2">
        <f t="shared" si="115"/>
        <v>1</v>
      </c>
      <c r="U496" s="110" t="s">
        <v>1846</v>
      </c>
      <c r="V496" s="110">
        <v>5</v>
      </c>
      <c r="W496" s="110">
        <v>0</v>
      </c>
      <c r="X496" s="110">
        <v>0</v>
      </c>
      <c r="Y496" s="110">
        <v>0</v>
      </c>
      <c r="Z496" s="110">
        <v>0</v>
      </c>
      <c r="AA496" s="2">
        <f t="shared" si="116"/>
        <v>1</v>
      </c>
      <c r="AB496" s="2">
        <f t="shared" si="117"/>
        <v>1</v>
      </c>
      <c r="AC496" s="2">
        <f t="shared" si="118"/>
        <v>1</v>
      </c>
      <c r="AD496" s="2">
        <f t="shared" si="119"/>
        <v>0</v>
      </c>
      <c r="AE496" s="2">
        <f t="shared" si="120"/>
        <v>0</v>
      </c>
      <c r="AF496" s="2">
        <f t="shared" si="121"/>
        <v>0</v>
      </c>
      <c r="AG496" s="2">
        <f t="shared" si="122"/>
        <v>0</v>
      </c>
      <c r="AH496" s="2">
        <f t="shared" si="123"/>
        <v>2</v>
      </c>
      <c r="AI496" s="2">
        <f t="shared" si="124"/>
        <v>2</v>
      </c>
      <c r="AJ496" s="2">
        <f t="shared" si="125"/>
        <v>2</v>
      </c>
      <c r="AK496" s="2">
        <f t="shared" si="126"/>
        <v>2</v>
      </c>
      <c r="AL496" s="2">
        <f t="shared" si="127"/>
        <v>0</v>
      </c>
      <c r="AM496" s="115"/>
      <c r="AN496" s="115"/>
      <c r="AO496" s="63"/>
    </row>
    <row r="497" spans="1:41" ht="57.6" x14ac:dyDescent="0.55000000000000004">
      <c r="A497" s="36">
        <v>4050</v>
      </c>
      <c r="B497" s="113" t="s">
        <v>1944</v>
      </c>
      <c r="C497" s="138" t="s">
        <v>1945</v>
      </c>
      <c r="D497" s="114" t="s">
        <v>52</v>
      </c>
      <c r="E497" s="115"/>
      <c r="F497" s="116"/>
      <c r="G497" s="113" t="s">
        <v>1882</v>
      </c>
      <c r="H497" s="113" t="s">
        <v>1943</v>
      </c>
      <c r="I497" s="113"/>
      <c r="J497" s="117"/>
      <c r="K497" s="118"/>
      <c r="L497" s="109">
        <v>2</v>
      </c>
      <c r="M497" s="109">
        <v>3</v>
      </c>
      <c r="N497" s="109"/>
      <c r="O497" s="119"/>
      <c r="P497" s="2">
        <f t="shared" si="112"/>
        <v>1</v>
      </c>
      <c r="Q497" s="110" t="str">
        <f>IF(AND(Drops!$D$45&gt;1,OR(U497&lt;&gt;U496,AND(ROW()=5,U496=U497))),VLOOKUP(U497,Drops!$D$26:$E$44,2,FALSE),"")</f>
        <v/>
      </c>
      <c r="R497" s="2" t="str">
        <f t="shared" si="113"/>
        <v/>
      </c>
      <c r="S497" s="2">
        <f t="shared" ca="1" si="114"/>
        <v>1</v>
      </c>
      <c r="T497" s="2">
        <f t="shared" si="115"/>
        <v>0</v>
      </c>
      <c r="U497" s="110" t="s">
        <v>1846</v>
      </c>
      <c r="V497" s="110">
        <v>5</v>
      </c>
      <c r="W497" s="110">
        <v>1</v>
      </c>
      <c r="X497" s="110">
        <v>0</v>
      </c>
      <c r="Y497" s="110">
        <v>0</v>
      </c>
      <c r="Z497" s="110">
        <v>0</v>
      </c>
      <c r="AA497" s="2">
        <f t="shared" si="116"/>
        <v>1</v>
      </c>
      <c r="AB497" s="2">
        <f t="shared" si="117"/>
        <v>0</v>
      </c>
      <c r="AC497" s="2">
        <f t="shared" si="118"/>
        <v>1</v>
      </c>
      <c r="AD497" s="2">
        <f t="shared" si="119"/>
        <v>1</v>
      </c>
      <c r="AE497" s="2">
        <f t="shared" si="120"/>
        <v>0</v>
      </c>
      <c r="AF497" s="2">
        <f t="shared" si="121"/>
        <v>0</v>
      </c>
      <c r="AG497" s="2">
        <f t="shared" si="122"/>
        <v>0</v>
      </c>
      <c r="AH497" s="2">
        <f t="shared" si="123"/>
        <v>2</v>
      </c>
      <c r="AI497" s="2">
        <f t="shared" si="124"/>
        <v>2</v>
      </c>
      <c r="AJ497" s="2">
        <f t="shared" si="125"/>
        <v>2</v>
      </c>
      <c r="AK497" s="2">
        <f t="shared" si="126"/>
        <v>2</v>
      </c>
      <c r="AL497" s="2">
        <f t="shared" si="127"/>
        <v>0</v>
      </c>
      <c r="AM497" s="115"/>
      <c r="AN497" s="115"/>
      <c r="AO497" s="63"/>
    </row>
    <row r="498" spans="1:41" ht="28.8" x14ac:dyDescent="0.55000000000000004">
      <c r="A498" s="36">
        <v>5862</v>
      </c>
      <c r="B498" s="113" t="s">
        <v>1946</v>
      </c>
      <c r="C498" s="138" t="s">
        <v>1947</v>
      </c>
      <c r="D498" s="114" t="s">
        <v>52</v>
      </c>
      <c r="E498" s="115"/>
      <c r="F498" s="116"/>
      <c r="G498" s="113" t="s">
        <v>1882</v>
      </c>
      <c r="H498" s="113" t="s">
        <v>1943</v>
      </c>
      <c r="I498" s="113"/>
      <c r="J498" s="117"/>
      <c r="K498" s="118"/>
      <c r="L498" s="109">
        <v>2</v>
      </c>
      <c r="M498" s="109">
        <v>3</v>
      </c>
      <c r="N498" s="109"/>
      <c r="O498" s="119"/>
      <c r="P498" s="2">
        <f t="shared" si="112"/>
        <v>1</v>
      </c>
      <c r="Q498" s="110" t="str">
        <f>IF(AND(Drops!$D$45&gt;1,OR(U498&lt;&gt;U497,AND(ROW()=5,U497=U498))),VLOOKUP(U498,Drops!$D$26:$E$44,2,FALSE),"")</f>
        <v/>
      </c>
      <c r="R498" s="2" t="str">
        <f t="shared" si="113"/>
        <v/>
      </c>
      <c r="S498" s="2">
        <f t="shared" ca="1" si="114"/>
        <v>1</v>
      </c>
      <c r="T498" s="2">
        <f t="shared" si="115"/>
        <v>0</v>
      </c>
      <c r="U498" s="110" t="s">
        <v>1846</v>
      </c>
      <c r="V498" s="110">
        <v>5</v>
      </c>
      <c r="W498" s="110">
        <v>2</v>
      </c>
      <c r="X498" s="110">
        <v>0</v>
      </c>
      <c r="Y498" s="110">
        <v>0</v>
      </c>
      <c r="Z498" s="110">
        <v>0</v>
      </c>
      <c r="AA498" s="2">
        <f t="shared" si="116"/>
        <v>1</v>
      </c>
      <c r="AB498" s="2">
        <f t="shared" si="117"/>
        <v>0</v>
      </c>
      <c r="AC498" s="2">
        <f t="shared" si="118"/>
        <v>1</v>
      </c>
      <c r="AD498" s="2">
        <f t="shared" si="119"/>
        <v>1</v>
      </c>
      <c r="AE498" s="2">
        <f t="shared" si="120"/>
        <v>0</v>
      </c>
      <c r="AF498" s="2">
        <f t="shared" si="121"/>
        <v>0</v>
      </c>
      <c r="AG498" s="2">
        <f t="shared" si="122"/>
        <v>0</v>
      </c>
      <c r="AH498" s="2">
        <f t="shared" si="123"/>
        <v>2</v>
      </c>
      <c r="AI498" s="2">
        <f t="shared" si="124"/>
        <v>2</v>
      </c>
      <c r="AJ498" s="2">
        <f t="shared" si="125"/>
        <v>2</v>
      </c>
      <c r="AK498" s="2">
        <f t="shared" si="126"/>
        <v>2</v>
      </c>
      <c r="AL498" s="2">
        <f t="shared" si="127"/>
        <v>0</v>
      </c>
      <c r="AM498" s="115"/>
      <c r="AN498" s="115"/>
      <c r="AO498" s="63"/>
    </row>
    <row r="499" spans="1:41" ht="43.2" x14ac:dyDescent="0.55000000000000004">
      <c r="A499" s="36">
        <v>4052</v>
      </c>
      <c r="B499" s="113" t="s">
        <v>1948</v>
      </c>
      <c r="C499" s="138" t="s">
        <v>1949</v>
      </c>
      <c r="D499" s="114" t="s">
        <v>52</v>
      </c>
      <c r="E499" s="115"/>
      <c r="F499" s="116"/>
      <c r="G499" s="113" t="s">
        <v>1882</v>
      </c>
      <c r="H499" s="113" t="s">
        <v>1943</v>
      </c>
      <c r="I499" s="113"/>
      <c r="J499" s="117"/>
      <c r="K499" s="118"/>
      <c r="L499" s="109">
        <v>2</v>
      </c>
      <c r="M499" s="109">
        <v>3</v>
      </c>
      <c r="N499" s="109"/>
      <c r="O499" s="119"/>
      <c r="P499" s="2">
        <f t="shared" si="112"/>
        <v>1</v>
      </c>
      <c r="Q499" s="110" t="str">
        <f>IF(AND(Drops!$D$45&gt;1,OR(U499&lt;&gt;U498,AND(ROW()=5,U498=U499))),VLOOKUP(U499,Drops!$D$26:$E$44,2,FALSE),"")</f>
        <v/>
      </c>
      <c r="R499" s="2" t="str">
        <f t="shared" si="113"/>
        <v/>
      </c>
      <c r="S499" s="2">
        <f t="shared" ca="1" si="114"/>
        <v>1</v>
      </c>
      <c r="T499" s="2">
        <f t="shared" si="115"/>
        <v>0</v>
      </c>
      <c r="U499" s="110" t="s">
        <v>1846</v>
      </c>
      <c r="V499" s="110">
        <v>5</v>
      </c>
      <c r="W499" s="110">
        <v>3</v>
      </c>
      <c r="X499" s="110">
        <v>0</v>
      </c>
      <c r="Y499" s="110">
        <v>0</v>
      </c>
      <c r="Z499" s="110">
        <v>0</v>
      </c>
      <c r="AA499" s="2">
        <f t="shared" si="116"/>
        <v>1</v>
      </c>
      <c r="AB499" s="2">
        <f t="shared" si="117"/>
        <v>0</v>
      </c>
      <c r="AC499" s="2">
        <f t="shared" si="118"/>
        <v>1</v>
      </c>
      <c r="AD499" s="2">
        <f t="shared" si="119"/>
        <v>1</v>
      </c>
      <c r="AE499" s="2">
        <f t="shared" si="120"/>
        <v>0</v>
      </c>
      <c r="AF499" s="2">
        <f t="shared" si="121"/>
        <v>0</v>
      </c>
      <c r="AG499" s="2">
        <f t="shared" si="122"/>
        <v>0</v>
      </c>
      <c r="AH499" s="2">
        <f t="shared" si="123"/>
        <v>2</v>
      </c>
      <c r="AI499" s="2">
        <f t="shared" si="124"/>
        <v>2</v>
      </c>
      <c r="AJ499" s="2">
        <f t="shared" si="125"/>
        <v>2</v>
      </c>
      <c r="AK499" s="2">
        <f t="shared" si="126"/>
        <v>2</v>
      </c>
      <c r="AL499" s="2">
        <f t="shared" si="127"/>
        <v>0</v>
      </c>
      <c r="AM499" s="115"/>
      <c r="AN499" s="115"/>
      <c r="AO499" s="63"/>
    </row>
    <row r="500" spans="1:41" ht="43.2" x14ac:dyDescent="0.55000000000000004">
      <c r="A500" s="36">
        <v>4053</v>
      </c>
      <c r="B500" s="113" t="s">
        <v>1950</v>
      </c>
      <c r="C500" s="138" t="s">
        <v>1951</v>
      </c>
      <c r="D500" s="114" t="s">
        <v>52</v>
      </c>
      <c r="E500" s="115"/>
      <c r="F500" s="116"/>
      <c r="G500" s="113" t="s">
        <v>1882</v>
      </c>
      <c r="H500" s="113" t="s">
        <v>1943</v>
      </c>
      <c r="I500" s="113"/>
      <c r="J500" s="117"/>
      <c r="K500" s="118"/>
      <c r="L500" s="109">
        <v>2</v>
      </c>
      <c r="M500" s="109">
        <v>3</v>
      </c>
      <c r="N500" s="109"/>
      <c r="O500" s="119"/>
      <c r="P500" s="2">
        <f t="shared" si="112"/>
        <v>1</v>
      </c>
      <c r="Q500" s="110" t="str">
        <f>IF(AND(Drops!$D$45&gt;1,OR(U500&lt;&gt;U499,AND(ROW()=5,U499=U500))),VLOOKUP(U500,Drops!$D$26:$E$44,2,FALSE),"")</f>
        <v/>
      </c>
      <c r="R500" s="2" t="str">
        <f t="shared" si="113"/>
        <v/>
      </c>
      <c r="S500" s="2">
        <f t="shared" ca="1" si="114"/>
        <v>1</v>
      </c>
      <c r="T500" s="2">
        <f t="shared" si="115"/>
        <v>0</v>
      </c>
      <c r="U500" s="110" t="s">
        <v>1846</v>
      </c>
      <c r="V500" s="110">
        <v>5</v>
      </c>
      <c r="W500" s="110">
        <v>4</v>
      </c>
      <c r="X500" s="110">
        <v>0</v>
      </c>
      <c r="Y500" s="110">
        <v>0</v>
      </c>
      <c r="Z500" s="110">
        <v>0</v>
      </c>
      <c r="AA500" s="2">
        <f t="shared" si="116"/>
        <v>1</v>
      </c>
      <c r="AB500" s="2">
        <f t="shared" si="117"/>
        <v>0</v>
      </c>
      <c r="AC500" s="2">
        <f t="shared" si="118"/>
        <v>1</v>
      </c>
      <c r="AD500" s="2">
        <f t="shared" si="119"/>
        <v>1</v>
      </c>
      <c r="AE500" s="2">
        <f t="shared" si="120"/>
        <v>0</v>
      </c>
      <c r="AF500" s="2">
        <f t="shared" si="121"/>
        <v>0</v>
      </c>
      <c r="AG500" s="2">
        <f t="shared" si="122"/>
        <v>0</v>
      </c>
      <c r="AH500" s="2">
        <f t="shared" si="123"/>
        <v>2</v>
      </c>
      <c r="AI500" s="2">
        <f t="shared" si="124"/>
        <v>2</v>
      </c>
      <c r="AJ500" s="2">
        <f t="shared" si="125"/>
        <v>2</v>
      </c>
      <c r="AK500" s="2">
        <f t="shared" si="126"/>
        <v>2</v>
      </c>
      <c r="AL500" s="2">
        <f t="shared" si="127"/>
        <v>0</v>
      </c>
      <c r="AM500" s="115"/>
      <c r="AN500" s="115"/>
      <c r="AO500" s="63"/>
    </row>
    <row r="501" spans="1:41" ht="43.2" x14ac:dyDescent="0.55000000000000004">
      <c r="A501" s="36">
        <v>4054</v>
      </c>
      <c r="B501" s="113" t="s">
        <v>346</v>
      </c>
      <c r="C501" s="113" t="s">
        <v>1952</v>
      </c>
      <c r="D501" s="114" t="s">
        <v>52</v>
      </c>
      <c r="E501" s="115"/>
      <c r="F501" s="116"/>
      <c r="G501" s="113" t="s">
        <v>1882</v>
      </c>
      <c r="H501" s="113" t="s">
        <v>1953</v>
      </c>
      <c r="I501" s="113"/>
      <c r="J501" s="117" t="s">
        <v>1954</v>
      </c>
      <c r="K501" s="118"/>
      <c r="L501" s="109">
        <v>1</v>
      </c>
      <c r="M501" s="109">
        <v>2</v>
      </c>
      <c r="N501" s="109"/>
      <c r="O501" s="119"/>
      <c r="P501" s="2">
        <f t="shared" si="112"/>
        <v>1</v>
      </c>
      <c r="Q501" s="110" t="str">
        <f>IF(AND(Drops!$D$45&gt;1,OR(U501&lt;&gt;U500,AND(ROW()=5,U500=U501))),VLOOKUP(U501,Drops!$D$26:$E$44,2,FALSE),"")</f>
        <v/>
      </c>
      <c r="R501" s="2" t="str">
        <f t="shared" si="113"/>
        <v/>
      </c>
      <c r="S501" s="2">
        <f t="shared" ca="1" si="114"/>
        <v>1</v>
      </c>
      <c r="T501" s="2">
        <f t="shared" si="115"/>
        <v>1</v>
      </c>
      <c r="U501" s="110" t="s">
        <v>1846</v>
      </c>
      <c r="V501" s="110">
        <v>6</v>
      </c>
      <c r="W501" s="110">
        <v>0</v>
      </c>
      <c r="X501" s="110">
        <v>0</v>
      </c>
      <c r="Y501" s="110">
        <v>0</v>
      </c>
      <c r="Z501" s="110">
        <v>0</v>
      </c>
      <c r="AA501" s="2">
        <f t="shared" si="116"/>
        <v>1</v>
      </c>
      <c r="AB501" s="2">
        <f t="shared" si="117"/>
        <v>1</v>
      </c>
      <c r="AC501" s="2">
        <f t="shared" si="118"/>
        <v>1</v>
      </c>
      <c r="AD501" s="2">
        <f t="shared" si="119"/>
        <v>0</v>
      </c>
      <c r="AE501" s="2">
        <f t="shared" si="120"/>
        <v>0</v>
      </c>
      <c r="AF501" s="2">
        <f t="shared" si="121"/>
        <v>0</v>
      </c>
      <c r="AG501" s="2">
        <f t="shared" si="122"/>
        <v>0</v>
      </c>
      <c r="AH501" s="2">
        <f t="shared" si="123"/>
        <v>2</v>
      </c>
      <c r="AI501" s="2">
        <f t="shared" si="124"/>
        <v>2</v>
      </c>
      <c r="AJ501" s="2">
        <f t="shared" si="125"/>
        <v>2</v>
      </c>
      <c r="AK501" s="2">
        <f t="shared" si="126"/>
        <v>2</v>
      </c>
      <c r="AL501" s="2">
        <f t="shared" si="127"/>
        <v>0</v>
      </c>
      <c r="AM501" s="115"/>
      <c r="AN501" s="115"/>
      <c r="AO501" s="63"/>
    </row>
    <row r="502" spans="1:41" ht="43.2" x14ac:dyDescent="0.55000000000000004">
      <c r="A502" s="36">
        <v>2342</v>
      </c>
      <c r="B502" s="113" t="s">
        <v>1955</v>
      </c>
      <c r="C502" s="138" t="s">
        <v>1956</v>
      </c>
      <c r="D502" s="114" t="s">
        <v>52</v>
      </c>
      <c r="E502" s="115"/>
      <c r="F502" s="116"/>
      <c r="G502" s="113" t="s">
        <v>1882</v>
      </c>
      <c r="H502" s="113" t="s">
        <v>1953</v>
      </c>
      <c r="I502" s="113" t="s">
        <v>1929</v>
      </c>
      <c r="J502" s="117" t="s">
        <v>1743</v>
      </c>
      <c r="K502" s="118"/>
      <c r="L502" s="109">
        <v>2</v>
      </c>
      <c r="M502" s="109">
        <v>3</v>
      </c>
      <c r="N502" s="109"/>
      <c r="O502" s="119"/>
      <c r="P502" s="2">
        <f t="shared" si="112"/>
        <v>1</v>
      </c>
      <c r="Q502" s="110" t="str">
        <f>IF(AND(Drops!$D$45&gt;1,OR(U502&lt;&gt;U501,AND(ROW()=5,U501=U502))),VLOOKUP(U502,Drops!$D$26:$E$44,2,FALSE),"")</f>
        <v/>
      </c>
      <c r="R502" s="2" t="str">
        <f t="shared" si="113"/>
        <v/>
      </c>
      <c r="S502" s="2">
        <f t="shared" ca="1" si="114"/>
        <v>1</v>
      </c>
      <c r="T502" s="2">
        <f t="shared" si="115"/>
        <v>0</v>
      </c>
      <c r="U502" s="110" t="s">
        <v>1846</v>
      </c>
      <c r="V502" s="110">
        <v>6</v>
      </c>
      <c r="W502" s="110">
        <v>1</v>
      </c>
      <c r="X502" s="110">
        <v>0</v>
      </c>
      <c r="Y502" s="110">
        <v>0</v>
      </c>
      <c r="Z502" s="110">
        <v>0</v>
      </c>
      <c r="AA502" s="2">
        <f t="shared" si="116"/>
        <v>1</v>
      </c>
      <c r="AB502" s="2">
        <f t="shared" si="117"/>
        <v>0</v>
      </c>
      <c r="AC502" s="2">
        <f t="shared" si="118"/>
        <v>1</v>
      </c>
      <c r="AD502" s="2">
        <f t="shared" si="119"/>
        <v>1</v>
      </c>
      <c r="AE502" s="2">
        <f t="shared" si="120"/>
        <v>0</v>
      </c>
      <c r="AF502" s="2">
        <f t="shared" si="121"/>
        <v>0</v>
      </c>
      <c r="AG502" s="2">
        <f t="shared" si="122"/>
        <v>0</v>
      </c>
      <c r="AH502" s="2">
        <f t="shared" si="123"/>
        <v>2</v>
      </c>
      <c r="AI502" s="2">
        <f t="shared" si="124"/>
        <v>2</v>
      </c>
      <c r="AJ502" s="2">
        <f t="shared" si="125"/>
        <v>2</v>
      </c>
      <c r="AK502" s="2">
        <f t="shared" si="126"/>
        <v>2</v>
      </c>
      <c r="AL502" s="2">
        <f t="shared" si="127"/>
        <v>0</v>
      </c>
      <c r="AM502" s="115"/>
      <c r="AN502" s="115"/>
      <c r="AO502" s="63"/>
    </row>
    <row r="503" spans="1:41" ht="43.2" x14ac:dyDescent="0.55000000000000004">
      <c r="A503" s="36">
        <v>2289</v>
      </c>
      <c r="B503" s="113" t="s">
        <v>1957</v>
      </c>
      <c r="C503" s="138" t="s">
        <v>1958</v>
      </c>
      <c r="D503" s="114" t="s">
        <v>52</v>
      </c>
      <c r="E503" s="115"/>
      <c r="F503" s="116"/>
      <c r="G503" s="113" t="s">
        <v>1882</v>
      </c>
      <c r="H503" s="113" t="s">
        <v>1953</v>
      </c>
      <c r="I503" s="113" t="s">
        <v>1929</v>
      </c>
      <c r="J503" s="117" t="s">
        <v>1743</v>
      </c>
      <c r="K503" s="118"/>
      <c r="L503" s="109">
        <v>2</v>
      </c>
      <c r="M503" s="109">
        <v>3</v>
      </c>
      <c r="N503" s="109"/>
      <c r="O503" s="119"/>
      <c r="P503" s="2">
        <f t="shared" si="112"/>
        <v>1</v>
      </c>
      <c r="Q503" s="110" t="str">
        <f>IF(AND(Drops!$D$45&gt;1,OR(U503&lt;&gt;U502,AND(ROW()=5,U502=U503))),VLOOKUP(U503,Drops!$D$26:$E$44,2,FALSE),"")</f>
        <v/>
      </c>
      <c r="R503" s="2" t="str">
        <f t="shared" si="113"/>
        <v/>
      </c>
      <c r="S503" s="2">
        <f t="shared" ca="1" si="114"/>
        <v>1</v>
      </c>
      <c r="T503" s="2">
        <f t="shared" si="115"/>
        <v>0</v>
      </c>
      <c r="U503" s="110" t="s">
        <v>1846</v>
      </c>
      <c r="V503" s="110">
        <v>6</v>
      </c>
      <c r="W503" s="110">
        <v>2</v>
      </c>
      <c r="X503" s="110">
        <v>0</v>
      </c>
      <c r="Y503" s="110">
        <v>0</v>
      </c>
      <c r="Z503" s="110">
        <v>0</v>
      </c>
      <c r="AA503" s="2">
        <f t="shared" si="116"/>
        <v>1</v>
      </c>
      <c r="AB503" s="2">
        <f t="shared" si="117"/>
        <v>0</v>
      </c>
      <c r="AC503" s="2">
        <f t="shared" si="118"/>
        <v>1</v>
      </c>
      <c r="AD503" s="2">
        <f t="shared" si="119"/>
        <v>1</v>
      </c>
      <c r="AE503" s="2">
        <f t="shared" si="120"/>
        <v>0</v>
      </c>
      <c r="AF503" s="2">
        <f t="shared" si="121"/>
        <v>0</v>
      </c>
      <c r="AG503" s="2">
        <f t="shared" si="122"/>
        <v>0</v>
      </c>
      <c r="AH503" s="2">
        <f t="shared" si="123"/>
        <v>2</v>
      </c>
      <c r="AI503" s="2">
        <f t="shared" si="124"/>
        <v>2</v>
      </c>
      <c r="AJ503" s="2">
        <f t="shared" si="125"/>
        <v>2</v>
      </c>
      <c r="AK503" s="2">
        <f t="shared" si="126"/>
        <v>2</v>
      </c>
      <c r="AL503" s="2">
        <f t="shared" si="127"/>
        <v>0</v>
      </c>
      <c r="AM503" s="115"/>
      <c r="AN503" s="115"/>
      <c r="AO503" s="63"/>
    </row>
    <row r="504" spans="1:41" ht="43.2" x14ac:dyDescent="0.55000000000000004">
      <c r="A504" s="36">
        <v>2294</v>
      </c>
      <c r="B504" s="113" t="s">
        <v>1959</v>
      </c>
      <c r="C504" s="138" t="s">
        <v>1960</v>
      </c>
      <c r="D504" s="114" t="s">
        <v>52</v>
      </c>
      <c r="E504" s="115"/>
      <c r="F504" s="116"/>
      <c r="G504" s="113" t="s">
        <v>1882</v>
      </c>
      <c r="H504" s="113" t="s">
        <v>1953</v>
      </c>
      <c r="I504" s="113" t="s">
        <v>1929</v>
      </c>
      <c r="J504" s="117" t="s">
        <v>1743</v>
      </c>
      <c r="K504" s="118"/>
      <c r="L504" s="109">
        <v>2</v>
      </c>
      <c r="M504" s="109">
        <v>3</v>
      </c>
      <c r="N504" s="109"/>
      <c r="O504" s="119"/>
      <c r="P504" s="2">
        <f t="shared" si="112"/>
        <v>1</v>
      </c>
      <c r="Q504" s="110" t="str">
        <f>IF(AND(Drops!$D$45&gt;1,OR(U504&lt;&gt;U503,AND(ROW()=5,U503=U504))),VLOOKUP(U504,Drops!$D$26:$E$44,2,FALSE),"")</f>
        <v/>
      </c>
      <c r="R504" s="2" t="str">
        <f t="shared" si="113"/>
        <v/>
      </c>
      <c r="S504" s="2">
        <f t="shared" ca="1" si="114"/>
        <v>1</v>
      </c>
      <c r="T504" s="2">
        <f t="shared" si="115"/>
        <v>0</v>
      </c>
      <c r="U504" s="110" t="s">
        <v>1846</v>
      </c>
      <c r="V504" s="110">
        <v>6</v>
      </c>
      <c r="W504" s="110">
        <v>3</v>
      </c>
      <c r="X504" s="110">
        <v>0</v>
      </c>
      <c r="Y504" s="110">
        <v>0</v>
      </c>
      <c r="Z504" s="110">
        <v>0</v>
      </c>
      <c r="AA504" s="2">
        <f t="shared" si="116"/>
        <v>1</v>
      </c>
      <c r="AB504" s="2">
        <f t="shared" si="117"/>
        <v>0</v>
      </c>
      <c r="AC504" s="2">
        <f t="shared" si="118"/>
        <v>1</v>
      </c>
      <c r="AD504" s="2">
        <f t="shared" si="119"/>
        <v>1</v>
      </c>
      <c r="AE504" s="2">
        <f t="shared" si="120"/>
        <v>0</v>
      </c>
      <c r="AF504" s="2">
        <f t="shared" si="121"/>
        <v>0</v>
      </c>
      <c r="AG504" s="2">
        <f t="shared" si="122"/>
        <v>0</v>
      </c>
      <c r="AH504" s="2">
        <f t="shared" si="123"/>
        <v>2</v>
      </c>
      <c r="AI504" s="2">
        <f t="shared" si="124"/>
        <v>2</v>
      </c>
      <c r="AJ504" s="2">
        <f t="shared" si="125"/>
        <v>2</v>
      </c>
      <c r="AK504" s="2">
        <f t="shared" si="126"/>
        <v>2</v>
      </c>
      <c r="AL504" s="2">
        <f t="shared" si="127"/>
        <v>0</v>
      </c>
      <c r="AM504" s="115"/>
      <c r="AN504" s="115"/>
      <c r="AO504" s="63"/>
    </row>
    <row r="505" spans="1:41" ht="43.2" x14ac:dyDescent="0.55000000000000004">
      <c r="A505" s="36">
        <v>2303</v>
      </c>
      <c r="B505" s="113" t="s">
        <v>1961</v>
      </c>
      <c r="C505" s="138" t="s">
        <v>1962</v>
      </c>
      <c r="D505" s="114" t="s">
        <v>52</v>
      </c>
      <c r="E505" s="115"/>
      <c r="F505" s="116"/>
      <c r="G505" s="113" t="s">
        <v>1882</v>
      </c>
      <c r="H505" s="113" t="s">
        <v>1953</v>
      </c>
      <c r="I505" s="113" t="s">
        <v>1929</v>
      </c>
      <c r="J505" s="117" t="s">
        <v>1954</v>
      </c>
      <c r="K505" s="118"/>
      <c r="L505" s="109">
        <v>2</v>
      </c>
      <c r="M505" s="109">
        <v>3</v>
      </c>
      <c r="N505" s="109"/>
      <c r="O505" s="119"/>
      <c r="P505" s="2">
        <f t="shared" si="112"/>
        <v>1</v>
      </c>
      <c r="Q505" s="110" t="str">
        <f>IF(AND(Drops!$D$45&gt;1,OR(U505&lt;&gt;U504,AND(ROW()=5,U504=U505))),VLOOKUP(U505,Drops!$D$26:$E$44,2,FALSE),"")</f>
        <v/>
      </c>
      <c r="R505" s="2" t="str">
        <f t="shared" si="113"/>
        <v/>
      </c>
      <c r="S505" s="2">
        <f t="shared" ca="1" si="114"/>
        <v>1</v>
      </c>
      <c r="T505" s="2">
        <f t="shared" si="115"/>
        <v>0</v>
      </c>
      <c r="U505" s="110" t="s">
        <v>1846</v>
      </c>
      <c r="V505" s="110">
        <v>6</v>
      </c>
      <c r="W505" s="110">
        <v>4</v>
      </c>
      <c r="X505" s="110">
        <v>0</v>
      </c>
      <c r="Y505" s="110">
        <v>0</v>
      </c>
      <c r="Z505" s="110">
        <v>0</v>
      </c>
      <c r="AA505" s="2">
        <f t="shared" si="116"/>
        <v>1</v>
      </c>
      <c r="AB505" s="2">
        <f t="shared" si="117"/>
        <v>0</v>
      </c>
      <c r="AC505" s="2">
        <f t="shared" si="118"/>
        <v>1</v>
      </c>
      <c r="AD505" s="2">
        <f t="shared" si="119"/>
        <v>1</v>
      </c>
      <c r="AE505" s="2">
        <f t="shared" si="120"/>
        <v>0</v>
      </c>
      <c r="AF505" s="2">
        <f t="shared" si="121"/>
        <v>0</v>
      </c>
      <c r="AG505" s="2">
        <f t="shared" si="122"/>
        <v>0</v>
      </c>
      <c r="AH505" s="2">
        <f t="shared" si="123"/>
        <v>2</v>
      </c>
      <c r="AI505" s="2">
        <f t="shared" si="124"/>
        <v>2</v>
      </c>
      <c r="AJ505" s="2">
        <f t="shared" si="125"/>
        <v>2</v>
      </c>
      <c r="AK505" s="2">
        <f t="shared" si="126"/>
        <v>2</v>
      </c>
      <c r="AL505" s="2">
        <f t="shared" si="127"/>
        <v>0</v>
      </c>
      <c r="AM505" s="115"/>
      <c r="AN505" s="115"/>
      <c r="AO505" s="63"/>
    </row>
    <row r="506" spans="1:41" ht="43.2" x14ac:dyDescent="0.55000000000000004">
      <c r="A506" s="36">
        <v>2728</v>
      </c>
      <c r="B506" s="113" t="s">
        <v>1963</v>
      </c>
      <c r="C506" s="138" t="s">
        <v>1964</v>
      </c>
      <c r="D506" s="114" t="s">
        <v>52</v>
      </c>
      <c r="E506" s="115"/>
      <c r="F506" s="116"/>
      <c r="G506" s="113" t="s">
        <v>1882</v>
      </c>
      <c r="H506" s="113" t="s">
        <v>1953</v>
      </c>
      <c r="I506" s="113" t="s">
        <v>1929</v>
      </c>
      <c r="J506" s="117" t="s">
        <v>1743</v>
      </c>
      <c r="K506" s="118"/>
      <c r="L506" s="109">
        <v>2</v>
      </c>
      <c r="M506" s="109">
        <v>3</v>
      </c>
      <c r="N506" s="109"/>
      <c r="O506" s="119"/>
      <c r="P506" s="2">
        <f t="shared" si="112"/>
        <v>1</v>
      </c>
      <c r="Q506" s="110" t="str">
        <f>IF(AND(Drops!$D$45&gt;1,OR(U506&lt;&gt;U505,AND(ROW()=5,U505=U506))),VLOOKUP(U506,Drops!$D$26:$E$44,2,FALSE),"")</f>
        <v/>
      </c>
      <c r="R506" s="2" t="str">
        <f t="shared" si="113"/>
        <v/>
      </c>
      <c r="S506" s="2">
        <f t="shared" ca="1" si="114"/>
        <v>1</v>
      </c>
      <c r="T506" s="2">
        <f t="shared" si="115"/>
        <v>0</v>
      </c>
      <c r="U506" s="110" t="s">
        <v>1846</v>
      </c>
      <c r="V506" s="110">
        <v>6</v>
      </c>
      <c r="W506" s="110">
        <v>6</v>
      </c>
      <c r="X506" s="110">
        <v>0</v>
      </c>
      <c r="Y506" s="110">
        <v>0</v>
      </c>
      <c r="Z506" s="110">
        <v>0</v>
      </c>
      <c r="AA506" s="2">
        <f t="shared" si="116"/>
        <v>1</v>
      </c>
      <c r="AB506" s="2">
        <f t="shared" si="117"/>
        <v>1</v>
      </c>
      <c r="AC506" s="2">
        <f t="shared" si="118"/>
        <v>1</v>
      </c>
      <c r="AD506" s="2">
        <f t="shared" si="119"/>
        <v>1</v>
      </c>
      <c r="AE506" s="2">
        <f t="shared" si="120"/>
        <v>0</v>
      </c>
      <c r="AF506" s="2">
        <f t="shared" si="121"/>
        <v>0</v>
      </c>
      <c r="AG506" s="2">
        <f t="shared" si="122"/>
        <v>0</v>
      </c>
      <c r="AH506" s="2">
        <f t="shared" si="123"/>
        <v>2</v>
      </c>
      <c r="AI506" s="2">
        <f t="shared" si="124"/>
        <v>2</v>
      </c>
      <c r="AJ506" s="2">
        <f t="shared" si="125"/>
        <v>2</v>
      </c>
      <c r="AK506" s="2">
        <f t="shared" si="126"/>
        <v>2</v>
      </c>
      <c r="AL506" s="2">
        <f t="shared" si="127"/>
        <v>0</v>
      </c>
      <c r="AM506" s="115"/>
      <c r="AN506" s="115"/>
      <c r="AO506" s="63"/>
    </row>
    <row r="507" spans="1:41" ht="28.8" x14ac:dyDescent="0.55000000000000004">
      <c r="A507" s="36">
        <v>5863</v>
      </c>
      <c r="B507" s="113" t="s">
        <v>1965</v>
      </c>
      <c r="C507" s="139" t="s">
        <v>1966</v>
      </c>
      <c r="D507" s="114" t="s">
        <v>52</v>
      </c>
      <c r="E507" s="115"/>
      <c r="F507" s="116"/>
      <c r="G507" s="113" t="s">
        <v>1882</v>
      </c>
      <c r="H507" s="113" t="s">
        <v>1967</v>
      </c>
      <c r="I507" s="113" t="s">
        <v>1929</v>
      </c>
      <c r="J507" s="117" t="s">
        <v>1743</v>
      </c>
      <c r="K507" s="118"/>
      <c r="L507" s="109">
        <v>3</v>
      </c>
      <c r="M507" s="109">
        <v>3</v>
      </c>
      <c r="N507" s="109"/>
      <c r="O507" s="119"/>
      <c r="P507" s="2">
        <f t="shared" si="112"/>
        <v>1</v>
      </c>
      <c r="Q507" s="110" t="str">
        <f>IF(AND(Drops!$D$45&gt;1,OR(U507&lt;&gt;U506,AND(ROW()=5,U506=U507))),VLOOKUP(U507,Drops!$D$26:$E$44,2,FALSE),"")</f>
        <v/>
      </c>
      <c r="R507" s="2" t="str">
        <f t="shared" si="113"/>
        <v/>
      </c>
      <c r="S507" s="2">
        <f t="shared" ca="1" si="114"/>
        <v>1</v>
      </c>
      <c r="T507" s="2">
        <f t="shared" si="115"/>
        <v>0</v>
      </c>
      <c r="U507" s="110" t="s">
        <v>1846</v>
      </c>
      <c r="V507" s="110">
        <v>6</v>
      </c>
      <c r="W507" s="110">
        <v>6</v>
      </c>
      <c r="X507" s="110">
        <v>1</v>
      </c>
      <c r="Y507" s="110">
        <v>0</v>
      </c>
      <c r="Z507" s="110">
        <v>0</v>
      </c>
      <c r="AA507" s="2">
        <f t="shared" si="116"/>
        <v>1</v>
      </c>
      <c r="AB507" s="2">
        <f t="shared" si="117"/>
        <v>0</v>
      </c>
      <c r="AC507" s="2">
        <f t="shared" si="118"/>
        <v>1</v>
      </c>
      <c r="AD507" s="2">
        <f t="shared" si="119"/>
        <v>1</v>
      </c>
      <c r="AE507" s="2">
        <f t="shared" si="120"/>
        <v>1</v>
      </c>
      <c r="AF507" s="2">
        <f t="shared" si="121"/>
        <v>0</v>
      </c>
      <c r="AG507" s="2">
        <f t="shared" si="122"/>
        <v>0</v>
      </c>
      <c r="AH507" s="2">
        <f t="shared" si="123"/>
        <v>2</v>
      </c>
      <c r="AI507" s="2">
        <f t="shared" si="124"/>
        <v>2</v>
      </c>
      <c r="AJ507" s="2">
        <f t="shared" si="125"/>
        <v>2</v>
      </c>
      <c r="AK507" s="2">
        <f t="shared" si="126"/>
        <v>2</v>
      </c>
      <c r="AL507" s="2">
        <f t="shared" si="127"/>
        <v>0</v>
      </c>
      <c r="AM507" s="115"/>
      <c r="AN507" s="115"/>
      <c r="AO507" s="63"/>
    </row>
    <row r="508" spans="1:41" ht="86.4" x14ac:dyDescent="0.55000000000000004">
      <c r="A508" s="36">
        <v>2286</v>
      </c>
      <c r="B508" s="113" t="s">
        <v>348</v>
      </c>
      <c r="C508" s="113" t="s">
        <v>1968</v>
      </c>
      <c r="D508" s="114" t="s">
        <v>52</v>
      </c>
      <c r="E508" s="115" t="s">
        <v>1969</v>
      </c>
      <c r="F508" s="116"/>
      <c r="G508" s="113" t="s">
        <v>1882</v>
      </c>
      <c r="H508" s="113" t="s">
        <v>1970</v>
      </c>
      <c r="I508" s="113" t="s">
        <v>1929</v>
      </c>
      <c r="J508" s="117"/>
      <c r="K508" s="118"/>
      <c r="L508" s="109">
        <v>1</v>
      </c>
      <c r="M508" s="109">
        <v>2</v>
      </c>
      <c r="N508" s="109"/>
      <c r="O508" s="119"/>
      <c r="P508" s="2">
        <f t="shared" si="112"/>
        <v>1</v>
      </c>
      <c r="Q508" s="110" t="str">
        <f>IF(AND(Drops!$D$45&gt;1,OR(U508&lt;&gt;U507,AND(ROW()=5,U507=U508))),VLOOKUP(U508,Drops!$D$26:$E$44,2,FALSE),"")</f>
        <v/>
      </c>
      <c r="R508" s="2" t="str">
        <f t="shared" si="113"/>
        <v/>
      </c>
      <c r="S508" s="2">
        <f t="shared" ca="1" si="114"/>
        <v>1</v>
      </c>
      <c r="T508" s="2">
        <f t="shared" si="115"/>
        <v>1</v>
      </c>
      <c r="U508" s="110" t="s">
        <v>1846</v>
      </c>
      <c r="V508" s="110">
        <v>7</v>
      </c>
      <c r="W508" s="110">
        <v>0</v>
      </c>
      <c r="X508" s="110">
        <v>0</v>
      </c>
      <c r="Y508" s="110">
        <v>0</v>
      </c>
      <c r="Z508" s="110">
        <v>0</v>
      </c>
      <c r="AA508" s="2">
        <f t="shared" si="116"/>
        <v>1</v>
      </c>
      <c r="AB508" s="2">
        <f t="shared" si="117"/>
        <v>1</v>
      </c>
      <c r="AC508" s="2">
        <f t="shared" si="118"/>
        <v>1</v>
      </c>
      <c r="AD508" s="2">
        <f t="shared" si="119"/>
        <v>0</v>
      </c>
      <c r="AE508" s="2">
        <f t="shared" si="120"/>
        <v>0</v>
      </c>
      <c r="AF508" s="2">
        <f t="shared" si="121"/>
        <v>0</v>
      </c>
      <c r="AG508" s="2">
        <f t="shared" si="122"/>
        <v>0</v>
      </c>
      <c r="AH508" s="2">
        <f t="shared" si="123"/>
        <v>2</v>
      </c>
      <c r="AI508" s="2">
        <f t="shared" si="124"/>
        <v>2</v>
      </c>
      <c r="AJ508" s="2">
        <f t="shared" si="125"/>
        <v>2</v>
      </c>
      <c r="AK508" s="2">
        <f t="shared" si="126"/>
        <v>2</v>
      </c>
      <c r="AL508" s="2">
        <f t="shared" si="127"/>
        <v>0</v>
      </c>
      <c r="AM508" s="115"/>
      <c r="AN508" s="115"/>
      <c r="AO508" s="63"/>
    </row>
    <row r="509" spans="1:41" ht="28.8" x14ac:dyDescent="0.55000000000000004">
      <c r="A509" s="36">
        <v>4055</v>
      </c>
      <c r="B509" s="113" t="s">
        <v>1971</v>
      </c>
      <c r="C509" s="138" t="s">
        <v>1972</v>
      </c>
      <c r="D509" s="114" t="s">
        <v>52</v>
      </c>
      <c r="E509" s="115"/>
      <c r="F509" s="116"/>
      <c r="G509" s="113" t="s">
        <v>1882</v>
      </c>
      <c r="H509" s="113" t="s">
        <v>1970</v>
      </c>
      <c r="I509" s="113"/>
      <c r="J509" s="117"/>
      <c r="K509" s="118"/>
      <c r="L509" s="109">
        <v>2</v>
      </c>
      <c r="M509" s="109">
        <v>3</v>
      </c>
      <c r="N509" s="109"/>
      <c r="O509" s="119"/>
      <c r="P509" s="2">
        <f t="shared" si="112"/>
        <v>1</v>
      </c>
      <c r="Q509" s="110" t="str">
        <f>IF(AND(Drops!$D$45&gt;1,OR(U509&lt;&gt;U508,AND(ROW()=5,U508=U509))),VLOOKUP(U509,Drops!$D$26:$E$44,2,FALSE),"")</f>
        <v/>
      </c>
      <c r="R509" s="2" t="str">
        <f t="shared" si="113"/>
        <v/>
      </c>
      <c r="S509" s="2">
        <f t="shared" ca="1" si="114"/>
        <v>1</v>
      </c>
      <c r="T509" s="2">
        <f t="shared" si="115"/>
        <v>0</v>
      </c>
      <c r="U509" s="110" t="s">
        <v>1846</v>
      </c>
      <c r="V509" s="110">
        <v>7</v>
      </c>
      <c r="W509" s="110">
        <v>1</v>
      </c>
      <c r="X509" s="110">
        <v>0</v>
      </c>
      <c r="Y509" s="110">
        <v>0</v>
      </c>
      <c r="Z509" s="110">
        <v>0</v>
      </c>
      <c r="AA509" s="2">
        <f t="shared" si="116"/>
        <v>1</v>
      </c>
      <c r="AB509" s="2">
        <f t="shared" si="117"/>
        <v>0</v>
      </c>
      <c r="AC509" s="2">
        <f t="shared" si="118"/>
        <v>1</v>
      </c>
      <c r="AD509" s="2">
        <f t="shared" si="119"/>
        <v>1</v>
      </c>
      <c r="AE509" s="2">
        <f t="shared" si="120"/>
        <v>0</v>
      </c>
      <c r="AF509" s="2">
        <f t="shared" si="121"/>
        <v>0</v>
      </c>
      <c r="AG509" s="2">
        <f t="shared" si="122"/>
        <v>0</v>
      </c>
      <c r="AH509" s="2">
        <f t="shared" si="123"/>
        <v>2</v>
      </c>
      <c r="AI509" s="2">
        <f t="shared" si="124"/>
        <v>2</v>
      </c>
      <c r="AJ509" s="2">
        <f t="shared" si="125"/>
        <v>2</v>
      </c>
      <c r="AK509" s="2">
        <f t="shared" si="126"/>
        <v>2</v>
      </c>
      <c r="AL509" s="2">
        <f t="shared" si="127"/>
        <v>0</v>
      </c>
      <c r="AM509" s="115"/>
      <c r="AN509" s="115"/>
      <c r="AO509" s="63"/>
    </row>
    <row r="510" spans="1:41" ht="28.8" x14ac:dyDescent="0.55000000000000004">
      <c r="A510" s="36">
        <v>4056</v>
      </c>
      <c r="B510" s="113" t="s">
        <v>1973</v>
      </c>
      <c r="C510" s="138" t="s">
        <v>1974</v>
      </c>
      <c r="D510" s="114" t="s">
        <v>52</v>
      </c>
      <c r="E510" s="115"/>
      <c r="F510" s="116"/>
      <c r="G510" s="113" t="s">
        <v>1882</v>
      </c>
      <c r="H510" s="113" t="s">
        <v>1970</v>
      </c>
      <c r="I510" s="113" t="s">
        <v>1845</v>
      </c>
      <c r="J510" s="117"/>
      <c r="K510" s="118"/>
      <c r="L510" s="109">
        <v>2</v>
      </c>
      <c r="M510" s="109">
        <v>3</v>
      </c>
      <c r="N510" s="109"/>
      <c r="O510" s="119"/>
      <c r="P510" s="2">
        <f t="shared" si="112"/>
        <v>1</v>
      </c>
      <c r="Q510" s="110" t="str">
        <f>IF(AND(Drops!$D$45&gt;1,OR(U510&lt;&gt;U509,AND(ROW()=5,U509=U510))),VLOOKUP(U510,Drops!$D$26:$E$44,2,FALSE),"")</f>
        <v/>
      </c>
      <c r="R510" s="2" t="str">
        <f t="shared" si="113"/>
        <v/>
      </c>
      <c r="S510" s="2">
        <f t="shared" ca="1" si="114"/>
        <v>1</v>
      </c>
      <c r="T510" s="2">
        <f t="shared" si="115"/>
        <v>0</v>
      </c>
      <c r="U510" s="110" t="s">
        <v>1846</v>
      </c>
      <c r="V510" s="110">
        <v>7</v>
      </c>
      <c r="W510" s="110">
        <v>2</v>
      </c>
      <c r="X510" s="110">
        <v>0</v>
      </c>
      <c r="Y510" s="110">
        <v>0</v>
      </c>
      <c r="Z510" s="110">
        <v>0</v>
      </c>
      <c r="AA510" s="2">
        <f t="shared" si="116"/>
        <v>1</v>
      </c>
      <c r="AB510" s="2">
        <f t="shared" si="117"/>
        <v>0</v>
      </c>
      <c r="AC510" s="2">
        <f t="shared" si="118"/>
        <v>1</v>
      </c>
      <c r="AD510" s="2">
        <f t="shared" si="119"/>
        <v>1</v>
      </c>
      <c r="AE510" s="2">
        <f t="shared" si="120"/>
        <v>0</v>
      </c>
      <c r="AF510" s="2">
        <f t="shared" si="121"/>
        <v>0</v>
      </c>
      <c r="AG510" s="2">
        <f t="shared" si="122"/>
        <v>0</v>
      </c>
      <c r="AH510" s="2">
        <f t="shared" si="123"/>
        <v>2</v>
      </c>
      <c r="AI510" s="2">
        <f t="shared" si="124"/>
        <v>2</v>
      </c>
      <c r="AJ510" s="2">
        <f t="shared" si="125"/>
        <v>2</v>
      </c>
      <c r="AK510" s="2">
        <f t="shared" si="126"/>
        <v>2</v>
      </c>
      <c r="AL510" s="2">
        <f t="shared" si="127"/>
        <v>0</v>
      </c>
      <c r="AM510" s="115"/>
      <c r="AN510" s="115"/>
      <c r="AO510" s="63"/>
    </row>
    <row r="511" spans="1:41" ht="28.8" x14ac:dyDescent="0.55000000000000004">
      <c r="A511" s="36">
        <v>4057</v>
      </c>
      <c r="B511" s="113" t="s">
        <v>1975</v>
      </c>
      <c r="C511" s="138" t="s">
        <v>1976</v>
      </c>
      <c r="D511" s="114" t="s">
        <v>52</v>
      </c>
      <c r="E511" s="115"/>
      <c r="F511" s="116"/>
      <c r="G511" s="113" t="s">
        <v>1882</v>
      </c>
      <c r="H511" s="113" t="s">
        <v>1970</v>
      </c>
      <c r="I511" s="113" t="s">
        <v>1845</v>
      </c>
      <c r="J511" s="117"/>
      <c r="K511" s="118"/>
      <c r="L511" s="109">
        <v>2</v>
      </c>
      <c r="M511" s="109">
        <v>3</v>
      </c>
      <c r="N511" s="109"/>
      <c r="O511" s="119"/>
      <c r="P511" s="2">
        <f t="shared" si="112"/>
        <v>1</v>
      </c>
      <c r="Q511" s="110" t="str">
        <f>IF(AND(Drops!$D$45&gt;1,OR(U511&lt;&gt;U510,AND(ROW()=5,U510=U511))),VLOOKUP(U511,Drops!$D$26:$E$44,2,FALSE),"")</f>
        <v/>
      </c>
      <c r="R511" s="2" t="str">
        <f t="shared" si="113"/>
        <v/>
      </c>
      <c r="S511" s="2">
        <f t="shared" ca="1" si="114"/>
        <v>1</v>
      </c>
      <c r="T511" s="2">
        <f t="shared" si="115"/>
        <v>0</v>
      </c>
      <c r="U511" s="110" t="s">
        <v>1846</v>
      </c>
      <c r="V511" s="110">
        <v>7</v>
      </c>
      <c r="W511" s="110">
        <v>3</v>
      </c>
      <c r="X511" s="110">
        <v>0</v>
      </c>
      <c r="Y511" s="110">
        <v>0</v>
      </c>
      <c r="Z511" s="110">
        <v>0</v>
      </c>
      <c r="AA511" s="2">
        <f t="shared" si="116"/>
        <v>1</v>
      </c>
      <c r="AB511" s="2">
        <f t="shared" si="117"/>
        <v>0</v>
      </c>
      <c r="AC511" s="2">
        <f t="shared" si="118"/>
        <v>1</v>
      </c>
      <c r="AD511" s="2">
        <f t="shared" si="119"/>
        <v>1</v>
      </c>
      <c r="AE511" s="2">
        <f t="shared" si="120"/>
        <v>0</v>
      </c>
      <c r="AF511" s="2">
        <f t="shared" si="121"/>
        <v>0</v>
      </c>
      <c r="AG511" s="2">
        <f t="shared" si="122"/>
        <v>0</v>
      </c>
      <c r="AH511" s="2">
        <f t="shared" si="123"/>
        <v>2</v>
      </c>
      <c r="AI511" s="2">
        <f t="shared" si="124"/>
        <v>2</v>
      </c>
      <c r="AJ511" s="2">
        <f t="shared" si="125"/>
        <v>2</v>
      </c>
      <c r="AK511" s="2">
        <f t="shared" si="126"/>
        <v>2</v>
      </c>
      <c r="AL511" s="2">
        <f t="shared" si="127"/>
        <v>0</v>
      </c>
      <c r="AM511" s="115"/>
      <c r="AN511" s="115"/>
      <c r="AO511" s="63"/>
    </row>
    <row r="512" spans="1:41" ht="28.8" x14ac:dyDescent="0.55000000000000004">
      <c r="A512" s="36">
        <v>4058</v>
      </c>
      <c r="B512" s="113" t="s">
        <v>1977</v>
      </c>
      <c r="C512" s="138" t="s">
        <v>1978</v>
      </c>
      <c r="D512" s="114" t="s">
        <v>52</v>
      </c>
      <c r="E512" s="115"/>
      <c r="F512" s="116"/>
      <c r="G512" s="113" t="s">
        <v>1882</v>
      </c>
      <c r="H512" s="113" t="s">
        <v>1970</v>
      </c>
      <c r="I512" s="113" t="s">
        <v>1845</v>
      </c>
      <c r="J512" s="117"/>
      <c r="K512" s="118"/>
      <c r="L512" s="109">
        <v>2</v>
      </c>
      <c r="M512" s="109">
        <v>3</v>
      </c>
      <c r="N512" s="109"/>
      <c r="O512" s="119"/>
      <c r="P512" s="2">
        <f t="shared" si="112"/>
        <v>1</v>
      </c>
      <c r="Q512" s="110" t="str">
        <f>IF(AND(Drops!$D$45&gt;1,OR(U512&lt;&gt;U511,AND(ROW()=5,U511=U512))),VLOOKUP(U512,Drops!$D$26:$E$44,2,FALSE),"")</f>
        <v/>
      </c>
      <c r="R512" s="2" t="str">
        <f t="shared" si="113"/>
        <v/>
      </c>
      <c r="S512" s="2">
        <f t="shared" ca="1" si="114"/>
        <v>1</v>
      </c>
      <c r="T512" s="2">
        <f t="shared" si="115"/>
        <v>0</v>
      </c>
      <c r="U512" s="110" t="s">
        <v>1846</v>
      </c>
      <c r="V512" s="110">
        <v>7</v>
      </c>
      <c r="W512" s="110">
        <v>4</v>
      </c>
      <c r="X512" s="110">
        <v>0</v>
      </c>
      <c r="Y512" s="110">
        <v>0</v>
      </c>
      <c r="Z512" s="110">
        <v>0</v>
      </c>
      <c r="AA512" s="2">
        <f t="shared" si="116"/>
        <v>1</v>
      </c>
      <c r="AB512" s="2">
        <f t="shared" si="117"/>
        <v>0</v>
      </c>
      <c r="AC512" s="2">
        <f t="shared" si="118"/>
        <v>1</v>
      </c>
      <c r="AD512" s="2">
        <f t="shared" si="119"/>
        <v>1</v>
      </c>
      <c r="AE512" s="2">
        <f t="shared" si="120"/>
        <v>0</v>
      </c>
      <c r="AF512" s="2">
        <f t="shared" si="121"/>
        <v>0</v>
      </c>
      <c r="AG512" s="2">
        <f t="shared" si="122"/>
        <v>0</v>
      </c>
      <c r="AH512" s="2">
        <f t="shared" si="123"/>
        <v>2</v>
      </c>
      <c r="AI512" s="2">
        <f t="shared" si="124"/>
        <v>2</v>
      </c>
      <c r="AJ512" s="2">
        <f t="shared" si="125"/>
        <v>2</v>
      </c>
      <c r="AK512" s="2">
        <f t="shared" si="126"/>
        <v>2</v>
      </c>
      <c r="AL512" s="2">
        <f t="shared" si="127"/>
        <v>0</v>
      </c>
      <c r="AM512" s="115"/>
      <c r="AN512" s="115"/>
      <c r="AO512" s="63"/>
    </row>
    <row r="513" spans="1:41" ht="28.8" x14ac:dyDescent="0.55000000000000004">
      <c r="A513" s="36">
        <v>4059</v>
      </c>
      <c r="B513" s="113" t="s">
        <v>1979</v>
      </c>
      <c r="C513" s="138" t="s">
        <v>1980</v>
      </c>
      <c r="D513" s="114" t="s">
        <v>52</v>
      </c>
      <c r="E513" s="115"/>
      <c r="F513" s="116"/>
      <c r="G513" s="113" t="s">
        <v>1882</v>
      </c>
      <c r="H513" s="113" t="s">
        <v>1970</v>
      </c>
      <c r="I513" s="113" t="s">
        <v>1845</v>
      </c>
      <c r="J513" s="117"/>
      <c r="K513" s="118"/>
      <c r="L513" s="109">
        <v>2</v>
      </c>
      <c r="M513" s="109">
        <v>3</v>
      </c>
      <c r="N513" s="109"/>
      <c r="O513" s="119"/>
      <c r="P513" s="2">
        <f t="shared" si="112"/>
        <v>1</v>
      </c>
      <c r="Q513" s="110" t="str">
        <f>IF(AND(Drops!$D$45&gt;1,OR(U513&lt;&gt;U512,AND(ROW()=5,U512=U513))),VLOOKUP(U513,Drops!$D$26:$E$44,2,FALSE),"")</f>
        <v/>
      </c>
      <c r="R513" s="2" t="str">
        <f t="shared" si="113"/>
        <v/>
      </c>
      <c r="S513" s="2">
        <f t="shared" ca="1" si="114"/>
        <v>1</v>
      </c>
      <c r="T513" s="2">
        <f t="shared" si="115"/>
        <v>0</v>
      </c>
      <c r="U513" s="110" t="s">
        <v>1846</v>
      </c>
      <c r="V513" s="110">
        <v>7</v>
      </c>
      <c r="W513" s="110">
        <v>5</v>
      </c>
      <c r="X513" s="110">
        <v>0</v>
      </c>
      <c r="Y513" s="110">
        <v>0</v>
      </c>
      <c r="Z513" s="110">
        <v>0</v>
      </c>
      <c r="AA513" s="2">
        <f t="shared" si="116"/>
        <v>1</v>
      </c>
      <c r="AB513" s="2">
        <f t="shared" si="117"/>
        <v>0</v>
      </c>
      <c r="AC513" s="2">
        <f t="shared" si="118"/>
        <v>1</v>
      </c>
      <c r="AD513" s="2">
        <f t="shared" si="119"/>
        <v>1</v>
      </c>
      <c r="AE513" s="2">
        <f t="shared" si="120"/>
        <v>0</v>
      </c>
      <c r="AF513" s="2">
        <f t="shared" si="121"/>
        <v>0</v>
      </c>
      <c r="AG513" s="2">
        <f t="shared" si="122"/>
        <v>0</v>
      </c>
      <c r="AH513" s="2">
        <f t="shared" si="123"/>
        <v>2</v>
      </c>
      <c r="AI513" s="2">
        <f t="shared" si="124"/>
        <v>2</v>
      </c>
      <c r="AJ513" s="2">
        <f t="shared" si="125"/>
        <v>2</v>
      </c>
      <c r="AK513" s="2">
        <f t="shared" si="126"/>
        <v>2</v>
      </c>
      <c r="AL513" s="2">
        <f t="shared" si="127"/>
        <v>0</v>
      </c>
      <c r="AM513" s="115"/>
      <c r="AN513" s="115"/>
      <c r="AO513" s="63"/>
    </row>
    <row r="514" spans="1:41" ht="28.8" x14ac:dyDescent="0.55000000000000004">
      <c r="A514" s="36">
        <v>2300</v>
      </c>
      <c r="B514" s="113" t="s">
        <v>1981</v>
      </c>
      <c r="C514" s="138" t="s">
        <v>1982</v>
      </c>
      <c r="D514" s="114" t="s">
        <v>52</v>
      </c>
      <c r="E514" s="115"/>
      <c r="F514" s="116"/>
      <c r="G514" s="113" t="s">
        <v>1882</v>
      </c>
      <c r="H514" s="113" t="s">
        <v>1970</v>
      </c>
      <c r="I514" s="113" t="s">
        <v>1845</v>
      </c>
      <c r="J514" s="117"/>
      <c r="K514" s="118"/>
      <c r="L514" s="109">
        <v>2</v>
      </c>
      <c r="M514" s="109">
        <v>3</v>
      </c>
      <c r="N514" s="109"/>
      <c r="O514" s="119"/>
      <c r="P514" s="2">
        <f t="shared" si="112"/>
        <v>1</v>
      </c>
      <c r="Q514" s="110" t="str">
        <f>IF(AND(Drops!$D$45&gt;1,OR(U514&lt;&gt;U513,AND(ROW()=5,U513=U514))),VLOOKUP(U514,Drops!$D$26:$E$44,2,FALSE),"")</f>
        <v/>
      </c>
      <c r="R514" s="2" t="str">
        <f t="shared" si="113"/>
        <v/>
      </c>
      <c r="S514" s="2">
        <f t="shared" ca="1" si="114"/>
        <v>1</v>
      </c>
      <c r="T514" s="2">
        <f t="shared" si="115"/>
        <v>0</v>
      </c>
      <c r="U514" s="110" t="s">
        <v>1846</v>
      </c>
      <c r="V514" s="110">
        <v>7</v>
      </c>
      <c r="W514" s="110">
        <v>6</v>
      </c>
      <c r="X514" s="110">
        <v>0</v>
      </c>
      <c r="Y514" s="110">
        <v>0</v>
      </c>
      <c r="Z514" s="110">
        <v>0</v>
      </c>
      <c r="AA514" s="2">
        <f t="shared" si="116"/>
        <v>1</v>
      </c>
      <c r="AB514" s="2">
        <f t="shared" si="117"/>
        <v>0</v>
      </c>
      <c r="AC514" s="2">
        <f t="shared" si="118"/>
        <v>1</v>
      </c>
      <c r="AD514" s="2">
        <f t="shared" si="119"/>
        <v>1</v>
      </c>
      <c r="AE514" s="2">
        <f t="shared" si="120"/>
        <v>0</v>
      </c>
      <c r="AF514" s="2">
        <f t="shared" si="121"/>
        <v>0</v>
      </c>
      <c r="AG514" s="2">
        <f t="shared" si="122"/>
        <v>0</v>
      </c>
      <c r="AH514" s="2">
        <f t="shared" si="123"/>
        <v>2</v>
      </c>
      <c r="AI514" s="2">
        <f t="shared" si="124"/>
        <v>2</v>
      </c>
      <c r="AJ514" s="2">
        <f t="shared" si="125"/>
        <v>2</v>
      </c>
      <c r="AK514" s="2">
        <f t="shared" si="126"/>
        <v>2</v>
      </c>
      <c r="AL514" s="2">
        <f t="shared" si="127"/>
        <v>0</v>
      </c>
      <c r="AM514" s="115"/>
      <c r="AN514" s="115"/>
      <c r="AO514" s="63"/>
    </row>
    <row r="515" spans="1:41" ht="28.8" x14ac:dyDescent="0.55000000000000004">
      <c r="A515" s="36">
        <v>2729</v>
      </c>
      <c r="B515" s="113" t="s">
        <v>350</v>
      </c>
      <c r="C515" s="113" t="s">
        <v>1983</v>
      </c>
      <c r="D515" s="114" t="s">
        <v>52</v>
      </c>
      <c r="E515" s="115" t="s">
        <v>1984</v>
      </c>
      <c r="F515" s="116"/>
      <c r="G515" s="113" t="s">
        <v>1882</v>
      </c>
      <c r="H515" s="113" t="s">
        <v>1985</v>
      </c>
      <c r="I515" s="113"/>
      <c r="J515" s="117"/>
      <c r="K515" s="118"/>
      <c r="L515" s="109">
        <v>1</v>
      </c>
      <c r="M515" s="109">
        <v>2</v>
      </c>
      <c r="N515" s="109"/>
      <c r="O515" s="119"/>
      <c r="P515" s="2">
        <f t="shared" si="112"/>
        <v>1</v>
      </c>
      <c r="Q515" s="110" t="str">
        <f>IF(AND(Drops!$D$45&gt;1,OR(U515&lt;&gt;U514,AND(ROW()=5,U514=U515))),VLOOKUP(U515,Drops!$D$26:$E$44,2,FALSE),"")</f>
        <v/>
      </c>
      <c r="R515" s="2" t="str">
        <f t="shared" si="113"/>
        <v/>
      </c>
      <c r="S515" s="2">
        <f t="shared" ca="1" si="114"/>
        <v>1</v>
      </c>
      <c r="T515" s="2">
        <f t="shared" si="115"/>
        <v>1</v>
      </c>
      <c r="U515" s="110" t="s">
        <v>1846</v>
      </c>
      <c r="V515" s="110">
        <v>8</v>
      </c>
      <c r="W515" s="110">
        <v>0</v>
      </c>
      <c r="X515" s="110">
        <v>0</v>
      </c>
      <c r="Y515" s="110">
        <v>0</v>
      </c>
      <c r="Z515" s="110">
        <v>0</v>
      </c>
      <c r="AA515" s="2">
        <f t="shared" si="116"/>
        <v>1</v>
      </c>
      <c r="AB515" s="2">
        <f t="shared" si="117"/>
        <v>1</v>
      </c>
      <c r="AC515" s="2">
        <f t="shared" si="118"/>
        <v>1</v>
      </c>
      <c r="AD515" s="2">
        <f t="shared" si="119"/>
        <v>0</v>
      </c>
      <c r="AE515" s="2">
        <f t="shared" si="120"/>
        <v>0</v>
      </c>
      <c r="AF515" s="2">
        <f t="shared" si="121"/>
        <v>0</v>
      </c>
      <c r="AG515" s="2">
        <f t="shared" si="122"/>
        <v>0</v>
      </c>
      <c r="AH515" s="2">
        <f t="shared" si="123"/>
        <v>2</v>
      </c>
      <c r="AI515" s="2">
        <f t="shared" si="124"/>
        <v>2</v>
      </c>
      <c r="AJ515" s="2">
        <f t="shared" si="125"/>
        <v>2</v>
      </c>
      <c r="AK515" s="2">
        <f t="shared" si="126"/>
        <v>2</v>
      </c>
      <c r="AL515" s="2">
        <f t="shared" si="127"/>
        <v>0</v>
      </c>
      <c r="AM515" s="115"/>
      <c r="AN515" s="115"/>
      <c r="AO515" s="63"/>
    </row>
    <row r="516" spans="1:41" ht="28.8" x14ac:dyDescent="0.55000000000000004">
      <c r="A516" s="36">
        <v>2308</v>
      </c>
      <c r="B516" s="113" t="s">
        <v>1986</v>
      </c>
      <c r="C516" s="138" t="s">
        <v>1987</v>
      </c>
      <c r="D516" s="114" t="s">
        <v>52</v>
      </c>
      <c r="E516" s="115"/>
      <c r="F516" s="116"/>
      <c r="G516" s="113" t="s">
        <v>1882</v>
      </c>
      <c r="H516" s="113" t="s">
        <v>1985</v>
      </c>
      <c r="I516" s="113" t="s">
        <v>1929</v>
      </c>
      <c r="J516" s="117"/>
      <c r="K516" s="118"/>
      <c r="L516" s="109">
        <v>2</v>
      </c>
      <c r="M516" s="109">
        <v>3</v>
      </c>
      <c r="N516" s="109"/>
      <c r="O516" s="119"/>
      <c r="P516" s="2">
        <f t="shared" si="112"/>
        <v>1</v>
      </c>
      <c r="Q516" s="110" t="str">
        <f>IF(AND(Drops!$D$45&gt;1,OR(U516&lt;&gt;U515,AND(ROW()=5,U515=U516))),VLOOKUP(U516,Drops!$D$26:$E$44,2,FALSE),"")</f>
        <v/>
      </c>
      <c r="R516" s="2" t="str">
        <f t="shared" si="113"/>
        <v/>
      </c>
      <c r="S516" s="2">
        <f t="shared" ca="1" si="114"/>
        <v>1</v>
      </c>
      <c r="T516" s="2">
        <f t="shared" si="115"/>
        <v>0</v>
      </c>
      <c r="U516" s="110" t="s">
        <v>1846</v>
      </c>
      <c r="V516" s="110">
        <v>8</v>
      </c>
      <c r="W516" s="110">
        <v>1</v>
      </c>
      <c r="X516" s="110">
        <v>0</v>
      </c>
      <c r="Y516" s="110">
        <v>0</v>
      </c>
      <c r="Z516" s="110">
        <v>0</v>
      </c>
      <c r="AA516" s="2">
        <f t="shared" si="116"/>
        <v>1</v>
      </c>
      <c r="AB516" s="2">
        <f t="shared" si="117"/>
        <v>1</v>
      </c>
      <c r="AC516" s="2">
        <f t="shared" si="118"/>
        <v>1</v>
      </c>
      <c r="AD516" s="2">
        <f t="shared" si="119"/>
        <v>1</v>
      </c>
      <c r="AE516" s="2">
        <f t="shared" si="120"/>
        <v>0</v>
      </c>
      <c r="AF516" s="2">
        <f t="shared" si="121"/>
        <v>0</v>
      </c>
      <c r="AG516" s="2">
        <f t="shared" si="122"/>
        <v>0</v>
      </c>
      <c r="AH516" s="2">
        <f t="shared" si="123"/>
        <v>2</v>
      </c>
      <c r="AI516" s="2">
        <f t="shared" si="124"/>
        <v>2</v>
      </c>
      <c r="AJ516" s="2">
        <f t="shared" si="125"/>
        <v>2</v>
      </c>
      <c r="AK516" s="2">
        <f t="shared" si="126"/>
        <v>2</v>
      </c>
      <c r="AL516" s="2">
        <f t="shared" si="127"/>
        <v>0</v>
      </c>
      <c r="AM516" s="115"/>
      <c r="AN516" s="115"/>
      <c r="AO516" s="63"/>
    </row>
    <row r="517" spans="1:41" ht="28.8" x14ac:dyDescent="0.55000000000000004">
      <c r="A517" s="36">
        <v>4060</v>
      </c>
      <c r="B517" s="113" t="s">
        <v>1988</v>
      </c>
      <c r="C517" s="139" t="s">
        <v>1989</v>
      </c>
      <c r="D517" s="114" t="s">
        <v>52</v>
      </c>
      <c r="E517" s="115"/>
      <c r="F517" s="116"/>
      <c r="G517" s="113" t="s">
        <v>1882</v>
      </c>
      <c r="H517" s="113" t="s">
        <v>1985</v>
      </c>
      <c r="I517" s="113" t="s">
        <v>1929</v>
      </c>
      <c r="J517" s="117"/>
      <c r="K517" s="118"/>
      <c r="L517" s="109">
        <v>3</v>
      </c>
      <c r="M517" s="109">
        <v>3</v>
      </c>
      <c r="N517" s="109"/>
      <c r="O517" s="119"/>
      <c r="P517" s="2">
        <f t="shared" si="112"/>
        <v>1</v>
      </c>
      <c r="Q517" s="110" t="str">
        <f>IF(AND(Drops!$D$45&gt;1,OR(U517&lt;&gt;U516,AND(ROW()=5,U516=U517))),VLOOKUP(U517,Drops!$D$26:$E$44,2,FALSE),"")</f>
        <v/>
      </c>
      <c r="R517" s="2" t="str">
        <f t="shared" si="113"/>
        <v/>
      </c>
      <c r="S517" s="2">
        <f t="shared" ca="1" si="114"/>
        <v>1</v>
      </c>
      <c r="T517" s="2">
        <f t="shared" si="115"/>
        <v>0</v>
      </c>
      <c r="U517" s="110" t="s">
        <v>1846</v>
      </c>
      <c r="V517" s="110">
        <v>8</v>
      </c>
      <c r="W517" s="110">
        <v>2</v>
      </c>
      <c r="X517" s="110">
        <v>1</v>
      </c>
      <c r="Y517" s="110">
        <v>0</v>
      </c>
      <c r="Z517" s="110">
        <v>0</v>
      </c>
      <c r="AA517" s="2">
        <f t="shared" si="116"/>
        <v>1</v>
      </c>
      <c r="AB517" s="2">
        <f t="shared" si="117"/>
        <v>0</v>
      </c>
      <c r="AC517" s="2">
        <f t="shared" si="118"/>
        <v>1</v>
      </c>
      <c r="AD517" s="2">
        <f t="shared" si="119"/>
        <v>0</v>
      </c>
      <c r="AE517" s="2">
        <f t="shared" si="120"/>
        <v>1</v>
      </c>
      <c r="AF517" s="2">
        <f t="shared" si="121"/>
        <v>0</v>
      </c>
      <c r="AG517" s="2">
        <f t="shared" si="122"/>
        <v>0</v>
      </c>
      <c r="AH517" s="2">
        <f t="shared" si="123"/>
        <v>2</v>
      </c>
      <c r="AI517" s="2">
        <f t="shared" si="124"/>
        <v>2</v>
      </c>
      <c r="AJ517" s="2">
        <f t="shared" si="125"/>
        <v>2</v>
      </c>
      <c r="AK517" s="2">
        <f t="shared" si="126"/>
        <v>2</v>
      </c>
      <c r="AL517" s="2">
        <f t="shared" si="127"/>
        <v>0</v>
      </c>
      <c r="AM517" s="115"/>
      <c r="AN517" s="115"/>
      <c r="AO517" s="63"/>
    </row>
    <row r="518" spans="1:41" ht="28.8" x14ac:dyDescent="0.55000000000000004">
      <c r="A518" s="36">
        <v>2295</v>
      </c>
      <c r="B518" s="113" t="s">
        <v>1990</v>
      </c>
      <c r="C518" s="138" t="s">
        <v>1991</v>
      </c>
      <c r="D518" s="114" t="s">
        <v>52</v>
      </c>
      <c r="E518" s="115"/>
      <c r="F518" s="116"/>
      <c r="G518" s="113" t="s">
        <v>1882</v>
      </c>
      <c r="H518" s="113" t="s">
        <v>1985</v>
      </c>
      <c r="I518" s="113" t="s">
        <v>1929</v>
      </c>
      <c r="J518" s="117"/>
      <c r="K518" s="118"/>
      <c r="L518" s="109">
        <v>2</v>
      </c>
      <c r="M518" s="109">
        <v>3</v>
      </c>
      <c r="N518" s="109"/>
      <c r="O518" s="119"/>
      <c r="P518" s="2">
        <f t="shared" ref="P518:P581" si="128">IF($L518="","",IF($D518="Yes",1,IF($D518="No",2,IF($D518="N/A",3,0))))</f>
        <v>1</v>
      </c>
      <c r="Q518" s="110" t="str">
        <f>IF(AND(Drops!$D$45&gt;1,OR(U518&lt;&gt;U517,AND(ROW()=5,U517=U518))),VLOOKUP(U518,Drops!$D$26:$E$44,2,FALSE),"")</f>
        <v/>
      </c>
      <c r="R518" s="2" t="str">
        <f t="shared" ref="R518:R581" si="129">IF(Q518&lt;&gt;"",ROW(),"")</f>
        <v/>
      </c>
      <c r="S518" s="2">
        <f t="shared" ref="S518:S581" ca="1" si="130">OFFSET(AC518,,L518-1)</f>
        <v>1</v>
      </c>
      <c r="T518" s="2">
        <f t="shared" ref="T518:T581" si="131">IF(OR(V518&lt;&gt;V517,U518&lt;&gt;U517,AND(V518&lt;&gt;V517,W518&lt;&gt;W517),AND(V518&lt;&gt;V517,W518&lt;&gt;W517,X518&lt;&gt;X517),AND(V518&lt;&gt;V517,W518&lt;&gt;W517,X518&lt;&gt;X517,Y518&lt;&gt;Y517),AND(V518&lt;&gt;V517,W518&lt;&gt;W517,X518&lt;&gt;X517,Y518&lt;&gt;Y517,Z518&lt;&gt;Z517),L518-L517&gt;1),1,0)</f>
        <v>0</v>
      </c>
      <c r="U518" s="110" t="s">
        <v>1846</v>
      </c>
      <c r="V518" s="110">
        <v>8</v>
      </c>
      <c r="W518" s="110">
        <v>3</v>
      </c>
      <c r="X518" s="110">
        <v>0</v>
      </c>
      <c r="Y518" s="110">
        <v>0</v>
      </c>
      <c r="Z518" s="110">
        <v>0</v>
      </c>
      <c r="AA518" s="2">
        <f t="shared" ref="AA518:AA581" si="132">IF(ROW()=5,1,IF(OR(AH518=1,P518&gt;0,T518=1),1,IF(OR(AND(AH518=2,AI518=1),AND(AI518=2,AJ518=1),AND(AJ518=2,AK518=1),AND(AK518=2,AL518=1)),1,0)))</f>
        <v>1</v>
      </c>
      <c r="AB518" s="2">
        <f t="shared" ref="AB518:AB581" si="133">IF(L519&gt;L518,1,0)</f>
        <v>0</v>
      </c>
      <c r="AC518" s="2">
        <f t="shared" ref="AC518:AC581" si="134">IF(ROW()=5,P518,IF(AND($P518&gt;1,AC$4=$L518),$P518,IF(AND($U518=$U517,V518=V517),AC517,IF(AND($L518=AC$4,P518=1),P518,0))))</f>
        <v>1</v>
      </c>
      <c r="AD518" s="2">
        <f t="shared" ref="AD518:AD581" si="135">IF(AC518&gt;1,AC518,IF(AND($P518&gt;1,AD$4=$L518),$P518,IF(AND($U518=$U517,W518=W517),AD517,IF(AND($L518=AD$4,P518=1),P518,0))))</f>
        <v>1</v>
      </c>
      <c r="AE518" s="2">
        <f t="shared" ref="AE518:AE581" si="136">IF(AD518&gt;1,AD518,IF(AND($P518&gt;1,AE$4=$L518),$P518,IF(AND($U518=$U517,X518=X517),AE517,IF(AND($L518=AE$4,P518=1),P518,0))))</f>
        <v>0</v>
      </c>
      <c r="AF518" s="2">
        <f t="shared" ref="AF518:AF581" si="137">IF(AE518&gt;1,AE518,IF(AND($P518&gt;1,AF$4=$L518),$P518,IF(AND($U518=$U517,Y518=Y517),AF517,IF(AND($L518=AF$4,P518=1),P518,0))))</f>
        <v>0</v>
      </c>
      <c r="AG518" s="2">
        <f t="shared" ref="AG518:AG581" si="138">IF(AF518&gt;1,AF518,IF(AND($P518&gt;1,AG$4=$L518),$P518,IF(AND($U518=$U517,Z518=Z517),AG517,IF(AND($L518=AG$4,P518=1),P518,0))))</f>
        <v>0</v>
      </c>
      <c r="AH518" s="2">
        <f t="shared" ref="AH518:AH581" si="139">IF(AND($P518=1,$L518=AH$4),2,IF(AND($L518&lt;&gt;AH$4,AH517=2),AH517,IF($L518&lt;&gt;AH$4,0,1)))</f>
        <v>2</v>
      </c>
      <c r="AI518" s="2">
        <f t="shared" ref="AI518:AI581" si="140">IF(OR(ROW()=5,$U517&lt;&gt;$U518),0,IF(AND($P518=1,$L518=AI$4),2,IF(AND($L518&lt;&gt;AI$4,AI517=2),AI517,IF($L518&lt;&gt;AI$4,0,1))))</f>
        <v>2</v>
      </c>
      <c r="AJ518" s="2">
        <f t="shared" ref="AJ518:AJ581" si="141">IF(OR(ROW()=5,$U517&lt;&gt;$U518),0,IF(AND($P518=1,$L518=AJ$4),2,IF(AND($L518&lt;&gt;AJ$4,AJ517=2),AJ517,IF($L518&lt;&gt;AJ$4,0,1))))</f>
        <v>2</v>
      </c>
      <c r="AK518" s="2">
        <f t="shared" ref="AK518:AK581" si="142">IF(OR(ROW()=5,$U517&lt;&gt;$U518),0,IF(AND($P518=1,$L518=AK$4),2,IF(AND($L518&lt;&gt;AK$4,AK517=2),AK517,IF($L518&lt;&gt;AK$4,0,1))))</f>
        <v>2</v>
      </c>
      <c r="AL518" s="2">
        <f t="shared" ref="AL518:AL581" si="143">IF(OR(ROW()=5,$U517&lt;&gt;$U518),0,IF(AND($P518=1,$L518=AL$4),2,IF(AND($L518&lt;&gt;AL$4,AL517=2),AL517,IF($L518&lt;&gt;AL$4,0,1))))</f>
        <v>0</v>
      </c>
      <c r="AM518" s="115"/>
      <c r="AN518" s="115"/>
      <c r="AO518" s="63"/>
    </row>
    <row r="519" spans="1:41" ht="57.6" x14ac:dyDescent="0.55000000000000004">
      <c r="A519" s="36">
        <v>2730</v>
      </c>
      <c r="B519" s="113" t="s">
        <v>1992</v>
      </c>
      <c r="C519" s="138" t="s">
        <v>1993</v>
      </c>
      <c r="D519" s="114" t="s">
        <v>52</v>
      </c>
      <c r="E519" s="115"/>
      <c r="F519" s="116"/>
      <c r="G519" s="113" t="s">
        <v>1882</v>
      </c>
      <c r="H519" s="113" t="s">
        <v>1985</v>
      </c>
      <c r="I519" s="113"/>
      <c r="J519" s="117"/>
      <c r="K519" s="118"/>
      <c r="L519" s="109">
        <v>2</v>
      </c>
      <c r="M519" s="109">
        <v>2</v>
      </c>
      <c r="N519" s="109"/>
      <c r="O519" s="119"/>
      <c r="P519" s="2">
        <f t="shared" si="128"/>
        <v>1</v>
      </c>
      <c r="Q519" s="110" t="str">
        <f>IF(AND(Drops!$D$45&gt;1,OR(U519&lt;&gt;U518,AND(ROW()=5,U518=U519))),VLOOKUP(U519,Drops!$D$26:$E$44,2,FALSE),"")</f>
        <v/>
      </c>
      <c r="R519" s="2" t="str">
        <f t="shared" si="129"/>
        <v/>
      </c>
      <c r="S519" s="2">
        <f t="shared" ca="1" si="130"/>
        <v>1</v>
      </c>
      <c r="T519" s="2">
        <f t="shared" si="131"/>
        <v>0</v>
      </c>
      <c r="U519" s="110" t="s">
        <v>1846</v>
      </c>
      <c r="V519" s="110">
        <v>8</v>
      </c>
      <c r="W519" s="110">
        <v>4</v>
      </c>
      <c r="X519" s="110">
        <v>0</v>
      </c>
      <c r="Y519" s="110">
        <v>0</v>
      </c>
      <c r="Z519" s="110">
        <v>0</v>
      </c>
      <c r="AA519" s="2">
        <f t="shared" si="132"/>
        <v>1</v>
      </c>
      <c r="AB519" s="2">
        <f t="shared" si="133"/>
        <v>0</v>
      </c>
      <c r="AC519" s="2">
        <f t="shared" si="134"/>
        <v>1</v>
      </c>
      <c r="AD519" s="2">
        <f t="shared" si="135"/>
        <v>1</v>
      </c>
      <c r="AE519" s="2">
        <f t="shared" si="136"/>
        <v>0</v>
      </c>
      <c r="AF519" s="2">
        <f t="shared" si="137"/>
        <v>0</v>
      </c>
      <c r="AG519" s="2">
        <f t="shared" si="138"/>
        <v>0</v>
      </c>
      <c r="AH519" s="2">
        <f t="shared" si="139"/>
        <v>2</v>
      </c>
      <c r="AI519" s="2">
        <f t="shared" si="140"/>
        <v>2</v>
      </c>
      <c r="AJ519" s="2">
        <f t="shared" si="141"/>
        <v>2</v>
      </c>
      <c r="AK519" s="2">
        <f t="shared" si="142"/>
        <v>2</v>
      </c>
      <c r="AL519" s="2">
        <f t="shared" si="143"/>
        <v>0</v>
      </c>
      <c r="AM519" s="115"/>
      <c r="AN519" s="115"/>
      <c r="AO519" s="63"/>
    </row>
    <row r="520" spans="1:41" ht="28.8" x14ac:dyDescent="0.55000000000000004">
      <c r="A520" s="36">
        <v>5873</v>
      </c>
      <c r="B520" s="113" t="s">
        <v>1994</v>
      </c>
      <c r="C520" s="138" t="s">
        <v>1995</v>
      </c>
      <c r="D520" s="114" t="s">
        <v>52</v>
      </c>
      <c r="E520" s="115"/>
      <c r="F520" s="116"/>
      <c r="G520" s="113" t="s">
        <v>1882</v>
      </c>
      <c r="H520" s="113" t="s">
        <v>1985</v>
      </c>
      <c r="I520" s="113"/>
      <c r="J520" s="117"/>
      <c r="K520" s="118"/>
      <c r="L520" s="109">
        <v>2</v>
      </c>
      <c r="M520" s="109">
        <v>2</v>
      </c>
      <c r="N520" s="109"/>
      <c r="O520" s="119"/>
      <c r="P520" s="2">
        <f t="shared" si="128"/>
        <v>1</v>
      </c>
      <c r="Q520" s="110" t="str">
        <f>IF(AND(Drops!$D$45&gt;1,OR(U520&lt;&gt;U519,AND(ROW()=5,U519=U520))),VLOOKUP(U520,Drops!$D$26:$E$44,2,FALSE),"")</f>
        <v/>
      </c>
      <c r="R520" s="2" t="str">
        <f t="shared" si="129"/>
        <v/>
      </c>
      <c r="S520" s="2">
        <f t="shared" ca="1" si="130"/>
        <v>1</v>
      </c>
      <c r="T520" s="2">
        <f t="shared" si="131"/>
        <v>0</v>
      </c>
      <c r="U520" s="110" t="s">
        <v>1846</v>
      </c>
      <c r="V520" s="110">
        <v>8</v>
      </c>
      <c r="W520" s="110">
        <v>5</v>
      </c>
      <c r="X520" s="110">
        <v>0</v>
      </c>
      <c r="Y520" s="110">
        <v>0</v>
      </c>
      <c r="Z520" s="110">
        <v>0</v>
      </c>
      <c r="AA520" s="2">
        <f t="shared" si="132"/>
        <v>1</v>
      </c>
      <c r="AB520" s="2">
        <f t="shared" si="133"/>
        <v>0</v>
      </c>
      <c r="AC520" s="2">
        <f t="shared" si="134"/>
        <v>1</v>
      </c>
      <c r="AD520" s="2">
        <f t="shared" si="135"/>
        <v>1</v>
      </c>
      <c r="AE520" s="2">
        <f t="shared" si="136"/>
        <v>0</v>
      </c>
      <c r="AF520" s="2">
        <f t="shared" si="137"/>
        <v>0</v>
      </c>
      <c r="AG520" s="2">
        <f t="shared" si="138"/>
        <v>0</v>
      </c>
      <c r="AH520" s="2">
        <f t="shared" si="139"/>
        <v>2</v>
      </c>
      <c r="AI520" s="2">
        <f t="shared" si="140"/>
        <v>2</v>
      </c>
      <c r="AJ520" s="2">
        <f t="shared" si="141"/>
        <v>2</v>
      </c>
      <c r="AK520" s="2">
        <f t="shared" si="142"/>
        <v>2</v>
      </c>
      <c r="AL520" s="2">
        <f t="shared" si="143"/>
        <v>0</v>
      </c>
      <c r="AM520" s="115"/>
      <c r="AN520" s="115"/>
      <c r="AO520" s="63"/>
    </row>
    <row r="521" spans="1:41" ht="28.8" x14ac:dyDescent="0.55000000000000004">
      <c r="A521" s="36">
        <v>2731</v>
      </c>
      <c r="B521" s="113" t="s">
        <v>1996</v>
      </c>
      <c r="C521" s="138" t="s">
        <v>1997</v>
      </c>
      <c r="D521" s="114" t="s">
        <v>52</v>
      </c>
      <c r="E521" s="115"/>
      <c r="F521" s="116"/>
      <c r="G521" s="113" t="s">
        <v>1882</v>
      </c>
      <c r="H521" s="113" t="s">
        <v>1985</v>
      </c>
      <c r="I521" s="113"/>
      <c r="J521" s="117"/>
      <c r="K521" s="118"/>
      <c r="L521" s="109">
        <v>2</v>
      </c>
      <c r="M521" s="109">
        <v>3</v>
      </c>
      <c r="N521" s="109"/>
      <c r="O521" s="119"/>
      <c r="P521" s="2">
        <f t="shared" si="128"/>
        <v>1</v>
      </c>
      <c r="Q521" s="110" t="str">
        <f>IF(AND(Drops!$D$45&gt;1,OR(U521&lt;&gt;U520,AND(ROW()=5,U520=U521))),VLOOKUP(U521,Drops!$D$26:$E$44,2,FALSE),"")</f>
        <v/>
      </c>
      <c r="R521" s="2" t="str">
        <f t="shared" si="129"/>
        <v/>
      </c>
      <c r="S521" s="2">
        <f t="shared" ca="1" si="130"/>
        <v>1</v>
      </c>
      <c r="T521" s="2">
        <f t="shared" si="131"/>
        <v>0</v>
      </c>
      <c r="U521" s="110" t="s">
        <v>1846</v>
      </c>
      <c r="V521" s="110">
        <v>8</v>
      </c>
      <c r="W521" s="110">
        <v>6</v>
      </c>
      <c r="X521" s="110">
        <v>0</v>
      </c>
      <c r="Y521" s="110">
        <v>0</v>
      </c>
      <c r="Z521" s="110">
        <v>0</v>
      </c>
      <c r="AA521" s="2">
        <f t="shared" si="132"/>
        <v>1</v>
      </c>
      <c r="AB521" s="2">
        <f t="shared" si="133"/>
        <v>0</v>
      </c>
      <c r="AC521" s="2">
        <f t="shared" si="134"/>
        <v>1</v>
      </c>
      <c r="AD521" s="2">
        <f t="shared" si="135"/>
        <v>1</v>
      </c>
      <c r="AE521" s="2">
        <f t="shared" si="136"/>
        <v>0</v>
      </c>
      <c r="AF521" s="2">
        <f t="shared" si="137"/>
        <v>0</v>
      </c>
      <c r="AG521" s="2">
        <f t="shared" si="138"/>
        <v>0</v>
      </c>
      <c r="AH521" s="2">
        <f t="shared" si="139"/>
        <v>2</v>
      </c>
      <c r="AI521" s="2">
        <f t="shared" si="140"/>
        <v>2</v>
      </c>
      <c r="AJ521" s="2">
        <f t="shared" si="141"/>
        <v>2</v>
      </c>
      <c r="AK521" s="2">
        <f t="shared" si="142"/>
        <v>2</v>
      </c>
      <c r="AL521" s="2">
        <f t="shared" si="143"/>
        <v>0</v>
      </c>
      <c r="AM521" s="115"/>
      <c r="AN521" s="115"/>
      <c r="AO521" s="63"/>
    </row>
    <row r="522" spans="1:41" ht="28.8" x14ac:dyDescent="0.55000000000000004">
      <c r="A522" s="36">
        <v>5793</v>
      </c>
      <c r="B522" s="113" t="s">
        <v>1998</v>
      </c>
      <c r="C522" s="138" t="s">
        <v>1999</v>
      </c>
      <c r="D522" s="114" t="s">
        <v>52</v>
      </c>
      <c r="E522" s="115"/>
      <c r="F522" s="116"/>
      <c r="G522" s="113" t="s">
        <v>1882</v>
      </c>
      <c r="H522" s="113" t="s">
        <v>1985</v>
      </c>
      <c r="I522" s="113" t="s">
        <v>1929</v>
      </c>
      <c r="J522" s="117"/>
      <c r="K522" s="118"/>
      <c r="L522" s="109">
        <v>2</v>
      </c>
      <c r="M522" s="109">
        <v>3</v>
      </c>
      <c r="N522" s="109"/>
      <c r="O522" s="119"/>
      <c r="P522" s="2">
        <f t="shared" si="128"/>
        <v>1</v>
      </c>
      <c r="Q522" s="110" t="str">
        <f>IF(AND(Drops!$D$45&gt;1,OR(U522&lt;&gt;U521,AND(ROW()=5,U521=U522))),VLOOKUP(U522,Drops!$D$26:$E$44,2,FALSE),"")</f>
        <v/>
      </c>
      <c r="R522" s="2" t="str">
        <f t="shared" si="129"/>
        <v/>
      </c>
      <c r="S522" s="2">
        <f t="shared" ca="1" si="130"/>
        <v>1</v>
      </c>
      <c r="T522" s="2">
        <f t="shared" si="131"/>
        <v>0</v>
      </c>
      <c r="U522" s="110" t="s">
        <v>1846</v>
      </c>
      <c r="V522" s="110">
        <v>8</v>
      </c>
      <c r="W522" s="110">
        <v>7</v>
      </c>
      <c r="X522" s="110">
        <v>0</v>
      </c>
      <c r="Y522" s="110">
        <v>0</v>
      </c>
      <c r="Z522" s="110">
        <v>0</v>
      </c>
      <c r="AA522" s="2">
        <f t="shared" si="132"/>
        <v>1</v>
      </c>
      <c r="AB522" s="2">
        <f t="shared" si="133"/>
        <v>0</v>
      </c>
      <c r="AC522" s="2">
        <f t="shared" si="134"/>
        <v>1</v>
      </c>
      <c r="AD522" s="2">
        <f t="shared" si="135"/>
        <v>1</v>
      </c>
      <c r="AE522" s="2">
        <f t="shared" si="136"/>
        <v>0</v>
      </c>
      <c r="AF522" s="2">
        <f t="shared" si="137"/>
        <v>0</v>
      </c>
      <c r="AG522" s="2">
        <f t="shared" si="138"/>
        <v>0</v>
      </c>
      <c r="AH522" s="2">
        <f t="shared" si="139"/>
        <v>2</v>
      </c>
      <c r="AI522" s="2">
        <f t="shared" si="140"/>
        <v>2</v>
      </c>
      <c r="AJ522" s="2">
        <f t="shared" si="141"/>
        <v>2</v>
      </c>
      <c r="AK522" s="2">
        <f t="shared" si="142"/>
        <v>2</v>
      </c>
      <c r="AL522" s="2">
        <f t="shared" si="143"/>
        <v>0</v>
      </c>
      <c r="AM522" s="115"/>
      <c r="AN522" s="115"/>
      <c r="AO522" s="63"/>
    </row>
    <row r="523" spans="1:41" ht="43.2" x14ac:dyDescent="0.55000000000000004">
      <c r="A523" s="36">
        <v>5794</v>
      </c>
      <c r="B523" s="113" t="s">
        <v>2000</v>
      </c>
      <c r="C523" s="138" t="s">
        <v>2001</v>
      </c>
      <c r="D523" s="114" t="s">
        <v>52</v>
      </c>
      <c r="E523" s="115"/>
      <c r="F523" s="116"/>
      <c r="G523" s="113" t="s">
        <v>1882</v>
      </c>
      <c r="H523" s="113" t="s">
        <v>1985</v>
      </c>
      <c r="I523" s="113"/>
      <c r="J523" s="117"/>
      <c r="K523" s="118"/>
      <c r="L523" s="109">
        <v>2</v>
      </c>
      <c r="M523" s="109">
        <v>3</v>
      </c>
      <c r="N523" s="109"/>
      <c r="O523" s="119"/>
      <c r="P523" s="2">
        <f t="shared" si="128"/>
        <v>1</v>
      </c>
      <c r="Q523" s="110" t="str">
        <f>IF(AND(Drops!$D$45&gt;1,OR(U523&lt;&gt;U522,AND(ROW()=5,U522=U523))),VLOOKUP(U523,Drops!$D$26:$E$44,2,FALSE),"")</f>
        <v/>
      </c>
      <c r="R523" s="2" t="str">
        <f t="shared" si="129"/>
        <v/>
      </c>
      <c r="S523" s="2">
        <f t="shared" ca="1" si="130"/>
        <v>1</v>
      </c>
      <c r="T523" s="2">
        <f t="shared" si="131"/>
        <v>0</v>
      </c>
      <c r="U523" s="110" t="s">
        <v>1846</v>
      </c>
      <c r="V523" s="110">
        <v>8</v>
      </c>
      <c r="W523" s="110">
        <v>8</v>
      </c>
      <c r="X523" s="110">
        <v>0</v>
      </c>
      <c r="Y523" s="110">
        <v>0</v>
      </c>
      <c r="Z523" s="110">
        <v>0</v>
      </c>
      <c r="AA523" s="2">
        <f t="shared" si="132"/>
        <v>1</v>
      </c>
      <c r="AB523" s="2">
        <f t="shared" si="133"/>
        <v>0</v>
      </c>
      <c r="AC523" s="2">
        <f t="shared" si="134"/>
        <v>1</v>
      </c>
      <c r="AD523" s="2">
        <f t="shared" si="135"/>
        <v>1</v>
      </c>
      <c r="AE523" s="2">
        <f t="shared" si="136"/>
        <v>0</v>
      </c>
      <c r="AF523" s="2">
        <f t="shared" si="137"/>
        <v>0</v>
      </c>
      <c r="AG523" s="2">
        <f t="shared" si="138"/>
        <v>0</v>
      </c>
      <c r="AH523" s="2">
        <f t="shared" si="139"/>
        <v>2</v>
      </c>
      <c r="AI523" s="2">
        <f t="shared" si="140"/>
        <v>2</v>
      </c>
      <c r="AJ523" s="2">
        <f t="shared" si="141"/>
        <v>2</v>
      </c>
      <c r="AK523" s="2">
        <f t="shared" si="142"/>
        <v>2</v>
      </c>
      <c r="AL523" s="2">
        <f t="shared" si="143"/>
        <v>0</v>
      </c>
      <c r="AM523" s="115"/>
      <c r="AN523" s="115"/>
      <c r="AO523" s="63"/>
    </row>
    <row r="524" spans="1:41" ht="28.8" x14ac:dyDescent="0.55000000000000004">
      <c r="A524" s="36">
        <v>3605</v>
      </c>
      <c r="B524" s="113" t="s">
        <v>2002</v>
      </c>
      <c r="C524" s="138" t="s">
        <v>2003</v>
      </c>
      <c r="D524" s="114" t="s">
        <v>52</v>
      </c>
      <c r="E524" s="115" t="s">
        <v>2004</v>
      </c>
      <c r="F524" s="116"/>
      <c r="G524" s="113" t="s">
        <v>1882</v>
      </c>
      <c r="H524" s="113" t="s">
        <v>1985</v>
      </c>
      <c r="I524" s="113" t="s">
        <v>1929</v>
      </c>
      <c r="J524" s="117"/>
      <c r="K524" s="118"/>
      <c r="L524" s="109">
        <v>2</v>
      </c>
      <c r="M524" s="109">
        <v>3</v>
      </c>
      <c r="N524" s="109"/>
      <c r="O524" s="119"/>
      <c r="P524" s="2">
        <f t="shared" si="128"/>
        <v>1</v>
      </c>
      <c r="Q524" s="110" t="str">
        <f>IF(AND(Drops!$D$45&gt;1,OR(U524&lt;&gt;U523,AND(ROW()=5,U523=U524))),VLOOKUP(U524,Drops!$D$26:$E$44,2,FALSE),"")</f>
        <v/>
      </c>
      <c r="R524" s="2" t="str">
        <f t="shared" si="129"/>
        <v/>
      </c>
      <c r="S524" s="2">
        <f t="shared" ca="1" si="130"/>
        <v>1</v>
      </c>
      <c r="T524" s="2">
        <f t="shared" si="131"/>
        <v>0</v>
      </c>
      <c r="U524" s="110" t="s">
        <v>1846</v>
      </c>
      <c r="V524" s="110">
        <v>8</v>
      </c>
      <c r="W524" s="110">
        <v>9</v>
      </c>
      <c r="X524" s="110">
        <v>0</v>
      </c>
      <c r="Y524" s="110">
        <v>0</v>
      </c>
      <c r="Z524" s="110">
        <v>0</v>
      </c>
      <c r="AA524" s="2">
        <f t="shared" si="132"/>
        <v>1</v>
      </c>
      <c r="AB524" s="2">
        <f t="shared" si="133"/>
        <v>1</v>
      </c>
      <c r="AC524" s="2">
        <f t="shared" si="134"/>
        <v>1</v>
      </c>
      <c r="AD524" s="2">
        <f t="shared" si="135"/>
        <v>1</v>
      </c>
      <c r="AE524" s="2">
        <f t="shared" si="136"/>
        <v>0</v>
      </c>
      <c r="AF524" s="2">
        <f t="shared" si="137"/>
        <v>0</v>
      </c>
      <c r="AG524" s="2">
        <f t="shared" si="138"/>
        <v>0</v>
      </c>
      <c r="AH524" s="2">
        <f t="shared" si="139"/>
        <v>2</v>
      </c>
      <c r="AI524" s="2">
        <f t="shared" si="140"/>
        <v>2</v>
      </c>
      <c r="AJ524" s="2">
        <f t="shared" si="141"/>
        <v>2</v>
      </c>
      <c r="AK524" s="2">
        <f t="shared" si="142"/>
        <v>2</v>
      </c>
      <c r="AL524" s="2">
        <f t="shared" si="143"/>
        <v>0</v>
      </c>
      <c r="AM524" s="115"/>
      <c r="AN524" s="115"/>
      <c r="AO524" s="63"/>
    </row>
    <row r="525" spans="1:41" ht="43.2" x14ac:dyDescent="0.55000000000000004">
      <c r="A525" s="36">
        <v>3639</v>
      </c>
      <c r="B525" s="113" t="s">
        <v>2005</v>
      </c>
      <c r="C525" s="139" t="s">
        <v>2006</v>
      </c>
      <c r="D525" s="114" t="s">
        <v>52</v>
      </c>
      <c r="E525" s="115"/>
      <c r="F525" s="116"/>
      <c r="G525" s="113" t="s">
        <v>1882</v>
      </c>
      <c r="H525" s="113" t="s">
        <v>1985</v>
      </c>
      <c r="I525" s="113"/>
      <c r="J525" s="117"/>
      <c r="K525" s="118"/>
      <c r="L525" s="109">
        <v>3</v>
      </c>
      <c r="M525" s="109">
        <v>3</v>
      </c>
      <c r="N525" s="109"/>
      <c r="O525" s="119"/>
      <c r="P525" s="2">
        <f t="shared" si="128"/>
        <v>1</v>
      </c>
      <c r="Q525" s="110" t="str">
        <f>IF(AND(Drops!$D$45&gt;1,OR(U525&lt;&gt;U524,AND(ROW()=5,U524=U525))),VLOOKUP(U525,Drops!$D$26:$E$44,2,FALSE),"")</f>
        <v/>
      </c>
      <c r="R525" s="2" t="str">
        <f t="shared" si="129"/>
        <v/>
      </c>
      <c r="S525" s="2">
        <f t="shared" ca="1" si="130"/>
        <v>1</v>
      </c>
      <c r="T525" s="2">
        <f t="shared" si="131"/>
        <v>0</v>
      </c>
      <c r="U525" s="110" t="s">
        <v>1846</v>
      </c>
      <c r="V525" s="110">
        <v>8</v>
      </c>
      <c r="W525" s="110">
        <v>13</v>
      </c>
      <c r="X525" s="110">
        <v>3</v>
      </c>
      <c r="Y525" s="110">
        <v>0</v>
      </c>
      <c r="Z525" s="110">
        <v>0</v>
      </c>
      <c r="AA525" s="2">
        <f t="shared" si="132"/>
        <v>1</v>
      </c>
      <c r="AB525" s="2">
        <f t="shared" si="133"/>
        <v>0</v>
      </c>
      <c r="AC525" s="2">
        <f t="shared" si="134"/>
        <v>1</v>
      </c>
      <c r="AD525" s="2">
        <f t="shared" si="135"/>
        <v>0</v>
      </c>
      <c r="AE525" s="2">
        <f t="shared" si="136"/>
        <v>1</v>
      </c>
      <c r="AF525" s="2">
        <f t="shared" si="137"/>
        <v>0</v>
      </c>
      <c r="AG525" s="2">
        <f t="shared" si="138"/>
        <v>0</v>
      </c>
      <c r="AH525" s="2">
        <f t="shared" si="139"/>
        <v>2</v>
      </c>
      <c r="AI525" s="2">
        <f t="shared" si="140"/>
        <v>2</v>
      </c>
      <c r="AJ525" s="2">
        <f t="shared" si="141"/>
        <v>2</v>
      </c>
      <c r="AK525" s="2">
        <f t="shared" si="142"/>
        <v>2</v>
      </c>
      <c r="AL525" s="2">
        <f t="shared" si="143"/>
        <v>0</v>
      </c>
      <c r="AM525" s="115"/>
      <c r="AN525" s="115"/>
      <c r="AO525" s="63"/>
    </row>
    <row r="526" spans="1:41" ht="28.8" x14ac:dyDescent="0.55000000000000004">
      <c r="A526" s="36">
        <v>5874</v>
      </c>
      <c r="B526" s="113" t="s">
        <v>2007</v>
      </c>
      <c r="C526" s="113" t="s">
        <v>2008</v>
      </c>
      <c r="D526" s="114" t="s">
        <v>52</v>
      </c>
      <c r="E526" s="115"/>
      <c r="F526" s="116"/>
      <c r="G526" s="113" t="s">
        <v>2009</v>
      </c>
      <c r="H526" s="113" t="s">
        <v>2010</v>
      </c>
      <c r="I526" s="113" t="s">
        <v>1845</v>
      </c>
      <c r="J526" s="117"/>
      <c r="K526" s="118"/>
      <c r="L526" s="109">
        <v>1</v>
      </c>
      <c r="M526" s="109">
        <v>3</v>
      </c>
      <c r="N526" s="109"/>
      <c r="O526" s="119"/>
      <c r="P526" s="2">
        <f t="shared" si="128"/>
        <v>1</v>
      </c>
      <c r="Q526" s="110" t="str">
        <f>IF(AND(Drops!$D$45&gt;1,OR(U526&lt;&gt;U525,AND(ROW()=5,U525=U526))),VLOOKUP(U526,Drops!$D$26:$E$44,2,FALSE),"")</f>
        <v/>
      </c>
      <c r="R526" s="2" t="str">
        <f t="shared" si="129"/>
        <v/>
      </c>
      <c r="S526" s="2">
        <f t="shared" ca="1" si="130"/>
        <v>1</v>
      </c>
      <c r="T526" s="2">
        <f t="shared" si="131"/>
        <v>1</v>
      </c>
      <c r="U526" s="110" t="s">
        <v>1846</v>
      </c>
      <c r="V526" s="110">
        <v>9</v>
      </c>
      <c r="W526" s="110">
        <v>0</v>
      </c>
      <c r="X526" s="110">
        <v>0</v>
      </c>
      <c r="Y526" s="110">
        <v>0</v>
      </c>
      <c r="Z526" s="110">
        <v>0</v>
      </c>
      <c r="AA526" s="2">
        <f t="shared" si="132"/>
        <v>1</v>
      </c>
      <c r="AB526" s="2">
        <f t="shared" si="133"/>
        <v>1</v>
      </c>
      <c r="AC526" s="2">
        <f t="shared" si="134"/>
        <v>1</v>
      </c>
      <c r="AD526" s="2">
        <f t="shared" si="135"/>
        <v>0</v>
      </c>
      <c r="AE526" s="2">
        <f t="shared" si="136"/>
        <v>0</v>
      </c>
      <c r="AF526" s="2">
        <f t="shared" si="137"/>
        <v>0</v>
      </c>
      <c r="AG526" s="2">
        <f t="shared" si="138"/>
        <v>0</v>
      </c>
      <c r="AH526" s="2">
        <f t="shared" si="139"/>
        <v>2</v>
      </c>
      <c r="AI526" s="2">
        <f t="shared" si="140"/>
        <v>2</v>
      </c>
      <c r="AJ526" s="2">
        <f t="shared" si="141"/>
        <v>2</v>
      </c>
      <c r="AK526" s="2">
        <f t="shared" si="142"/>
        <v>2</v>
      </c>
      <c r="AL526" s="2">
        <f t="shared" si="143"/>
        <v>0</v>
      </c>
      <c r="AM526" s="115"/>
      <c r="AN526" s="115"/>
      <c r="AO526" s="63"/>
    </row>
    <row r="527" spans="1:41" ht="28.8" x14ac:dyDescent="0.55000000000000004">
      <c r="A527" s="36">
        <v>5875</v>
      </c>
      <c r="B527" s="113" t="s">
        <v>2011</v>
      </c>
      <c r="C527" s="138" t="s">
        <v>2012</v>
      </c>
      <c r="D527" s="114" t="s">
        <v>52</v>
      </c>
      <c r="E527" s="115"/>
      <c r="F527" s="116"/>
      <c r="G527" s="113" t="s">
        <v>2009</v>
      </c>
      <c r="H527" s="113" t="s">
        <v>2013</v>
      </c>
      <c r="I527" s="113"/>
      <c r="J527" s="117"/>
      <c r="K527" s="118"/>
      <c r="L527" s="109">
        <v>2</v>
      </c>
      <c r="M527" s="109">
        <v>3</v>
      </c>
      <c r="N527" s="109"/>
      <c r="O527" s="119"/>
      <c r="P527" s="2">
        <f t="shared" si="128"/>
        <v>1</v>
      </c>
      <c r="Q527" s="110" t="str">
        <f>IF(AND(Drops!$D$45&gt;1,OR(U527&lt;&gt;U526,AND(ROW()=5,U526=U527))),VLOOKUP(U527,Drops!$D$26:$E$44,2,FALSE),"")</f>
        <v/>
      </c>
      <c r="R527" s="2" t="str">
        <f t="shared" si="129"/>
        <v/>
      </c>
      <c r="S527" s="2">
        <f t="shared" ca="1" si="130"/>
        <v>1</v>
      </c>
      <c r="T527" s="2">
        <f t="shared" si="131"/>
        <v>0</v>
      </c>
      <c r="U527" s="110" t="s">
        <v>1846</v>
      </c>
      <c r="V527" s="110">
        <v>9</v>
      </c>
      <c r="W527" s="110">
        <v>1</v>
      </c>
      <c r="X527" s="110">
        <v>0</v>
      </c>
      <c r="Y527" s="110">
        <v>0</v>
      </c>
      <c r="Z527" s="110">
        <v>0</v>
      </c>
      <c r="AA527" s="2">
        <f t="shared" si="132"/>
        <v>1</v>
      </c>
      <c r="AB527" s="2">
        <f t="shared" si="133"/>
        <v>0</v>
      </c>
      <c r="AC527" s="2">
        <f t="shared" si="134"/>
        <v>1</v>
      </c>
      <c r="AD527" s="2">
        <f t="shared" si="135"/>
        <v>1</v>
      </c>
      <c r="AE527" s="2">
        <f t="shared" si="136"/>
        <v>0</v>
      </c>
      <c r="AF527" s="2">
        <f t="shared" si="137"/>
        <v>0</v>
      </c>
      <c r="AG527" s="2">
        <f t="shared" si="138"/>
        <v>0</v>
      </c>
      <c r="AH527" s="2">
        <f t="shared" si="139"/>
        <v>2</v>
      </c>
      <c r="AI527" s="2">
        <f t="shared" si="140"/>
        <v>2</v>
      </c>
      <c r="AJ527" s="2">
        <f t="shared" si="141"/>
        <v>2</v>
      </c>
      <c r="AK527" s="2">
        <f t="shared" si="142"/>
        <v>2</v>
      </c>
      <c r="AL527" s="2">
        <f t="shared" si="143"/>
        <v>0</v>
      </c>
      <c r="AM527" s="115"/>
      <c r="AN527" s="115"/>
      <c r="AO527" s="63"/>
    </row>
    <row r="528" spans="1:41" ht="57.6" x14ac:dyDescent="0.55000000000000004">
      <c r="A528" s="36">
        <v>5876</v>
      </c>
      <c r="B528" s="113" t="s">
        <v>2014</v>
      </c>
      <c r="C528" s="138" t="s">
        <v>2015</v>
      </c>
      <c r="D528" s="114" t="s">
        <v>52</v>
      </c>
      <c r="E528" s="115"/>
      <c r="F528" s="116"/>
      <c r="G528" s="113" t="s">
        <v>2009</v>
      </c>
      <c r="H528" s="113" t="s">
        <v>2010</v>
      </c>
      <c r="I528" s="113" t="s">
        <v>2016</v>
      </c>
      <c r="J528" s="117" t="s">
        <v>2017</v>
      </c>
      <c r="K528" s="118"/>
      <c r="L528" s="109">
        <v>2</v>
      </c>
      <c r="M528" s="109">
        <v>3</v>
      </c>
      <c r="N528" s="109"/>
      <c r="O528" s="119"/>
      <c r="P528" s="2">
        <f t="shared" si="128"/>
        <v>1</v>
      </c>
      <c r="Q528" s="110" t="str">
        <f>IF(AND(Drops!$D$45&gt;1,OR(U528&lt;&gt;U527,AND(ROW()=5,U527=U528))),VLOOKUP(U528,Drops!$D$26:$E$44,2,FALSE),"")</f>
        <v/>
      </c>
      <c r="R528" s="2" t="str">
        <f t="shared" si="129"/>
        <v/>
      </c>
      <c r="S528" s="2">
        <f t="shared" ca="1" si="130"/>
        <v>1</v>
      </c>
      <c r="T528" s="2">
        <f t="shared" si="131"/>
        <v>0</v>
      </c>
      <c r="U528" s="110" t="s">
        <v>1846</v>
      </c>
      <c r="V528" s="110">
        <v>9</v>
      </c>
      <c r="W528" s="110">
        <v>2</v>
      </c>
      <c r="X528" s="110">
        <v>0</v>
      </c>
      <c r="Y528" s="110">
        <v>0</v>
      </c>
      <c r="Z528" s="110">
        <v>0</v>
      </c>
      <c r="AA528" s="2">
        <f t="shared" si="132"/>
        <v>1</v>
      </c>
      <c r="AB528" s="2">
        <f t="shared" si="133"/>
        <v>0</v>
      </c>
      <c r="AC528" s="2">
        <f t="shared" si="134"/>
        <v>1</v>
      </c>
      <c r="AD528" s="2">
        <f t="shared" si="135"/>
        <v>1</v>
      </c>
      <c r="AE528" s="2">
        <f t="shared" si="136"/>
        <v>0</v>
      </c>
      <c r="AF528" s="2">
        <f t="shared" si="137"/>
        <v>0</v>
      </c>
      <c r="AG528" s="2">
        <f t="shared" si="138"/>
        <v>0</v>
      </c>
      <c r="AH528" s="2">
        <f t="shared" si="139"/>
        <v>2</v>
      </c>
      <c r="AI528" s="2">
        <f t="shared" si="140"/>
        <v>2</v>
      </c>
      <c r="AJ528" s="2">
        <f t="shared" si="141"/>
        <v>2</v>
      </c>
      <c r="AK528" s="2">
        <f t="shared" si="142"/>
        <v>2</v>
      </c>
      <c r="AL528" s="2">
        <f t="shared" si="143"/>
        <v>0</v>
      </c>
      <c r="AM528" s="115"/>
      <c r="AN528" s="115"/>
      <c r="AO528" s="63"/>
    </row>
    <row r="529" spans="1:41" ht="28.8" x14ac:dyDescent="0.55000000000000004">
      <c r="A529" s="36">
        <v>5877</v>
      </c>
      <c r="B529" s="113" t="s">
        <v>2018</v>
      </c>
      <c r="C529" s="138" t="s">
        <v>2019</v>
      </c>
      <c r="D529" s="114" t="s">
        <v>52</v>
      </c>
      <c r="E529" s="115"/>
      <c r="F529" s="116"/>
      <c r="G529" s="113" t="s">
        <v>2009</v>
      </c>
      <c r="H529" s="113" t="s">
        <v>2010</v>
      </c>
      <c r="I529" s="113" t="s">
        <v>1887</v>
      </c>
      <c r="J529" s="117" t="s">
        <v>2017</v>
      </c>
      <c r="K529" s="118"/>
      <c r="L529" s="109">
        <v>2</v>
      </c>
      <c r="M529" s="109">
        <v>3</v>
      </c>
      <c r="N529" s="109"/>
      <c r="O529" s="119"/>
      <c r="P529" s="2">
        <f t="shared" si="128"/>
        <v>1</v>
      </c>
      <c r="Q529" s="110" t="str">
        <f>IF(AND(Drops!$D$45&gt;1,OR(U529&lt;&gt;U528,AND(ROW()=5,U528=U529))),VLOOKUP(U529,Drops!$D$26:$E$44,2,FALSE),"")</f>
        <v/>
      </c>
      <c r="R529" s="2" t="str">
        <f t="shared" si="129"/>
        <v/>
      </c>
      <c r="S529" s="2">
        <f t="shared" ca="1" si="130"/>
        <v>1</v>
      </c>
      <c r="T529" s="2">
        <f t="shared" si="131"/>
        <v>0</v>
      </c>
      <c r="U529" s="110" t="s">
        <v>1846</v>
      </c>
      <c r="V529" s="110">
        <v>9</v>
      </c>
      <c r="W529" s="110">
        <v>3</v>
      </c>
      <c r="X529" s="110">
        <v>0</v>
      </c>
      <c r="Y529" s="110">
        <v>0</v>
      </c>
      <c r="Z529" s="110">
        <v>0</v>
      </c>
      <c r="AA529" s="2">
        <f t="shared" si="132"/>
        <v>1</v>
      </c>
      <c r="AB529" s="2">
        <f t="shared" si="133"/>
        <v>1</v>
      </c>
      <c r="AC529" s="2">
        <f t="shared" si="134"/>
        <v>1</v>
      </c>
      <c r="AD529" s="2">
        <f t="shared" si="135"/>
        <v>1</v>
      </c>
      <c r="AE529" s="2">
        <f t="shared" si="136"/>
        <v>0</v>
      </c>
      <c r="AF529" s="2">
        <f t="shared" si="137"/>
        <v>0</v>
      </c>
      <c r="AG529" s="2">
        <f t="shared" si="138"/>
        <v>0</v>
      </c>
      <c r="AH529" s="2">
        <f t="shared" si="139"/>
        <v>2</v>
      </c>
      <c r="AI529" s="2">
        <f t="shared" si="140"/>
        <v>2</v>
      </c>
      <c r="AJ529" s="2">
        <f t="shared" si="141"/>
        <v>2</v>
      </c>
      <c r="AK529" s="2">
        <f t="shared" si="142"/>
        <v>2</v>
      </c>
      <c r="AL529" s="2">
        <f t="shared" si="143"/>
        <v>0</v>
      </c>
      <c r="AM529" s="115"/>
      <c r="AN529" s="115"/>
      <c r="AO529" s="63"/>
    </row>
    <row r="530" spans="1:41" ht="28.8" x14ac:dyDescent="0.55000000000000004">
      <c r="A530" s="36">
        <v>5878</v>
      </c>
      <c r="B530" s="113" t="s">
        <v>2020</v>
      </c>
      <c r="C530" s="139" t="s">
        <v>2021</v>
      </c>
      <c r="D530" s="114" t="s">
        <v>52</v>
      </c>
      <c r="E530" s="115"/>
      <c r="F530" s="116"/>
      <c r="G530" s="113" t="s">
        <v>2009</v>
      </c>
      <c r="H530" s="113" t="s">
        <v>2010</v>
      </c>
      <c r="I530" s="113" t="s">
        <v>2022</v>
      </c>
      <c r="J530" s="117" t="s">
        <v>2017</v>
      </c>
      <c r="K530" s="118"/>
      <c r="L530" s="109">
        <v>3</v>
      </c>
      <c r="M530" s="109">
        <v>3</v>
      </c>
      <c r="N530" s="109"/>
      <c r="O530" s="119"/>
      <c r="P530" s="2">
        <f t="shared" si="128"/>
        <v>1</v>
      </c>
      <c r="Q530" s="110" t="str">
        <f>IF(AND(Drops!$D$45&gt;1,OR(U530&lt;&gt;U529,AND(ROW()=5,U529=U530))),VLOOKUP(U530,Drops!$D$26:$E$44,2,FALSE),"")</f>
        <v/>
      </c>
      <c r="R530" s="2" t="str">
        <f t="shared" si="129"/>
        <v/>
      </c>
      <c r="S530" s="2">
        <f t="shared" ca="1" si="130"/>
        <v>1</v>
      </c>
      <c r="T530" s="2">
        <f t="shared" si="131"/>
        <v>0</v>
      </c>
      <c r="U530" s="110" t="s">
        <v>1846</v>
      </c>
      <c r="V530" s="110">
        <v>9</v>
      </c>
      <c r="W530" s="110">
        <v>3</v>
      </c>
      <c r="X530" s="110">
        <v>1</v>
      </c>
      <c r="Y530" s="110">
        <v>0</v>
      </c>
      <c r="Z530" s="110">
        <v>0</v>
      </c>
      <c r="AA530" s="2">
        <f t="shared" si="132"/>
        <v>1</v>
      </c>
      <c r="AB530" s="2">
        <f t="shared" si="133"/>
        <v>0</v>
      </c>
      <c r="AC530" s="2">
        <f t="shared" si="134"/>
        <v>1</v>
      </c>
      <c r="AD530" s="2">
        <f t="shared" si="135"/>
        <v>1</v>
      </c>
      <c r="AE530" s="2">
        <f t="shared" si="136"/>
        <v>1</v>
      </c>
      <c r="AF530" s="2">
        <f t="shared" si="137"/>
        <v>0</v>
      </c>
      <c r="AG530" s="2">
        <f t="shared" si="138"/>
        <v>0</v>
      </c>
      <c r="AH530" s="2">
        <f t="shared" si="139"/>
        <v>2</v>
      </c>
      <c r="AI530" s="2">
        <f t="shared" si="140"/>
        <v>2</v>
      </c>
      <c r="AJ530" s="2">
        <f t="shared" si="141"/>
        <v>2</v>
      </c>
      <c r="AK530" s="2">
        <f t="shared" si="142"/>
        <v>2</v>
      </c>
      <c r="AL530" s="2">
        <f t="shared" si="143"/>
        <v>0</v>
      </c>
      <c r="AM530" s="115"/>
      <c r="AN530" s="115"/>
      <c r="AO530" s="63"/>
    </row>
    <row r="531" spans="1:41" ht="28.8" x14ac:dyDescent="0.55000000000000004">
      <c r="A531" s="36">
        <v>5879</v>
      </c>
      <c r="B531" s="113" t="s">
        <v>2023</v>
      </c>
      <c r="C531" s="139" t="s">
        <v>2024</v>
      </c>
      <c r="D531" s="114" t="s">
        <v>52</v>
      </c>
      <c r="E531" s="115"/>
      <c r="F531" s="116"/>
      <c r="G531" s="113" t="s">
        <v>2009</v>
      </c>
      <c r="H531" s="113" t="s">
        <v>2010</v>
      </c>
      <c r="I531" s="113"/>
      <c r="J531" s="117" t="s">
        <v>2017</v>
      </c>
      <c r="K531" s="118"/>
      <c r="L531" s="109">
        <v>3</v>
      </c>
      <c r="M531" s="109">
        <v>3</v>
      </c>
      <c r="N531" s="109"/>
      <c r="O531" s="119"/>
      <c r="P531" s="2">
        <f t="shared" si="128"/>
        <v>1</v>
      </c>
      <c r="Q531" s="110" t="str">
        <f>IF(AND(Drops!$D$45&gt;1,OR(U531&lt;&gt;U530,AND(ROW()=5,U530=U531))),VLOOKUP(U531,Drops!$D$26:$E$44,2,FALSE),"")</f>
        <v/>
      </c>
      <c r="R531" s="2" t="str">
        <f t="shared" si="129"/>
        <v/>
      </c>
      <c r="S531" s="2">
        <f t="shared" ca="1" si="130"/>
        <v>1</v>
      </c>
      <c r="T531" s="2">
        <f t="shared" si="131"/>
        <v>0</v>
      </c>
      <c r="U531" s="110" t="s">
        <v>1846</v>
      </c>
      <c r="V531" s="110">
        <v>9</v>
      </c>
      <c r="W531" s="110">
        <v>3</v>
      </c>
      <c r="X531" s="110">
        <v>2</v>
      </c>
      <c r="Y531" s="110">
        <v>0</v>
      </c>
      <c r="Z531" s="110">
        <v>0</v>
      </c>
      <c r="AA531" s="2">
        <f t="shared" si="132"/>
        <v>1</v>
      </c>
      <c r="AB531" s="2">
        <f t="shared" si="133"/>
        <v>0</v>
      </c>
      <c r="AC531" s="2">
        <f t="shared" si="134"/>
        <v>1</v>
      </c>
      <c r="AD531" s="2">
        <f t="shared" si="135"/>
        <v>1</v>
      </c>
      <c r="AE531" s="2">
        <f t="shared" si="136"/>
        <v>1</v>
      </c>
      <c r="AF531" s="2">
        <f t="shared" si="137"/>
        <v>0</v>
      </c>
      <c r="AG531" s="2">
        <f t="shared" si="138"/>
        <v>0</v>
      </c>
      <c r="AH531" s="2">
        <f t="shared" si="139"/>
        <v>2</v>
      </c>
      <c r="AI531" s="2">
        <f t="shared" si="140"/>
        <v>2</v>
      </c>
      <c r="AJ531" s="2">
        <f t="shared" si="141"/>
        <v>2</v>
      </c>
      <c r="AK531" s="2">
        <f t="shared" si="142"/>
        <v>2</v>
      </c>
      <c r="AL531" s="2">
        <f t="shared" si="143"/>
        <v>0</v>
      </c>
      <c r="AM531" s="115"/>
      <c r="AN531" s="115"/>
      <c r="AO531" s="63"/>
    </row>
    <row r="532" spans="1:41" ht="28.8" x14ac:dyDescent="0.55000000000000004">
      <c r="A532" s="36">
        <v>5880</v>
      </c>
      <c r="B532" s="113" t="s">
        <v>2025</v>
      </c>
      <c r="C532" s="139" t="s">
        <v>2026</v>
      </c>
      <c r="D532" s="114" t="s">
        <v>52</v>
      </c>
      <c r="E532" s="115"/>
      <c r="F532" s="116"/>
      <c r="G532" s="113" t="s">
        <v>2009</v>
      </c>
      <c r="H532" s="113" t="s">
        <v>2010</v>
      </c>
      <c r="I532" s="113"/>
      <c r="J532" s="117"/>
      <c r="K532" s="118"/>
      <c r="L532" s="109">
        <v>3</v>
      </c>
      <c r="M532" s="109">
        <v>3</v>
      </c>
      <c r="N532" s="109"/>
      <c r="O532" s="119"/>
      <c r="P532" s="2">
        <f t="shared" si="128"/>
        <v>1</v>
      </c>
      <c r="Q532" s="110" t="str">
        <f>IF(AND(Drops!$D$45&gt;1,OR(U532&lt;&gt;U531,AND(ROW()=5,U531=U532))),VLOOKUP(U532,Drops!$D$26:$E$44,2,FALSE),"")</f>
        <v/>
      </c>
      <c r="R532" s="2" t="str">
        <f t="shared" si="129"/>
        <v/>
      </c>
      <c r="S532" s="2">
        <f t="shared" ca="1" si="130"/>
        <v>1</v>
      </c>
      <c r="T532" s="2">
        <f t="shared" si="131"/>
        <v>0</v>
      </c>
      <c r="U532" s="110" t="s">
        <v>1846</v>
      </c>
      <c r="V532" s="110">
        <v>9</v>
      </c>
      <c r="W532" s="110">
        <v>3</v>
      </c>
      <c r="X532" s="110">
        <v>3</v>
      </c>
      <c r="Y532" s="110">
        <v>0</v>
      </c>
      <c r="Z532" s="110">
        <v>0</v>
      </c>
      <c r="AA532" s="2">
        <f t="shared" si="132"/>
        <v>1</v>
      </c>
      <c r="AB532" s="2">
        <f t="shared" si="133"/>
        <v>0</v>
      </c>
      <c r="AC532" s="2">
        <f t="shared" si="134"/>
        <v>1</v>
      </c>
      <c r="AD532" s="2">
        <f t="shared" si="135"/>
        <v>1</v>
      </c>
      <c r="AE532" s="2">
        <f t="shared" si="136"/>
        <v>1</v>
      </c>
      <c r="AF532" s="2">
        <f t="shared" si="137"/>
        <v>0</v>
      </c>
      <c r="AG532" s="2">
        <f t="shared" si="138"/>
        <v>0</v>
      </c>
      <c r="AH532" s="2">
        <f t="shared" si="139"/>
        <v>2</v>
      </c>
      <c r="AI532" s="2">
        <f t="shared" si="140"/>
        <v>2</v>
      </c>
      <c r="AJ532" s="2">
        <f t="shared" si="141"/>
        <v>2</v>
      </c>
      <c r="AK532" s="2">
        <f t="shared" si="142"/>
        <v>2</v>
      </c>
      <c r="AL532" s="2">
        <f t="shared" si="143"/>
        <v>0</v>
      </c>
      <c r="AM532" s="115"/>
      <c r="AN532" s="115"/>
      <c r="AO532" s="63"/>
    </row>
    <row r="533" spans="1:41" ht="43.2" x14ac:dyDescent="0.55000000000000004">
      <c r="A533" s="36">
        <v>5884</v>
      </c>
      <c r="B533" s="113" t="s">
        <v>2027</v>
      </c>
      <c r="C533" s="138" t="s">
        <v>2028</v>
      </c>
      <c r="D533" s="114" t="s">
        <v>48</v>
      </c>
      <c r="E533" s="115" t="s">
        <v>2029</v>
      </c>
      <c r="F533" s="116"/>
      <c r="G533" s="113" t="s">
        <v>2009</v>
      </c>
      <c r="H533" s="113" t="s">
        <v>2010</v>
      </c>
      <c r="I533" s="113"/>
      <c r="J533" s="117"/>
      <c r="K533" s="118"/>
      <c r="L533" s="109">
        <v>2</v>
      </c>
      <c r="M533" s="109">
        <v>3</v>
      </c>
      <c r="N533" s="109"/>
      <c r="O533" s="119"/>
      <c r="P533" s="2">
        <f t="shared" si="128"/>
        <v>3</v>
      </c>
      <c r="Q533" s="110" t="str">
        <f>IF(AND(Drops!$D$45&gt;1,OR(U533&lt;&gt;U532,AND(ROW()=5,U532=U533))),VLOOKUP(U533,Drops!$D$26:$E$44,2,FALSE),"")</f>
        <v/>
      </c>
      <c r="R533" s="2" t="str">
        <f t="shared" si="129"/>
        <v/>
      </c>
      <c r="S533" s="2">
        <f t="shared" ca="1" si="130"/>
        <v>3</v>
      </c>
      <c r="T533" s="2">
        <f t="shared" si="131"/>
        <v>0</v>
      </c>
      <c r="U533" s="110" t="s">
        <v>1846</v>
      </c>
      <c r="V533" s="110">
        <v>9</v>
      </c>
      <c r="W533" s="110">
        <v>4</v>
      </c>
      <c r="X533" s="110">
        <v>0</v>
      </c>
      <c r="Y533" s="110">
        <v>0</v>
      </c>
      <c r="Z533" s="110">
        <v>0</v>
      </c>
      <c r="AA533" s="2">
        <f t="shared" si="132"/>
        <v>1</v>
      </c>
      <c r="AB533" s="2">
        <f t="shared" si="133"/>
        <v>0</v>
      </c>
      <c r="AC533" s="2">
        <f t="shared" si="134"/>
        <v>1</v>
      </c>
      <c r="AD533" s="2">
        <f t="shared" si="135"/>
        <v>3</v>
      </c>
      <c r="AE533" s="2">
        <f t="shared" si="136"/>
        <v>3</v>
      </c>
      <c r="AF533" s="2">
        <f t="shared" si="137"/>
        <v>3</v>
      </c>
      <c r="AG533" s="2">
        <f t="shared" si="138"/>
        <v>3</v>
      </c>
      <c r="AH533" s="2">
        <f t="shared" si="139"/>
        <v>2</v>
      </c>
      <c r="AI533" s="2">
        <f t="shared" si="140"/>
        <v>1</v>
      </c>
      <c r="AJ533" s="2">
        <f t="shared" si="141"/>
        <v>2</v>
      </c>
      <c r="AK533" s="2">
        <f t="shared" si="142"/>
        <v>2</v>
      </c>
      <c r="AL533" s="2">
        <f t="shared" si="143"/>
        <v>0</v>
      </c>
      <c r="AM533" s="115"/>
      <c r="AN533" s="115"/>
      <c r="AO533" s="63"/>
    </row>
    <row r="534" spans="1:41" ht="115.2" x14ac:dyDescent="0.55000000000000004">
      <c r="A534" s="36">
        <v>2343</v>
      </c>
      <c r="B534" s="113" t="s">
        <v>2030</v>
      </c>
      <c r="C534" s="113" t="s">
        <v>2031</v>
      </c>
      <c r="D534" s="114" t="s">
        <v>52</v>
      </c>
      <c r="E534" s="115" t="s">
        <v>2032</v>
      </c>
      <c r="F534" s="116"/>
      <c r="G534" s="113" t="s">
        <v>2033</v>
      </c>
      <c r="H534" s="113" t="s">
        <v>2034</v>
      </c>
      <c r="I534" s="113" t="s">
        <v>2016</v>
      </c>
      <c r="J534" s="117"/>
      <c r="K534" s="118"/>
      <c r="L534" s="109">
        <v>1</v>
      </c>
      <c r="M534" s="109">
        <v>2</v>
      </c>
      <c r="N534" s="109"/>
      <c r="O534" s="119"/>
      <c r="P534" s="2">
        <f t="shared" si="128"/>
        <v>1</v>
      </c>
      <c r="Q534" s="110" t="str">
        <f>IF(AND(Drops!$D$45&gt;1,OR(U534&lt;&gt;U533,AND(ROW()=5,U533=U534))),VLOOKUP(U534,Drops!$D$26:$E$44,2,FALSE),"")</f>
        <v/>
      </c>
      <c r="R534" s="2" t="str">
        <f t="shared" si="129"/>
        <v/>
      </c>
      <c r="S534" s="2">
        <f t="shared" ca="1" si="130"/>
        <v>1</v>
      </c>
      <c r="T534" s="2">
        <f t="shared" si="131"/>
        <v>1</v>
      </c>
      <c r="U534" s="110" t="s">
        <v>1846</v>
      </c>
      <c r="V534" s="110">
        <v>10</v>
      </c>
      <c r="W534" s="110">
        <v>0</v>
      </c>
      <c r="X534" s="110">
        <v>0</v>
      </c>
      <c r="Y534" s="110">
        <v>0</v>
      </c>
      <c r="Z534" s="110">
        <v>0</v>
      </c>
      <c r="AA534" s="2">
        <f t="shared" si="132"/>
        <v>1</v>
      </c>
      <c r="AB534" s="2">
        <f t="shared" si="133"/>
        <v>1</v>
      </c>
      <c r="AC534" s="2">
        <f t="shared" si="134"/>
        <v>1</v>
      </c>
      <c r="AD534" s="2">
        <f t="shared" si="135"/>
        <v>0</v>
      </c>
      <c r="AE534" s="2">
        <f t="shared" si="136"/>
        <v>3</v>
      </c>
      <c r="AF534" s="2">
        <f t="shared" si="137"/>
        <v>3</v>
      </c>
      <c r="AG534" s="2">
        <f t="shared" si="138"/>
        <v>3</v>
      </c>
      <c r="AH534" s="2">
        <f t="shared" si="139"/>
        <v>2</v>
      </c>
      <c r="AI534" s="2">
        <f t="shared" si="140"/>
        <v>0</v>
      </c>
      <c r="AJ534" s="2">
        <f t="shared" si="141"/>
        <v>2</v>
      </c>
      <c r="AK534" s="2">
        <f t="shared" si="142"/>
        <v>2</v>
      </c>
      <c r="AL534" s="2">
        <f t="shared" si="143"/>
        <v>0</v>
      </c>
      <c r="AM534" s="115"/>
      <c r="AN534" s="115"/>
      <c r="AO534" s="63"/>
    </row>
    <row r="535" spans="1:41" ht="28.8" x14ac:dyDescent="0.55000000000000004">
      <c r="A535" s="36">
        <v>5865</v>
      </c>
      <c r="B535" s="113" t="s">
        <v>2035</v>
      </c>
      <c r="C535" s="138" t="s">
        <v>2036</v>
      </c>
      <c r="D535" s="114" t="s">
        <v>52</v>
      </c>
      <c r="E535" s="115"/>
      <c r="F535" s="116"/>
      <c r="G535" s="113" t="s">
        <v>2033</v>
      </c>
      <c r="H535" s="113" t="s">
        <v>2037</v>
      </c>
      <c r="I535" s="113" t="s">
        <v>1845</v>
      </c>
      <c r="J535" s="117"/>
      <c r="K535" s="118"/>
      <c r="L535" s="109">
        <v>2</v>
      </c>
      <c r="M535" s="109">
        <v>3</v>
      </c>
      <c r="N535" s="109"/>
      <c r="O535" s="119"/>
      <c r="P535" s="2">
        <f t="shared" si="128"/>
        <v>1</v>
      </c>
      <c r="Q535" s="110" t="str">
        <f>IF(AND(Drops!$D$45&gt;1,OR(U535&lt;&gt;U534,AND(ROW()=5,U534=U535))),VLOOKUP(U535,Drops!$D$26:$E$44,2,FALSE),"")</f>
        <v/>
      </c>
      <c r="R535" s="2" t="str">
        <f t="shared" si="129"/>
        <v/>
      </c>
      <c r="S535" s="2">
        <f t="shared" ca="1" si="130"/>
        <v>1</v>
      </c>
      <c r="T535" s="2">
        <f t="shared" si="131"/>
        <v>0</v>
      </c>
      <c r="U535" s="110" t="s">
        <v>1846</v>
      </c>
      <c r="V535" s="110">
        <v>10</v>
      </c>
      <c r="W535" s="110">
        <v>1</v>
      </c>
      <c r="X535" s="110">
        <v>0</v>
      </c>
      <c r="Y535" s="110">
        <v>0</v>
      </c>
      <c r="Z535" s="110">
        <v>0</v>
      </c>
      <c r="AA535" s="2">
        <f t="shared" si="132"/>
        <v>1</v>
      </c>
      <c r="AB535" s="2">
        <f t="shared" si="133"/>
        <v>0</v>
      </c>
      <c r="AC535" s="2">
        <f t="shared" si="134"/>
        <v>1</v>
      </c>
      <c r="AD535" s="2">
        <f t="shared" si="135"/>
        <v>1</v>
      </c>
      <c r="AE535" s="2">
        <f t="shared" si="136"/>
        <v>3</v>
      </c>
      <c r="AF535" s="2">
        <f t="shared" si="137"/>
        <v>3</v>
      </c>
      <c r="AG535" s="2">
        <f t="shared" si="138"/>
        <v>3</v>
      </c>
      <c r="AH535" s="2">
        <f t="shared" si="139"/>
        <v>2</v>
      </c>
      <c r="AI535" s="2">
        <f t="shared" si="140"/>
        <v>2</v>
      </c>
      <c r="AJ535" s="2">
        <f t="shared" si="141"/>
        <v>2</v>
      </c>
      <c r="AK535" s="2">
        <f t="shared" si="142"/>
        <v>2</v>
      </c>
      <c r="AL535" s="2">
        <f t="shared" si="143"/>
        <v>0</v>
      </c>
      <c r="AM535" s="115"/>
      <c r="AN535" s="115"/>
      <c r="AO535" s="63"/>
    </row>
    <row r="536" spans="1:41" ht="28.8" x14ac:dyDescent="0.55000000000000004">
      <c r="A536" s="36">
        <v>2346</v>
      </c>
      <c r="B536" s="113" t="s">
        <v>2038</v>
      </c>
      <c r="C536" s="138" t="s">
        <v>2039</v>
      </c>
      <c r="D536" s="114" t="s">
        <v>52</v>
      </c>
      <c r="E536" s="115"/>
      <c r="F536" s="116"/>
      <c r="G536" s="113" t="s">
        <v>2033</v>
      </c>
      <c r="H536" s="113" t="s">
        <v>2034</v>
      </c>
      <c r="I536" s="113"/>
      <c r="J536" s="117"/>
      <c r="K536" s="118"/>
      <c r="L536" s="109">
        <v>2</v>
      </c>
      <c r="M536" s="109">
        <v>3</v>
      </c>
      <c r="N536" s="109"/>
      <c r="O536" s="119"/>
      <c r="P536" s="2">
        <f t="shared" si="128"/>
        <v>1</v>
      </c>
      <c r="Q536" s="110" t="str">
        <f>IF(AND(Drops!$D$45&gt;1,OR(U536&lt;&gt;U535,AND(ROW()=5,U535=U536))),VLOOKUP(U536,Drops!$D$26:$E$44,2,FALSE),"")</f>
        <v/>
      </c>
      <c r="R536" s="2" t="str">
        <f t="shared" si="129"/>
        <v/>
      </c>
      <c r="S536" s="2">
        <f t="shared" ca="1" si="130"/>
        <v>1</v>
      </c>
      <c r="T536" s="2">
        <f t="shared" si="131"/>
        <v>0</v>
      </c>
      <c r="U536" s="110" t="s">
        <v>1846</v>
      </c>
      <c r="V536" s="110">
        <v>10</v>
      </c>
      <c r="W536" s="110">
        <v>2</v>
      </c>
      <c r="X536" s="110">
        <v>0</v>
      </c>
      <c r="Y536" s="110">
        <v>0</v>
      </c>
      <c r="Z536" s="110">
        <v>0</v>
      </c>
      <c r="AA536" s="2">
        <f t="shared" si="132"/>
        <v>1</v>
      </c>
      <c r="AB536" s="2">
        <f t="shared" si="133"/>
        <v>0</v>
      </c>
      <c r="AC536" s="2">
        <f t="shared" si="134"/>
        <v>1</v>
      </c>
      <c r="AD536" s="2">
        <f t="shared" si="135"/>
        <v>1</v>
      </c>
      <c r="AE536" s="2">
        <f t="shared" si="136"/>
        <v>3</v>
      </c>
      <c r="AF536" s="2">
        <f t="shared" si="137"/>
        <v>3</v>
      </c>
      <c r="AG536" s="2">
        <f t="shared" si="138"/>
        <v>3</v>
      </c>
      <c r="AH536" s="2">
        <f t="shared" si="139"/>
        <v>2</v>
      </c>
      <c r="AI536" s="2">
        <f t="shared" si="140"/>
        <v>2</v>
      </c>
      <c r="AJ536" s="2">
        <f t="shared" si="141"/>
        <v>2</v>
      </c>
      <c r="AK536" s="2">
        <f t="shared" si="142"/>
        <v>2</v>
      </c>
      <c r="AL536" s="2">
        <f t="shared" si="143"/>
        <v>0</v>
      </c>
      <c r="AM536" s="115"/>
      <c r="AN536" s="115"/>
      <c r="AO536" s="63"/>
    </row>
    <row r="537" spans="1:41" ht="28.8" x14ac:dyDescent="0.55000000000000004">
      <c r="A537" s="36">
        <v>4061</v>
      </c>
      <c r="B537" s="113" t="s">
        <v>2040</v>
      </c>
      <c r="C537" s="138" t="s">
        <v>2041</v>
      </c>
      <c r="D537" s="114" t="s">
        <v>52</v>
      </c>
      <c r="E537" s="115"/>
      <c r="F537" s="116"/>
      <c r="G537" s="113" t="s">
        <v>2033</v>
      </c>
      <c r="H537" s="113" t="s">
        <v>2034</v>
      </c>
      <c r="I537" s="113" t="s">
        <v>2016</v>
      </c>
      <c r="J537" s="117"/>
      <c r="K537" s="118"/>
      <c r="L537" s="109">
        <v>2</v>
      </c>
      <c r="M537" s="109">
        <v>3</v>
      </c>
      <c r="N537" s="109"/>
      <c r="O537" s="119"/>
      <c r="P537" s="2">
        <f t="shared" si="128"/>
        <v>1</v>
      </c>
      <c r="Q537" s="110" t="str">
        <f>IF(AND(Drops!$D$45&gt;1,OR(U537&lt;&gt;U536,AND(ROW()=5,U536=U537))),VLOOKUP(U537,Drops!$D$26:$E$44,2,FALSE),"")</f>
        <v/>
      </c>
      <c r="R537" s="2" t="str">
        <f t="shared" si="129"/>
        <v/>
      </c>
      <c r="S537" s="2">
        <f t="shared" ca="1" si="130"/>
        <v>1</v>
      </c>
      <c r="T537" s="2">
        <f t="shared" si="131"/>
        <v>0</v>
      </c>
      <c r="U537" s="110" t="s">
        <v>1846</v>
      </c>
      <c r="V537" s="110">
        <v>10</v>
      </c>
      <c r="W537" s="110">
        <v>3</v>
      </c>
      <c r="X537" s="110">
        <v>0</v>
      </c>
      <c r="Y537" s="110">
        <v>0</v>
      </c>
      <c r="Z537" s="110">
        <v>0</v>
      </c>
      <c r="AA537" s="2">
        <f t="shared" si="132"/>
        <v>1</v>
      </c>
      <c r="AB537" s="2">
        <f t="shared" si="133"/>
        <v>0</v>
      </c>
      <c r="AC537" s="2">
        <f t="shared" si="134"/>
        <v>1</v>
      </c>
      <c r="AD537" s="2">
        <f t="shared" si="135"/>
        <v>1</v>
      </c>
      <c r="AE537" s="2">
        <f t="shared" si="136"/>
        <v>3</v>
      </c>
      <c r="AF537" s="2">
        <f t="shared" si="137"/>
        <v>3</v>
      </c>
      <c r="AG537" s="2">
        <f t="shared" si="138"/>
        <v>3</v>
      </c>
      <c r="AH537" s="2">
        <f t="shared" si="139"/>
        <v>2</v>
      </c>
      <c r="AI537" s="2">
        <f t="shared" si="140"/>
        <v>2</v>
      </c>
      <c r="AJ537" s="2">
        <f t="shared" si="141"/>
        <v>2</v>
      </c>
      <c r="AK537" s="2">
        <f t="shared" si="142"/>
        <v>2</v>
      </c>
      <c r="AL537" s="2">
        <f t="shared" si="143"/>
        <v>0</v>
      </c>
      <c r="AM537" s="115"/>
      <c r="AN537" s="115"/>
      <c r="AO537" s="63"/>
    </row>
    <row r="538" spans="1:41" ht="28.8" x14ac:dyDescent="0.55000000000000004">
      <c r="A538" s="36">
        <v>4062</v>
      </c>
      <c r="B538" s="113" t="s">
        <v>2042</v>
      </c>
      <c r="C538" s="138" t="s">
        <v>2043</v>
      </c>
      <c r="D538" s="114" t="s">
        <v>52</v>
      </c>
      <c r="E538" s="115"/>
      <c r="F538" s="116"/>
      <c r="G538" s="113" t="s">
        <v>2033</v>
      </c>
      <c r="H538" s="113" t="s">
        <v>2034</v>
      </c>
      <c r="I538" s="113" t="s">
        <v>2016</v>
      </c>
      <c r="J538" s="117"/>
      <c r="K538" s="118"/>
      <c r="L538" s="109">
        <v>2</v>
      </c>
      <c r="M538" s="109">
        <v>3</v>
      </c>
      <c r="N538" s="109"/>
      <c r="O538" s="119"/>
      <c r="P538" s="2">
        <f t="shared" si="128"/>
        <v>1</v>
      </c>
      <c r="Q538" s="110" t="str">
        <f>IF(AND(Drops!$D$45&gt;1,OR(U538&lt;&gt;U537,AND(ROW()=5,U537=U538))),VLOOKUP(U538,Drops!$D$26:$E$44,2,FALSE),"")</f>
        <v/>
      </c>
      <c r="R538" s="2" t="str">
        <f t="shared" si="129"/>
        <v/>
      </c>
      <c r="S538" s="2">
        <f t="shared" ca="1" si="130"/>
        <v>1</v>
      </c>
      <c r="T538" s="2">
        <f t="shared" si="131"/>
        <v>0</v>
      </c>
      <c r="U538" s="110" t="s">
        <v>1846</v>
      </c>
      <c r="V538" s="110">
        <v>10</v>
      </c>
      <c r="W538" s="110">
        <v>4</v>
      </c>
      <c r="X538" s="110">
        <v>0</v>
      </c>
      <c r="Y538" s="110">
        <v>0</v>
      </c>
      <c r="Z538" s="110">
        <v>0</v>
      </c>
      <c r="AA538" s="2">
        <f t="shared" si="132"/>
        <v>1</v>
      </c>
      <c r="AB538" s="2">
        <f t="shared" si="133"/>
        <v>0</v>
      </c>
      <c r="AC538" s="2">
        <f t="shared" si="134"/>
        <v>1</v>
      </c>
      <c r="AD538" s="2">
        <f t="shared" si="135"/>
        <v>1</v>
      </c>
      <c r="AE538" s="2">
        <f t="shared" si="136"/>
        <v>3</v>
      </c>
      <c r="AF538" s="2">
        <f t="shared" si="137"/>
        <v>3</v>
      </c>
      <c r="AG538" s="2">
        <f t="shared" si="138"/>
        <v>3</v>
      </c>
      <c r="AH538" s="2">
        <f t="shared" si="139"/>
        <v>2</v>
      </c>
      <c r="AI538" s="2">
        <f t="shared" si="140"/>
        <v>2</v>
      </c>
      <c r="AJ538" s="2">
        <f t="shared" si="141"/>
        <v>2</v>
      </c>
      <c r="AK538" s="2">
        <f t="shared" si="142"/>
        <v>2</v>
      </c>
      <c r="AL538" s="2">
        <f t="shared" si="143"/>
        <v>0</v>
      </c>
      <c r="AM538" s="115"/>
      <c r="AN538" s="115"/>
      <c r="AO538" s="63"/>
    </row>
    <row r="539" spans="1:41" ht="28.8" x14ac:dyDescent="0.55000000000000004">
      <c r="A539" s="36">
        <v>4064</v>
      </c>
      <c r="B539" s="113" t="s">
        <v>2044</v>
      </c>
      <c r="C539" s="138" t="s">
        <v>2045</v>
      </c>
      <c r="D539" s="114" t="s">
        <v>52</v>
      </c>
      <c r="E539" s="115"/>
      <c r="F539" s="116"/>
      <c r="G539" s="113" t="s">
        <v>2033</v>
      </c>
      <c r="H539" s="113" t="s">
        <v>2034</v>
      </c>
      <c r="I539" s="113" t="s">
        <v>2016</v>
      </c>
      <c r="J539" s="117"/>
      <c r="K539" s="118"/>
      <c r="L539" s="109">
        <v>2</v>
      </c>
      <c r="M539" s="109">
        <v>3</v>
      </c>
      <c r="N539" s="109"/>
      <c r="O539" s="119"/>
      <c r="P539" s="2">
        <f t="shared" si="128"/>
        <v>1</v>
      </c>
      <c r="Q539" s="110" t="str">
        <f>IF(AND(Drops!$D$45&gt;1,OR(U539&lt;&gt;U538,AND(ROW()=5,U538=U539))),VLOOKUP(U539,Drops!$D$26:$E$44,2,FALSE),"")</f>
        <v/>
      </c>
      <c r="R539" s="2" t="str">
        <f t="shared" si="129"/>
        <v/>
      </c>
      <c r="S539" s="2">
        <f t="shared" ca="1" si="130"/>
        <v>1</v>
      </c>
      <c r="T539" s="2">
        <f t="shared" si="131"/>
        <v>0</v>
      </c>
      <c r="U539" s="110" t="s">
        <v>1846</v>
      </c>
      <c r="V539" s="110">
        <v>10</v>
      </c>
      <c r="W539" s="110">
        <v>5</v>
      </c>
      <c r="X539" s="110">
        <v>0</v>
      </c>
      <c r="Y539" s="110">
        <v>0</v>
      </c>
      <c r="Z539" s="110">
        <v>0</v>
      </c>
      <c r="AA539" s="2">
        <f t="shared" si="132"/>
        <v>1</v>
      </c>
      <c r="AB539" s="2">
        <f t="shared" si="133"/>
        <v>0</v>
      </c>
      <c r="AC539" s="2">
        <f t="shared" si="134"/>
        <v>1</v>
      </c>
      <c r="AD539" s="2">
        <f t="shared" si="135"/>
        <v>1</v>
      </c>
      <c r="AE539" s="2">
        <f t="shared" si="136"/>
        <v>3</v>
      </c>
      <c r="AF539" s="2">
        <f t="shared" si="137"/>
        <v>3</v>
      </c>
      <c r="AG539" s="2">
        <f t="shared" si="138"/>
        <v>3</v>
      </c>
      <c r="AH539" s="2">
        <f t="shared" si="139"/>
        <v>2</v>
      </c>
      <c r="AI539" s="2">
        <f t="shared" si="140"/>
        <v>2</v>
      </c>
      <c r="AJ539" s="2">
        <f t="shared" si="141"/>
        <v>2</v>
      </c>
      <c r="AK539" s="2">
        <f t="shared" si="142"/>
        <v>2</v>
      </c>
      <c r="AL539" s="2">
        <f t="shared" si="143"/>
        <v>0</v>
      </c>
      <c r="AM539" s="115"/>
      <c r="AN539" s="115"/>
      <c r="AO539" s="63"/>
    </row>
    <row r="540" spans="1:41" ht="28.8" x14ac:dyDescent="0.55000000000000004">
      <c r="A540" s="36">
        <v>4071</v>
      </c>
      <c r="B540" s="113" t="s">
        <v>2046</v>
      </c>
      <c r="C540" s="138" t="s">
        <v>2047</v>
      </c>
      <c r="D540" s="114" t="s">
        <v>52</v>
      </c>
      <c r="E540" s="115"/>
      <c r="F540" s="116"/>
      <c r="G540" s="113" t="s">
        <v>2033</v>
      </c>
      <c r="H540" s="113" t="s">
        <v>2048</v>
      </c>
      <c r="I540" s="113" t="s">
        <v>2016</v>
      </c>
      <c r="J540" s="117"/>
      <c r="K540" s="118"/>
      <c r="L540" s="109">
        <v>2</v>
      </c>
      <c r="M540" s="109">
        <v>3</v>
      </c>
      <c r="N540" s="109"/>
      <c r="O540" s="119"/>
      <c r="P540" s="2">
        <f t="shared" si="128"/>
        <v>1</v>
      </c>
      <c r="Q540" s="110" t="str">
        <f>IF(AND(Drops!$D$45&gt;1,OR(U540&lt;&gt;U539,AND(ROW()=5,U539=U540))),VLOOKUP(U540,Drops!$D$26:$E$44,2,FALSE),"")</f>
        <v/>
      </c>
      <c r="R540" s="2" t="str">
        <f t="shared" si="129"/>
        <v/>
      </c>
      <c r="S540" s="2">
        <f t="shared" ca="1" si="130"/>
        <v>1</v>
      </c>
      <c r="T540" s="2">
        <f t="shared" si="131"/>
        <v>0</v>
      </c>
      <c r="U540" s="110" t="s">
        <v>1846</v>
      </c>
      <c r="V540" s="110">
        <v>10</v>
      </c>
      <c r="W540" s="110">
        <v>6</v>
      </c>
      <c r="X540" s="110">
        <v>0</v>
      </c>
      <c r="Y540" s="110">
        <v>0</v>
      </c>
      <c r="Z540" s="110">
        <v>0</v>
      </c>
      <c r="AA540" s="2">
        <f t="shared" si="132"/>
        <v>1</v>
      </c>
      <c r="AB540" s="2">
        <f t="shared" si="133"/>
        <v>0</v>
      </c>
      <c r="AC540" s="2">
        <f t="shared" si="134"/>
        <v>1</v>
      </c>
      <c r="AD540" s="2">
        <f t="shared" si="135"/>
        <v>1</v>
      </c>
      <c r="AE540" s="2">
        <f t="shared" si="136"/>
        <v>3</v>
      </c>
      <c r="AF540" s="2">
        <f t="shared" si="137"/>
        <v>3</v>
      </c>
      <c r="AG540" s="2">
        <f t="shared" si="138"/>
        <v>3</v>
      </c>
      <c r="AH540" s="2">
        <f t="shared" si="139"/>
        <v>2</v>
      </c>
      <c r="AI540" s="2">
        <f t="shared" si="140"/>
        <v>2</v>
      </c>
      <c r="AJ540" s="2">
        <f t="shared" si="141"/>
        <v>2</v>
      </c>
      <c r="AK540" s="2">
        <f t="shared" si="142"/>
        <v>2</v>
      </c>
      <c r="AL540" s="2">
        <f t="shared" si="143"/>
        <v>0</v>
      </c>
      <c r="AM540" s="115"/>
      <c r="AN540" s="115"/>
      <c r="AO540" s="63"/>
    </row>
    <row r="541" spans="1:41" ht="43.2" x14ac:dyDescent="0.55000000000000004">
      <c r="A541" s="36">
        <v>4072</v>
      </c>
      <c r="B541" s="113" t="s">
        <v>2049</v>
      </c>
      <c r="C541" s="138" t="s">
        <v>2050</v>
      </c>
      <c r="D541" s="114" t="s">
        <v>52</v>
      </c>
      <c r="E541" s="115" t="s">
        <v>3461</v>
      </c>
      <c r="F541" s="116"/>
      <c r="G541" s="113" t="s">
        <v>2033</v>
      </c>
      <c r="H541" s="113" t="s">
        <v>2048</v>
      </c>
      <c r="I541" s="113"/>
      <c r="J541" s="117"/>
      <c r="K541" s="118"/>
      <c r="L541" s="109">
        <v>2</v>
      </c>
      <c r="M541" s="109">
        <v>3</v>
      </c>
      <c r="N541" s="109"/>
      <c r="O541" s="119"/>
      <c r="P541" s="2">
        <f t="shared" si="128"/>
        <v>1</v>
      </c>
      <c r="Q541" s="110" t="str">
        <f>IF(AND(Drops!$D$45&gt;1,OR(U541&lt;&gt;U540,AND(ROW()=5,U540=U541))),VLOOKUP(U541,Drops!$D$26:$E$44,2,FALSE),"")</f>
        <v/>
      </c>
      <c r="R541" s="2" t="str">
        <f t="shared" si="129"/>
        <v/>
      </c>
      <c r="S541" s="2">
        <f t="shared" ca="1" si="130"/>
        <v>1</v>
      </c>
      <c r="T541" s="2">
        <f t="shared" si="131"/>
        <v>0</v>
      </c>
      <c r="U541" s="110" t="s">
        <v>1846</v>
      </c>
      <c r="V541" s="110">
        <v>10</v>
      </c>
      <c r="W541" s="110">
        <v>8</v>
      </c>
      <c r="X541" s="110">
        <v>0</v>
      </c>
      <c r="Y541" s="110">
        <v>0</v>
      </c>
      <c r="Z541" s="110">
        <v>0</v>
      </c>
      <c r="AA541" s="2">
        <f t="shared" si="132"/>
        <v>1</v>
      </c>
      <c r="AB541" s="2">
        <f t="shared" si="133"/>
        <v>0</v>
      </c>
      <c r="AC541" s="2">
        <f t="shared" si="134"/>
        <v>1</v>
      </c>
      <c r="AD541" s="2">
        <f t="shared" si="135"/>
        <v>1</v>
      </c>
      <c r="AE541" s="2">
        <f t="shared" si="136"/>
        <v>3</v>
      </c>
      <c r="AF541" s="2">
        <f t="shared" si="137"/>
        <v>3</v>
      </c>
      <c r="AG541" s="2">
        <f t="shared" si="138"/>
        <v>3</v>
      </c>
      <c r="AH541" s="2">
        <f t="shared" si="139"/>
        <v>2</v>
      </c>
      <c r="AI541" s="2">
        <f t="shared" si="140"/>
        <v>2</v>
      </c>
      <c r="AJ541" s="2">
        <f t="shared" si="141"/>
        <v>2</v>
      </c>
      <c r="AK541" s="2">
        <f t="shared" si="142"/>
        <v>2</v>
      </c>
      <c r="AL541" s="2">
        <f t="shared" si="143"/>
        <v>0</v>
      </c>
      <c r="AM541" s="115"/>
      <c r="AN541" s="115"/>
      <c r="AO541" s="63"/>
    </row>
    <row r="542" spans="1:41" ht="28.8" x14ac:dyDescent="0.55000000000000004">
      <c r="A542" s="36">
        <v>4073</v>
      </c>
      <c r="B542" s="113" t="s">
        <v>2051</v>
      </c>
      <c r="C542" s="138" t="s">
        <v>2052</v>
      </c>
      <c r="D542" s="114" t="s">
        <v>52</v>
      </c>
      <c r="E542" s="115" t="s">
        <v>3460</v>
      </c>
      <c r="F542" s="116"/>
      <c r="G542" s="113" t="s">
        <v>2033</v>
      </c>
      <c r="H542" s="113" t="s">
        <v>2048</v>
      </c>
      <c r="I542" s="113"/>
      <c r="J542" s="117"/>
      <c r="K542" s="118"/>
      <c r="L542" s="109">
        <v>2</v>
      </c>
      <c r="M542" s="109">
        <v>3</v>
      </c>
      <c r="N542" s="109"/>
      <c r="O542" s="119"/>
      <c r="P542" s="2">
        <f t="shared" si="128"/>
        <v>1</v>
      </c>
      <c r="Q542" s="110" t="str">
        <f>IF(AND(Drops!$D$45&gt;1,OR(U542&lt;&gt;U541,AND(ROW()=5,U541=U542))),VLOOKUP(U542,Drops!$D$26:$E$44,2,FALSE),"")</f>
        <v/>
      </c>
      <c r="R542" s="2" t="str">
        <f t="shared" si="129"/>
        <v/>
      </c>
      <c r="S542" s="2">
        <f t="shared" ca="1" si="130"/>
        <v>1</v>
      </c>
      <c r="T542" s="2">
        <f t="shared" si="131"/>
        <v>0</v>
      </c>
      <c r="U542" s="110" t="s">
        <v>1846</v>
      </c>
      <c r="V542" s="110">
        <v>10</v>
      </c>
      <c r="W542" s="110">
        <v>9</v>
      </c>
      <c r="X542" s="110">
        <v>0</v>
      </c>
      <c r="Y542" s="110">
        <v>0</v>
      </c>
      <c r="Z542" s="110">
        <v>0</v>
      </c>
      <c r="AA542" s="2">
        <f t="shared" si="132"/>
        <v>1</v>
      </c>
      <c r="AB542" s="2">
        <f t="shared" si="133"/>
        <v>0</v>
      </c>
      <c r="AC542" s="2">
        <f t="shared" si="134"/>
        <v>1</v>
      </c>
      <c r="AD542" s="2">
        <f t="shared" si="135"/>
        <v>1</v>
      </c>
      <c r="AE542" s="2">
        <f t="shared" si="136"/>
        <v>3</v>
      </c>
      <c r="AF542" s="2">
        <f t="shared" si="137"/>
        <v>3</v>
      </c>
      <c r="AG542" s="2">
        <f t="shared" si="138"/>
        <v>3</v>
      </c>
      <c r="AH542" s="2">
        <f t="shared" si="139"/>
        <v>2</v>
      </c>
      <c r="AI542" s="2">
        <f t="shared" si="140"/>
        <v>2</v>
      </c>
      <c r="AJ542" s="2">
        <f t="shared" si="141"/>
        <v>2</v>
      </c>
      <c r="AK542" s="2">
        <f t="shared" si="142"/>
        <v>2</v>
      </c>
      <c r="AL542" s="2">
        <f t="shared" si="143"/>
        <v>0</v>
      </c>
      <c r="AM542" s="115"/>
      <c r="AN542" s="115"/>
      <c r="AO542" s="63"/>
    </row>
    <row r="543" spans="1:41" ht="43.2" x14ac:dyDescent="0.55000000000000004">
      <c r="A543" s="36">
        <v>2779</v>
      </c>
      <c r="B543" s="113" t="s">
        <v>2053</v>
      </c>
      <c r="C543" s="138" t="s">
        <v>2054</v>
      </c>
      <c r="D543" s="114" t="s">
        <v>52</v>
      </c>
      <c r="E543" s="115"/>
      <c r="F543" s="116"/>
      <c r="G543" s="113" t="s">
        <v>2033</v>
      </c>
      <c r="H543" s="113" t="s">
        <v>2055</v>
      </c>
      <c r="I543" s="113" t="s">
        <v>1845</v>
      </c>
      <c r="J543" s="117"/>
      <c r="K543" s="118"/>
      <c r="L543" s="109">
        <v>2</v>
      </c>
      <c r="M543" s="109">
        <v>2</v>
      </c>
      <c r="N543" s="109"/>
      <c r="O543" s="119"/>
      <c r="P543" s="2">
        <f t="shared" si="128"/>
        <v>1</v>
      </c>
      <c r="Q543" s="110" t="str">
        <f>IF(AND(Drops!$D$45&gt;1,OR(U543&lt;&gt;U542,AND(ROW()=5,U542=U543))),VLOOKUP(U543,Drops!$D$26:$E$44,2,FALSE),"")</f>
        <v/>
      </c>
      <c r="R543" s="2" t="str">
        <f t="shared" si="129"/>
        <v/>
      </c>
      <c r="S543" s="2">
        <f t="shared" ca="1" si="130"/>
        <v>1</v>
      </c>
      <c r="T543" s="2">
        <f t="shared" si="131"/>
        <v>0</v>
      </c>
      <c r="U543" s="110" t="s">
        <v>1846</v>
      </c>
      <c r="V543" s="110">
        <v>10</v>
      </c>
      <c r="W543" s="110">
        <v>10</v>
      </c>
      <c r="X543" s="110">
        <v>0</v>
      </c>
      <c r="Y543" s="110">
        <v>0</v>
      </c>
      <c r="Z543" s="110">
        <v>0</v>
      </c>
      <c r="AA543" s="2">
        <f t="shared" si="132"/>
        <v>1</v>
      </c>
      <c r="AB543" s="2">
        <f t="shared" si="133"/>
        <v>0</v>
      </c>
      <c r="AC543" s="2">
        <f t="shared" si="134"/>
        <v>1</v>
      </c>
      <c r="AD543" s="2">
        <f t="shared" si="135"/>
        <v>1</v>
      </c>
      <c r="AE543" s="2">
        <f t="shared" si="136"/>
        <v>3</v>
      </c>
      <c r="AF543" s="2">
        <f t="shared" si="137"/>
        <v>3</v>
      </c>
      <c r="AG543" s="2">
        <f t="shared" si="138"/>
        <v>3</v>
      </c>
      <c r="AH543" s="2">
        <f t="shared" si="139"/>
        <v>2</v>
      </c>
      <c r="AI543" s="2">
        <f t="shared" si="140"/>
        <v>2</v>
      </c>
      <c r="AJ543" s="2">
        <f t="shared" si="141"/>
        <v>2</v>
      </c>
      <c r="AK543" s="2">
        <f t="shared" si="142"/>
        <v>2</v>
      </c>
      <c r="AL543" s="2">
        <f t="shared" si="143"/>
        <v>0</v>
      </c>
      <c r="AM543" s="115"/>
      <c r="AN543" s="115"/>
      <c r="AO543" s="63"/>
    </row>
    <row r="544" spans="1:41" ht="43.2" x14ac:dyDescent="0.55000000000000004">
      <c r="A544" s="36">
        <v>2351</v>
      </c>
      <c r="B544" s="113" t="s">
        <v>2056</v>
      </c>
      <c r="C544" s="138" t="s">
        <v>2057</v>
      </c>
      <c r="D544" s="114" t="s">
        <v>52</v>
      </c>
      <c r="E544" s="115"/>
      <c r="F544" s="116"/>
      <c r="G544" s="113" t="s">
        <v>2033</v>
      </c>
      <c r="H544" s="113" t="s">
        <v>2055</v>
      </c>
      <c r="I544" s="113" t="s">
        <v>2016</v>
      </c>
      <c r="J544" s="117"/>
      <c r="K544" s="118"/>
      <c r="L544" s="109">
        <v>2</v>
      </c>
      <c r="M544" s="109">
        <v>3</v>
      </c>
      <c r="N544" s="109"/>
      <c r="O544" s="119"/>
      <c r="P544" s="2">
        <f t="shared" si="128"/>
        <v>1</v>
      </c>
      <c r="Q544" s="110" t="str">
        <f>IF(AND(Drops!$D$45&gt;1,OR(U544&lt;&gt;U543,AND(ROW()=5,U543=U544))),VLOOKUP(U544,Drops!$D$26:$E$44,2,FALSE),"")</f>
        <v/>
      </c>
      <c r="R544" s="2" t="str">
        <f t="shared" si="129"/>
        <v/>
      </c>
      <c r="S544" s="2">
        <f t="shared" ca="1" si="130"/>
        <v>1</v>
      </c>
      <c r="T544" s="2">
        <f t="shared" si="131"/>
        <v>0</v>
      </c>
      <c r="U544" s="110" t="s">
        <v>1846</v>
      </c>
      <c r="V544" s="110">
        <v>10</v>
      </c>
      <c r="W544" s="110">
        <v>11</v>
      </c>
      <c r="X544" s="110">
        <v>0</v>
      </c>
      <c r="Y544" s="110">
        <v>0</v>
      </c>
      <c r="Z544" s="110">
        <v>0</v>
      </c>
      <c r="AA544" s="2">
        <f t="shared" si="132"/>
        <v>1</v>
      </c>
      <c r="AB544" s="2">
        <f t="shared" si="133"/>
        <v>0</v>
      </c>
      <c r="AC544" s="2">
        <f t="shared" si="134"/>
        <v>1</v>
      </c>
      <c r="AD544" s="2">
        <f t="shared" si="135"/>
        <v>1</v>
      </c>
      <c r="AE544" s="2">
        <f t="shared" si="136"/>
        <v>3</v>
      </c>
      <c r="AF544" s="2">
        <f t="shared" si="137"/>
        <v>3</v>
      </c>
      <c r="AG544" s="2">
        <f t="shared" si="138"/>
        <v>3</v>
      </c>
      <c r="AH544" s="2">
        <f t="shared" si="139"/>
        <v>2</v>
      </c>
      <c r="AI544" s="2">
        <f t="shared" si="140"/>
        <v>2</v>
      </c>
      <c r="AJ544" s="2">
        <f t="shared" si="141"/>
        <v>2</v>
      </c>
      <c r="AK544" s="2">
        <f t="shared" si="142"/>
        <v>2</v>
      </c>
      <c r="AL544" s="2">
        <f t="shared" si="143"/>
        <v>0</v>
      </c>
      <c r="AM544" s="115"/>
      <c r="AN544" s="115"/>
      <c r="AO544" s="63"/>
    </row>
    <row r="545" spans="1:41" ht="43.2" x14ac:dyDescent="0.55000000000000004">
      <c r="A545" s="36">
        <v>2352</v>
      </c>
      <c r="B545" s="113" t="s">
        <v>2058</v>
      </c>
      <c r="C545" s="138" t="s">
        <v>2059</v>
      </c>
      <c r="D545" s="114" t="s">
        <v>52</v>
      </c>
      <c r="E545" s="115"/>
      <c r="F545" s="116"/>
      <c r="G545" s="113" t="s">
        <v>2033</v>
      </c>
      <c r="H545" s="113" t="s">
        <v>2055</v>
      </c>
      <c r="I545" s="113" t="s">
        <v>2016</v>
      </c>
      <c r="J545" s="117"/>
      <c r="K545" s="118"/>
      <c r="L545" s="109">
        <v>2</v>
      </c>
      <c r="M545" s="109">
        <v>3</v>
      </c>
      <c r="N545" s="109"/>
      <c r="O545" s="119"/>
      <c r="P545" s="2">
        <f t="shared" si="128"/>
        <v>1</v>
      </c>
      <c r="Q545" s="110" t="str">
        <f>IF(AND(Drops!$D$45&gt;1,OR(U545&lt;&gt;U544,AND(ROW()=5,U544=U545))),VLOOKUP(U545,Drops!$D$26:$E$44,2,FALSE),"")</f>
        <v/>
      </c>
      <c r="R545" s="2" t="str">
        <f t="shared" si="129"/>
        <v/>
      </c>
      <c r="S545" s="2">
        <f t="shared" ca="1" si="130"/>
        <v>1</v>
      </c>
      <c r="T545" s="2">
        <f t="shared" si="131"/>
        <v>0</v>
      </c>
      <c r="U545" s="110" t="s">
        <v>1846</v>
      </c>
      <c r="V545" s="110">
        <v>10</v>
      </c>
      <c r="W545" s="110">
        <v>12</v>
      </c>
      <c r="X545" s="110">
        <v>0</v>
      </c>
      <c r="Y545" s="110">
        <v>0</v>
      </c>
      <c r="Z545" s="110">
        <v>0</v>
      </c>
      <c r="AA545" s="2">
        <f t="shared" si="132"/>
        <v>1</v>
      </c>
      <c r="AB545" s="2">
        <f t="shared" si="133"/>
        <v>0</v>
      </c>
      <c r="AC545" s="2">
        <f t="shared" si="134"/>
        <v>1</v>
      </c>
      <c r="AD545" s="2">
        <f t="shared" si="135"/>
        <v>1</v>
      </c>
      <c r="AE545" s="2">
        <f t="shared" si="136"/>
        <v>3</v>
      </c>
      <c r="AF545" s="2">
        <f t="shared" si="137"/>
        <v>3</v>
      </c>
      <c r="AG545" s="2">
        <f t="shared" si="138"/>
        <v>3</v>
      </c>
      <c r="AH545" s="2">
        <f t="shared" si="139"/>
        <v>2</v>
      </c>
      <c r="AI545" s="2">
        <f t="shared" si="140"/>
        <v>2</v>
      </c>
      <c r="AJ545" s="2">
        <f t="shared" si="141"/>
        <v>2</v>
      </c>
      <c r="AK545" s="2">
        <f t="shared" si="142"/>
        <v>2</v>
      </c>
      <c r="AL545" s="2">
        <f t="shared" si="143"/>
        <v>0</v>
      </c>
      <c r="AM545" s="115"/>
      <c r="AN545" s="115"/>
      <c r="AO545" s="63"/>
    </row>
    <row r="546" spans="1:41" ht="43.2" x14ac:dyDescent="0.55000000000000004">
      <c r="A546" s="36">
        <v>2354</v>
      </c>
      <c r="B546" s="113" t="s">
        <v>2060</v>
      </c>
      <c r="C546" s="138" t="s">
        <v>2061</v>
      </c>
      <c r="D546" s="114" t="s">
        <v>52</v>
      </c>
      <c r="E546" s="115"/>
      <c r="F546" s="116"/>
      <c r="G546" s="113" t="s">
        <v>2033</v>
      </c>
      <c r="H546" s="113" t="s">
        <v>2055</v>
      </c>
      <c r="I546" s="113" t="s">
        <v>2016</v>
      </c>
      <c r="J546" s="117"/>
      <c r="K546" s="118"/>
      <c r="L546" s="109">
        <v>2</v>
      </c>
      <c r="M546" s="109">
        <v>3</v>
      </c>
      <c r="N546" s="109"/>
      <c r="O546" s="119"/>
      <c r="P546" s="2">
        <f t="shared" si="128"/>
        <v>1</v>
      </c>
      <c r="Q546" s="110" t="str">
        <f>IF(AND(Drops!$D$45&gt;1,OR(U546&lt;&gt;U545,AND(ROW()=5,U545=U546))),VLOOKUP(U546,Drops!$D$26:$E$44,2,FALSE),"")</f>
        <v/>
      </c>
      <c r="R546" s="2" t="str">
        <f t="shared" si="129"/>
        <v/>
      </c>
      <c r="S546" s="2">
        <f t="shared" ca="1" si="130"/>
        <v>1</v>
      </c>
      <c r="T546" s="2">
        <f t="shared" si="131"/>
        <v>0</v>
      </c>
      <c r="U546" s="110" t="s">
        <v>1846</v>
      </c>
      <c r="V546" s="110">
        <v>10</v>
      </c>
      <c r="W546" s="110">
        <v>13</v>
      </c>
      <c r="X546" s="110">
        <v>0</v>
      </c>
      <c r="Y546" s="110">
        <v>0</v>
      </c>
      <c r="Z546" s="110">
        <v>0</v>
      </c>
      <c r="AA546" s="2">
        <f t="shared" si="132"/>
        <v>1</v>
      </c>
      <c r="AB546" s="2">
        <f t="shared" si="133"/>
        <v>0</v>
      </c>
      <c r="AC546" s="2">
        <f t="shared" si="134"/>
        <v>1</v>
      </c>
      <c r="AD546" s="2">
        <f t="shared" si="135"/>
        <v>1</v>
      </c>
      <c r="AE546" s="2">
        <f t="shared" si="136"/>
        <v>3</v>
      </c>
      <c r="AF546" s="2">
        <f t="shared" si="137"/>
        <v>3</v>
      </c>
      <c r="AG546" s="2">
        <f t="shared" si="138"/>
        <v>3</v>
      </c>
      <c r="AH546" s="2">
        <f t="shared" si="139"/>
        <v>2</v>
      </c>
      <c r="AI546" s="2">
        <f t="shared" si="140"/>
        <v>2</v>
      </c>
      <c r="AJ546" s="2">
        <f t="shared" si="141"/>
        <v>2</v>
      </c>
      <c r="AK546" s="2">
        <f t="shared" si="142"/>
        <v>2</v>
      </c>
      <c r="AL546" s="2">
        <f t="shared" si="143"/>
        <v>0</v>
      </c>
      <c r="AM546" s="115"/>
      <c r="AN546" s="115"/>
      <c r="AO546" s="63"/>
    </row>
    <row r="547" spans="1:41" ht="43.2" x14ac:dyDescent="0.55000000000000004">
      <c r="A547" s="36">
        <v>2355</v>
      </c>
      <c r="B547" s="113" t="s">
        <v>2062</v>
      </c>
      <c r="C547" s="138" t="s">
        <v>2063</v>
      </c>
      <c r="D547" s="114" t="s">
        <v>52</v>
      </c>
      <c r="E547" s="115"/>
      <c r="F547" s="116"/>
      <c r="G547" s="113" t="s">
        <v>2033</v>
      </c>
      <c r="H547" s="113" t="s">
        <v>2055</v>
      </c>
      <c r="I547" s="113" t="s">
        <v>2016</v>
      </c>
      <c r="J547" s="117"/>
      <c r="K547" s="118"/>
      <c r="L547" s="109">
        <v>2</v>
      </c>
      <c r="M547" s="109">
        <v>3</v>
      </c>
      <c r="N547" s="109"/>
      <c r="O547" s="119"/>
      <c r="P547" s="2">
        <f t="shared" si="128"/>
        <v>1</v>
      </c>
      <c r="Q547" s="110" t="str">
        <f>IF(AND(Drops!$D$45&gt;1,OR(U547&lt;&gt;U546,AND(ROW()=5,U546=U547))),VLOOKUP(U547,Drops!$D$26:$E$44,2,FALSE),"")</f>
        <v/>
      </c>
      <c r="R547" s="2" t="str">
        <f t="shared" si="129"/>
        <v/>
      </c>
      <c r="S547" s="2">
        <f t="shared" ca="1" si="130"/>
        <v>1</v>
      </c>
      <c r="T547" s="2">
        <f t="shared" si="131"/>
        <v>0</v>
      </c>
      <c r="U547" s="110" t="s">
        <v>1846</v>
      </c>
      <c r="V547" s="110">
        <v>10</v>
      </c>
      <c r="W547" s="110">
        <v>14</v>
      </c>
      <c r="X547" s="110">
        <v>0</v>
      </c>
      <c r="Y547" s="110">
        <v>0</v>
      </c>
      <c r="Z547" s="110">
        <v>0</v>
      </c>
      <c r="AA547" s="2">
        <f t="shared" si="132"/>
        <v>1</v>
      </c>
      <c r="AB547" s="2">
        <f t="shared" si="133"/>
        <v>0</v>
      </c>
      <c r="AC547" s="2">
        <f t="shared" si="134"/>
        <v>1</v>
      </c>
      <c r="AD547" s="2">
        <f t="shared" si="135"/>
        <v>1</v>
      </c>
      <c r="AE547" s="2">
        <f t="shared" si="136"/>
        <v>3</v>
      </c>
      <c r="AF547" s="2">
        <f t="shared" si="137"/>
        <v>3</v>
      </c>
      <c r="AG547" s="2">
        <f t="shared" si="138"/>
        <v>3</v>
      </c>
      <c r="AH547" s="2">
        <f t="shared" si="139"/>
        <v>2</v>
      </c>
      <c r="AI547" s="2">
        <f t="shared" si="140"/>
        <v>2</v>
      </c>
      <c r="AJ547" s="2">
        <f t="shared" si="141"/>
        <v>2</v>
      </c>
      <c r="AK547" s="2">
        <f t="shared" si="142"/>
        <v>2</v>
      </c>
      <c r="AL547" s="2">
        <f t="shared" si="143"/>
        <v>0</v>
      </c>
      <c r="AM547" s="115"/>
      <c r="AN547" s="115"/>
      <c r="AO547" s="63"/>
    </row>
    <row r="548" spans="1:41" ht="43.2" x14ac:dyDescent="0.55000000000000004">
      <c r="A548" s="36">
        <v>4076</v>
      </c>
      <c r="B548" s="113" t="s">
        <v>2064</v>
      </c>
      <c r="C548" s="138" t="s">
        <v>2065</v>
      </c>
      <c r="D548" s="114" t="s">
        <v>52</v>
      </c>
      <c r="E548" s="115"/>
      <c r="F548" s="116"/>
      <c r="G548" s="113" t="s">
        <v>2033</v>
      </c>
      <c r="H548" s="113" t="s">
        <v>2055</v>
      </c>
      <c r="I548" s="113"/>
      <c r="J548" s="117"/>
      <c r="K548" s="118"/>
      <c r="L548" s="109">
        <v>2</v>
      </c>
      <c r="M548" s="109">
        <v>3</v>
      </c>
      <c r="N548" s="109"/>
      <c r="O548" s="119"/>
      <c r="P548" s="2">
        <f t="shared" si="128"/>
        <v>1</v>
      </c>
      <c r="Q548" s="110" t="str">
        <f>IF(AND(Drops!$D$45&gt;1,OR(U548&lt;&gt;U547,AND(ROW()=5,U547=U548))),VLOOKUP(U548,Drops!$D$26:$E$44,2,FALSE),"")</f>
        <v/>
      </c>
      <c r="R548" s="2" t="str">
        <f t="shared" si="129"/>
        <v/>
      </c>
      <c r="S548" s="2">
        <f t="shared" ca="1" si="130"/>
        <v>1</v>
      </c>
      <c r="T548" s="2">
        <f t="shared" si="131"/>
        <v>0</v>
      </c>
      <c r="U548" s="110" t="s">
        <v>1846</v>
      </c>
      <c r="V548" s="110">
        <v>10</v>
      </c>
      <c r="W548" s="110">
        <v>16</v>
      </c>
      <c r="X548" s="110">
        <v>0</v>
      </c>
      <c r="Y548" s="110">
        <v>0</v>
      </c>
      <c r="Z548" s="110">
        <v>0</v>
      </c>
      <c r="AA548" s="2">
        <f t="shared" si="132"/>
        <v>1</v>
      </c>
      <c r="AB548" s="2">
        <f t="shared" si="133"/>
        <v>0</v>
      </c>
      <c r="AC548" s="2">
        <f t="shared" si="134"/>
        <v>1</v>
      </c>
      <c r="AD548" s="2">
        <f t="shared" si="135"/>
        <v>1</v>
      </c>
      <c r="AE548" s="2">
        <f t="shared" si="136"/>
        <v>3</v>
      </c>
      <c r="AF548" s="2">
        <f t="shared" si="137"/>
        <v>3</v>
      </c>
      <c r="AG548" s="2">
        <f t="shared" si="138"/>
        <v>3</v>
      </c>
      <c r="AH548" s="2">
        <f t="shared" si="139"/>
        <v>2</v>
      </c>
      <c r="AI548" s="2">
        <f t="shared" si="140"/>
        <v>2</v>
      </c>
      <c r="AJ548" s="2">
        <f t="shared" si="141"/>
        <v>2</v>
      </c>
      <c r="AK548" s="2">
        <f t="shared" si="142"/>
        <v>2</v>
      </c>
      <c r="AL548" s="2">
        <f t="shared" si="143"/>
        <v>0</v>
      </c>
      <c r="AM548" s="115"/>
      <c r="AN548" s="115"/>
      <c r="AO548" s="63"/>
    </row>
    <row r="549" spans="1:41" ht="43.2" x14ac:dyDescent="0.55000000000000004">
      <c r="A549" s="36">
        <v>4077</v>
      </c>
      <c r="B549" s="113" t="s">
        <v>2066</v>
      </c>
      <c r="C549" s="138" t="s">
        <v>2067</v>
      </c>
      <c r="D549" s="114" t="s">
        <v>52</v>
      </c>
      <c r="E549" s="115"/>
      <c r="F549" s="116"/>
      <c r="G549" s="113" t="s">
        <v>2033</v>
      </c>
      <c r="H549" s="113" t="s">
        <v>2055</v>
      </c>
      <c r="I549" s="113" t="s">
        <v>2016</v>
      </c>
      <c r="J549" s="117"/>
      <c r="K549" s="118"/>
      <c r="L549" s="109">
        <v>2</v>
      </c>
      <c r="M549" s="109">
        <v>3</v>
      </c>
      <c r="N549" s="109"/>
      <c r="O549" s="119"/>
      <c r="P549" s="2">
        <f t="shared" si="128"/>
        <v>1</v>
      </c>
      <c r="Q549" s="110" t="str">
        <f>IF(AND(Drops!$D$45&gt;1,OR(U549&lt;&gt;U548,AND(ROW()=5,U548=U549))),VLOOKUP(U549,Drops!$D$26:$E$44,2,FALSE),"")</f>
        <v/>
      </c>
      <c r="R549" s="2" t="str">
        <f t="shared" si="129"/>
        <v/>
      </c>
      <c r="S549" s="2">
        <f t="shared" ca="1" si="130"/>
        <v>1</v>
      </c>
      <c r="T549" s="2">
        <f t="shared" si="131"/>
        <v>0</v>
      </c>
      <c r="U549" s="110" t="s">
        <v>1846</v>
      </c>
      <c r="V549" s="110">
        <v>10</v>
      </c>
      <c r="W549" s="110">
        <v>17</v>
      </c>
      <c r="X549" s="110">
        <v>0</v>
      </c>
      <c r="Y549" s="110">
        <v>0</v>
      </c>
      <c r="Z549" s="110">
        <v>0</v>
      </c>
      <c r="AA549" s="2">
        <f t="shared" si="132"/>
        <v>1</v>
      </c>
      <c r="AB549" s="2">
        <f t="shared" si="133"/>
        <v>0</v>
      </c>
      <c r="AC549" s="2">
        <f t="shared" si="134"/>
        <v>1</v>
      </c>
      <c r="AD549" s="2">
        <f t="shared" si="135"/>
        <v>1</v>
      </c>
      <c r="AE549" s="2">
        <f t="shared" si="136"/>
        <v>3</v>
      </c>
      <c r="AF549" s="2">
        <f t="shared" si="137"/>
        <v>3</v>
      </c>
      <c r="AG549" s="2">
        <f t="shared" si="138"/>
        <v>3</v>
      </c>
      <c r="AH549" s="2">
        <f t="shared" si="139"/>
        <v>2</v>
      </c>
      <c r="AI549" s="2">
        <f t="shared" si="140"/>
        <v>2</v>
      </c>
      <c r="AJ549" s="2">
        <f t="shared" si="141"/>
        <v>2</v>
      </c>
      <c r="AK549" s="2">
        <f t="shared" si="142"/>
        <v>2</v>
      </c>
      <c r="AL549" s="2">
        <f t="shared" si="143"/>
        <v>0</v>
      </c>
      <c r="AM549" s="115"/>
      <c r="AN549" s="115"/>
      <c r="AO549" s="63"/>
    </row>
    <row r="550" spans="1:41" ht="43.2" x14ac:dyDescent="0.55000000000000004">
      <c r="A550" s="36">
        <v>2762</v>
      </c>
      <c r="B550" s="113" t="s">
        <v>2068</v>
      </c>
      <c r="C550" s="138" t="s">
        <v>2069</v>
      </c>
      <c r="D550" s="114" t="s">
        <v>52</v>
      </c>
      <c r="E550" s="115"/>
      <c r="F550" s="116"/>
      <c r="G550" s="113" t="s">
        <v>2033</v>
      </c>
      <c r="H550" s="113" t="s">
        <v>2055</v>
      </c>
      <c r="I550" s="113" t="s">
        <v>2016</v>
      </c>
      <c r="J550" s="117"/>
      <c r="K550" s="118"/>
      <c r="L550" s="109">
        <v>2</v>
      </c>
      <c r="M550" s="109">
        <v>3</v>
      </c>
      <c r="N550" s="109"/>
      <c r="O550" s="119"/>
      <c r="P550" s="2">
        <f t="shared" si="128"/>
        <v>1</v>
      </c>
      <c r="Q550" s="110" t="str">
        <f>IF(AND(Drops!$D$45&gt;1,OR(U550&lt;&gt;U549,AND(ROW()=5,U549=U550))),VLOOKUP(U550,Drops!$D$26:$E$44,2,FALSE),"")</f>
        <v/>
      </c>
      <c r="R550" s="2" t="str">
        <f t="shared" si="129"/>
        <v/>
      </c>
      <c r="S550" s="2">
        <f t="shared" ca="1" si="130"/>
        <v>1</v>
      </c>
      <c r="T550" s="2">
        <f t="shared" si="131"/>
        <v>0</v>
      </c>
      <c r="U550" s="110" t="s">
        <v>1846</v>
      </c>
      <c r="V550" s="110">
        <v>10</v>
      </c>
      <c r="W550" s="110">
        <v>18</v>
      </c>
      <c r="X550" s="110">
        <v>0</v>
      </c>
      <c r="Y550" s="110">
        <v>0</v>
      </c>
      <c r="Z550" s="110">
        <v>0</v>
      </c>
      <c r="AA550" s="2">
        <f t="shared" si="132"/>
        <v>1</v>
      </c>
      <c r="AB550" s="2">
        <f t="shared" si="133"/>
        <v>0</v>
      </c>
      <c r="AC550" s="2">
        <f t="shared" si="134"/>
        <v>1</v>
      </c>
      <c r="AD550" s="2">
        <f t="shared" si="135"/>
        <v>1</v>
      </c>
      <c r="AE550" s="2">
        <f t="shared" si="136"/>
        <v>3</v>
      </c>
      <c r="AF550" s="2">
        <f t="shared" si="137"/>
        <v>3</v>
      </c>
      <c r="AG550" s="2">
        <f t="shared" si="138"/>
        <v>3</v>
      </c>
      <c r="AH550" s="2">
        <f t="shared" si="139"/>
        <v>2</v>
      </c>
      <c r="AI550" s="2">
        <f t="shared" si="140"/>
        <v>2</v>
      </c>
      <c r="AJ550" s="2">
        <f t="shared" si="141"/>
        <v>2</v>
      </c>
      <c r="AK550" s="2">
        <f t="shared" si="142"/>
        <v>2</v>
      </c>
      <c r="AL550" s="2">
        <f t="shared" si="143"/>
        <v>0</v>
      </c>
      <c r="AM550" s="115"/>
      <c r="AN550" s="115"/>
      <c r="AO550" s="63"/>
    </row>
    <row r="551" spans="1:41" ht="43.2" x14ac:dyDescent="0.55000000000000004">
      <c r="A551" s="36">
        <v>2763</v>
      </c>
      <c r="B551" s="113" t="s">
        <v>2070</v>
      </c>
      <c r="C551" s="138" t="s">
        <v>2071</v>
      </c>
      <c r="D551" s="114" t="s">
        <v>52</v>
      </c>
      <c r="E551" s="115"/>
      <c r="F551" s="116"/>
      <c r="G551" s="113" t="s">
        <v>2033</v>
      </c>
      <c r="H551" s="113" t="s">
        <v>2055</v>
      </c>
      <c r="I551" s="113" t="s">
        <v>2016</v>
      </c>
      <c r="J551" s="117"/>
      <c r="K551" s="118"/>
      <c r="L551" s="109">
        <v>2</v>
      </c>
      <c r="M551" s="109">
        <v>3</v>
      </c>
      <c r="N551" s="109"/>
      <c r="O551" s="119"/>
      <c r="P551" s="2">
        <f t="shared" si="128"/>
        <v>1</v>
      </c>
      <c r="Q551" s="110" t="str">
        <f>IF(AND(Drops!$D$45&gt;1,OR(U551&lt;&gt;U550,AND(ROW()=5,U550=U551))),VLOOKUP(U551,Drops!$D$26:$E$44,2,FALSE),"")</f>
        <v/>
      </c>
      <c r="R551" s="2" t="str">
        <f t="shared" si="129"/>
        <v/>
      </c>
      <c r="S551" s="2">
        <f t="shared" ca="1" si="130"/>
        <v>1</v>
      </c>
      <c r="T551" s="2">
        <f t="shared" si="131"/>
        <v>0</v>
      </c>
      <c r="U551" s="110" t="s">
        <v>1846</v>
      </c>
      <c r="V551" s="110">
        <v>10</v>
      </c>
      <c r="W551" s="110">
        <v>19</v>
      </c>
      <c r="X551" s="110">
        <v>0</v>
      </c>
      <c r="Y551" s="110">
        <v>0</v>
      </c>
      <c r="Z551" s="110">
        <v>0</v>
      </c>
      <c r="AA551" s="2">
        <f t="shared" si="132"/>
        <v>1</v>
      </c>
      <c r="AB551" s="2">
        <f t="shared" si="133"/>
        <v>0</v>
      </c>
      <c r="AC551" s="2">
        <f t="shared" si="134"/>
        <v>1</v>
      </c>
      <c r="AD551" s="2">
        <f t="shared" si="135"/>
        <v>1</v>
      </c>
      <c r="AE551" s="2">
        <f t="shared" si="136"/>
        <v>3</v>
      </c>
      <c r="AF551" s="2">
        <f t="shared" si="137"/>
        <v>3</v>
      </c>
      <c r="AG551" s="2">
        <f t="shared" si="138"/>
        <v>3</v>
      </c>
      <c r="AH551" s="2">
        <f t="shared" si="139"/>
        <v>2</v>
      </c>
      <c r="AI551" s="2">
        <f t="shared" si="140"/>
        <v>2</v>
      </c>
      <c r="AJ551" s="2">
        <f t="shared" si="141"/>
        <v>2</v>
      </c>
      <c r="AK551" s="2">
        <f t="shared" si="142"/>
        <v>2</v>
      </c>
      <c r="AL551" s="2">
        <f t="shared" si="143"/>
        <v>0</v>
      </c>
      <c r="AM551" s="115"/>
      <c r="AN551" s="115"/>
      <c r="AO551" s="63"/>
    </row>
    <row r="552" spans="1:41" ht="43.2" x14ac:dyDescent="0.55000000000000004">
      <c r="A552" s="36">
        <v>2764</v>
      </c>
      <c r="B552" s="113" t="s">
        <v>2072</v>
      </c>
      <c r="C552" s="138" t="s">
        <v>2073</v>
      </c>
      <c r="D552" s="114" t="s">
        <v>52</v>
      </c>
      <c r="E552" s="115"/>
      <c r="F552" s="116"/>
      <c r="G552" s="113" t="s">
        <v>2033</v>
      </c>
      <c r="H552" s="113" t="s">
        <v>2055</v>
      </c>
      <c r="I552" s="113" t="s">
        <v>2016</v>
      </c>
      <c r="J552" s="117"/>
      <c r="K552" s="118"/>
      <c r="L552" s="109">
        <v>2</v>
      </c>
      <c r="M552" s="109">
        <v>3</v>
      </c>
      <c r="N552" s="109"/>
      <c r="O552" s="119"/>
      <c r="P552" s="2">
        <f t="shared" si="128"/>
        <v>1</v>
      </c>
      <c r="Q552" s="110" t="str">
        <f>IF(AND(Drops!$D$45&gt;1,OR(U552&lt;&gt;U551,AND(ROW()=5,U551=U552))),VLOOKUP(U552,Drops!$D$26:$E$44,2,FALSE),"")</f>
        <v/>
      </c>
      <c r="R552" s="2" t="str">
        <f t="shared" si="129"/>
        <v/>
      </c>
      <c r="S552" s="2">
        <f t="shared" ca="1" si="130"/>
        <v>1</v>
      </c>
      <c r="T552" s="2">
        <f t="shared" si="131"/>
        <v>0</v>
      </c>
      <c r="U552" s="110" t="s">
        <v>1846</v>
      </c>
      <c r="V552" s="110">
        <v>10</v>
      </c>
      <c r="W552" s="110">
        <v>20</v>
      </c>
      <c r="X552" s="110">
        <v>0</v>
      </c>
      <c r="Y552" s="110">
        <v>0</v>
      </c>
      <c r="Z552" s="110">
        <v>0</v>
      </c>
      <c r="AA552" s="2">
        <f t="shared" si="132"/>
        <v>1</v>
      </c>
      <c r="AB552" s="2">
        <f t="shared" si="133"/>
        <v>0</v>
      </c>
      <c r="AC552" s="2">
        <f t="shared" si="134"/>
        <v>1</v>
      </c>
      <c r="AD552" s="2">
        <f t="shared" si="135"/>
        <v>1</v>
      </c>
      <c r="AE552" s="2">
        <f t="shared" si="136"/>
        <v>3</v>
      </c>
      <c r="AF552" s="2">
        <f t="shared" si="137"/>
        <v>3</v>
      </c>
      <c r="AG552" s="2">
        <f t="shared" si="138"/>
        <v>3</v>
      </c>
      <c r="AH552" s="2">
        <f t="shared" si="139"/>
        <v>2</v>
      </c>
      <c r="AI552" s="2">
        <f t="shared" si="140"/>
        <v>2</v>
      </c>
      <c r="AJ552" s="2">
        <f t="shared" si="141"/>
        <v>2</v>
      </c>
      <c r="AK552" s="2">
        <f t="shared" si="142"/>
        <v>2</v>
      </c>
      <c r="AL552" s="2">
        <f t="shared" si="143"/>
        <v>0</v>
      </c>
      <c r="AM552" s="115"/>
      <c r="AN552" s="115"/>
      <c r="AO552" s="63"/>
    </row>
    <row r="553" spans="1:41" ht="43.2" x14ac:dyDescent="0.55000000000000004">
      <c r="A553" s="36">
        <v>4078</v>
      </c>
      <c r="B553" s="113" t="s">
        <v>2074</v>
      </c>
      <c r="C553" s="138" t="s">
        <v>2075</v>
      </c>
      <c r="D553" s="114" t="s">
        <v>52</v>
      </c>
      <c r="E553" s="115"/>
      <c r="F553" s="116"/>
      <c r="G553" s="113" t="s">
        <v>2033</v>
      </c>
      <c r="H553" s="113" t="s">
        <v>2055</v>
      </c>
      <c r="I553" s="113"/>
      <c r="J553" s="117"/>
      <c r="K553" s="118"/>
      <c r="L553" s="109">
        <v>2</v>
      </c>
      <c r="M553" s="109">
        <v>3</v>
      </c>
      <c r="N553" s="109"/>
      <c r="O553" s="119"/>
      <c r="P553" s="2">
        <f t="shared" si="128"/>
        <v>1</v>
      </c>
      <c r="Q553" s="110" t="str">
        <f>IF(AND(Drops!$D$45&gt;1,OR(U553&lt;&gt;U552,AND(ROW()=5,U552=U553))),VLOOKUP(U553,Drops!$D$26:$E$44,2,FALSE),"")</f>
        <v/>
      </c>
      <c r="R553" s="2" t="str">
        <f t="shared" si="129"/>
        <v/>
      </c>
      <c r="S553" s="2">
        <f t="shared" ca="1" si="130"/>
        <v>1</v>
      </c>
      <c r="T553" s="2">
        <f t="shared" si="131"/>
        <v>0</v>
      </c>
      <c r="U553" s="110" t="s">
        <v>1846</v>
      </c>
      <c r="V553" s="110">
        <v>10</v>
      </c>
      <c r="W553" s="110">
        <v>21</v>
      </c>
      <c r="X553" s="110">
        <v>0</v>
      </c>
      <c r="Y553" s="110">
        <v>0</v>
      </c>
      <c r="Z553" s="110">
        <v>0</v>
      </c>
      <c r="AA553" s="2">
        <f t="shared" si="132"/>
        <v>1</v>
      </c>
      <c r="AB553" s="2">
        <f t="shared" si="133"/>
        <v>0</v>
      </c>
      <c r="AC553" s="2">
        <f t="shared" si="134"/>
        <v>1</v>
      </c>
      <c r="AD553" s="2">
        <f t="shared" si="135"/>
        <v>1</v>
      </c>
      <c r="AE553" s="2">
        <f t="shared" si="136"/>
        <v>3</v>
      </c>
      <c r="AF553" s="2">
        <f t="shared" si="137"/>
        <v>3</v>
      </c>
      <c r="AG553" s="2">
        <f t="shared" si="138"/>
        <v>3</v>
      </c>
      <c r="AH553" s="2">
        <f t="shared" si="139"/>
        <v>2</v>
      </c>
      <c r="AI553" s="2">
        <f t="shared" si="140"/>
        <v>2</v>
      </c>
      <c r="AJ553" s="2">
        <f t="shared" si="141"/>
        <v>2</v>
      </c>
      <c r="AK553" s="2">
        <f t="shared" si="142"/>
        <v>2</v>
      </c>
      <c r="AL553" s="2">
        <f t="shared" si="143"/>
        <v>0</v>
      </c>
      <c r="AM553" s="115"/>
      <c r="AN553" s="115"/>
      <c r="AO553" s="63"/>
    </row>
    <row r="554" spans="1:41" ht="43.2" x14ac:dyDescent="0.55000000000000004">
      <c r="A554" s="36">
        <v>5867</v>
      </c>
      <c r="B554" s="113" t="s">
        <v>2076</v>
      </c>
      <c r="C554" s="113" t="s">
        <v>2077</v>
      </c>
      <c r="D554" s="114" t="s">
        <v>52</v>
      </c>
      <c r="E554" s="115"/>
      <c r="F554" s="116"/>
      <c r="G554" s="113" t="s">
        <v>2033</v>
      </c>
      <c r="H554" s="113" t="s">
        <v>2078</v>
      </c>
      <c r="I554" s="113" t="s">
        <v>2016</v>
      </c>
      <c r="J554" s="117"/>
      <c r="K554" s="118"/>
      <c r="L554" s="109">
        <v>1</v>
      </c>
      <c r="M554" s="109">
        <v>3</v>
      </c>
      <c r="N554" s="109"/>
      <c r="O554" s="119"/>
      <c r="P554" s="2">
        <f t="shared" si="128"/>
        <v>1</v>
      </c>
      <c r="Q554" s="110" t="str">
        <f>IF(AND(Drops!$D$45&gt;1,OR(U554&lt;&gt;U553,AND(ROW()=5,U553=U554))),VLOOKUP(U554,Drops!$D$26:$E$44,2,FALSE),"")</f>
        <v/>
      </c>
      <c r="R554" s="2" t="str">
        <f t="shared" si="129"/>
        <v/>
      </c>
      <c r="S554" s="2">
        <f t="shared" ca="1" si="130"/>
        <v>1</v>
      </c>
      <c r="T554" s="2">
        <f t="shared" si="131"/>
        <v>1</v>
      </c>
      <c r="U554" s="110" t="s">
        <v>1846</v>
      </c>
      <c r="V554" s="110">
        <v>11</v>
      </c>
      <c r="W554" s="110">
        <v>0</v>
      </c>
      <c r="X554" s="110">
        <v>0</v>
      </c>
      <c r="Y554" s="110">
        <v>0</v>
      </c>
      <c r="Z554" s="110">
        <v>0</v>
      </c>
      <c r="AA554" s="2">
        <f t="shared" si="132"/>
        <v>1</v>
      </c>
      <c r="AB554" s="2">
        <f t="shared" si="133"/>
        <v>1</v>
      </c>
      <c r="AC554" s="2">
        <f t="shared" si="134"/>
        <v>1</v>
      </c>
      <c r="AD554" s="2">
        <f t="shared" si="135"/>
        <v>0</v>
      </c>
      <c r="AE554" s="2">
        <f t="shared" si="136"/>
        <v>3</v>
      </c>
      <c r="AF554" s="2">
        <f t="shared" si="137"/>
        <v>3</v>
      </c>
      <c r="AG554" s="2">
        <f t="shared" si="138"/>
        <v>3</v>
      </c>
      <c r="AH554" s="2">
        <f t="shared" si="139"/>
        <v>2</v>
      </c>
      <c r="AI554" s="2">
        <f t="shared" si="140"/>
        <v>2</v>
      </c>
      <c r="AJ554" s="2">
        <f t="shared" si="141"/>
        <v>2</v>
      </c>
      <c r="AK554" s="2">
        <f t="shared" si="142"/>
        <v>2</v>
      </c>
      <c r="AL554" s="2">
        <f t="shared" si="143"/>
        <v>0</v>
      </c>
      <c r="AM554" s="115"/>
      <c r="AN554" s="115"/>
      <c r="AO554" s="63"/>
    </row>
    <row r="555" spans="1:41" ht="43.2" x14ac:dyDescent="0.55000000000000004">
      <c r="A555" s="36">
        <v>5868</v>
      </c>
      <c r="B555" s="113" t="s">
        <v>2079</v>
      </c>
      <c r="C555" s="138" t="s">
        <v>2080</v>
      </c>
      <c r="D555" s="114" t="s">
        <v>52</v>
      </c>
      <c r="E555" s="115"/>
      <c r="F555" s="116"/>
      <c r="G555" s="113" t="s">
        <v>2033</v>
      </c>
      <c r="H555" s="113" t="s">
        <v>2078</v>
      </c>
      <c r="I555" s="113" t="s">
        <v>2016</v>
      </c>
      <c r="J555" s="117"/>
      <c r="K555" s="118"/>
      <c r="L555" s="109">
        <v>2</v>
      </c>
      <c r="M555" s="109">
        <v>3</v>
      </c>
      <c r="N555" s="109"/>
      <c r="O555" s="119"/>
      <c r="P555" s="2">
        <f t="shared" si="128"/>
        <v>1</v>
      </c>
      <c r="Q555" s="110" t="str">
        <f>IF(AND(Drops!$D$45&gt;1,OR(U555&lt;&gt;U554,AND(ROW()=5,U554=U555))),VLOOKUP(U555,Drops!$D$26:$E$44,2,FALSE),"")</f>
        <v/>
      </c>
      <c r="R555" s="2" t="str">
        <f t="shared" si="129"/>
        <v/>
      </c>
      <c r="S555" s="2">
        <f t="shared" ca="1" si="130"/>
        <v>1</v>
      </c>
      <c r="T555" s="2">
        <f t="shared" si="131"/>
        <v>0</v>
      </c>
      <c r="U555" s="110" t="s">
        <v>1846</v>
      </c>
      <c r="V555" s="110">
        <v>11</v>
      </c>
      <c r="W555" s="110">
        <v>1</v>
      </c>
      <c r="X555" s="110">
        <v>0</v>
      </c>
      <c r="Y555" s="110">
        <v>0</v>
      </c>
      <c r="Z555" s="110">
        <v>0</v>
      </c>
      <c r="AA555" s="2">
        <f t="shared" si="132"/>
        <v>1</v>
      </c>
      <c r="AB555" s="2">
        <f t="shared" si="133"/>
        <v>0</v>
      </c>
      <c r="AC555" s="2">
        <f t="shared" si="134"/>
        <v>1</v>
      </c>
      <c r="AD555" s="2">
        <f t="shared" si="135"/>
        <v>1</v>
      </c>
      <c r="AE555" s="2">
        <f t="shared" si="136"/>
        <v>3</v>
      </c>
      <c r="AF555" s="2">
        <f t="shared" si="137"/>
        <v>3</v>
      </c>
      <c r="AG555" s="2">
        <f t="shared" si="138"/>
        <v>3</v>
      </c>
      <c r="AH555" s="2">
        <f t="shared" si="139"/>
        <v>2</v>
      </c>
      <c r="AI555" s="2">
        <f t="shared" si="140"/>
        <v>2</v>
      </c>
      <c r="AJ555" s="2">
        <f t="shared" si="141"/>
        <v>2</v>
      </c>
      <c r="AK555" s="2">
        <f t="shared" si="142"/>
        <v>2</v>
      </c>
      <c r="AL555" s="2">
        <f t="shared" si="143"/>
        <v>0</v>
      </c>
      <c r="AM555" s="115"/>
      <c r="AN555" s="115"/>
      <c r="AO555" s="63"/>
    </row>
    <row r="556" spans="1:41" ht="43.2" x14ac:dyDescent="0.55000000000000004">
      <c r="A556" s="36">
        <v>5869</v>
      </c>
      <c r="B556" s="113" t="s">
        <v>2081</v>
      </c>
      <c r="C556" s="138" t="s">
        <v>2082</v>
      </c>
      <c r="D556" s="114" t="s">
        <v>52</v>
      </c>
      <c r="E556" s="115"/>
      <c r="F556" s="116"/>
      <c r="G556" s="113" t="s">
        <v>2033</v>
      </c>
      <c r="H556" s="113" t="s">
        <v>2078</v>
      </c>
      <c r="I556" s="113"/>
      <c r="J556" s="117"/>
      <c r="K556" s="118"/>
      <c r="L556" s="109">
        <v>2</v>
      </c>
      <c r="M556" s="109">
        <v>3</v>
      </c>
      <c r="N556" s="109"/>
      <c r="O556" s="119"/>
      <c r="P556" s="2">
        <f t="shared" si="128"/>
        <v>1</v>
      </c>
      <c r="Q556" s="110" t="str">
        <f>IF(AND(Drops!$D$45&gt;1,OR(U556&lt;&gt;U555,AND(ROW()=5,U555=U556))),VLOOKUP(U556,Drops!$D$26:$E$44,2,FALSE),"")</f>
        <v/>
      </c>
      <c r="R556" s="2" t="str">
        <f t="shared" si="129"/>
        <v/>
      </c>
      <c r="S556" s="2">
        <f t="shared" ca="1" si="130"/>
        <v>1</v>
      </c>
      <c r="T556" s="2">
        <f t="shared" si="131"/>
        <v>0</v>
      </c>
      <c r="U556" s="110" t="s">
        <v>1846</v>
      </c>
      <c r="V556" s="110">
        <v>11</v>
      </c>
      <c r="W556" s="110">
        <v>2</v>
      </c>
      <c r="X556" s="110">
        <v>0</v>
      </c>
      <c r="Y556" s="110">
        <v>0</v>
      </c>
      <c r="Z556" s="110">
        <v>0</v>
      </c>
      <c r="AA556" s="2">
        <f t="shared" si="132"/>
        <v>1</v>
      </c>
      <c r="AB556" s="2">
        <f t="shared" si="133"/>
        <v>0</v>
      </c>
      <c r="AC556" s="2">
        <f t="shared" si="134"/>
        <v>1</v>
      </c>
      <c r="AD556" s="2">
        <f t="shared" si="135"/>
        <v>1</v>
      </c>
      <c r="AE556" s="2">
        <f t="shared" si="136"/>
        <v>3</v>
      </c>
      <c r="AF556" s="2">
        <f t="shared" si="137"/>
        <v>3</v>
      </c>
      <c r="AG556" s="2">
        <f t="shared" si="138"/>
        <v>3</v>
      </c>
      <c r="AH556" s="2">
        <f t="shared" si="139"/>
        <v>2</v>
      </c>
      <c r="AI556" s="2">
        <f t="shared" si="140"/>
        <v>2</v>
      </c>
      <c r="AJ556" s="2">
        <f t="shared" si="141"/>
        <v>2</v>
      </c>
      <c r="AK556" s="2">
        <f t="shared" si="142"/>
        <v>2</v>
      </c>
      <c r="AL556" s="2">
        <f t="shared" si="143"/>
        <v>0</v>
      </c>
      <c r="AM556" s="115"/>
      <c r="AN556" s="115"/>
      <c r="AO556" s="63"/>
    </row>
    <row r="557" spans="1:41" ht="43.2" x14ac:dyDescent="0.55000000000000004">
      <c r="A557" s="36">
        <v>5872</v>
      </c>
      <c r="B557" s="113" t="s">
        <v>2083</v>
      </c>
      <c r="C557" s="138" t="s">
        <v>2084</v>
      </c>
      <c r="D557" s="114" t="s">
        <v>52</v>
      </c>
      <c r="E557" s="115"/>
      <c r="F557" s="116"/>
      <c r="G557" s="113" t="s">
        <v>2033</v>
      </c>
      <c r="H557" s="113" t="s">
        <v>2078</v>
      </c>
      <c r="I557" s="113"/>
      <c r="J557" s="117"/>
      <c r="K557" s="118"/>
      <c r="L557" s="109">
        <v>2</v>
      </c>
      <c r="M557" s="109">
        <v>3</v>
      </c>
      <c r="N557" s="109"/>
      <c r="O557" s="119"/>
      <c r="P557" s="2">
        <f t="shared" si="128"/>
        <v>1</v>
      </c>
      <c r="Q557" s="110" t="str">
        <f>IF(AND(Drops!$D$45&gt;1,OR(U557&lt;&gt;U556,AND(ROW()=5,U556=U557))),VLOOKUP(U557,Drops!$D$26:$E$44,2,FALSE),"")</f>
        <v/>
      </c>
      <c r="R557" s="2" t="str">
        <f t="shared" si="129"/>
        <v/>
      </c>
      <c r="S557" s="2">
        <f t="shared" ca="1" si="130"/>
        <v>1</v>
      </c>
      <c r="T557" s="2">
        <f t="shared" si="131"/>
        <v>0</v>
      </c>
      <c r="U557" s="110" t="s">
        <v>1846</v>
      </c>
      <c r="V557" s="110">
        <v>11</v>
      </c>
      <c r="W557" s="110">
        <v>5</v>
      </c>
      <c r="X557" s="110">
        <v>0</v>
      </c>
      <c r="Y557" s="110">
        <v>0</v>
      </c>
      <c r="Z557" s="110">
        <v>0</v>
      </c>
      <c r="AA557" s="2">
        <f t="shared" si="132"/>
        <v>1</v>
      </c>
      <c r="AB557" s="2">
        <f t="shared" si="133"/>
        <v>0</v>
      </c>
      <c r="AC557" s="2">
        <f t="shared" si="134"/>
        <v>1</v>
      </c>
      <c r="AD557" s="2">
        <f t="shared" si="135"/>
        <v>1</v>
      </c>
      <c r="AE557" s="2">
        <f t="shared" si="136"/>
        <v>3</v>
      </c>
      <c r="AF557" s="2">
        <f t="shared" si="137"/>
        <v>3</v>
      </c>
      <c r="AG557" s="2">
        <f t="shared" si="138"/>
        <v>3</v>
      </c>
      <c r="AH557" s="2">
        <f t="shared" si="139"/>
        <v>2</v>
      </c>
      <c r="AI557" s="2">
        <f t="shared" si="140"/>
        <v>2</v>
      </c>
      <c r="AJ557" s="2">
        <f t="shared" si="141"/>
        <v>2</v>
      </c>
      <c r="AK557" s="2">
        <f t="shared" si="142"/>
        <v>2</v>
      </c>
      <c r="AL557" s="2">
        <f t="shared" si="143"/>
        <v>0</v>
      </c>
      <c r="AM557" s="115"/>
      <c r="AN557" s="115"/>
      <c r="AO557" s="63"/>
    </row>
    <row r="558" spans="1:41" ht="28.8" x14ac:dyDescent="0.55000000000000004">
      <c r="A558" s="36">
        <v>4063</v>
      </c>
      <c r="B558" s="113" t="s">
        <v>2085</v>
      </c>
      <c r="C558" s="113" t="s">
        <v>2086</v>
      </c>
      <c r="D558" s="114" t="s">
        <v>52</v>
      </c>
      <c r="E558" s="115"/>
      <c r="F558" s="116"/>
      <c r="G558" s="113" t="s">
        <v>2087</v>
      </c>
      <c r="H558" s="113" t="s">
        <v>2088</v>
      </c>
      <c r="I558" s="113" t="s">
        <v>2016</v>
      </c>
      <c r="J558" s="117"/>
      <c r="K558" s="118"/>
      <c r="L558" s="109">
        <v>1</v>
      </c>
      <c r="M558" s="109">
        <v>3</v>
      </c>
      <c r="N558" s="109"/>
      <c r="O558" s="119"/>
      <c r="P558" s="2">
        <f t="shared" si="128"/>
        <v>1</v>
      </c>
      <c r="Q558" s="110" t="str">
        <f>IF(AND(Drops!$D$45&gt;1,OR(U558&lt;&gt;U557,AND(ROW()=5,U557=U558))),VLOOKUP(U558,Drops!$D$26:$E$44,2,FALSE),"")</f>
        <v/>
      </c>
      <c r="R558" s="2" t="str">
        <f t="shared" si="129"/>
        <v/>
      </c>
      <c r="S558" s="2">
        <f t="shared" ca="1" si="130"/>
        <v>1</v>
      </c>
      <c r="T558" s="2">
        <f t="shared" si="131"/>
        <v>1</v>
      </c>
      <c r="U558" s="110" t="s">
        <v>1846</v>
      </c>
      <c r="V558" s="110">
        <v>12</v>
      </c>
      <c r="W558" s="110">
        <v>0</v>
      </c>
      <c r="X558" s="110">
        <v>0</v>
      </c>
      <c r="Y558" s="110">
        <v>0</v>
      </c>
      <c r="Z558" s="110">
        <v>0</v>
      </c>
      <c r="AA558" s="2">
        <f t="shared" si="132"/>
        <v>1</v>
      </c>
      <c r="AB558" s="2">
        <f t="shared" si="133"/>
        <v>1</v>
      </c>
      <c r="AC558" s="2">
        <f t="shared" si="134"/>
        <v>1</v>
      </c>
      <c r="AD558" s="2">
        <f t="shared" si="135"/>
        <v>0</v>
      </c>
      <c r="AE558" s="2">
        <f t="shared" si="136"/>
        <v>3</v>
      </c>
      <c r="AF558" s="2">
        <f t="shared" si="137"/>
        <v>3</v>
      </c>
      <c r="AG558" s="2">
        <f t="shared" si="138"/>
        <v>3</v>
      </c>
      <c r="AH558" s="2">
        <f t="shared" si="139"/>
        <v>2</v>
      </c>
      <c r="AI558" s="2">
        <f t="shared" si="140"/>
        <v>2</v>
      </c>
      <c r="AJ558" s="2">
        <f t="shared" si="141"/>
        <v>2</v>
      </c>
      <c r="AK558" s="2">
        <f t="shared" si="142"/>
        <v>2</v>
      </c>
      <c r="AL558" s="2">
        <f t="shared" si="143"/>
        <v>0</v>
      </c>
      <c r="AM558" s="115"/>
      <c r="AN558" s="115"/>
      <c r="AO558" s="63"/>
    </row>
    <row r="559" spans="1:41" ht="43.2" x14ac:dyDescent="0.55000000000000004">
      <c r="A559" s="36">
        <v>4065</v>
      </c>
      <c r="B559" s="113" t="s">
        <v>2089</v>
      </c>
      <c r="C559" s="138" t="s">
        <v>2090</v>
      </c>
      <c r="D559" s="114" t="s">
        <v>52</v>
      </c>
      <c r="E559" s="115"/>
      <c r="F559" s="116"/>
      <c r="G559" s="113" t="s">
        <v>2087</v>
      </c>
      <c r="H559" s="113" t="s">
        <v>2091</v>
      </c>
      <c r="I559" s="113" t="s">
        <v>2016</v>
      </c>
      <c r="J559" s="117"/>
      <c r="K559" s="118"/>
      <c r="L559" s="109">
        <v>2</v>
      </c>
      <c r="M559" s="109">
        <v>3</v>
      </c>
      <c r="N559" s="109"/>
      <c r="O559" s="119"/>
      <c r="P559" s="2">
        <f t="shared" si="128"/>
        <v>1</v>
      </c>
      <c r="Q559" s="110" t="str">
        <f>IF(AND(Drops!$D$45&gt;1,OR(U559&lt;&gt;U558,AND(ROW()=5,U558=U559))),VLOOKUP(U559,Drops!$D$26:$E$44,2,FALSE),"")</f>
        <v/>
      </c>
      <c r="R559" s="2" t="str">
        <f t="shared" si="129"/>
        <v/>
      </c>
      <c r="S559" s="2">
        <f t="shared" ca="1" si="130"/>
        <v>1</v>
      </c>
      <c r="T559" s="2">
        <f t="shared" si="131"/>
        <v>0</v>
      </c>
      <c r="U559" s="110" t="s">
        <v>1846</v>
      </c>
      <c r="V559" s="110">
        <v>12</v>
      </c>
      <c r="W559" s="110">
        <v>1</v>
      </c>
      <c r="X559" s="110">
        <v>0</v>
      </c>
      <c r="Y559" s="110">
        <v>0</v>
      </c>
      <c r="Z559" s="110">
        <v>0</v>
      </c>
      <c r="AA559" s="2">
        <f t="shared" si="132"/>
        <v>1</v>
      </c>
      <c r="AB559" s="2">
        <f t="shared" si="133"/>
        <v>0</v>
      </c>
      <c r="AC559" s="2">
        <f t="shared" si="134"/>
        <v>1</v>
      </c>
      <c r="AD559" s="2">
        <f t="shared" si="135"/>
        <v>1</v>
      </c>
      <c r="AE559" s="2">
        <f t="shared" si="136"/>
        <v>3</v>
      </c>
      <c r="AF559" s="2">
        <f t="shared" si="137"/>
        <v>3</v>
      </c>
      <c r="AG559" s="2">
        <f t="shared" si="138"/>
        <v>3</v>
      </c>
      <c r="AH559" s="2">
        <f t="shared" si="139"/>
        <v>2</v>
      </c>
      <c r="AI559" s="2">
        <f t="shared" si="140"/>
        <v>2</v>
      </c>
      <c r="AJ559" s="2">
        <f t="shared" si="141"/>
        <v>2</v>
      </c>
      <c r="AK559" s="2">
        <f t="shared" si="142"/>
        <v>2</v>
      </c>
      <c r="AL559" s="2">
        <f t="shared" si="143"/>
        <v>0</v>
      </c>
      <c r="AM559" s="115"/>
      <c r="AN559" s="115"/>
      <c r="AO559" s="63"/>
    </row>
    <row r="560" spans="1:41" ht="57.6" x14ac:dyDescent="0.55000000000000004">
      <c r="A560" s="36">
        <v>4079</v>
      </c>
      <c r="B560" s="113" t="s">
        <v>2092</v>
      </c>
      <c r="C560" s="138" t="s">
        <v>2093</v>
      </c>
      <c r="D560" s="114" t="s">
        <v>52</v>
      </c>
      <c r="E560" s="115"/>
      <c r="F560" s="116"/>
      <c r="G560" s="113" t="s">
        <v>2087</v>
      </c>
      <c r="H560" s="113" t="s">
        <v>2094</v>
      </c>
      <c r="I560" s="113" t="s">
        <v>2016</v>
      </c>
      <c r="J560" s="117"/>
      <c r="K560" s="118"/>
      <c r="L560" s="109">
        <v>2</v>
      </c>
      <c r="M560" s="109">
        <v>3</v>
      </c>
      <c r="N560" s="109"/>
      <c r="O560" s="119"/>
      <c r="P560" s="2">
        <f t="shared" si="128"/>
        <v>1</v>
      </c>
      <c r="Q560" s="110" t="str">
        <f>IF(AND(Drops!$D$45&gt;1,OR(U560&lt;&gt;U559,AND(ROW()=5,U559=U560))),VLOOKUP(U560,Drops!$D$26:$E$44,2,FALSE),"")</f>
        <v/>
      </c>
      <c r="R560" s="2" t="str">
        <f t="shared" si="129"/>
        <v/>
      </c>
      <c r="S560" s="2">
        <f t="shared" ca="1" si="130"/>
        <v>1</v>
      </c>
      <c r="T560" s="2">
        <f t="shared" si="131"/>
        <v>0</v>
      </c>
      <c r="U560" s="110" t="s">
        <v>1846</v>
      </c>
      <c r="V560" s="110">
        <v>12</v>
      </c>
      <c r="W560" s="110">
        <v>8</v>
      </c>
      <c r="X560" s="110">
        <v>0</v>
      </c>
      <c r="Y560" s="110">
        <v>0</v>
      </c>
      <c r="Z560" s="110">
        <v>0</v>
      </c>
      <c r="AA560" s="2">
        <f t="shared" si="132"/>
        <v>1</v>
      </c>
      <c r="AB560" s="2">
        <f t="shared" si="133"/>
        <v>0</v>
      </c>
      <c r="AC560" s="2">
        <f t="shared" si="134"/>
        <v>1</v>
      </c>
      <c r="AD560" s="2">
        <f t="shared" si="135"/>
        <v>1</v>
      </c>
      <c r="AE560" s="2">
        <f t="shared" si="136"/>
        <v>3</v>
      </c>
      <c r="AF560" s="2">
        <f t="shared" si="137"/>
        <v>3</v>
      </c>
      <c r="AG560" s="2">
        <f t="shared" si="138"/>
        <v>3</v>
      </c>
      <c r="AH560" s="2">
        <f t="shared" si="139"/>
        <v>2</v>
      </c>
      <c r="AI560" s="2">
        <f t="shared" si="140"/>
        <v>2</v>
      </c>
      <c r="AJ560" s="2">
        <f t="shared" si="141"/>
        <v>2</v>
      </c>
      <c r="AK560" s="2">
        <f t="shared" si="142"/>
        <v>2</v>
      </c>
      <c r="AL560" s="2">
        <f t="shared" si="143"/>
        <v>0</v>
      </c>
      <c r="AM560" s="115"/>
      <c r="AN560" s="115"/>
      <c r="AO560" s="63"/>
    </row>
    <row r="561" spans="1:41" ht="57.6" x14ac:dyDescent="0.55000000000000004">
      <c r="A561" s="36">
        <v>4080</v>
      </c>
      <c r="B561" s="113" t="s">
        <v>2095</v>
      </c>
      <c r="C561" s="138" t="s">
        <v>2096</v>
      </c>
      <c r="D561" s="114" t="s">
        <v>52</v>
      </c>
      <c r="E561" s="115"/>
      <c r="F561" s="116"/>
      <c r="G561" s="113" t="s">
        <v>2087</v>
      </c>
      <c r="H561" s="113" t="s">
        <v>2094</v>
      </c>
      <c r="I561" s="113" t="s">
        <v>2016</v>
      </c>
      <c r="J561" s="117"/>
      <c r="K561" s="118"/>
      <c r="L561" s="109">
        <v>2</v>
      </c>
      <c r="M561" s="109">
        <v>3</v>
      </c>
      <c r="N561" s="109"/>
      <c r="O561" s="119"/>
      <c r="P561" s="2">
        <f t="shared" si="128"/>
        <v>1</v>
      </c>
      <c r="Q561" s="110" t="str">
        <f>IF(AND(Drops!$D$45&gt;1,OR(U561&lt;&gt;U560,AND(ROW()=5,U560=U561))),VLOOKUP(U561,Drops!$D$26:$E$44,2,FALSE),"")</f>
        <v/>
      </c>
      <c r="R561" s="2" t="str">
        <f t="shared" si="129"/>
        <v/>
      </c>
      <c r="S561" s="2">
        <f t="shared" ca="1" si="130"/>
        <v>1</v>
      </c>
      <c r="T561" s="2">
        <f t="shared" si="131"/>
        <v>0</v>
      </c>
      <c r="U561" s="110" t="s">
        <v>1846</v>
      </c>
      <c r="V561" s="110">
        <v>12</v>
      </c>
      <c r="W561" s="110">
        <v>9</v>
      </c>
      <c r="X561" s="110">
        <v>0</v>
      </c>
      <c r="Y561" s="110">
        <v>0</v>
      </c>
      <c r="Z561" s="110">
        <v>0</v>
      </c>
      <c r="AA561" s="2">
        <f t="shared" si="132"/>
        <v>1</v>
      </c>
      <c r="AB561" s="2">
        <f t="shared" si="133"/>
        <v>0</v>
      </c>
      <c r="AC561" s="2">
        <f t="shared" si="134"/>
        <v>1</v>
      </c>
      <c r="AD561" s="2">
        <f t="shared" si="135"/>
        <v>1</v>
      </c>
      <c r="AE561" s="2">
        <f t="shared" si="136"/>
        <v>3</v>
      </c>
      <c r="AF561" s="2">
        <f t="shared" si="137"/>
        <v>3</v>
      </c>
      <c r="AG561" s="2">
        <f t="shared" si="138"/>
        <v>3</v>
      </c>
      <c r="AH561" s="2">
        <f t="shared" si="139"/>
        <v>2</v>
      </c>
      <c r="AI561" s="2">
        <f t="shared" si="140"/>
        <v>2</v>
      </c>
      <c r="AJ561" s="2">
        <f t="shared" si="141"/>
        <v>2</v>
      </c>
      <c r="AK561" s="2">
        <f t="shared" si="142"/>
        <v>2</v>
      </c>
      <c r="AL561" s="2">
        <f t="shared" si="143"/>
        <v>0</v>
      </c>
      <c r="AM561" s="115"/>
      <c r="AN561" s="115"/>
      <c r="AO561" s="63"/>
    </row>
    <row r="562" spans="1:41" ht="43.2" x14ac:dyDescent="0.55000000000000004">
      <c r="A562" s="36">
        <v>4082</v>
      </c>
      <c r="B562" s="113" t="s">
        <v>2097</v>
      </c>
      <c r="C562" s="138" t="s">
        <v>2098</v>
      </c>
      <c r="D562" s="114" t="s">
        <v>52</v>
      </c>
      <c r="E562" s="115"/>
      <c r="F562" s="116"/>
      <c r="G562" s="113" t="s">
        <v>2087</v>
      </c>
      <c r="H562" s="113" t="s">
        <v>2094</v>
      </c>
      <c r="I562" s="113" t="s">
        <v>2016</v>
      </c>
      <c r="J562" s="117"/>
      <c r="K562" s="118"/>
      <c r="L562" s="109">
        <v>2</v>
      </c>
      <c r="M562" s="109">
        <v>3</v>
      </c>
      <c r="N562" s="109"/>
      <c r="O562" s="119"/>
      <c r="P562" s="2">
        <f t="shared" si="128"/>
        <v>1</v>
      </c>
      <c r="Q562" s="110" t="str">
        <f>IF(AND(Drops!$D$45&gt;1,OR(U562&lt;&gt;U561,AND(ROW()=5,U561=U562))),VLOOKUP(U562,Drops!$D$26:$E$44,2,FALSE),"")</f>
        <v/>
      </c>
      <c r="R562" s="2" t="str">
        <f t="shared" si="129"/>
        <v/>
      </c>
      <c r="S562" s="2">
        <f t="shared" ca="1" si="130"/>
        <v>1</v>
      </c>
      <c r="T562" s="2">
        <f t="shared" si="131"/>
        <v>0</v>
      </c>
      <c r="U562" s="110" t="s">
        <v>1846</v>
      </c>
      <c r="V562" s="110">
        <v>12</v>
      </c>
      <c r="W562" s="110">
        <v>10</v>
      </c>
      <c r="X562" s="110">
        <v>0</v>
      </c>
      <c r="Y562" s="110">
        <v>0</v>
      </c>
      <c r="Z562" s="110">
        <v>0</v>
      </c>
      <c r="AA562" s="2">
        <f t="shared" si="132"/>
        <v>1</v>
      </c>
      <c r="AB562" s="2">
        <f t="shared" si="133"/>
        <v>0</v>
      </c>
      <c r="AC562" s="2">
        <f t="shared" si="134"/>
        <v>1</v>
      </c>
      <c r="AD562" s="2">
        <f t="shared" si="135"/>
        <v>1</v>
      </c>
      <c r="AE562" s="2">
        <f t="shared" si="136"/>
        <v>3</v>
      </c>
      <c r="AF562" s="2">
        <f t="shared" si="137"/>
        <v>3</v>
      </c>
      <c r="AG562" s="2">
        <f t="shared" si="138"/>
        <v>3</v>
      </c>
      <c r="AH562" s="2">
        <f t="shared" si="139"/>
        <v>2</v>
      </c>
      <c r="AI562" s="2">
        <f t="shared" si="140"/>
        <v>2</v>
      </c>
      <c r="AJ562" s="2">
        <f t="shared" si="141"/>
        <v>2</v>
      </c>
      <c r="AK562" s="2">
        <f t="shared" si="142"/>
        <v>2</v>
      </c>
      <c r="AL562" s="2">
        <f t="shared" si="143"/>
        <v>0</v>
      </c>
      <c r="AM562" s="115"/>
      <c r="AN562" s="115"/>
      <c r="AO562" s="63"/>
    </row>
    <row r="563" spans="1:41" ht="43.2" x14ac:dyDescent="0.55000000000000004">
      <c r="A563" s="36">
        <v>4083</v>
      </c>
      <c r="B563" s="113" t="s">
        <v>2099</v>
      </c>
      <c r="C563" s="138" t="s">
        <v>2100</v>
      </c>
      <c r="D563" s="114" t="s">
        <v>52</v>
      </c>
      <c r="E563" s="115"/>
      <c r="F563" s="116"/>
      <c r="G563" s="113" t="s">
        <v>2087</v>
      </c>
      <c r="H563" s="113" t="s">
        <v>2094</v>
      </c>
      <c r="I563" s="113" t="s">
        <v>2016</v>
      </c>
      <c r="J563" s="117"/>
      <c r="K563" s="118"/>
      <c r="L563" s="109">
        <v>2</v>
      </c>
      <c r="M563" s="109">
        <v>3</v>
      </c>
      <c r="N563" s="109"/>
      <c r="O563" s="119"/>
      <c r="P563" s="2">
        <f t="shared" si="128"/>
        <v>1</v>
      </c>
      <c r="Q563" s="110" t="str">
        <f>IF(AND(Drops!$D$45&gt;1,OR(U563&lt;&gt;U562,AND(ROW()=5,U562=U563))),VLOOKUP(U563,Drops!$D$26:$E$44,2,FALSE),"")</f>
        <v/>
      </c>
      <c r="R563" s="2" t="str">
        <f t="shared" si="129"/>
        <v/>
      </c>
      <c r="S563" s="2">
        <f t="shared" ca="1" si="130"/>
        <v>1</v>
      </c>
      <c r="T563" s="2">
        <f t="shared" si="131"/>
        <v>0</v>
      </c>
      <c r="U563" s="110" t="s">
        <v>1846</v>
      </c>
      <c r="V563" s="110">
        <v>12</v>
      </c>
      <c r="W563" s="110">
        <v>11</v>
      </c>
      <c r="X563" s="110">
        <v>0</v>
      </c>
      <c r="Y563" s="110">
        <v>0</v>
      </c>
      <c r="Z563" s="110">
        <v>0</v>
      </c>
      <c r="AA563" s="2">
        <f t="shared" si="132"/>
        <v>1</v>
      </c>
      <c r="AB563" s="2">
        <f t="shared" si="133"/>
        <v>0</v>
      </c>
      <c r="AC563" s="2">
        <f t="shared" si="134"/>
        <v>1</v>
      </c>
      <c r="AD563" s="2">
        <f t="shared" si="135"/>
        <v>1</v>
      </c>
      <c r="AE563" s="2">
        <f t="shared" si="136"/>
        <v>3</v>
      </c>
      <c r="AF563" s="2">
        <f t="shared" si="137"/>
        <v>3</v>
      </c>
      <c r="AG563" s="2">
        <f t="shared" si="138"/>
        <v>3</v>
      </c>
      <c r="AH563" s="2">
        <f t="shared" si="139"/>
        <v>2</v>
      </c>
      <c r="AI563" s="2">
        <f t="shared" si="140"/>
        <v>2</v>
      </c>
      <c r="AJ563" s="2">
        <f t="shared" si="141"/>
        <v>2</v>
      </c>
      <c r="AK563" s="2">
        <f t="shared" si="142"/>
        <v>2</v>
      </c>
      <c r="AL563" s="2">
        <f t="shared" si="143"/>
        <v>0</v>
      </c>
      <c r="AM563" s="115"/>
      <c r="AN563" s="115"/>
      <c r="AO563" s="63"/>
    </row>
    <row r="564" spans="1:41" ht="28.8" x14ac:dyDescent="0.55000000000000004">
      <c r="A564" s="36">
        <v>4084</v>
      </c>
      <c r="B564" s="113" t="s">
        <v>2101</v>
      </c>
      <c r="C564" s="113" t="s">
        <v>2102</v>
      </c>
      <c r="D564" s="114" t="s">
        <v>52</v>
      </c>
      <c r="E564" s="115"/>
      <c r="F564" s="116"/>
      <c r="G564" s="113" t="s">
        <v>2103</v>
      </c>
      <c r="H564" s="113" t="s">
        <v>2104</v>
      </c>
      <c r="I564" s="113" t="s">
        <v>2016</v>
      </c>
      <c r="J564" s="117"/>
      <c r="K564" s="118"/>
      <c r="L564" s="109">
        <v>1</v>
      </c>
      <c r="M564" s="109">
        <v>3</v>
      </c>
      <c r="N564" s="109"/>
      <c r="O564" s="119"/>
      <c r="P564" s="2">
        <f t="shared" si="128"/>
        <v>1</v>
      </c>
      <c r="Q564" s="110" t="str">
        <f>IF(AND(Drops!$D$45&gt;1,OR(U564&lt;&gt;U563,AND(ROW()=5,U563=U564))),VLOOKUP(U564,Drops!$D$26:$E$44,2,FALSE),"")</f>
        <v/>
      </c>
      <c r="R564" s="2" t="str">
        <f t="shared" si="129"/>
        <v/>
      </c>
      <c r="S564" s="2">
        <f t="shared" ca="1" si="130"/>
        <v>1</v>
      </c>
      <c r="T564" s="2">
        <f t="shared" si="131"/>
        <v>1</v>
      </c>
      <c r="U564" s="110" t="s">
        <v>1846</v>
      </c>
      <c r="V564" s="110">
        <v>13</v>
      </c>
      <c r="W564" s="110">
        <v>0</v>
      </c>
      <c r="X564" s="110">
        <v>0</v>
      </c>
      <c r="Y564" s="110">
        <v>0</v>
      </c>
      <c r="Z564" s="110">
        <v>0</v>
      </c>
      <c r="AA564" s="2">
        <f t="shared" si="132"/>
        <v>1</v>
      </c>
      <c r="AB564" s="2">
        <f t="shared" si="133"/>
        <v>0</v>
      </c>
      <c r="AC564" s="2">
        <f t="shared" si="134"/>
        <v>1</v>
      </c>
      <c r="AD564" s="2">
        <f t="shared" si="135"/>
        <v>0</v>
      </c>
      <c r="AE564" s="2">
        <f t="shared" si="136"/>
        <v>3</v>
      </c>
      <c r="AF564" s="2">
        <f t="shared" si="137"/>
        <v>3</v>
      </c>
      <c r="AG564" s="2">
        <f t="shared" si="138"/>
        <v>3</v>
      </c>
      <c r="AH564" s="2">
        <f t="shared" si="139"/>
        <v>2</v>
      </c>
      <c r="AI564" s="2">
        <f t="shared" si="140"/>
        <v>2</v>
      </c>
      <c r="AJ564" s="2">
        <f t="shared" si="141"/>
        <v>2</v>
      </c>
      <c r="AK564" s="2">
        <f t="shared" si="142"/>
        <v>2</v>
      </c>
      <c r="AL564" s="2">
        <f t="shared" si="143"/>
        <v>0</v>
      </c>
      <c r="AM564" s="115"/>
      <c r="AN564" s="115"/>
      <c r="AO564" s="63"/>
    </row>
    <row r="565" spans="1:41" ht="28.8" x14ac:dyDescent="0.55000000000000004">
      <c r="A565" s="36">
        <v>2305</v>
      </c>
      <c r="B565" s="113" t="s">
        <v>2105</v>
      </c>
      <c r="C565" s="113" t="s">
        <v>2106</v>
      </c>
      <c r="D565" s="114" t="s">
        <v>52</v>
      </c>
      <c r="E565" s="115"/>
      <c r="F565" s="116"/>
      <c r="G565" s="113" t="s">
        <v>2107</v>
      </c>
      <c r="H565" s="113" t="s">
        <v>2108</v>
      </c>
      <c r="I565" s="113" t="s">
        <v>2016</v>
      </c>
      <c r="J565" s="117"/>
      <c r="K565" s="118"/>
      <c r="L565" s="109">
        <v>1</v>
      </c>
      <c r="M565" s="109">
        <v>3</v>
      </c>
      <c r="N565" s="109"/>
      <c r="O565" s="119"/>
      <c r="P565" s="2">
        <f t="shared" si="128"/>
        <v>1</v>
      </c>
      <c r="Q565" s="110" t="str">
        <f>IF(AND(Drops!$D$45&gt;1,OR(U565&lt;&gt;U564,AND(ROW()=5,U564=U565))),VLOOKUP(U565,Drops!$D$26:$E$44,2,FALSE),"")</f>
        <v/>
      </c>
      <c r="R565" s="2" t="str">
        <f t="shared" si="129"/>
        <v/>
      </c>
      <c r="S565" s="2">
        <f t="shared" ca="1" si="130"/>
        <v>1</v>
      </c>
      <c r="T565" s="2">
        <f t="shared" si="131"/>
        <v>1</v>
      </c>
      <c r="U565" s="110" t="s">
        <v>1846</v>
      </c>
      <c r="V565" s="110">
        <v>14</v>
      </c>
      <c r="W565" s="110">
        <v>0</v>
      </c>
      <c r="X565" s="110">
        <v>0</v>
      </c>
      <c r="Y565" s="110">
        <v>0</v>
      </c>
      <c r="Z565" s="110">
        <v>0</v>
      </c>
      <c r="AA565" s="2">
        <f t="shared" si="132"/>
        <v>1</v>
      </c>
      <c r="AB565" s="2">
        <f t="shared" si="133"/>
        <v>1</v>
      </c>
      <c r="AC565" s="2">
        <f t="shared" si="134"/>
        <v>1</v>
      </c>
      <c r="AD565" s="2">
        <f t="shared" si="135"/>
        <v>0</v>
      </c>
      <c r="AE565" s="2">
        <f t="shared" si="136"/>
        <v>3</v>
      </c>
      <c r="AF565" s="2">
        <f t="shared" si="137"/>
        <v>3</v>
      </c>
      <c r="AG565" s="2">
        <f t="shared" si="138"/>
        <v>3</v>
      </c>
      <c r="AH565" s="2">
        <f t="shared" si="139"/>
        <v>2</v>
      </c>
      <c r="AI565" s="2">
        <f t="shared" si="140"/>
        <v>2</v>
      </c>
      <c r="AJ565" s="2">
        <f t="shared" si="141"/>
        <v>2</v>
      </c>
      <c r="AK565" s="2">
        <f t="shared" si="142"/>
        <v>2</v>
      </c>
      <c r="AL565" s="2">
        <f t="shared" si="143"/>
        <v>0</v>
      </c>
      <c r="AM565" s="115"/>
      <c r="AN565" s="115"/>
      <c r="AO565" s="63"/>
    </row>
    <row r="566" spans="1:41" ht="43.2" x14ac:dyDescent="0.55000000000000004">
      <c r="A566" s="36">
        <v>5788</v>
      </c>
      <c r="B566" s="113" t="s">
        <v>2109</v>
      </c>
      <c r="C566" s="138" t="s">
        <v>2110</v>
      </c>
      <c r="D566" s="114" t="s">
        <v>52</v>
      </c>
      <c r="E566" s="115"/>
      <c r="F566" s="116"/>
      <c r="G566" s="113" t="s">
        <v>2107</v>
      </c>
      <c r="H566" s="113" t="s">
        <v>2108</v>
      </c>
      <c r="I566" s="113" t="s">
        <v>2111</v>
      </c>
      <c r="J566" s="117"/>
      <c r="K566" s="118"/>
      <c r="L566" s="109">
        <v>2</v>
      </c>
      <c r="M566" s="109">
        <v>3</v>
      </c>
      <c r="N566" s="109"/>
      <c r="O566" s="119"/>
      <c r="P566" s="2">
        <f t="shared" si="128"/>
        <v>1</v>
      </c>
      <c r="Q566" s="110" t="str">
        <f>IF(AND(Drops!$D$45&gt;1,OR(U566&lt;&gt;U565,AND(ROW()=5,U565=U566))),VLOOKUP(U566,Drops!$D$26:$E$44,2,FALSE),"")</f>
        <v/>
      </c>
      <c r="R566" s="2" t="str">
        <f t="shared" si="129"/>
        <v/>
      </c>
      <c r="S566" s="2">
        <f t="shared" ca="1" si="130"/>
        <v>1</v>
      </c>
      <c r="T566" s="2">
        <f t="shared" si="131"/>
        <v>0</v>
      </c>
      <c r="U566" s="110" t="s">
        <v>1846</v>
      </c>
      <c r="V566" s="110">
        <v>14</v>
      </c>
      <c r="W566" s="110">
        <v>1</v>
      </c>
      <c r="X566" s="110">
        <v>0</v>
      </c>
      <c r="Y566" s="110">
        <v>0</v>
      </c>
      <c r="Z566" s="110">
        <v>0</v>
      </c>
      <c r="AA566" s="2">
        <f t="shared" si="132"/>
        <v>1</v>
      </c>
      <c r="AB566" s="2">
        <f t="shared" si="133"/>
        <v>0</v>
      </c>
      <c r="AC566" s="2">
        <f t="shared" si="134"/>
        <v>1</v>
      </c>
      <c r="AD566" s="2">
        <f t="shared" si="135"/>
        <v>1</v>
      </c>
      <c r="AE566" s="2">
        <f t="shared" si="136"/>
        <v>3</v>
      </c>
      <c r="AF566" s="2">
        <f t="shared" si="137"/>
        <v>3</v>
      </c>
      <c r="AG566" s="2">
        <f t="shared" si="138"/>
        <v>3</v>
      </c>
      <c r="AH566" s="2">
        <f t="shared" si="139"/>
        <v>2</v>
      </c>
      <c r="AI566" s="2">
        <f t="shared" si="140"/>
        <v>2</v>
      </c>
      <c r="AJ566" s="2">
        <f t="shared" si="141"/>
        <v>2</v>
      </c>
      <c r="AK566" s="2">
        <f t="shared" si="142"/>
        <v>2</v>
      </c>
      <c r="AL566" s="2">
        <f t="shared" si="143"/>
        <v>0</v>
      </c>
      <c r="AM566" s="115"/>
      <c r="AN566" s="115"/>
      <c r="AO566" s="63"/>
    </row>
    <row r="567" spans="1:41" ht="43.2" x14ac:dyDescent="0.55000000000000004">
      <c r="A567" s="36">
        <v>5789</v>
      </c>
      <c r="B567" s="113" t="s">
        <v>2112</v>
      </c>
      <c r="C567" s="138" t="s">
        <v>2113</v>
      </c>
      <c r="D567" s="114" t="s">
        <v>52</v>
      </c>
      <c r="E567" s="115"/>
      <c r="F567" s="116"/>
      <c r="G567" s="113" t="s">
        <v>2107</v>
      </c>
      <c r="H567" s="113" t="s">
        <v>2108</v>
      </c>
      <c r="I567" s="113"/>
      <c r="J567" s="117"/>
      <c r="K567" s="118"/>
      <c r="L567" s="109">
        <v>2</v>
      </c>
      <c r="M567" s="109">
        <v>3</v>
      </c>
      <c r="N567" s="109"/>
      <c r="O567" s="119"/>
      <c r="P567" s="2">
        <f t="shared" si="128"/>
        <v>1</v>
      </c>
      <c r="Q567" s="110" t="str">
        <f>IF(AND(Drops!$D$45&gt;1,OR(U567&lt;&gt;U566,AND(ROW()=5,U566=U567))),VLOOKUP(U567,Drops!$D$26:$E$44,2,FALSE),"")</f>
        <v/>
      </c>
      <c r="R567" s="2" t="str">
        <f t="shared" si="129"/>
        <v/>
      </c>
      <c r="S567" s="2">
        <f t="shared" ca="1" si="130"/>
        <v>1</v>
      </c>
      <c r="T567" s="2">
        <f t="shared" si="131"/>
        <v>0</v>
      </c>
      <c r="U567" s="110" t="s">
        <v>1846</v>
      </c>
      <c r="V567" s="110">
        <v>14</v>
      </c>
      <c r="W567" s="110">
        <v>2</v>
      </c>
      <c r="X567" s="110">
        <v>0</v>
      </c>
      <c r="Y567" s="110">
        <v>0</v>
      </c>
      <c r="Z567" s="110">
        <v>0</v>
      </c>
      <c r="AA567" s="2">
        <f t="shared" si="132"/>
        <v>1</v>
      </c>
      <c r="AB567" s="2">
        <f t="shared" si="133"/>
        <v>0</v>
      </c>
      <c r="AC567" s="2">
        <f t="shared" si="134"/>
        <v>1</v>
      </c>
      <c r="AD567" s="2">
        <f t="shared" si="135"/>
        <v>1</v>
      </c>
      <c r="AE567" s="2">
        <f t="shared" si="136"/>
        <v>3</v>
      </c>
      <c r="AF567" s="2">
        <f t="shared" si="137"/>
        <v>3</v>
      </c>
      <c r="AG567" s="2">
        <f t="shared" si="138"/>
        <v>3</v>
      </c>
      <c r="AH567" s="2">
        <f t="shared" si="139"/>
        <v>2</v>
      </c>
      <c r="AI567" s="2">
        <f t="shared" si="140"/>
        <v>2</v>
      </c>
      <c r="AJ567" s="2">
        <f t="shared" si="141"/>
        <v>2</v>
      </c>
      <c r="AK567" s="2">
        <f t="shared" si="142"/>
        <v>2</v>
      </c>
      <c r="AL567" s="2">
        <f t="shared" si="143"/>
        <v>0</v>
      </c>
      <c r="AM567" s="115"/>
      <c r="AN567" s="115"/>
      <c r="AO567" s="63"/>
    </row>
    <row r="568" spans="1:41" ht="43.2" x14ac:dyDescent="0.55000000000000004">
      <c r="A568" s="36">
        <v>5790</v>
      </c>
      <c r="B568" s="113" t="s">
        <v>2114</v>
      </c>
      <c r="C568" s="138" t="s">
        <v>2115</v>
      </c>
      <c r="D568" s="114" t="s">
        <v>52</v>
      </c>
      <c r="E568" s="115"/>
      <c r="F568" s="116"/>
      <c r="G568" s="113" t="s">
        <v>2107</v>
      </c>
      <c r="H568" s="113" t="s">
        <v>2108</v>
      </c>
      <c r="I568" s="113" t="s">
        <v>2111</v>
      </c>
      <c r="J568" s="117"/>
      <c r="K568" s="118"/>
      <c r="L568" s="109">
        <v>2</v>
      </c>
      <c r="M568" s="109">
        <v>3</v>
      </c>
      <c r="N568" s="109"/>
      <c r="O568" s="119"/>
      <c r="P568" s="2">
        <f t="shared" si="128"/>
        <v>1</v>
      </c>
      <c r="Q568" s="110" t="str">
        <f>IF(AND(Drops!$D$45&gt;1,OR(U568&lt;&gt;U567,AND(ROW()=5,U567=U568))),VLOOKUP(U568,Drops!$D$26:$E$44,2,FALSE),"")</f>
        <v/>
      </c>
      <c r="R568" s="2" t="str">
        <f t="shared" si="129"/>
        <v/>
      </c>
      <c r="S568" s="2">
        <f t="shared" ca="1" si="130"/>
        <v>1</v>
      </c>
      <c r="T568" s="2">
        <f t="shared" si="131"/>
        <v>0</v>
      </c>
      <c r="U568" s="110" t="s">
        <v>1846</v>
      </c>
      <c r="V568" s="110">
        <v>14</v>
      </c>
      <c r="W568" s="110">
        <v>3</v>
      </c>
      <c r="X568" s="110">
        <v>0</v>
      </c>
      <c r="Y568" s="110">
        <v>0</v>
      </c>
      <c r="Z568" s="110">
        <v>0</v>
      </c>
      <c r="AA568" s="2">
        <f t="shared" si="132"/>
        <v>1</v>
      </c>
      <c r="AB568" s="2">
        <f t="shared" si="133"/>
        <v>0</v>
      </c>
      <c r="AC568" s="2">
        <f t="shared" si="134"/>
        <v>1</v>
      </c>
      <c r="AD568" s="2">
        <f t="shared" si="135"/>
        <v>1</v>
      </c>
      <c r="AE568" s="2">
        <f t="shared" si="136"/>
        <v>3</v>
      </c>
      <c r="AF568" s="2">
        <f t="shared" si="137"/>
        <v>3</v>
      </c>
      <c r="AG568" s="2">
        <f t="shared" si="138"/>
        <v>3</v>
      </c>
      <c r="AH568" s="2">
        <f t="shared" si="139"/>
        <v>2</v>
      </c>
      <c r="AI568" s="2">
        <f t="shared" si="140"/>
        <v>2</v>
      </c>
      <c r="AJ568" s="2">
        <f t="shared" si="141"/>
        <v>2</v>
      </c>
      <c r="AK568" s="2">
        <f t="shared" si="142"/>
        <v>2</v>
      </c>
      <c r="AL568" s="2">
        <f t="shared" si="143"/>
        <v>0</v>
      </c>
      <c r="AM568" s="115"/>
      <c r="AN568" s="115"/>
      <c r="AO568" s="63"/>
    </row>
    <row r="569" spans="1:41" ht="43.2" x14ac:dyDescent="0.55000000000000004">
      <c r="A569" s="36">
        <v>5791</v>
      </c>
      <c r="B569" s="113" t="s">
        <v>2116</v>
      </c>
      <c r="C569" s="138" t="s">
        <v>2117</v>
      </c>
      <c r="D569" s="114" t="s">
        <v>52</v>
      </c>
      <c r="E569" s="115"/>
      <c r="F569" s="116"/>
      <c r="G569" s="113" t="s">
        <v>2107</v>
      </c>
      <c r="H569" s="113" t="s">
        <v>2108</v>
      </c>
      <c r="I569" s="113" t="s">
        <v>2111</v>
      </c>
      <c r="J569" s="117"/>
      <c r="K569" s="118"/>
      <c r="L569" s="109">
        <v>2</v>
      </c>
      <c r="M569" s="109">
        <v>3</v>
      </c>
      <c r="N569" s="109"/>
      <c r="O569" s="119"/>
      <c r="P569" s="2">
        <f t="shared" si="128"/>
        <v>1</v>
      </c>
      <c r="Q569" s="110" t="str">
        <f>IF(AND(Drops!$D$45&gt;1,OR(U569&lt;&gt;U568,AND(ROW()=5,U568=U569))),VLOOKUP(U569,Drops!$D$26:$E$44,2,FALSE),"")</f>
        <v/>
      </c>
      <c r="R569" s="2" t="str">
        <f t="shared" si="129"/>
        <v/>
      </c>
      <c r="S569" s="2">
        <f t="shared" ca="1" si="130"/>
        <v>1</v>
      </c>
      <c r="T569" s="2">
        <f t="shared" si="131"/>
        <v>0</v>
      </c>
      <c r="U569" s="110" t="s">
        <v>1846</v>
      </c>
      <c r="V569" s="110">
        <v>14</v>
      </c>
      <c r="W569" s="110">
        <v>4</v>
      </c>
      <c r="X569" s="110">
        <v>0</v>
      </c>
      <c r="Y569" s="110">
        <v>0</v>
      </c>
      <c r="Z569" s="110">
        <v>0</v>
      </c>
      <c r="AA569" s="2">
        <f t="shared" si="132"/>
        <v>1</v>
      </c>
      <c r="AB569" s="2">
        <f t="shared" si="133"/>
        <v>0</v>
      </c>
      <c r="AC569" s="2">
        <f t="shared" si="134"/>
        <v>1</v>
      </c>
      <c r="AD569" s="2">
        <f t="shared" si="135"/>
        <v>1</v>
      </c>
      <c r="AE569" s="2">
        <f t="shared" si="136"/>
        <v>3</v>
      </c>
      <c r="AF569" s="2">
        <f t="shared" si="137"/>
        <v>3</v>
      </c>
      <c r="AG569" s="2">
        <f t="shared" si="138"/>
        <v>3</v>
      </c>
      <c r="AH569" s="2">
        <f t="shared" si="139"/>
        <v>2</v>
      </c>
      <c r="AI569" s="2">
        <f t="shared" si="140"/>
        <v>2</v>
      </c>
      <c r="AJ569" s="2">
        <f t="shared" si="141"/>
        <v>2</v>
      </c>
      <c r="AK569" s="2">
        <f t="shared" si="142"/>
        <v>2</v>
      </c>
      <c r="AL569" s="2">
        <f t="shared" si="143"/>
        <v>0</v>
      </c>
      <c r="AM569" s="115"/>
      <c r="AN569" s="115"/>
      <c r="AO569" s="63"/>
    </row>
    <row r="570" spans="1:41" ht="57.6" x14ac:dyDescent="0.55000000000000004">
      <c r="A570" s="36">
        <v>5792</v>
      </c>
      <c r="B570" s="113" t="s">
        <v>2118</v>
      </c>
      <c r="C570" s="138" t="s">
        <v>2119</v>
      </c>
      <c r="D570" s="114" t="s">
        <v>52</v>
      </c>
      <c r="E570" s="115"/>
      <c r="F570" s="116"/>
      <c r="G570" s="113" t="s">
        <v>2107</v>
      </c>
      <c r="H570" s="113" t="s">
        <v>2108</v>
      </c>
      <c r="I570" s="113"/>
      <c r="J570" s="117"/>
      <c r="K570" s="118"/>
      <c r="L570" s="109">
        <v>2</v>
      </c>
      <c r="M570" s="109">
        <v>3</v>
      </c>
      <c r="N570" s="109"/>
      <c r="O570" s="119"/>
      <c r="P570" s="2">
        <f t="shared" si="128"/>
        <v>1</v>
      </c>
      <c r="Q570" s="110" t="str">
        <f>IF(AND(Drops!$D$45&gt;1,OR(U570&lt;&gt;U569,AND(ROW()=5,U569=U570))),VLOOKUP(U570,Drops!$D$26:$E$44,2,FALSE),"")</f>
        <v/>
      </c>
      <c r="R570" s="2" t="str">
        <f t="shared" si="129"/>
        <v/>
      </c>
      <c r="S570" s="2">
        <f t="shared" ca="1" si="130"/>
        <v>1</v>
      </c>
      <c r="T570" s="2">
        <f t="shared" si="131"/>
        <v>0</v>
      </c>
      <c r="U570" s="110" t="s">
        <v>1846</v>
      </c>
      <c r="V570" s="110">
        <v>14</v>
      </c>
      <c r="W570" s="110">
        <v>5</v>
      </c>
      <c r="X570" s="110">
        <v>0</v>
      </c>
      <c r="Y570" s="110">
        <v>0</v>
      </c>
      <c r="Z570" s="110">
        <v>0</v>
      </c>
      <c r="AA570" s="2">
        <f t="shared" si="132"/>
        <v>1</v>
      </c>
      <c r="AB570" s="2">
        <f t="shared" si="133"/>
        <v>0</v>
      </c>
      <c r="AC570" s="2">
        <f t="shared" si="134"/>
        <v>1</v>
      </c>
      <c r="AD570" s="2">
        <f t="shared" si="135"/>
        <v>1</v>
      </c>
      <c r="AE570" s="2">
        <f t="shared" si="136"/>
        <v>3</v>
      </c>
      <c r="AF570" s="2">
        <f t="shared" si="137"/>
        <v>3</v>
      </c>
      <c r="AG570" s="2">
        <f t="shared" si="138"/>
        <v>3</v>
      </c>
      <c r="AH570" s="2">
        <f t="shared" si="139"/>
        <v>2</v>
      </c>
      <c r="AI570" s="2">
        <f t="shared" si="140"/>
        <v>2</v>
      </c>
      <c r="AJ570" s="2">
        <f t="shared" si="141"/>
        <v>2</v>
      </c>
      <c r="AK570" s="2">
        <f t="shared" si="142"/>
        <v>2</v>
      </c>
      <c r="AL570" s="2">
        <f t="shared" si="143"/>
        <v>0</v>
      </c>
      <c r="AM570" s="115"/>
      <c r="AN570" s="115"/>
      <c r="AO570" s="63"/>
    </row>
    <row r="571" spans="1:41" ht="43.2" x14ac:dyDescent="0.55000000000000004">
      <c r="A571" s="36">
        <v>3637</v>
      </c>
      <c r="B571" s="113" t="s">
        <v>2120</v>
      </c>
      <c r="C571" s="113" t="s">
        <v>2121</v>
      </c>
      <c r="D571" s="114" t="s">
        <v>52</v>
      </c>
      <c r="E571" s="115"/>
      <c r="F571" s="116"/>
      <c r="G571" s="113" t="s">
        <v>2122</v>
      </c>
      <c r="H571" s="113" t="s">
        <v>2123</v>
      </c>
      <c r="I571" s="113" t="s">
        <v>1929</v>
      </c>
      <c r="J571" s="117"/>
      <c r="K571" s="118"/>
      <c r="L571" s="109">
        <v>1</v>
      </c>
      <c r="M571" s="109">
        <v>3</v>
      </c>
      <c r="N571" s="109"/>
      <c r="O571" s="119"/>
      <c r="P571" s="2">
        <f t="shared" si="128"/>
        <v>1</v>
      </c>
      <c r="Q571" s="110" t="str">
        <f>IF(AND(Drops!$D$45&gt;1,OR(U571&lt;&gt;U570,AND(ROW()=5,U570=U571))),VLOOKUP(U571,Drops!$D$26:$E$44,2,FALSE),"")</f>
        <v/>
      </c>
      <c r="R571" s="2" t="str">
        <f t="shared" si="129"/>
        <v/>
      </c>
      <c r="S571" s="2">
        <f t="shared" ca="1" si="130"/>
        <v>1</v>
      </c>
      <c r="T571" s="2">
        <f t="shared" si="131"/>
        <v>1</v>
      </c>
      <c r="U571" s="110" t="s">
        <v>1846</v>
      </c>
      <c r="V571" s="110">
        <v>16</v>
      </c>
      <c r="W571" s="110">
        <v>0</v>
      </c>
      <c r="X571" s="110">
        <v>0</v>
      </c>
      <c r="Y571" s="110">
        <v>0</v>
      </c>
      <c r="Z571" s="110">
        <v>0</v>
      </c>
      <c r="AA571" s="2">
        <f t="shared" si="132"/>
        <v>1</v>
      </c>
      <c r="AB571" s="2">
        <f t="shared" si="133"/>
        <v>0</v>
      </c>
      <c r="AC571" s="2">
        <f t="shared" si="134"/>
        <v>1</v>
      </c>
      <c r="AD571" s="2">
        <f t="shared" si="135"/>
        <v>0</v>
      </c>
      <c r="AE571" s="2">
        <f t="shared" si="136"/>
        <v>3</v>
      </c>
      <c r="AF571" s="2">
        <f t="shared" si="137"/>
        <v>3</v>
      </c>
      <c r="AG571" s="2">
        <f t="shared" si="138"/>
        <v>3</v>
      </c>
      <c r="AH571" s="2">
        <f t="shared" si="139"/>
        <v>2</v>
      </c>
      <c r="AI571" s="2">
        <f t="shared" si="140"/>
        <v>2</v>
      </c>
      <c r="AJ571" s="2">
        <f t="shared" si="141"/>
        <v>2</v>
      </c>
      <c r="AK571" s="2">
        <f t="shared" si="142"/>
        <v>2</v>
      </c>
      <c r="AL571" s="2">
        <f t="shared" si="143"/>
        <v>0</v>
      </c>
      <c r="AM571" s="115"/>
      <c r="AN571" s="115"/>
      <c r="AO571" s="63"/>
    </row>
    <row r="572" spans="1:41" ht="43.2" x14ac:dyDescent="0.55000000000000004">
      <c r="A572" s="36">
        <v>3638</v>
      </c>
      <c r="B572" s="113" t="s">
        <v>2124</v>
      </c>
      <c r="C572" s="113" t="s">
        <v>2125</v>
      </c>
      <c r="D572" s="114" t="s">
        <v>52</v>
      </c>
      <c r="E572" s="115" t="s">
        <v>2126</v>
      </c>
      <c r="F572" s="116"/>
      <c r="G572" s="113" t="s">
        <v>2122</v>
      </c>
      <c r="H572" s="113" t="s">
        <v>2127</v>
      </c>
      <c r="I572" s="113" t="s">
        <v>1929</v>
      </c>
      <c r="J572" s="117"/>
      <c r="K572" s="118"/>
      <c r="L572" s="109">
        <v>1</v>
      </c>
      <c r="M572" s="109">
        <v>3</v>
      </c>
      <c r="N572" s="109"/>
      <c r="O572" s="119"/>
      <c r="P572" s="2">
        <f t="shared" si="128"/>
        <v>1</v>
      </c>
      <c r="Q572" s="110" t="str">
        <f>IF(AND(Drops!$D$45&gt;1,OR(U572&lt;&gt;U571,AND(ROW()=5,U571=U572))),VLOOKUP(U572,Drops!$D$26:$E$44,2,FALSE),"")</f>
        <v/>
      </c>
      <c r="R572" s="2" t="str">
        <f t="shared" si="129"/>
        <v/>
      </c>
      <c r="S572" s="2">
        <f t="shared" ca="1" si="130"/>
        <v>1</v>
      </c>
      <c r="T572" s="2">
        <f t="shared" si="131"/>
        <v>1</v>
      </c>
      <c r="U572" s="110" t="s">
        <v>1846</v>
      </c>
      <c r="V572" s="110">
        <v>17</v>
      </c>
      <c r="W572" s="110">
        <v>0</v>
      </c>
      <c r="X572" s="110">
        <v>0</v>
      </c>
      <c r="Y572" s="110">
        <v>0</v>
      </c>
      <c r="Z572" s="110">
        <v>0</v>
      </c>
      <c r="AA572" s="2">
        <f t="shared" si="132"/>
        <v>1</v>
      </c>
      <c r="AB572" s="2">
        <f t="shared" si="133"/>
        <v>0</v>
      </c>
      <c r="AC572" s="2">
        <f t="shared" si="134"/>
        <v>1</v>
      </c>
      <c r="AD572" s="2">
        <f t="shared" si="135"/>
        <v>0</v>
      </c>
      <c r="AE572" s="2">
        <f t="shared" si="136"/>
        <v>3</v>
      </c>
      <c r="AF572" s="2">
        <f t="shared" si="137"/>
        <v>3</v>
      </c>
      <c r="AG572" s="2">
        <f t="shared" si="138"/>
        <v>3</v>
      </c>
      <c r="AH572" s="2">
        <f t="shared" si="139"/>
        <v>2</v>
      </c>
      <c r="AI572" s="2">
        <f t="shared" si="140"/>
        <v>2</v>
      </c>
      <c r="AJ572" s="2">
        <f t="shared" si="141"/>
        <v>2</v>
      </c>
      <c r="AK572" s="2">
        <f t="shared" si="142"/>
        <v>2</v>
      </c>
      <c r="AL572" s="2">
        <f t="shared" si="143"/>
        <v>0</v>
      </c>
      <c r="AM572" s="115"/>
      <c r="AN572" s="115"/>
      <c r="AO572" s="63"/>
    </row>
    <row r="573" spans="1:41" ht="43.2" x14ac:dyDescent="0.55000000000000004">
      <c r="A573" s="36">
        <v>3679</v>
      </c>
      <c r="B573" s="113" t="s">
        <v>2128</v>
      </c>
      <c r="C573" s="113" t="s">
        <v>2129</v>
      </c>
      <c r="D573" s="114" t="s">
        <v>52</v>
      </c>
      <c r="E573" s="115"/>
      <c r="F573" s="116"/>
      <c r="G573" s="113" t="s">
        <v>2122</v>
      </c>
      <c r="H573" s="113" t="s">
        <v>2130</v>
      </c>
      <c r="I573" s="113" t="s">
        <v>1929</v>
      </c>
      <c r="J573" s="117"/>
      <c r="K573" s="118"/>
      <c r="L573" s="109">
        <v>1</v>
      </c>
      <c r="M573" s="109">
        <v>3</v>
      </c>
      <c r="N573" s="109"/>
      <c r="O573" s="119"/>
      <c r="P573" s="2">
        <f t="shared" si="128"/>
        <v>1</v>
      </c>
      <c r="Q573" s="110" t="str">
        <f>IF(AND(Drops!$D$45&gt;1,OR(U573&lt;&gt;U572,AND(ROW()=5,U572=U573))),VLOOKUP(U573,Drops!$D$26:$E$44,2,FALSE),"")</f>
        <v/>
      </c>
      <c r="R573" s="2" t="str">
        <f t="shared" si="129"/>
        <v/>
      </c>
      <c r="S573" s="2">
        <f t="shared" ca="1" si="130"/>
        <v>1</v>
      </c>
      <c r="T573" s="2">
        <f t="shared" si="131"/>
        <v>1</v>
      </c>
      <c r="U573" s="110" t="s">
        <v>1846</v>
      </c>
      <c r="V573" s="110">
        <v>18</v>
      </c>
      <c r="W573" s="110">
        <v>0</v>
      </c>
      <c r="X573" s="110">
        <v>0</v>
      </c>
      <c r="Y573" s="110">
        <v>0</v>
      </c>
      <c r="Z573" s="110">
        <v>0</v>
      </c>
      <c r="AA573" s="2">
        <f t="shared" si="132"/>
        <v>1</v>
      </c>
      <c r="AB573" s="2">
        <f t="shared" si="133"/>
        <v>0</v>
      </c>
      <c r="AC573" s="2">
        <f t="shared" si="134"/>
        <v>1</v>
      </c>
      <c r="AD573" s="2">
        <f t="shared" si="135"/>
        <v>0</v>
      </c>
      <c r="AE573" s="2">
        <f t="shared" si="136"/>
        <v>3</v>
      </c>
      <c r="AF573" s="2">
        <f t="shared" si="137"/>
        <v>3</v>
      </c>
      <c r="AG573" s="2">
        <f t="shared" si="138"/>
        <v>3</v>
      </c>
      <c r="AH573" s="2">
        <f t="shared" si="139"/>
        <v>2</v>
      </c>
      <c r="AI573" s="2">
        <f t="shared" si="140"/>
        <v>2</v>
      </c>
      <c r="AJ573" s="2">
        <f t="shared" si="141"/>
        <v>2</v>
      </c>
      <c r="AK573" s="2">
        <f t="shared" si="142"/>
        <v>2</v>
      </c>
      <c r="AL573" s="2">
        <f t="shared" si="143"/>
        <v>0</v>
      </c>
      <c r="AM573" s="115"/>
      <c r="AN573" s="115"/>
      <c r="AO573" s="63"/>
    </row>
    <row r="574" spans="1:41" ht="244.8" x14ac:dyDescent="0.55000000000000004">
      <c r="A574" s="36">
        <v>922</v>
      </c>
      <c r="B574" s="113" t="s">
        <v>2131</v>
      </c>
      <c r="C574" s="113" t="s">
        <v>2132</v>
      </c>
      <c r="D574" s="114" t="s">
        <v>52</v>
      </c>
      <c r="E574" s="115" t="s">
        <v>2133</v>
      </c>
      <c r="F574" s="116"/>
      <c r="G574" s="113" t="s">
        <v>2107</v>
      </c>
      <c r="H574" s="113" t="s">
        <v>2134</v>
      </c>
      <c r="I574" s="113"/>
      <c r="J574" s="117" t="s">
        <v>2135</v>
      </c>
      <c r="K574" s="118"/>
      <c r="L574" s="109">
        <v>1</v>
      </c>
      <c r="M574" s="109">
        <v>1</v>
      </c>
      <c r="N574" s="109"/>
      <c r="O574" s="119"/>
      <c r="P574" s="2">
        <f t="shared" si="128"/>
        <v>1</v>
      </c>
      <c r="Q574" s="110" t="str">
        <f>IF(AND(Drops!$D$45&gt;1,OR(U574&lt;&gt;U573,AND(ROW()=5,U573=U574))),VLOOKUP(U574,Drops!$D$26:$E$44,2,FALSE),"")</f>
        <v/>
      </c>
      <c r="R574" s="2" t="str">
        <f t="shared" si="129"/>
        <v/>
      </c>
      <c r="S574" s="2">
        <f t="shared" ca="1" si="130"/>
        <v>1</v>
      </c>
      <c r="T574" s="2">
        <f t="shared" si="131"/>
        <v>1</v>
      </c>
      <c r="U574" s="110" t="s">
        <v>1846</v>
      </c>
      <c r="V574" s="110">
        <v>19</v>
      </c>
      <c r="W574" s="110">
        <v>0</v>
      </c>
      <c r="X574" s="110">
        <v>0</v>
      </c>
      <c r="Y574" s="110">
        <v>0</v>
      </c>
      <c r="Z574" s="110">
        <v>0</v>
      </c>
      <c r="AA574" s="2">
        <f t="shared" si="132"/>
        <v>1</v>
      </c>
      <c r="AB574" s="2">
        <f t="shared" si="133"/>
        <v>1</v>
      </c>
      <c r="AC574" s="2">
        <f t="shared" si="134"/>
        <v>1</v>
      </c>
      <c r="AD574" s="2">
        <f t="shared" si="135"/>
        <v>0</v>
      </c>
      <c r="AE574" s="2">
        <f t="shared" si="136"/>
        <v>3</v>
      </c>
      <c r="AF574" s="2">
        <f t="shared" si="137"/>
        <v>3</v>
      </c>
      <c r="AG574" s="2">
        <f t="shared" si="138"/>
        <v>3</v>
      </c>
      <c r="AH574" s="2">
        <f t="shared" si="139"/>
        <v>2</v>
      </c>
      <c r="AI574" s="2">
        <f t="shared" si="140"/>
        <v>2</v>
      </c>
      <c r="AJ574" s="2">
        <f t="shared" si="141"/>
        <v>2</v>
      </c>
      <c r="AK574" s="2">
        <f t="shared" si="142"/>
        <v>2</v>
      </c>
      <c r="AL574" s="2">
        <f t="shared" si="143"/>
        <v>0</v>
      </c>
      <c r="AM574" s="115"/>
      <c r="AN574" s="115"/>
      <c r="AO574" s="63"/>
    </row>
    <row r="575" spans="1:41" ht="43.2" x14ac:dyDescent="0.55000000000000004">
      <c r="A575" s="36">
        <v>923</v>
      </c>
      <c r="B575" s="113" t="s">
        <v>2136</v>
      </c>
      <c r="C575" s="138" t="s">
        <v>2137</v>
      </c>
      <c r="D575" s="114" t="s">
        <v>52</v>
      </c>
      <c r="E575" s="115"/>
      <c r="F575" s="116"/>
      <c r="G575" s="113" t="s">
        <v>2107</v>
      </c>
      <c r="H575" s="113" t="s">
        <v>2134</v>
      </c>
      <c r="I575" s="113" t="s">
        <v>2022</v>
      </c>
      <c r="J575" s="117" t="s">
        <v>2135</v>
      </c>
      <c r="K575" s="118"/>
      <c r="L575" s="109">
        <v>2</v>
      </c>
      <c r="M575" s="109">
        <v>2</v>
      </c>
      <c r="N575" s="109"/>
      <c r="O575" s="119"/>
      <c r="P575" s="2">
        <f t="shared" si="128"/>
        <v>1</v>
      </c>
      <c r="Q575" s="110" t="str">
        <f>IF(AND(Drops!$D$45&gt;1,OR(U575&lt;&gt;U574,AND(ROW()=5,U574=U575))),VLOOKUP(U575,Drops!$D$26:$E$44,2,FALSE),"")</f>
        <v/>
      </c>
      <c r="R575" s="2" t="str">
        <f t="shared" si="129"/>
        <v/>
      </c>
      <c r="S575" s="2">
        <f t="shared" ca="1" si="130"/>
        <v>1</v>
      </c>
      <c r="T575" s="2">
        <f t="shared" si="131"/>
        <v>0</v>
      </c>
      <c r="U575" s="110" t="s">
        <v>1846</v>
      </c>
      <c r="V575" s="110">
        <v>19</v>
      </c>
      <c r="W575" s="110">
        <v>1</v>
      </c>
      <c r="X575" s="110">
        <v>0</v>
      </c>
      <c r="Y575" s="110">
        <v>0</v>
      </c>
      <c r="Z575" s="110">
        <v>0</v>
      </c>
      <c r="AA575" s="2">
        <f t="shared" si="132"/>
        <v>1</v>
      </c>
      <c r="AB575" s="2">
        <f t="shared" si="133"/>
        <v>1</v>
      </c>
      <c r="AC575" s="2">
        <f t="shared" si="134"/>
        <v>1</v>
      </c>
      <c r="AD575" s="2">
        <f t="shared" si="135"/>
        <v>1</v>
      </c>
      <c r="AE575" s="2">
        <f t="shared" si="136"/>
        <v>3</v>
      </c>
      <c r="AF575" s="2">
        <f t="shared" si="137"/>
        <v>3</v>
      </c>
      <c r="AG575" s="2">
        <f t="shared" si="138"/>
        <v>3</v>
      </c>
      <c r="AH575" s="2">
        <f t="shared" si="139"/>
        <v>2</v>
      </c>
      <c r="AI575" s="2">
        <f t="shared" si="140"/>
        <v>2</v>
      </c>
      <c r="AJ575" s="2">
        <f t="shared" si="141"/>
        <v>2</v>
      </c>
      <c r="AK575" s="2">
        <f t="shared" si="142"/>
        <v>2</v>
      </c>
      <c r="AL575" s="2">
        <f t="shared" si="143"/>
        <v>0</v>
      </c>
      <c r="AM575" s="115"/>
      <c r="AN575" s="115"/>
      <c r="AO575" s="63"/>
    </row>
    <row r="576" spans="1:41" ht="43.2" x14ac:dyDescent="0.55000000000000004">
      <c r="A576" s="36">
        <v>2602</v>
      </c>
      <c r="B576" s="113" t="s">
        <v>2138</v>
      </c>
      <c r="C576" s="139" t="s">
        <v>2139</v>
      </c>
      <c r="D576" s="114" t="s">
        <v>52</v>
      </c>
      <c r="E576" s="115"/>
      <c r="F576" s="116"/>
      <c r="G576" s="113" t="s">
        <v>2107</v>
      </c>
      <c r="H576" s="113" t="s">
        <v>2134</v>
      </c>
      <c r="I576" s="113" t="s">
        <v>2022</v>
      </c>
      <c r="J576" s="117" t="s">
        <v>2135</v>
      </c>
      <c r="K576" s="118"/>
      <c r="L576" s="109">
        <v>3</v>
      </c>
      <c r="M576" s="109">
        <v>2</v>
      </c>
      <c r="N576" s="109"/>
      <c r="O576" s="119"/>
      <c r="P576" s="2">
        <f t="shared" si="128"/>
        <v>1</v>
      </c>
      <c r="Q576" s="110" t="str">
        <f>IF(AND(Drops!$D$45&gt;1,OR(U576&lt;&gt;U575,AND(ROW()=5,U575=U576))),VLOOKUP(U576,Drops!$D$26:$E$44,2,FALSE),"")</f>
        <v/>
      </c>
      <c r="R576" s="2" t="str">
        <f t="shared" si="129"/>
        <v/>
      </c>
      <c r="S576" s="2">
        <f t="shared" ca="1" si="130"/>
        <v>1</v>
      </c>
      <c r="T576" s="2">
        <f t="shared" si="131"/>
        <v>0</v>
      </c>
      <c r="U576" s="110" t="s">
        <v>1846</v>
      </c>
      <c r="V576" s="110">
        <v>19</v>
      </c>
      <c r="W576" s="110">
        <v>1</v>
      </c>
      <c r="X576" s="110">
        <v>1</v>
      </c>
      <c r="Y576" s="110">
        <v>0</v>
      </c>
      <c r="Z576" s="110">
        <v>0</v>
      </c>
      <c r="AA576" s="2">
        <f t="shared" si="132"/>
        <v>1</v>
      </c>
      <c r="AB576" s="2">
        <f t="shared" si="133"/>
        <v>0</v>
      </c>
      <c r="AC576" s="2">
        <f t="shared" si="134"/>
        <v>1</v>
      </c>
      <c r="AD576" s="2">
        <f t="shared" si="135"/>
        <v>1</v>
      </c>
      <c r="AE576" s="2">
        <f t="shared" si="136"/>
        <v>1</v>
      </c>
      <c r="AF576" s="2">
        <f t="shared" si="137"/>
        <v>3</v>
      </c>
      <c r="AG576" s="2">
        <f t="shared" si="138"/>
        <v>3</v>
      </c>
      <c r="AH576" s="2">
        <f t="shared" si="139"/>
        <v>2</v>
      </c>
      <c r="AI576" s="2">
        <f t="shared" si="140"/>
        <v>2</v>
      </c>
      <c r="AJ576" s="2">
        <f t="shared" si="141"/>
        <v>2</v>
      </c>
      <c r="AK576" s="2">
        <f t="shared" si="142"/>
        <v>2</v>
      </c>
      <c r="AL576" s="2">
        <f t="shared" si="143"/>
        <v>0</v>
      </c>
      <c r="AM576" s="115"/>
      <c r="AN576" s="115"/>
      <c r="AO576" s="63"/>
    </row>
    <row r="577" spans="1:41" ht="43.2" x14ac:dyDescent="0.55000000000000004">
      <c r="A577" s="36">
        <v>4211</v>
      </c>
      <c r="B577" s="113" t="s">
        <v>2140</v>
      </c>
      <c r="C577" s="139" t="s">
        <v>2141</v>
      </c>
      <c r="D577" s="114" t="s">
        <v>52</v>
      </c>
      <c r="E577" s="115"/>
      <c r="F577" s="116"/>
      <c r="G577" s="113" t="s">
        <v>2107</v>
      </c>
      <c r="H577" s="113" t="s">
        <v>2134</v>
      </c>
      <c r="I577" s="113"/>
      <c r="J577" s="117" t="s">
        <v>2135</v>
      </c>
      <c r="K577" s="118"/>
      <c r="L577" s="109">
        <v>3</v>
      </c>
      <c r="M577" s="109">
        <v>3</v>
      </c>
      <c r="N577" s="109"/>
      <c r="O577" s="119"/>
      <c r="P577" s="2">
        <f t="shared" si="128"/>
        <v>1</v>
      </c>
      <c r="Q577" s="110" t="str">
        <f>IF(AND(Drops!$D$45&gt;1,OR(U577&lt;&gt;U576,AND(ROW()=5,U576=U577))),VLOOKUP(U577,Drops!$D$26:$E$44,2,FALSE),"")</f>
        <v/>
      </c>
      <c r="R577" s="2" t="str">
        <f t="shared" si="129"/>
        <v/>
      </c>
      <c r="S577" s="2">
        <f t="shared" ca="1" si="130"/>
        <v>1</v>
      </c>
      <c r="T577" s="2">
        <f t="shared" si="131"/>
        <v>0</v>
      </c>
      <c r="U577" s="110" t="s">
        <v>1846</v>
      </c>
      <c r="V577" s="110">
        <v>19</v>
      </c>
      <c r="W577" s="110">
        <v>1</v>
      </c>
      <c r="X577" s="110">
        <v>2</v>
      </c>
      <c r="Y577" s="110">
        <v>0</v>
      </c>
      <c r="Z577" s="110">
        <v>0</v>
      </c>
      <c r="AA577" s="2">
        <f t="shared" si="132"/>
        <v>1</v>
      </c>
      <c r="AB577" s="2">
        <f t="shared" si="133"/>
        <v>0</v>
      </c>
      <c r="AC577" s="2">
        <f t="shared" si="134"/>
        <v>1</v>
      </c>
      <c r="AD577" s="2">
        <f t="shared" si="135"/>
        <v>1</v>
      </c>
      <c r="AE577" s="2">
        <f t="shared" si="136"/>
        <v>1</v>
      </c>
      <c r="AF577" s="2">
        <f t="shared" si="137"/>
        <v>3</v>
      </c>
      <c r="AG577" s="2">
        <f t="shared" si="138"/>
        <v>3</v>
      </c>
      <c r="AH577" s="2">
        <f t="shared" si="139"/>
        <v>2</v>
      </c>
      <c r="AI577" s="2">
        <f t="shared" si="140"/>
        <v>2</v>
      </c>
      <c r="AJ577" s="2">
        <f t="shared" si="141"/>
        <v>2</v>
      </c>
      <c r="AK577" s="2">
        <f t="shared" si="142"/>
        <v>2</v>
      </c>
      <c r="AL577" s="2">
        <f t="shared" si="143"/>
        <v>0</v>
      </c>
      <c r="AM577" s="115"/>
      <c r="AN577" s="115"/>
      <c r="AO577" s="63"/>
    </row>
    <row r="578" spans="1:41" ht="43.2" x14ac:dyDescent="0.55000000000000004">
      <c r="A578" s="36">
        <v>4469</v>
      </c>
      <c r="B578" s="113" t="s">
        <v>2142</v>
      </c>
      <c r="C578" s="138" t="s">
        <v>2143</v>
      </c>
      <c r="D578" s="114" t="s">
        <v>52</v>
      </c>
      <c r="E578" s="115"/>
      <c r="F578" s="116"/>
      <c r="G578" s="113" t="s">
        <v>2107</v>
      </c>
      <c r="H578" s="113" t="s">
        <v>2134</v>
      </c>
      <c r="I578" s="113" t="s">
        <v>2022</v>
      </c>
      <c r="J578" s="117" t="s">
        <v>2144</v>
      </c>
      <c r="K578" s="118"/>
      <c r="L578" s="109">
        <v>2</v>
      </c>
      <c r="M578" s="109">
        <v>2</v>
      </c>
      <c r="N578" s="109"/>
      <c r="O578" s="119"/>
      <c r="P578" s="2">
        <f t="shared" si="128"/>
        <v>1</v>
      </c>
      <c r="Q578" s="110" t="str">
        <f>IF(AND(Drops!$D$45&gt;1,OR(U578&lt;&gt;U577,AND(ROW()=5,U577=U578))),VLOOKUP(U578,Drops!$D$26:$E$44,2,FALSE),"")</f>
        <v/>
      </c>
      <c r="R578" s="2" t="str">
        <f t="shared" si="129"/>
        <v/>
      </c>
      <c r="S578" s="2">
        <f t="shared" ca="1" si="130"/>
        <v>1</v>
      </c>
      <c r="T578" s="2">
        <f t="shared" si="131"/>
        <v>0</v>
      </c>
      <c r="U578" s="110" t="s">
        <v>1846</v>
      </c>
      <c r="V578" s="110">
        <v>19</v>
      </c>
      <c r="W578" s="110">
        <v>2</v>
      </c>
      <c r="X578" s="110">
        <v>0</v>
      </c>
      <c r="Y578" s="110">
        <v>0</v>
      </c>
      <c r="Z578" s="110">
        <v>0</v>
      </c>
      <c r="AA578" s="2">
        <f t="shared" si="132"/>
        <v>1</v>
      </c>
      <c r="AB578" s="2">
        <f t="shared" si="133"/>
        <v>1</v>
      </c>
      <c r="AC578" s="2">
        <f t="shared" si="134"/>
        <v>1</v>
      </c>
      <c r="AD578" s="2">
        <f t="shared" si="135"/>
        <v>1</v>
      </c>
      <c r="AE578" s="2">
        <f t="shared" si="136"/>
        <v>0</v>
      </c>
      <c r="AF578" s="2">
        <f t="shared" si="137"/>
        <v>3</v>
      </c>
      <c r="AG578" s="2">
        <f t="shared" si="138"/>
        <v>3</v>
      </c>
      <c r="AH578" s="2">
        <f t="shared" si="139"/>
        <v>2</v>
      </c>
      <c r="AI578" s="2">
        <f t="shared" si="140"/>
        <v>2</v>
      </c>
      <c r="AJ578" s="2">
        <f t="shared" si="141"/>
        <v>2</v>
      </c>
      <c r="AK578" s="2">
        <f t="shared" si="142"/>
        <v>2</v>
      </c>
      <c r="AL578" s="2">
        <f t="shared" si="143"/>
        <v>0</v>
      </c>
      <c r="AM578" s="115"/>
      <c r="AN578" s="115"/>
      <c r="AO578" s="63"/>
    </row>
    <row r="579" spans="1:41" ht="43.2" x14ac:dyDescent="0.55000000000000004">
      <c r="A579" s="36">
        <v>4212</v>
      </c>
      <c r="B579" s="113" t="s">
        <v>2145</v>
      </c>
      <c r="C579" s="139" t="s">
        <v>2146</v>
      </c>
      <c r="D579" s="114" t="s">
        <v>52</v>
      </c>
      <c r="E579" s="115"/>
      <c r="F579" s="116"/>
      <c r="G579" s="113" t="s">
        <v>2107</v>
      </c>
      <c r="H579" s="113" t="s">
        <v>2134</v>
      </c>
      <c r="I579" s="113"/>
      <c r="J579" s="117" t="s">
        <v>2144</v>
      </c>
      <c r="K579" s="118"/>
      <c r="L579" s="109">
        <v>3</v>
      </c>
      <c r="M579" s="109">
        <v>3</v>
      </c>
      <c r="N579" s="109"/>
      <c r="O579" s="119"/>
      <c r="P579" s="2">
        <f t="shared" si="128"/>
        <v>1</v>
      </c>
      <c r="Q579" s="110" t="str">
        <f>IF(AND(Drops!$D$45&gt;1,OR(U579&lt;&gt;U578,AND(ROW()=5,U578=U579))),VLOOKUP(U579,Drops!$D$26:$E$44,2,FALSE),"")</f>
        <v/>
      </c>
      <c r="R579" s="2" t="str">
        <f t="shared" si="129"/>
        <v/>
      </c>
      <c r="S579" s="2">
        <f t="shared" ca="1" si="130"/>
        <v>1</v>
      </c>
      <c r="T579" s="2">
        <f t="shared" si="131"/>
        <v>0</v>
      </c>
      <c r="U579" s="110" t="s">
        <v>1846</v>
      </c>
      <c r="V579" s="110">
        <v>19</v>
      </c>
      <c r="W579" s="110">
        <v>2</v>
      </c>
      <c r="X579" s="110">
        <v>1</v>
      </c>
      <c r="Y579" s="110">
        <v>0</v>
      </c>
      <c r="Z579" s="110">
        <v>0</v>
      </c>
      <c r="AA579" s="2">
        <f t="shared" si="132"/>
        <v>1</v>
      </c>
      <c r="AB579" s="2">
        <f t="shared" si="133"/>
        <v>0</v>
      </c>
      <c r="AC579" s="2">
        <f t="shared" si="134"/>
        <v>1</v>
      </c>
      <c r="AD579" s="2">
        <f t="shared" si="135"/>
        <v>1</v>
      </c>
      <c r="AE579" s="2">
        <f t="shared" si="136"/>
        <v>1</v>
      </c>
      <c r="AF579" s="2">
        <f t="shared" si="137"/>
        <v>3</v>
      </c>
      <c r="AG579" s="2">
        <f t="shared" si="138"/>
        <v>3</v>
      </c>
      <c r="AH579" s="2">
        <f t="shared" si="139"/>
        <v>2</v>
      </c>
      <c r="AI579" s="2">
        <f t="shared" si="140"/>
        <v>2</v>
      </c>
      <c r="AJ579" s="2">
        <f t="shared" si="141"/>
        <v>2</v>
      </c>
      <c r="AK579" s="2">
        <f t="shared" si="142"/>
        <v>2</v>
      </c>
      <c r="AL579" s="2">
        <f t="shared" si="143"/>
        <v>0</v>
      </c>
      <c r="AM579" s="115"/>
      <c r="AN579" s="115"/>
      <c r="AO579" s="63"/>
    </row>
    <row r="580" spans="1:41" ht="43.2" x14ac:dyDescent="0.55000000000000004">
      <c r="A580" s="36">
        <v>951</v>
      </c>
      <c r="B580" s="113" t="s">
        <v>2147</v>
      </c>
      <c r="C580" s="138" t="s">
        <v>2148</v>
      </c>
      <c r="D580" s="114" t="s">
        <v>52</v>
      </c>
      <c r="E580" s="115" t="s">
        <v>2149</v>
      </c>
      <c r="F580" s="116"/>
      <c r="G580" s="113" t="s">
        <v>2107</v>
      </c>
      <c r="H580" s="113" t="s">
        <v>2134</v>
      </c>
      <c r="I580" s="113"/>
      <c r="J580" s="117" t="s">
        <v>2144</v>
      </c>
      <c r="K580" s="118"/>
      <c r="L580" s="109">
        <v>2</v>
      </c>
      <c r="M580" s="109">
        <v>2</v>
      </c>
      <c r="N580" s="109"/>
      <c r="O580" s="119"/>
      <c r="P580" s="2">
        <f t="shared" si="128"/>
        <v>1</v>
      </c>
      <c r="Q580" s="110" t="str">
        <f>IF(AND(Drops!$D$45&gt;1,OR(U580&lt;&gt;U579,AND(ROW()=5,U579=U580))),VLOOKUP(U580,Drops!$D$26:$E$44,2,FALSE),"")</f>
        <v/>
      </c>
      <c r="R580" s="2" t="str">
        <f t="shared" si="129"/>
        <v/>
      </c>
      <c r="S580" s="2">
        <f t="shared" ca="1" si="130"/>
        <v>1</v>
      </c>
      <c r="T580" s="2">
        <f t="shared" si="131"/>
        <v>0</v>
      </c>
      <c r="U580" s="110" t="s">
        <v>1846</v>
      </c>
      <c r="V580" s="110">
        <v>19</v>
      </c>
      <c r="W580" s="110">
        <v>3</v>
      </c>
      <c r="X580" s="110">
        <v>0</v>
      </c>
      <c r="Y580" s="110">
        <v>0</v>
      </c>
      <c r="Z580" s="110">
        <v>0</v>
      </c>
      <c r="AA580" s="2">
        <f t="shared" si="132"/>
        <v>1</v>
      </c>
      <c r="AB580" s="2">
        <f t="shared" si="133"/>
        <v>0</v>
      </c>
      <c r="AC580" s="2">
        <f t="shared" si="134"/>
        <v>1</v>
      </c>
      <c r="AD580" s="2">
        <f t="shared" si="135"/>
        <v>1</v>
      </c>
      <c r="AE580" s="2">
        <f t="shared" si="136"/>
        <v>0</v>
      </c>
      <c r="AF580" s="2">
        <f t="shared" si="137"/>
        <v>3</v>
      </c>
      <c r="AG580" s="2">
        <f t="shared" si="138"/>
        <v>3</v>
      </c>
      <c r="AH580" s="2">
        <f t="shared" si="139"/>
        <v>2</v>
      </c>
      <c r="AI580" s="2">
        <f t="shared" si="140"/>
        <v>2</v>
      </c>
      <c r="AJ580" s="2">
        <f t="shared" si="141"/>
        <v>2</v>
      </c>
      <c r="AK580" s="2">
        <f t="shared" si="142"/>
        <v>2</v>
      </c>
      <c r="AL580" s="2">
        <f t="shared" si="143"/>
        <v>0</v>
      </c>
      <c r="AM580" s="115"/>
      <c r="AN580" s="115"/>
      <c r="AO580" s="63"/>
    </row>
    <row r="581" spans="1:41" ht="43.2" x14ac:dyDescent="0.55000000000000004">
      <c r="A581" s="36">
        <v>4219</v>
      </c>
      <c r="B581" s="113" t="s">
        <v>2150</v>
      </c>
      <c r="C581" s="138" t="s">
        <v>2151</v>
      </c>
      <c r="D581" s="114" t="s">
        <v>52</v>
      </c>
      <c r="E581" s="115"/>
      <c r="F581" s="116"/>
      <c r="G581" s="113" t="s">
        <v>2107</v>
      </c>
      <c r="H581" s="113" t="s">
        <v>2134</v>
      </c>
      <c r="I581" s="113"/>
      <c r="J581" s="117" t="s">
        <v>2144</v>
      </c>
      <c r="K581" s="118"/>
      <c r="L581" s="109">
        <v>2</v>
      </c>
      <c r="M581" s="109">
        <v>2</v>
      </c>
      <c r="N581" s="109"/>
      <c r="O581" s="119"/>
      <c r="P581" s="2">
        <f t="shared" si="128"/>
        <v>1</v>
      </c>
      <c r="Q581" s="110" t="str">
        <f>IF(AND(Drops!$D$45&gt;1,OR(U581&lt;&gt;U580,AND(ROW()=5,U580=U581))),VLOOKUP(U581,Drops!$D$26:$E$44,2,FALSE),"")</f>
        <v/>
      </c>
      <c r="R581" s="2" t="str">
        <f t="shared" si="129"/>
        <v/>
      </c>
      <c r="S581" s="2">
        <f t="shared" ca="1" si="130"/>
        <v>1</v>
      </c>
      <c r="T581" s="2">
        <f t="shared" si="131"/>
        <v>0</v>
      </c>
      <c r="U581" s="110" t="s">
        <v>1846</v>
      </c>
      <c r="V581" s="110">
        <v>19</v>
      </c>
      <c r="W581" s="110">
        <v>4</v>
      </c>
      <c r="X581" s="110">
        <v>0</v>
      </c>
      <c r="Y581" s="110">
        <v>0</v>
      </c>
      <c r="Z581" s="110">
        <v>0</v>
      </c>
      <c r="AA581" s="2">
        <f t="shared" si="132"/>
        <v>1</v>
      </c>
      <c r="AB581" s="2">
        <f t="shared" si="133"/>
        <v>0</v>
      </c>
      <c r="AC581" s="2">
        <f t="shared" si="134"/>
        <v>1</v>
      </c>
      <c r="AD581" s="2">
        <f t="shared" si="135"/>
        <v>1</v>
      </c>
      <c r="AE581" s="2">
        <f t="shared" si="136"/>
        <v>0</v>
      </c>
      <c r="AF581" s="2">
        <f t="shared" si="137"/>
        <v>3</v>
      </c>
      <c r="AG581" s="2">
        <f t="shared" si="138"/>
        <v>3</v>
      </c>
      <c r="AH581" s="2">
        <f t="shared" si="139"/>
        <v>2</v>
      </c>
      <c r="AI581" s="2">
        <f t="shared" si="140"/>
        <v>2</v>
      </c>
      <c r="AJ581" s="2">
        <f t="shared" si="141"/>
        <v>2</v>
      </c>
      <c r="AK581" s="2">
        <f t="shared" si="142"/>
        <v>2</v>
      </c>
      <c r="AL581" s="2">
        <f t="shared" si="143"/>
        <v>0</v>
      </c>
      <c r="AM581" s="115"/>
      <c r="AN581" s="115"/>
      <c r="AO581" s="63"/>
    </row>
    <row r="582" spans="1:41" ht="57.6" x14ac:dyDescent="0.55000000000000004">
      <c r="A582" s="36">
        <v>5800</v>
      </c>
      <c r="B582" s="113" t="s">
        <v>2152</v>
      </c>
      <c r="C582" s="138" t="s">
        <v>2153</v>
      </c>
      <c r="D582" s="114" t="s">
        <v>52</v>
      </c>
      <c r="E582" s="115"/>
      <c r="F582" s="116"/>
      <c r="G582" s="113" t="s">
        <v>2107</v>
      </c>
      <c r="H582" s="113" t="s">
        <v>2154</v>
      </c>
      <c r="I582" s="113" t="s">
        <v>2022</v>
      </c>
      <c r="J582" s="117"/>
      <c r="K582" s="118"/>
      <c r="L582" s="109">
        <v>2</v>
      </c>
      <c r="M582" s="109">
        <v>3</v>
      </c>
      <c r="N582" s="109"/>
      <c r="O582" s="119"/>
      <c r="P582" s="2">
        <f t="shared" ref="P582:P645" si="144">IF($L582="","",IF($D582="Yes",1,IF($D582="No",2,IF($D582="N/A",3,0))))</f>
        <v>1</v>
      </c>
      <c r="Q582" s="110" t="str">
        <f>IF(AND(Drops!$D$45&gt;1,OR(U582&lt;&gt;U581,AND(ROW()=5,U581=U582))),VLOOKUP(U582,Drops!$D$26:$E$44,2,FALSE),"")</f>
        <v/>
      </c>
      <c r="R582" s="2" t="str">
        <f t="shared" ref="R582:R645" si="145">IF(Q582&lt;&gt;"",ROW(),"")</f>
        <v/>
      </c>
      <c r="S582" s="2">
        <f t="shared" ref="S582:S645" ca="1" si="146">OFFSET(AC582,,L582-1)</f>
        <v>1</v>
      </c>
      <c r="T582" s="2">
        <f t="shared" ref="T582:T645" si="147">IF(OR(V582&lt;&gt;V581,U582&lt;&gt;U581,AND(V582&lt;&gt;V581,W582&lt;&gt;W581),AND(V582&lt;&gt;V581,W582&lt;&gt;W581,X582&lt;&gt;X581),AND(V582&lt;&gt;V581,W582&lt;&gt;W581,X582&lt;&gt;X581,Y582&lt;&gt;Y581),AND(V582&lt;&gt;V581,W582&lt;&gt;W581,X582&lt;&gt;X581,Y582&lt;&gt;Y581,Z582&lt;&gt;Z581),L582-L581&gt;1),1,0)</f>
        <v>0</v>
      </c>
      <c r="U582" s="110" t="s">
        <v>1846</v>
      </c>
      <c r="V582" s="110">
        <v>19</v>
      </c>
      <c r="W582" s="110">
        <v>5</v>
      </c>
      <c r="X582" s="110">
        <v>0</v>
      </c>
      <c r="Y582" s="110">
        <v>0</v>
      </c>
      <c r="Z582" s="110">
        <v>0</v>
      </c>
      <c r="AA582" s="2">
        <f t="shared" ref="AA582:AA645" si="148">IF(ROW()=5,1,IF(OR(AH582=1,P582&gt;0,T582=1),1,IF(OR(AND(AH582=2,AI582=1),AND(AI582=2,AJ582=1),AND(AJ582=2,AK582=1),AND(AK582=2,AL582=1)),1,0)))</f>
        <v>1</v>
      </c>
      <c r="AB582" s="2">
        <f t="shared" ref="AB582:AB645" si="149">IF(L583&gt;L582,1,0)</f>
        <v>1</v>
      </c>
      <c r="AC582" s="2">
        <f t="shared" ref="AC582:AC645" si="150">IF(ROW()=5,P582,IF(AND($P582&gt;1,AC$4=$L582),$P582,IF(AND($U582=$U581,V582=V581),AC581,IF(AND($L582=AC$4,P582=1),P582,0))))</f>
        <v>1</v>
      </c>
      <c r="AD582" s="2">
        <f t="shared" ref="AD582:AD645" si="151">IF(AC582&gt;1,AC582,IF(AND($P582&gt;1,AD$4=$L582),$P582,IF(AND($U582=$U581,W582=W581),AD581,IF(AND($L582=AD$4,P582=1),P582,0))))</f>
        <v>1</v>
      </c>
      <c r="AE582" s="2">
        <f t="shared" ref="AE582:AE645" si="152">IF(AD582&gt;1,AD582,IF(AND($P582&gt;1,AE$4=$L582),$P582,IF(AND($U582=$U581,X582=X581),AE581,IF(AND($L582=AE$4,P582=1),P582,0))))</f>
        <v>0</v>
      </c>
      <c r="AF582" s="2">
        <f t="shared" ref="AF582:AF645" si="153">IF(AE582&gt;1,AE582,IF(AND($P582&gt;1,AF$4=$L582),$P582,IF(AND($U582=$U581,Y582=Y581),AF581,IF(AND($L582=AF$4,P582=1),P582,0))))</f>
        <v>3</v>
      </c>
      <c r="AG582" s="2">
        <f t="shared" ref="AG582:AG645" si="154">IF(AF582&gt;1,AF582,IF(AND($P582&gt;1,AG$4=$L582),$P582,IF(AND($U582=$U581,Z582=Z581),AG581,IF(AND($L582=AG$4,P582=1),P582,0))))</f>
        <v>3</v>
      </c>
      <c r="AH582" s="2">
        <f t="shared" ref="AH582:AH645" si="155">IF(AND($P582=1,$L582=AH$4),2,IF(AND($L582&lt;&gt;AH$4,AH581=2),AH581,IF($L582&lt;&gt;AH$4,0,1)))</f>
        <v>2</v>
      </c>
      <c r="AI582" s="2">
        <f t="shared" ref="AI582:AI645" si="156">IF(OR(ROW()=5,$U581&lt;&gt;$U582),0,IF(AND($P582=1,$L582=AI$4),2,IF(AND($L582&lt;&gt;AI$4,AI581=2),AI581,IF($L582&lt;&gt;AI$4,0,1))))</f>
        <v>2</v>
      </c>
      <c r="AJ582" s="2">
        <f t="shared" ref="AJ582:AJ645" si="157">IF(OR(ROW()=5,$U581&lt;&gt;$U582),0,IF(AND($P582=1,$L582=AJ$4),2,IF(AND($L582&lt;&gt;AJ$4,AJ581=2),AJ581,IF($L582&lt;&gt;AJ$4,0,1))))</f>
        <v>2</v>
      </c>
      <c r="AK582" s="2">
        <f t="shared" ref="AK582:AK645" si="158">IF(OR(ROW()=5,$U581&lt;&gt;$U582),0,IF(AND($P582=1,$L582=AK$4),2,IF(AND($L582&lt;&gt;AK$4,AK581=2),AK581,IF($L582&lt;&gt;AK$4,0,1))))</f>
        <v>2</v>
      </c>
      <c r="AL582" s="2">
        <f t="shared" ref="AL582:AL645" si="159">IF(OR(ROW()=5,$U581&lt;&gt;$U582),0,IF(AND($P582=1,$L582=AL$4),2,IF(AND($L582&lt;&gt;AL$4,AL581=2),AL581,IF($L582&lt;&gt;AL$4,0,1))))</f>
        <v>0</v>
      </c>
      <c r="AM582" s="115"/>
      <c r="AN582" s="115"/>
      <c r="AO582" s="63"/>
    </row>
    <row r="583" spans="1:41" ht="57.6" x14ac:dyDescent="0.55000000000000004">
      <c r="A583" s="36">
        <v>5801</v>
      </c>
      <c r="B583" s="113" t="s">
        <v>2155</v>
      </c>
      <c r="C583" s="139" t="s">
        <v>2156</v>
      </c>
      <c r="D583" s="114" t="s">
        <v>52</v>
      </c>
      <c r="E583" s="115"/>
      <c r="F583" s="116"/>
      <c r="G583" s="113" t="s">
        <v>2107</v>
      </c>
      <c r="H583" s="113" t="s">
        <v>2154</v>
      </c>
      <c r="I583" s="113" t="s">
        <v>2022</v>
      </c>
      <c r="J583" s="117"/>
      <c r="K583" s="118"/>
      <c r="L583" s="109">
        <v>3</v>
      </c>
      <c r="M583" s="109">
        <v>3</v>
      </c>
      <c r="N583" s="109"/>
      <c r="O583" s="119"/>
      <c r="P583" s="2">
        <f t="shared" si="144"/>
        <v>1</v>
      </c>
      <c r="Q583" s="110" t="str">
        <f>IF(AND(Drops!$D$45&gt;1,OR(U583&lt;&gt;U582,AND(ROW()=5,U582=U583))),VLOOKUP(U583,Drops!$D$26:$E$44,2,FALSE),"")</f>
        <v/>
      </c>
      <c r="R583" s="2" t="str">
        <f t="shared" si="145"/>
        <v/>
      </c>
      <c r="S583" s="2">
        <f t="shared" ca="1" si="146"/>
        <v>1</v>
      </c>
      <c r="T583" s="2">
        <f t="shared" si="147"/>
        <v>0</v>
      </c>
      <c r="U583" s="110" t="s">
        <v>1846</v>
      </c>
      <c r="V583" s="110">
        <v>19</v>
      </c>
      <c r="W583" s="110">
        <v>5</v>
      </c>
      <c r="X583" s="110">
        <v>1</v>
      </c>
      <c r="Y583" s="110">
        <v>0</v>
      </c>
      <c r="Z583" s="110">
        <v>0</v>
      </c>
      <c r="AA583" s="2">
        <f t="shared" si="148"/>
        <v>1</v>
      </c>
      <c r="AB583" s="2">
        <f t="shared" si="149"/>
        <v>0</v>
      </c>
      <c r="AC583" s="2">
        <f t="shared" si="150"/>
        <v>1</v>
      </c>
      <c r="AD583" s="2">
        <f t="shared" si="151"/>
        <v>1</v>
      </c>
      <c r="AE583" s="2">
        <f t="shared" si="152"/>
        <v>1</v>
      </c>
      <c r="AF583" s="2">
        <f t="shared" si="153"/>
        <v>3</v>
      </c>
      <c r="AG583" s="2">
        <f t="shared" si="154"/>
        <v>3</v>
      </c>
      <c r="AH583" s="2">
        <f t="shared" si="155"/>
        <v>2</v>
      </c>
      <c r="AI583" s="2">
        <f t="shared" si="156"/>
        <v>2</v>
      </c>
      <c r="AJ583" s="2">
        <f t="shared" si="157"/>
        <v>2</v>
      </c>
      <c r="AK583" s="2">
        <f t="shared" si="158"/>
        <v>2</v>
      </c>
      <c r="AL583" s="2">
        <f t="shared" si="159"/>
        <v>0</v>
      </c>
      <c r="AM583" s="115"/>
      <c r="AN583" s="115"/>
      <c r="AO583" s="63"/>
    </row>
    <row r="584" spans="1:41" ht="57.6" x14ac:dyDescent="0.55000000000000004">
      <c r="A584" s="36">
        <v>5802</v>
      </c>
      <c r="B584" s="113" t="s">
        <v>2157</v>
      </c>
      <c r="C584" s="139" t="s">
        <v>2158</v>
      </c>
      <c r="D584" s="114" t="s">
        <v>52</v>
      </c>
      <c r="E584" s="115"/>
      <c r="F584" s="116"/>
      <c r="G584" s="113" t="s">
        <v>2107</v>
      </c>
      <c r="H584" s="113" t="s">
        <v>2154</v>
      </c>
      <c r="I584" s="113"/>
      <c r="J584" s="117"/>
      <c r="K584" s="118"/>
      <c r="L584" s="109">
        <v>3</v>
      </c>
      <c r="M584" s="109">
        <v>3</v>
      </c>
      <c r="N584" s="109"/>
      <c r="O584" s="119"/>
      <c r="P584" s="2">
        <f t="shared" si="144"/>
        <v>1</v>
      </c>
      <c r="Q584" s="110" t="str">
        <f>IF(AND(Drops!$D$45&gt;1,OR(U584&lt;&gt;U583,AND(ROW()=5,U583=U584))),VLOOKUP(U584,Drops!$D$26:$E$44,2,FALSE),"")</f>
        <v/>
      </c>
      <c r="R584" s="2" t="str">
        <f t="shared" si="145"/>
        <v/>
      </c>
      <c r="S584" s="2">
        <f t="shared" ca="1" si="146"/>
        <v>1</v>
      </c>
      <c r="T584" s="2">
        <f t="shared" si="147"/>
        <v>0</v>
      </c>
      <c r="U584" s="110" t="s">
        <v>1846</v>
      </c>
      <c r="V584" s="110">
        <v>19</v>
      </c>
      <c r="W584" s="110">
        <v>5</v>
      </c>
      <c r="X584" s="110">
        <v>2</v>
      </c>
      <c r="Y584" s="110">
        <v>0</v>
      </c>
      <c r="Z584" s="110">
        <v>0</v>
      </c>
      <c r="AA584" s="2">
        <f t="shared" si="148"/>
        <v>1</v>
      </c>
      <c r="AB584" s="2">
        <f t="shared" si="149"/>
        <v>0</v>
      </c>
      <c r="AC584" s="2">
        <f t="shared" si="150"/>
        <v>1</v>
      </c>
      <c r="AD584" s="2">
        <f t="shared" si="151"/>
        <v>1</v>
      </c>
      <c r="AE584" s="2">
        <f t="shared" si="152"/>
        <v>1</v>
      </c>
      <c r="AF584" s="2">
        <f t="shared" si="153"/>
        <v>3</v>
      </c>
      <c r="AG584" s="2">
        <f t="shared" si="154"/>
        <v>3</v>
      </c>
      <c r="AH584" s="2">
        <f t="shared" si="155"/>
        <v>2</v>
      </c>
      <c r="AI584" s="2">
        <f t="shared" si="156"/>
        <v>2</v>
      </c>
      <c r="AJ584" s="2">
        <f t="shared" si="157"/>
        <v>2</v>
      </c>
      <c r="AK584" s="2">
        <f t="shared" si="158"/>
        <v>2</v>
      </c>
      <c r="AL584" s="2">
        <f t="shared" si="159"/>
        <v>0</v>
      </c>
      <c r="AM584" s="115"/>
      <c r="AN584" s="115"/>
      <c r="AO584" s="63"/>
    </row>
    <row r="585" spans="1:41" ht="57.6" x14ac:dyDescent="0.55000000000000004">
      <c r="A585" s="36">
        <v>5803</v>
      </c>
      <c r="B585" s="113" t="s">
        <v>2159</v>
      </c>
      <c r="C585" s="139" t="s">
        <v>2160</v>
      </c>
      <c r="D585" s="114" t="s">
        <v>48</v>
      </c>
      <c r="E585" s="115" t="s">
        <v>2161</v>
      </c>
      <c r="F585" s="116"/>
      <c r="G585" s="113" t="s">
        <v>2107</v>
      </c>
      <c r="H585" s="113" t="s">
        <v>2154</v>
      </c>
      <c r="I585" s="113" t="s">
        <v>2022</v>
      </c>
      <c r="J585" s="117" t="s">
        <v>2144</v>
      </c>
      <c r="K585" s="118"/>
      <c r="L585" s="109">
        <v>3</v>
      </c>
      <c r="M585" s="109">
        <v>3</v>
      </c>
      <c r="N585" s="109"/>
      <c r="O585" s="119"/>
      <c r="P585" s="2">
        <f t="shared" si="144"/>
        <v>3</v>
      </c>
      <c r="Q585" s="110" t="str">
        <f>IF(AND(Drops!$D$45&gt;1,OR(U585&lt;&gt;U584,AND(ROW()=5,U584=U585))),VLOOKUP(U585,Drops!$D$26:$E$44,2,FALSE),"")</f>
        <v/>
      </c>
      <c r="R585" s="2" t="str">
        <f t="shared" si="145"/>
        <v/>
      </c>
      <c r="S585" s="2">
        <f t="shared" ca="1" si="146"/>
        <v>3</v>
      </c>
      <c r="T585" s="2">
        <f t="shared" si="147"/>
        <v>0</v>
      </c>
      <c r="U585" s="110" t="s">
        <v>1846</v>
      </c>
      <c r="V585" s="110">
        <v>19</v>
      </c>
      <c r="W585" s="110">
        <v>5</v>
      </c>
      <c r="X585" s="110">
        <v>3</v>
      </c>
      <c r="Y585" s="110">
        <v>0</v>
      </c>
      <c r="Z585" s="110">
        <v>0</v>
      </c>
      <c r="AA585" s="2">
        <f t="shared" si="148"/>
        <v>1</v>
      </c>
      <c r="AB585" s="2">
        <f t="shared" si="149"/>
        <v>0</v>
      </c>
      <c r="AC585" s="2">
        <f t="shared" si="150"/>
        <v>1</v>
      </c>
      <c r="AD585" s="2">
        <f t="shared" si="151"/>
        <v>1</v>
      </c>
      <c r="AE585" s="2">
        <f t="shared" si="152"/>
        <v>3</v>
      </c>
      <c r="AF585" s="2">
        <f t="shared" si="153"/>
        <v>3</v>
      </c>
      <c r="AG585" s="2">
        <f t="shared" si="154"/>
        <v>3</v>
      </c>
      <c r="AH585" s="2">
        <f t="shared" si="155"/>
        <v>2</v>
      </c>
      <c r="AI585" s="2">
        <f t="shared" si="156"/>
        <v>2</v>
      </c>
      <c r="AJ585" s="2">
        <f t="shared" si="157"/>
        <v>1</v>
      </c>
      <c r="AK585" s="2">
        <f t="shared" si="158"/>
        <v>2</v>
      </c>
      <c r="AL585" s="2">
        <f t="shared" si="159"/>
        <v>0</v>
      </c>
      <c r="AM585" s="115"/>
      <c r="AN585" s="115"/>
      <c r="AO585" s="63"/>
    </row>
    <row r="586" spans="1:41" ht="57.6" x14ac:dyDescent="0.55000000000000004">
      <c r="A586" s="36">
        <v>5804</v>
      </c>
      <c r="B586" s="113" t="s">
        <v>2162</v>
      </c>
      <c r="C586" s="139" t="s">
        <v>2163</v>
      </c>
      <c r="D586" s="114" t="s">
        <v>52</v>
      </c>
      <c r="E586" s="115"/>
      <c r="F586" s="116"/>
      <c r="G586" s="113" t="s">
        <v>2107</v>
      </c>
      <c r="H586" s="113" t="s">
        <v>2154</v>
      </c>
      <c r="I586" s="113" t="s">
        <v>2022</v>
      </c>
      <c r="J586" s="117"/>
      <c r="K586" s="118"/>
      <c r="L586" s="109">
        <v>3</v>
      </c>
      <c r="M586" s="109">
        <v>3</v>
      </c>
      <c r="N586" s="109"/>
      <c r="O586" s="119"/>
      <c r="P586" s="2">
        <f t="shared" si="144"/>
        <v>1</v>
      </c>
      <c r="Q586" s="110" t="str">
        <f>IF(AND(Drops!$D$45&gt;1,OR(U586&lt;&gt;U585,AND(ROW()=5,U585=U586))),VLOOKUP(U586,Drops!$D$26:$E$44,2,FALSE),"")</f>
        <v/>
      </c>
      <c r="R586" s="2" t="str">
        <f t="shared" si="145"/>
        <v/>
      </c>
      <c r="S586" s="2">
        <f t="shared" ca="1" si="146"/>
        <v>1</v>
      </c>
      <c r="T586" s="2">
        <f t="shared" si="147"/>
        <v>0</v>
      </c>
      <c r="U586" s="110" t="s">
        <v>1846</v>
      </c>
      <c r="V586" s="110">
        <v>19</v>
      </c>
      <c r="W586" s="110">
        <v>5</v>
      </c>
      <c r="X586" s="110">
        <v>4</v>
      </c>
      <c r="Y586" s="110">
        <v>0</v>
      </c>
      <c r="Z586" s="110">
        <v>0</v>
      </c>
      <c r="AA586" s="2">
        <f t="shared" si="148"/>
        <v>1</v>
      </c>
      <c r="AB586" s="2">
        <f t="shared" si="149"/>
        <v>0</v>
      </c>
      <c r="AC586" s="2">
        <f t="shared" si="150"/>
        <v>1</v>
      </c>
      <c r="AD586" s="2">
        <f t="shared" si="151"/>
        <v>1</v>
      </c>
      <c r="AE586" s="2">
        <f t="shared" si="152"/>
        <v>1</v>
      </c>
      <c r="AF586" s="2">
        <f t="shared" si="153"/>
        <v>3</v>
      </c>
      <c r="AG586" s="2">
        <f t="shared" si="154"/>
        <v>3</v>
      </c>
      <c r="AH586" s="2">
        <f t="shared" si="155"/>
        <v>2</v>
      </c>
      <c r="AI586" s="2">
        <f t="shared" si="156"/>
        <v>2</v>
      </c>
      <c r="AJ586" s="2">
        <f t="shared" si="157"/>
        <v>2</v>
      </c>
      <c r="AK586" s="2">
        <f t="shared" si="158"/>
        <v>2</v>
      </c>
      <c r="AL586" s="2">
        <f t="shared" si="159"/>
        <v>0</v>
      </c>
      <c r="AM586" s="115"/>
      <c r="AN586" s="115"/>
      <c r="AO586" s="63"/>
    </row>
    <row r="587" spans="1:41" ht="28.8" x14ac:dyDescent="0.55000000000000004">
      <c r="A587" s="36">
        <v>5805</v>
      </c>
      <c r="B587" s="113" t="s">
        <v>2164</v>
      </c>
      <c r="C587" s="113" t="s">
        <v>2165</v>
      </c>
      <c r="D587" s="114" t="s">
        <v>52</v>
      </c>
      <c r="E587" s="115"/>
      <c r="F587" s="116"/>
      <c r="G587" s="113" t="s">
        <v>2107</v>
      </c>
      <c r="H587" s="113" t="s">
        <v>2166</v>
      </c>
      <c r="I587" s="113" t="s">
        <v>2167</v>
      </c>
      <c r="J587" s="117"/>
      <c r="K587" s="118"/>
      <c r="L587" s="109">
        <v>1</v>
      </c>
      <c r="M587" s="109">
        <v>3</v>
      </c>
      <c r="N587" s="109"/>
      <c r="O587" s="119"/>
      <c r="P587" s="2">
        <f t="shared" si="144"/>
        <v>1</v>
      </c>
      <c r="Q587" s="110" t="str">
        <f>IF(AND(Drops!$D$45&gt;1,OR(U587&lt;&gt;U586,AND(ROW()=5,U586=U587))),VLOOKUP(U587,Drops!$D$26:$E$44,2,FALSE),"")</f>
        <v/>
      </c>
      <c r="R587" s="2" t="str">
        <f t="shared" si="145"/>
        <v/>
      </c>
      <c r="S587" s="2">
        <f t="shared" ca="1" si="146"/>
        <v>1</v>
      </c>
      <c r="T587" s="2">
        <f t="shared" si="147"/>
        <v>1</v>
      </c>
      <c r="U587" s="110" t="s">
        <v>1846</v>
      </c>
      <c r="V587" s="110">
        <v>20</v>
      </c>
      <c r="W587" s="110">
        <v>0</v>
      </c>
      <c r="X587" s="110">
        <v>0</v>
      </c>
      <c r="Y587" s="110">
        <v>0</v>
      </c>
      <c r="Z587" s="110">
        <v>0</v>
      </c>
      <c r="AA587" s="2">
        <f t="shared" si="148"/>
        <v>1</v>
      </c>
      <c r="AB587" s="2">
        <f t="shared" si="149"/>
        <v>1</v>
      </c>
      <c r="AC587" s="2">
        <f t="shared" si="150"/>
        <v>1</v>
      </c>
      <c r="AD587" s="2">
        <f t="shared" si="151"/>
        <v>0</v>
      </c>
      <c r="AE587" s="2">
        <f t="shared" si="152"/>
        <v>0</v>
      </c>
      <c r="AF587" s="2">
        <f t="shared" si="153"/>
        <v>3</v>
      </c>
      <c r="AG587" s="2">
        <f t="shared" si="154"/>
        <v>3</v>
      </c>
      <c r="AH587" s="2">
        <f t="shared" si="155"/>
        <v>2</v>
      </c>
      <c r="AI587" s="2">
        <f t="shared" si="156"/>
        <v>2</v>
      </c>
      <c r="AJ587" s="2">
        <f t="shared" si="157"/>
        <v>2</v>
      </c>
      <c r="AK587" s="2">
        <f t="shared" si="158"/>
        <v>2</v>
      </c>
      <c r="AL587" s="2">
        <f t="shared" si="159"/>
        <v>0</v>
      </c>
      <c r="AM587" s="115"/>
      <c r="AN587" s="115"/>
      <c r="AO587" s="63"/>
    </row>
    <row r="588" spans="1:41" ht="28.8" x14ac:dyDescent="0.55000000000000004">
      <c r="A588" s="36">
        <v>5806</v>
      </c>
      <c r="B588" s="113" t="s">
        <v>2168</v>
      </c>
      <c r="C588" s="138" t="s">
        <v>2169</v>
      </c>
      <c r="D588" s="114" t="s">
        <v>52</v>
      </c>
      <c r="E588" s="115"/>
      <c r="F588" s="116"/>
      <c r="G588" s="113" t="s">
        <v>2107</v>
      </c>
      <c r="H588" s="113" t="s">
        <v>2166</v>
      </c>
      <c r="I588" s="113"/>
      <c r="J588" s="117"/>
      <c r="K588" s="118"/>
      <c r="L588" s="109">
        <v>2</v>
      </c>
      <c r="M588" s="109">
        <v>3</v>
      </c>
      <c r="N588" s="109"/>
      <c r="O588" s="119"/>
      <c r="P588" s="2">
        <f t="shared" si="144"/>
        <v>1</v>
      </c>
      <c r="Q588" s="110" t="str">
        <f>IF(AND(Drops!$D$45&gt;1,OR(U588&lt;&gt;U587,AND(ROW()=5,U587=U588))),VLOOKUP(U588,Drops!$D$26:$E$44,2,FALSE),"")</f>
        <v/>
      </c>
      <c r="R588" s="2" t="str">
        <f t="shared" si="145"/>
        <v/>
      </c>
      <c r="S588" s="2">
        <f t="shared" ca="1" si="146"/>
        <v>1</v>
      </c>
      <c r="T588" s="2">
        <f t="shared" si="147"/>
        <v>0</v>
      </c>
      <c r="U588" s="110" t="s">
        <v>1846</v>
      </c>
      <c r="V588" s="110">
        <v>20</v>
      </c>
      <c r="W588" s="110">
        <v>1</v>
      </c>
      <c r="X588" s="110">
        <v>0</v>
      </c>
      <c r="Y588" s="110">
        <v>0</v>
      </c>
      <c r="Z588" s="110">
        <v>0</v>
      </c>
      <c r="AA588" s="2">
        <f t="shared" si="148"/>
        <v>1</v>
      </c>
      <c r="AB588" s="2">
        <f t="shared" si="149"/>
        <v>0</v>
      </c>
      <c r="AC588" s="2">
        <f t="shared" si="150"/>
        <v>1</v>
      </c>
      <c r="AD588" s="2">
        <f t="shared" si="151"/>
        <v>1</v>
      </c>
      <c r="AE588" s="2">
        <f t="shared" si="152"/>
        <v>0</v>
      </c>
      <c r="AF588" s="2">
        <f t="shared" si="153"/>
        <v>3</v>
      </c>
      <c r="AG588" s="2">
        <f t="shared" si="154"/>
        <v>3</v>
      </c>
      <c r="AH588" s="2">
        <f t="shared" si="155"/>
        <v>2</v>
      </c>
      <c r="AI588" s="2">
        <f t="shared" si="156"/>
        <v>2</v>
      </c>
      <c r="AJ588" s="2">
        <f t="shared" si="157"/>
        <v>2</v>
      </c>
      <c r="AK588" s="2">
        <f t="shared" si="158"/>
        <v>2</v>
      </c>
      <c r="AL588" s="2">
        <f t="shared" si="159"/>
        <v>0</v>
      </c>
      <c r="AM588" s="115"/>
      <c r="AN588" s="115"/>
      <c r="AO588" s="63"/>
    </row>
    <row r="589" spans="1:41" ht="28.8" x14ac:dyDescent="0.55000000000000004">
      <c r="A589" s="36">
        <v>5807</v>
      </c>
      <c r="B589" s="113" t="s">
        <v>2170</v>
      </c>
      <c r="C589" s="138" t="s">
        <v>2171</v>
      </c>
      <c r="D589" s="114" t="s">
        <v>52</v>
      </c>
      <c r="E589" s="115"/>
      <c r="F589" s="116"/>
      <c r="G589" s="113" t="s">
        <v>2107</v>
      </c>
      <c r="H589" s="113" t="s">
        <v>2166</v>
      </c>
      <c r="I589" s="113"/>
      <c r="J589" s="117"/>
      <c r="K589" s="118"/>
      <c r="L589" s="109">
        <v>2</v>
      </c>
      <c r="M589" s="109">
        <v>3</v>
      </c>
      <c r="N589" s="109"/>
      <c r="O589" s="119"/>
      <c r="P589" s="2">
        <f t="shared" si="144"/>
        <v>1</v>
      </c>
      <c r="Q589" s="110" t="str">
        <f>IF(AND(Drops!$D$45&gt;1,OR(U589&lt;&gt;U588,AND(ROW()=5,U588=U589))),VLOOKUP(U589,Drops!$D$26:$E$44,2,FALSE),"")</f>
        <v/>
      </c>
      <c r="R589" s="2" t="str">
        <f t="shared" si="145"/>
        <v/>
      </c>
      <c r="S589" s="2">
        <f t="shared" ca="1" si="146"/>
        <v>1</v>
      </c>
      <c r="T589" s="2">
        <f t="shared" si="147"/>
        <v>0</v>
      </c>
      <c r="U589" s="110" t="s">
        <v>1846</v>
      </c>
      <c r="V589" s="110">
        <v>20</v>
      </c>
      <c r="W589" s="110">
        <v>2</v>
      </c>
      <c r="X589" s="110">
        <v>0</v>
      </c>
      <c r="Y589" s="110">
        <v>0</v>
      </c>
      <c r="Z589" s="110">
        <v>0</v>
      </c>
      <c r="AA589" s="2">
        <f t="shared" si="148"/>
        <v>1</v>
      </c>
      <c r="AB589" s="2">
        <f t="shared" si="149"/>
        <v>0</v>
      </c>
      <c r="AC589" s="2">
        <f t="shared" si="150"/>
        <v>1</v>
      </c>
      <c r="AD589" s="2">
        <f t="shared" si="151"/>
        <v>1</v>
      </c>
      <c r="AE589" s="2">
        <f t="shared" si="152"/>
        <v>0</v>
      </c>
      <c r="AF589" s="2">
        <f t="shared" si="153"/>
        <v>3</v>
      </c>
      <c r="AG589" s="2">
        <f t="shared" si="154"/>
        <v>3</v>
      </c>
      <c r="AH589" s="2">
        <f t="shared" si="155"/>
        <v>2</v>
      </c>
      <c r="AI589" s="2">
        <f t="shared" si="156"/>
        <v>2</v>
      </c>
      <c r="AJ589" s="2">
        <f t="shared" si="157"/>
        <v>2</v>
      </c>
      <c r="AK589" s="2">
        <f t="shared" si="158"/>
        <v>2</v>
      </c>
      <c r="AL589" s="2">
        <f t="shared" si="159"/>
        <v>0</v>
      </c>
      <c r="AM589" s="115"/>
      <c r="AN589" s="115"/>
      <c r="AO589" s="63"/>
    </row>
    <row r="590" spans="1:41" ht="86.4" x14ac:dyDescent="0.55000000000000004">
      <c r="A590" s="36">
        <v>4759</v>
      </c>
      <c r="B590" s="113" t="s">
        <v>352</v>
      </c>
      <c r="C590" s="113" t="s">
        <v>2172</v>
      </c>
      <c r="D590" s="114" t="s">
        <v>52</v>
      </c>
      <c r="E590" s="115"/>
      <c r="F590" s="116"/>
      <c r="G590" s="113" t="s">
        <v>2173</v>
      </c>
      <c r="H590" s="113" t="s">
        <v>1742</v>
      </c>
      <c r="I590" s="113" t="s">
        <v>2174</v>
      </c>
      <c r="J590" s="117" t="s">
        <v>2175</v>
      </c>
      <c r="K590" s="118"/>
      <c r="L590" s="109">
        <v>1</v>
      </c>
      <c r="M590" s="109">
        <v>2</v>
      </c>
      <c r="N590" s="109"/>
      <c r="O590" s="119"/>
      <c r="P590" s="2">
        <f t="shared" si="144"/>
        <v>1</v>
      </c>
      <c r="Q590" s="110" t="str">
        <f>IF(AND(Drops!$D$45&gt;1,OR(U590&lt;&gt;U589,AND(ROW()=5,U589=U590))),VLOOKUP(U590,Drops!$D$26:$E$44,2,FALSE),"")</f>
        <v>L. Compliance</v>
      </c>
      <c r="R590" s="2">
        <f t="shared" si="145"/>
        <v>590</v>
      </c>
      <c r="S590" s="2">
        <f t="shared" ca="1" si="146"/>
        <v>1</v>
      </c>
      <c r="T590" s="2">
        <f t="shared" si="147"/>
        <v>1</v>
      </c>
      <c r="U590" s="110" t="s">
        <v>2176</v>
      </c>
      <c r="V590" s="110">
        <v>1</v>
      </c>
      <c r="W590" s="110">
        <v>0</v>
      </c>
      <c r="X590" s="110">
        <v>0</v>
      </c>
      <c r="Y590" s="110">
        <v>0</v>
      </c>
      <c r="Z590" s="110">
        <v>0</v>
      </c>
      <c r="AA590" s="2">
        <f t="shared" si="148"/>
        <v>1</v>
      </c>
      <c r="AB590" s="2">
        <f t="shared" si="149"/>
        <v>1</v>
      </c>
      <c r="AC590" s="2">
        <f t="shared" si="150"/>
        <v>1</v>
      </c>
      <c r="AD590" s="2">
        <f t="shared" si="151"/>
        <v>0</v>
      </c>
      <c r="AE590" s="2">
        <f t="shared" si="152"/>
        <v>0</v>
      </c>
      <c r="AF590" s="2">
        <f t="shared" si="153"/>
        <v>0</v>
      </c>
      <c r="AG590" s="2">
        <f t="shared" si="154"/>
        <v>0</v>
      </c>
      <c r="AH590" s="2">
        <f t="shared" si="155"/>
        <v>2</v>
      </c>
      <c r="AI590" s="2">
        <f t="shared" si="156"/>
        <v>0</v>
      </c>
      <c r="AJ590" s="2">
        <f t="shared" si="157"/>
        <v>0</v>
      </c>
      <c r="AK590" s="2">
        <f t="shared" si="158"/>
        <v>0</v>
      </c>
      <c r="AL590" s="2">
        <f t="shared" si="159"/>
        <v>0</v>
      </c>
      <c r="AM590" s="115"/>
      <c r="AN590" s="115"/>
      <c r="AO590" s="63"/>
    </row>
    <row r="591" spans="1:41" ht="43.2" x14ac:dyDescent="0.55000000000000004">
      <c r="A591" s="36">
        <v>4760</v>
      </c>
      <c r="B591" s="113" t="s">
        <v>2177</v>
      </c>
      <c r="C591" s="138" t="s">
        <v>2178</v>
      </c>
      <c r="D591" s="114" t="s">
        <v>52</v>
      </c>
      <c r="E591" s="115"/>
      <c r="F591" s="116"/>
      <c r="G591" s="113" t="s">
        <v>2173</v>
      </c>
      <c r="H591" s="113" t="s">
        <v>1742</v>
      </c>
      <c r="I591" s="113" t="s">
        <v>2179</v>
      </c>
      <c r="J591" s="117"/>
      <c r="K591" s="118"/>
      <c r="L591" s="109">
        <v>2</v>
      </c>
      <c r="M591" s="109">
        <v>2</v>
      </c>
      <c r="N591" s="109"/>
      <c r="O591" s="119"/>
      <c r="P591" s="2">
        <f t="shared" si="144"/>
        <v>1</v>
      </c>
      <c r="Q591" s="110" t="str">
        <f>IF(AND(Drops!$D$45&gt;1,OR(U591&lt;&gt;U590,AND(ROW()=5,U590=U591))),VLOOKUP(U591,Drops!$D$26:$E$44,2,FALSE),"")</f>
        <v/>
      </c>
      <c r="R591" s="2" t="str">
        <f t="shared" si="145"/>
        <v/>
      </c>
      <c r="S591" s="2">
        <f t="shared" ca="1" si="146"/>
        <v>1</v>
      </c>
      <c r="T591" s="2">
        <f t="shared" si="147"/>
        <v>0</v>
      </c>
      <c r="U591" s="110" t="s">
        <v>2176</v>
      </c>
      <c r="V591" s="110">
        <v>1</v>
      </c>
      <c r="W591" s="110">
        <v>1</v>
      </c>
      <c r="X591" s="110">
        <v>0</v>
      </c>
      <c r="Y591" s="110">
        <v>0</v>
      </c>
      <c r="Z591" s="110">
        <v>0</v>
      </c>
      <c r="AA591" s="2">
        <f t="shared" si="148"/>
        <v>1</v>
      </c>
      <c r="AB591" s="2">
        <f t="shared" si="149"/>
        <v>1</v>
      </c>
      <c r="AC591" s="2">
        <f t="shared" si="150"/>
        <v>1</v>
      </c>
      <c r="AD591" s="2">
        <f t="shared" si="151"/>
        <v>1</v>
      </c>
      <c r="AE591" s="2">
        <f t="shared" si="152"/>
        <v>0</v>
      </c>
      <c r="AF591" s="2">
        <f t="shared" si="153"/>
        <v>0</v>
      </c>
      <c r="AG591" s="2">
        <f t="shared" si="154"/>
        <v>0</v>
      </c>
      <c r="AH591" s="2">
        <f t="shared" si="155"/>
        <v>2</v>
      </c>
      <c r="AI591" s="2">
        <f t="shared" si="156"/>
        <v>2</v>
      </c>
      <c r="AJ591" s="2">
        <f t="shared" si="157"/>
        <v>0</v>
      </c>
      <c r="AK591" s="2">
        <f t="shared" si="158"/>
        <v>0</v>
      </c>
      <c r="AL591" s="2">
        <f t="shared" si="159"/>
        <v>0</v>
      </c>
      <c r="AM591" s="115"/>
      <c r="AN591" s="115"/>
      <c r="AO591" s="63"/>
    </row>
    <row r="592" spans="1:41" ht="43.2" x14ac:dyDescent="0.55000000000000004">
      <c r="A592" s="36">
        <v>4152</v>
      </c>
      <c r="B592" s="113" t="s">
        <v>2180</v>
      </c>
      <c r="C592" s="139" t="s">
        <v>2181</v>
      </c>
      <c r="D592" s="114" t="s">
        <v>52</v>
      </c>
      <c r="E592" s="115"/>
      <c r="F592" s="116"/>
      <c r="G592" s="113" t="s">
        <v>2173</v>
      </c>
      <c r="H592" s="113" t="s">
        <v>1742</v>
      </c>
      <c r="I592" s="113" t="s">
        <v>2179</v>
      </c>
      <c r="J592" s="117" t="s">
        <v>2182</v>
      </c>
      <c r="K592" s="118"/>
      <c r="L592" s="109">
        <v>3</v>
      </c>
      <c r="M592" s="109">
        <v>3</v>
      </c>
      <c r="N592" s="109"/>
      <c r="O592" s="119"/>
      <c r="P592" s="2">
        <f t="shared" si="144"/>
        <v>1</v>
      </c>
      <c r="Q592" s="110" t="str">
        <f>IF(AND(Drops!$D$45&gt;1,OR(U592&lt;&gt;U591,AND(ROW()=5,U591=U592))),VLOOKUP(U592,Drops!$D$26:$E$44,2,FALSE),"")</f>
        <v/>
      </c>
      <c r="R592" s="2" t="str">
        <f t="shared" si="145"/>
        <v/>
      </c>
      <c r="S592" s="2">
        <f t="shared" ca="1" si="146"/>
        <v>1</v>
      </c>
      <c r="T592" s="2">
        <f t="shared" si="147"/>
        <v>0</v>
      </c>
      <c r="U592" s="110" t="s">
        <v>2176</v>
      </c>
      <c r="V592" s="110">
        <v>1</v>
      </c>
      <c r="W592" s="110">
        <v>1</v>
      </c>
      <c r="X592" s="110">
        <v>1</v>
      </c>
      <c r="Y592" s="110">
        <v>0</v>
      </c>
      <c r="Z592" s="110">
        <v>0</v>
      </c>
      <c r="AA592" s="2">
        <f t="shared" si="148"/>
        <v>1</v>
      </c>
      <c r="AB592" s="2">
        <f t="shared" si="149"/>
        <v>0</v>
      </c>
      <c r="AC592" s="2">
        <f t="shared" si="150"/>
        <v>1</v>
      </c>
      <c r="AD592" s="2">
        <f t="shared" si="151"/>
        <v>1</v>
      </c>
      <c r="AE592" s="2">
        <f t="shared" si="152"/>
        <v>1</v>
      </c>
      <c r="AF592" s="2">
        <f t="shared" si="153"/>
        <v>0</v>
      </c>
      <c r="AG592" s="2">
        <f t="shared" si="154"/>
        <v>0</v>
      </c>
      <c r="AH592" s="2">
        <f t="shared" si="155"/>
        <v>2</v>
      </c>
      <c r="AI592" s="2">
        <f t="shared" si="156"/>
        <v>2</v>
      </c>
      <c r="AJ592" s="2">
        <f t="shared" si="157"/>
        <v>2</v>
      </c>
      <c r="AK592" s="2">
        <f t="shared" si="158"/>
        <v>0</v>
      </c>
      <c r="AL592" s="2">
        <f t="shared" si="159"/>
        <v>0</v>
      </c>
      <c r="AM592" s="115"/>
      <c r="AN592" s="115"/>
      <c r="AO592" s="63"/>
    </row>
    <row r="593" spans="1:41" ht="28.8" x14ac:dyDescent="0.55000000000000004">
      <c r="A593" s="36">
        <v>4127</v>
      </c>
      <c r="B593" s="113" t="s">
        <v>2183</v>
      </c>
      <c r="C593" s="138" t="s">
        <v>2184</v>
      </c>
      <c r="D593" s="114" t="s">
        <v>52</v>
      </c>
      <c r="E593" s="115"/>
      <c r="F593" s="116"/>
      <c r="G593" s="113" t="s">
        <v>2173</v>
      </c>
      <c r="H593" s="113" t="s">
        <v>1742</v>
      </c>
      <c r="I593" s="113" t="s">
        <v>2185</v>
      </c>
      <c r="J593" s="117"/>
      <c r="K593" s="118"/>
      <c r="L593" s="109">
        <v>2</v>
      </c>
      <c r="M593" s="109">
        <v>3</v>
      </c>
      <c r="N593" s="109"/>
      <c r="O593" s="119"/>
      <c r="P593" s="2">
        <f t="shared" si="144"/>
        <v>1</v>
      </c>
      <c r="Q593" s="110" t="str">
        <f>IF(AND(Drops!$D$45&gt;1,OR(U593&lt;&gt;U592,AND(ROW()=5,U592=U593))),VLOOKUP(U593,Drops!$D$26:$E$44,2,FALSE),"")</f>
        <v/>
      </c>
      <c r="R593" s="2" t="str">
        <f t="shared" si="145"/>
        <v/>
      </c>
      <c r="S593" s="2">
        <f t="shared" ca="1" si="146"/>
        <v>1</v>
      </c>
      <c r="T593" s="2">
        <f t="shared" si="147"/>
        <v>0</v>
      </c>
      <c r="U593" s="110" t="s">
        <v>2176</v>
      </c>
      <c r="V593" s="110">
        <v>1</v>
      </c>
      <c r="W593" s="110">
        <v>2</v>
      </c>
      <c r="X593" s="110">
        <v>0</v>
      </c>
      <c r="Y593" s="110">
        <v>0</v>
      </c>
      <c r="Z593" s="110">
        <v>0</v>
      </c>
      <c r="AA593" s="2">
        <f t="shared" si="148"/>
        <v>1</v>
      </c>
      <c r="AB593" s="2">
        <f t="shared" si="149"/>
        <v>0</v>
      </c>
      <c r="AC593" s="2">
        <f t="shared" si="150"/>
        <v>1</v>
      </c>
      <c r="AD593" s="2">
        <f t="shared" si="151"/>
        <v>1</v>
      </c>
      <c r="AE593" s="2">
        <f t="shared" si="152"/>
        <v>0</v>
      </c>
      <c r="AF593" s="2">
        <f t="shared" si="153"/>
        <v>0</v>
      </c>
      <c r="AG593" s="2">
        <f t="shared" si="154"/>
        <v>0</v>
      </c>
      <c r="AH593" s="2">
        <f t="shared" si="155"/>
        <v>2</v>
      </c>
      <c r="AI593" s="2">
        <f t="shared" si="156"/>
        <v>2</v>
      </c>
      <c r="AJ593" s="2">
        <f t="shared" si="157"/>
        <v>2</v>
      </c>
      <c r="AK593" s="2">
        <f t="shared" si="158"/>
        <v>0</v>
      </c>
      <c r="AL593" s="2">
        <f t="shared" si="159"/>
        <v>0</v>
      </c>
      <c r="AM593" s="115"/>
      <c r="AN593" s="115"/>
      <c r="AO593" s="63"/>
    </row>
    <row r="594" spans="1:41" ht="43.2" x14ac:dyDescent="0.55000000000000004">
      <c r="A594" s="36">
        <v>4124</v>
      </c>
      <c r="B594" s="113" t="s">
        <v>354</v>
      </c>
      <c r="C594" s="113" t="s">
        <v>2186</v>
      </c>
      <c r="D594" s="114" t="s">
        <v>52</v>
      </c>
      <c r="E594" s="115"/>
      <c r="F594" s="116"/>
      <c r="G594" s="113" t="s">
        <v>2173</v>
      </c>
      <c r="H594" s="113" t="s">
        <v>2187</v>
      </c>
      <c r="I594" s="113" t="s">
        <v>2174</v>
      </c>
      <c r="J594" s="117" t="s">
        <v>2188</v>
      </c>
      <c r="K594" s="118"/>
      <c r="L594" s="109">
        <v>1</v>
      </c>
      <c r="M594" s="109">
        <v>3</v>
      </c>
      <c r="N594" s="109"/>
      <c r="O594" s="119"/>
      <c r="P594" s="2">
        <f t="shared" si="144"/>
        <v>1</v>
      </c>
      <c r="Q594" s="110" t="str">
        <f>IF(AND(Drops!$D$45&gt;1,OR(U594&lt;&gt;U593,AND(ROW()=5,U593=U594))),VLOOKUP(U594,Drops!$D$26:$E$44,2,FALSE),"")</f>
        <v/>
      </c>
      <c r="R594" s="2" t="str">
        <f t="shared" si="145"/>
        <v/>
      </c>
      <c r="S594" s="2">
        <f t="shared" ca="1" si="146"/>
        <v>1</v>
      </c>
      <c r="T594" s="2">
        <f t="shared" si="147"/>
        <v>1</v>
      </c>
      <c r="U594" s="110" t="s">
        <v>2176</v>
      </c>
      <c r="V594" s="110">
        <v>2</v>
      </c>
      <c r="W594" s="110">
        <v>0</v>
      </c>
      <c r="X594" s="110">
        <v>0</v>
      </c>
      <c r="Y594" s="110">
        <v>0</v>
      </c>
      <c r="Z594" s="110">
        <v>0</v>
      </c>
      <c r="AA594" s="2">
        <f t="shared" si="148"/>
        <v>1</v>
      </c>
      <c r="AB594" s="2">
        <f t="shared" si="149"/>
        <v>0</v>
      </c>
      <c r="AC594" s="2">
        <f t="shared" si="150"/>
        <v>1</v>
      </c>
      <c r="AD594" s="2">
        <f t="shared" si="151"/>
        <v>0</v>
      </c>
      <c r="AE594" s="2">
        <f t="shared" si="152"/>
        <v>0</v>
      </c>
      <c r="AF594" s="2">
        <f t="shared" si="153"/>
        <v>0</v>
      </c>
      <c r="AG594" s="2">
        <f t="shared" si="154"/>
        <v>0</v>
      </c>
      <c r="AH594" s="2">
        <f t="shared" si="155"/>
        <v>2</v>
      </c>
      <c r="AI594" s="2">
        <f t="shared" si="156"/>
        <v>2</v>
      </c>
      <c r="AJ594" s="2">
        <f t="shared" si="157"/>
        <v>2</v>
      </c>
      <c r="AK594" s="2">
        <f t="shared" si="158"/>
        <v>0</v>
      </c>
      <c r="AL594" s="2">
        <f t="shared" si="159"/>
        <v>0</v>
      </c>
      <c r="AM594" s="115"/>
      <c r="AN594" s="115"/>
      <c r="AO594" s="63"/>
    </row>
    <row r="595" spans="1:41" ht="100.8" x14ac:dyDescent="0.55000000000000004">
      <c r="A595" s="36">
        <v>2826</v>
      </c>
      <c r="B595" s="113" t="s">
        <v>356</v>
      </c>
      <c r="C595" s="113" t="s">
        <v>2189</v>
      </c>
      <c r="D595" s="114" t="s">
        <v>52</v>
      </c>
      <c r="E595" s="115" t="s">
        <v>2190</v>
      </c>
      <c r="F595" s="116"/>
      <c r="G595" s="113" t="s">
        <v>2173</v>
      </c>
      <c r="H595" s="113" t="s">
        <v>2191</v>
      </c>
      <c r="I595" s="113" t="s">
        <v>2174</v>
      </c>
      <c r="J595" s="117" t="s">
        <v>2192</v>
      </c>
      <c r="K595" s="118"/>
      <c r="L595" s="109">
        <v>1</v>
      </c>
      <c r="M595" s="109">
        <v>2</v>
      </c>
      <c r="N595" s="109"/>
      <c r="O595" s="119"/>
      <c r="P595" s="2">
        <f t="shared" si="144"/>
        <v>1</v>
      </c>
      <c r="Q595" s="110" t="str">
        <f>IF(AND(Drops!$D$45&gt;1,OR(U595&lt;&gt;U594,AND(ROW()=5,U594=U595))),VLOOKUP(U595,Drops!$D$26:$E$44,2,FALSE),"")</f>
        <v/>
      </c>
      <c r="R595" s="2" t="str">
        <f t="shared" si="145"/>
        <v/>
      </c>
      <c r="S595" s="2">
        <f t="shared" ca="1" si="146"/>
        <v>1</v>
      </c>
      <c r="T595" s="2">
        <f t="shared" si="147"/>
        <v>1</v>
      </c>
      <c r="U595" s="110" t="s">
        <v>2176</v>
      </c>
      <c r="V595" s="110">
        <v>3</v>
      </c>
      <c r="W595" s="110">
        <v>0</v>
      </c>
      <c r="X595" s="110">
        <v>0</v>
      </c>
      <c r="Y595" s="110">
        <v>0</v>
      </c>
      <c r="Z595" s="110">
        <v>0</v>
      </c>
      <c r="AA595" s="2">
        <f t="shared" si="148"/>
        <v>1</v>
      </c>
      <c r="AB595" s="2">
        <f t="shared" si="149"/>
        <v>1</v>
      </c>
      <c r="AC595" s="2">
        <f t="shared" si="150"/>
        <v>1</v>
      </c>
      <c r="AD595" s="2">
        <f t="shared" si="151"/>
        <v>0</v>
      </c>
      <c r="AE595" s="2">
        <f t="shared" si="152"/>
        <v>0</v>
      </c>
      <c r="AF595" s="2">
        <f t="shared" si="153"/>
        <v>0</v>
      </c>
      <c r="AG595" s="2">
        <f t="shared" si="154"/>
        <v>0</v>
      </c>
      <c r="AH595" s="2">
        <f t="shared" si="155"/>
        <v>2</v>
      </c>
      <c r="AI595" s="2">
        <f t="shared" si="156"/>
        <v>2</v>
      </c>
      <c r="AJ595" s="2">
        <f t="shared" si="157"/>
        <v>2</v>
      </c>
      <c r="AK595" s="2">
        <f t="shared" si="158"/>
        <v>0</v>
      </c>
      <c r="AL595" s="2">
        <f t="shared" si="159"/>
        <v>0</v>
      </c>
      <c r="AM595" s="115"/>
      <c r="AN595" s="115"/>
      <c r="AO595" s="63"/>
    </row>
    <row r="596" spans="1:41" ht="28.8" x14ac:dyDescent="0.55000000000000004">
      <c r="A596" s="36">
        <v>4122</v>
      </c>
      <c r="B596" s="113" t="s">
        <v>2193</v>
      </c>
      <c r="C596" s="138" t="s">
        <v>2194</v>
      </c>
      <c r="D596" s="114" t="s">
        <v>55</v>
      </c>
      <c r="E596" s="115" t="s">
        <v>2195</v>
      </c>
      <c r="F596" s="116"/>
      <c r="G596" s="113" t="s">
        <v>2173</v>
      </c>
      <c r="H596" s="113" t="s">
        <v>2191</v>
      </c>
      <c r="I596" s="113"/>
      <c r="J596" s="117" t="s">
        <v>2196</v>
      </c>
      <c r="K596" s="118"/>
      <c r="L596" s="109">
        <v>2</v>
      </c>
      <c r="M596" s="109">
        <v>2</v>
      </c>
      <c r="N596" s="109"/>
      <c r="O596" s="119"/>
      <c r="P596" s="2">
        <f t="shared" si="144"/>
        <v>2</v>
      </c>
      <c r="Q596" s="110" t="str">
        <f>IF(AND(Drops!$D$45&gt;1,OR(U596&lt;&gt;U595,AND(ROW()=5,U595=U596))),VLOOKUP(U596,Drops!$D$26:$E$44,2,FALSE),"")</f>
        <v/>
      </c>
      <c r="R596" s="2" t="str">
        <f t="shared" si="145"/>
        <v/>
      </c>
      <c r="S596" s="2">
        <f t="shared" ca="1" si="146"/>
        <v>2</v>
      </c>
      <c r="T596" s="2">
        <f t="shared" si="147"/>
        <v>0</v>
      </c>
      <c r="U596" s="110" t="s">
        <v>2176</v>
      </c>
      <c r="V596" s="110">
        <v>3</v>
      </c>
      <c r="W596" s="110">
        <v>1</v>
      </c>
      <c r="X596" s="110">
        <v>0</v>
      </c>
      <c r="Y596" s="110">
        <v>0</v>
      </c>
      <c r="Z596" s="110">
        <v>0</v>
      </c>
      <c r="AA596" s="2">
        <f t="shared" si="148"/>
        <v>1</v>
      </c>
      <c r="AB596" s="2">
        <f t="shared" si="149"/>
        <v>0</v>
      </c>
      <c r="AC596" s="2">
        <f t="shared" si="150"/>
        <v>1</v>
      </c>
      <c r="AD596" s="2">
        <f t="shared" si="151"/>
        <v>2</v>
      </c>
      <c r="AE596" s="2">
        <f t="shared" si="152"/>
        <v>2</v>
      </c>
      <c r="AF596" s="2">
        <f t="shared" si="153"/>
        <v>2</v>
      </c>
      <c r="AG596" s="2">
        <f t="shared" si="154"/>
        <v>2</v>
      </c>
      <c r="AH596" s="2">
        <f t="shared" si="155"/>
        <v>2</v>
      </c>
      <c r="AI596" s="2">
        <f t="shared" si="156"/>
        <v>1</v>
      </c>
      <c r="AJ596" s="2">
        <f t="shared" si="157"/>
        <v>2</v>
      </c>
      <c r="AK596" s="2">
        <f t="shared" si="158"/>
        <v>0</v>
      </c>
      <c r="AL596" s="2">
        <f t="shared" si="159"/>
        <v>0</v>
      </c>
      <c r="AM596" s="115"/>
      <c r="AN596" s="115"/>
      <c r="AO596" s="63"/>
    </row>
    <row r="597" spans="1:41" ht="28.8" x14ac:dyDescent="0.55000000000000004">
      <c r="A597" s="36">
        <v>4123</v>
      </c>
      <c r="B597" s="113" t="s">
        <v>2197</v>
      </c>
      <c r="C597" s="138" t="s">
        <v>2198</v>
      </c>
      <c r="D597" s="114" t="s">
        <v>52</v>
      </c>
      <c r="E597" s="115" t="s">
        <v>2199</v>
      </c>
      <c r="F597" s="116"/>
      <c r="G597" s="113" t="s">
        <v>2173</v>
      </c>
      <c r="H597" s="113" t="s">
        <v>2191</v>
      </c>
      <c r="I597" s="113"/>
      <c r="J597" s="117"/>
      <c r="K597" s="118"/>
      <c r="L597" s="109">
        <v>2</v>
      </c>
      <c r="M597" s="109">
        <v>3</v>
      </c>
      <c r="N597" s="109"/>
      <c r="O597" s="119"/>
      <c r="P597" s="2">
        <f t="shared" si="144"/>
        <v>1</v>
      </c>
      <c r="Q597" s="110" t="str">
        <f>IF(AND(Drops!$D$45&gt;1,OR(U597&lt;&gt;U596,AND(ROW()=5,U596=U597))),VLOOKUP(U597,Drops!$D$26:$E$44,2,FALSE),"")</f>
        <v/>
      </c>
      <c r="R597" s="2" t="str">
        <f t="shared" si="145"/>
        <v/>
      </c>
      <c r="S597" s="2">
        <f t="shared" ca="1" si="146"/>
        <v>1</v>
      </c>
      <c r="T597" s="2">
        <f t="shared" si="147"/>
        <v>0</v>
      </c>
      <c r="U597" s="110" t="s">
        <v>2176</v>
      </c>
      <c r="V597" s="110">
        <v>3</v>
      </c>
      <c r="W597" s="110">
        <v>2</v>
      </c>
      <c r="X597" s="110">
        <v>0</v>
      </c>
      <c r="Y597" s="110">
        <v>0</v>
      </c>
      <c r="Z597" s="110">
        <v>0</v>
      </c>
      <c r="AA597" s="2">
        <f t="shared" si="148"/>
        <v>1</v>
      </c>
      <c r="AB597" s="2">
        <f t="shared" si="149"/>
        <v>0</v>
      </c>
      <c r="AC597" s="2">
        <f t="shared" si="150"/>
        <v>1</v>
      </c>
      <c r="AD597" s="2">
        <f t="shared" si="151"/>
        <v>1</v>
      </c>
      <c r="AE597" s="2">
        <f t="shared" si="152"/>
        <v>2</v>
      </c>
      <c r="AF597" s="2">
        <f t="shared" si="153"/>
        <v>2</v>
      </c>
      <c r="AG597" s="2">
        <f t="shared" si="154"/>
        <v>2</v>
      </c>
      <c r="AH597" s="2">
        <f t="shared" si="155"/>
        <v>2</v>
      </c>
      <c r="AI597" s="2">
        <f t="shared" si="156"/>
        <v>2</v>
      </c>
      <c r="AJ597" s="2">
        <f t="shared" si="157"/>
        <v>2</v>
      </c>
      <c r="AK597" s="2">
        <f t="shared" si="158"/>
        <v>0</v>
      </c>
      <c r="AL597" s="2">
        <f t="shared" si="159"/>
        <v>0</v>
      </c>
      <c r="AM597" s="115"/>
      <c r="AN597" s="115"/>
      <c r="AO597" s="63"/>
    </row>
    <row r="598" spans="1:41" ht="100.8" x14ac:dyDescent="0.55000000000000004">
      <c r="A598" s="36">
        <v>2376</v>
      </c>
      <c r="B598" s="113" t="s">
        <v>2200</v>
      </c>
      <c r="C598" s="138" t="s">
        <v>2201</v>
      </c>
      <c r="D598" s="114" t="s">
        <v>52</v>
      </c>
      <c r="E598" s="115"/>
      <c r="F598" s="116"/>
      <c r="G598" s="113" t="s">
        <v>2173</v>
      </c>
      <c r="H598" s="113" t="s">
        <v>2202</v>
      </c>
      <c r="I598" s="113" t="s">
        <v>2174</v>
      </c>
      <c r="J598" s="117" t="s">
        <v>2192</v>
      </c>
      <c r="K598" s="118"/>
      <c r="L598" s="109">
        <v>2</v>
      </c>
      <c r="M598" s="109">
        <v>2</v>
      </c>
      <c r="N598" s="109"/>
      <c r="O598" s="119"/>
      <c r="P598" s="2">
        <f t="shared" si="144"/>
        <v>1</v>
      </c>
      <c r="Q598" s="110" t="str">
        <f>IF(AND(Drops!$D$45&gt;1,OR(U598&lt;&gt;U597,AND(ROW()=5,U597=U598))),VLOOKUP(U598,Drops!$D$26:$E$44,2,FALSE),"")</f>
        <v/>
      </c>
      <c r="R598" s="2" t="str">
        <f t="shared" si="145"/>
        <v/>
      </c>
      <c r="S598" s="2">
        <f t="shared" ca="1" si="146"/>
        <v>1</v>
      </c>
      <c r="T598" s="2">
        <f t="shared" si="147"/>
        <v>0</v>
      </c>
      <c r="U598" s="110" t="s">
        <v>2176</v>
      </c>
      <c r="V598" s="110">
        <v>3</v>
      </c>
      <c r="W598" s="110">
        <v>3</v>
      </c>
      <c r="X598" s="110">
        <v>0</v>
      </c>
      <c r="Y598" s="110">
        <v>0</v>
      </c>
      <c r="Z598" s="110">
        <v>0</v>
      </c>
      <c r="AA598" s="2">
        <f t="shared" si="148"/>
        <v>1</v>
      </c>
      <c r="AB598" s="2">
        <f t="shared" si="149"/>
        <v>0</v>
      </c>
      <c r="AC598" s="2">
        <f t="shared" si="150"/>
        <v>1</v>
      </c>
      <c r="AD598" s="2">
        <f t="shared" si="151"/>
        <v>1</v>
      </c>
      <c r="AE598" s="2">
        <f t="shared" si="152"/>
        <v>2</v>
      </c>
      <c r="AF598" s="2">
        <f t="shared" si="153"/>
        <v>2</v>
      </c>
      <c r="AG598" s="2">
        <f t="shared" si="154"/>
        <v>2</v>
      </c>
      <c r="AH598" s="2">
        <f t="shared" si="155"/>
        <v>2</v>
      </c>
      <c r="AI598" s="2">
        <f t="shared" si="156"/>
        <v>2</v>
      </c>
      <c r="AJ598" s="2">
        <f t="shared" si="157"/>
        <v>2</v>
      </c>
      <c r="AK598" s="2">
        <f t="shared" si="158"/>
        <v>0</v>
      </c>
      <c r="AL598" s="2">
        <f t="shared" si="159"/>
        <v>0</v>
      </c>
      <c r="AM598" s="115"/>
      <c r="AN598" s="115"/>
      <c r="AO598" s="63"/>
    </row>
    <row r="599" spans="1:41" ht="28.8" x14ac:dyDescent="0.55000000000000004">
      <c r="A599" s="36">
        <v>4762</v>
      </c>
      <c r="B599" s="113" t="s">
        <v>358</v>
      </c>
      <c r="C599" s="113" t="s">
        <v>2203</v>
      </c>
      <c r="D599" s="114" t="s">
        <v>52</v>
      </c>
      <c r="E599" s="115"/>
      <c r="F599" s="116"/>
      <c r="G599" s="113" t="s">
        <v>2173</v>
      </c>
      <c r="H599" s="113" t="s">
        <v>2204</v>
      </c>
      <c r="I599" s="113" t="s">
        <v>2185</v>
      </c>
      <c r="J599" s="117" t="s">
        <v>2196</v>
      </c>
      <c r="K599" s="118"/>
      <c r="L599" s="109">
        <v>1</v>
      </c>
      <c r="M599" s="109">
        <v>2</v>
      </c>
      <c r="N599" s="109"/>
      <c r="O599" s="119"/>
      <c r="P599" s="2">
        <f t="shared" si="144"/>
        <v>1</v>
      </c>
      <c r="Q599" s="110" t="str">
        <f>IF(AND(Drops!$D$45&gt;1,OR(U599&lt;&gt;U598,AND(ROW()=5,U598=U599))),VLOOKUP(U599,Drops!$D$26:$E$44,2,FALSE),"")</f>
        <v/>
      </c>
      <c r="R599" s="2" t="str">
        <f t="shared" si="145"/>
        <v/>
      </c>
      <c r="S599" s="2">
        <f t="shared" ca="1" si="146"/>
        <v>1</v>
      </c>
      <c r="T599" s="2">
        <f t="shared" si="147"/>
        <v>1</v>
      </c>
      <c r="U599" s="110" t="s">
        <v>2176</v>
      </c>
      <c r="V599" s="110">
        <v>4</v>
      </c>
      <c r="W599" s="110">
        <v>0</v>
      </c>
      <c r="X599" s="110">
        <v>0</v>
      </c>
      <c r="Y599" s="110">
        <v>0</v>
      </c>
      <c r="Z599" s="110">
        <v>0</v>
      </c>
      <c r="AA599" s="2">
        <f t="shared" si="148"/>
        <v>1</v>
      </c>
      <c r="AB599" s="2">
        <f t="shared" si="149"/>
        <v>1</v>
      </c>
      <c r="AC599" s="2">
        <f t="shared" si="150"/>
        <v>1</v>
      </c>
      <c r="AD599" s="2">
        <f t="shared" si="151"/>
        <v>0</v>
      </c>
      <c r="AE599" s="2">
        <f t="shared" si="152"/>
        <v>2</v>
      </c>
      <c r="AF599" s="2">
        <f t="shared" si="153"/>
        <v>2</v>
      </c>
      <c r="AG599" s="2">
        <f t="shared" si="154"/>
        <v>2</v>
      </c>
      <c r="AH599" s="2">
        <f t="shared" si="155"/>
        <v>2</v>
      </c>
      <c r="AI599" s="2">
        <f t="shared" si="156"/>
        <v>2</v>
      </c>
      <c r="AJ599" s="2">
        <f t="shared" si="157"/>
        <v>2</v>
      </c>
      <c r="AK599" s="2">
        <f t="shared" si="158"/>
        <v>0</v>
      </c>
      <c r="AL599" s="2">
        <f t="shared" si="159"/>
        <v>0</v>
      </c>
      <c r="AM599" s="115"/>
      <c r="AN599" s="115"/>
      <c r="AO599" s="63"/>
    </row>
    <row r="600" spans="1:41" ht="43.2" x14ac:dyDescent="0.55000000000000004">
      <c r="A600" s="36">
        <v>4763</v>
      </c>
      <c r="B600" s="113" t="s">
        <v>2205</v>
      </c>
      <c r="C600" s="138" t="s">
        <v>2206</v>
      </c>
      <c r="D600" s="114" t="s">
        <v>52</v>
      </c>
      <c r="E600" s="115"/>
      <c r="F600" s="116"/>
      <c r="G600" s="113" t="s">
        <v>2173</v>
      </c>
      <c r="H600" s="113" t="s">
        <v>2204</v>
      </c>
      <c r="I600" s="113" t="s">
        <v>2179</v>
      </c>
      <c r="J600" s="117" t="s">
        <v>2207</v>
      </c>
      <c r="K600" s="118"/>
      <c r="L600" s="109">
        <v>2</v>
      </c>
      <c r="M600" s="109">
        <v>3</v>
      </c>
      <c r="N600" s="109"/>
      <c r="O600" s="119"/>
      <c r="P600" s="2">
        <f t="shared" si="144"/>
        <v>1</v>
      </c>
      <c r="Q600" s="110" t="str">
        <f>IF(AND(Drops!$D$45&gt;1,OR(U600&lt;&gt;U599,AND(ROW()=5,U599=U600))),VLOOKUP(U600,Drops!$D$26:$E$44,2,FALSE),"")</f>
        <v/>
      </c>
      <c r="R600" s="2" t="str">
        <f t="shared" si="145"/>
        <v/>
      </c>
      <c r="S600" s="2">
        <f t="shared" ca="1" si="146"/>
        <v>1</v>
      </c>
      <c r="T600" s="2">
        <f t="shared" si="147"/>
        <v>0</v>
      </c>
      <c r="U600" s="110" t="s">
        <v>2176</v>
      </c>
      <c r="V600" s="110">
        <v>4</v>
      </c>
      <c r="W600" s="110">
        <v>1</v>
      </c>
      <c r="X600" s="110">
        <v>0</v>
      </c>
      <c r="Y600" s="110">
        <v>0</v>
      </c>
      <c r="Z600" s="110">
        <v>0</v>
      </c>
      <c r="AA600" s="2">
        <f t="shared" si="148"/>
        <v>1</v>
      </c>
      <c r="AB600" s="2">
        <f t="shared" si="149"/>
        <v>0</v>
      </c>
      <c r="AC600" s="2">
        <f t="shared" si="150"/>
        <v>1</v>
      </c>
      <c r="AD600" s="2">
        <f t="shared" si="151"/>
        <v>1</v>
      </c>
      <c r="AE600" s="2">
        <f t="shared" si="152"/>
        <v>2</v>
      </c>
      <c r="AF600" s="2">
        <f t="shared" si="153"/>
        <v>2</v>
      </c>
      <c r="AG600" s="2">
        <f t="shared" si="154"/>
        <v>2</v>
      </c>
      <c r="AH600" s="2">
        <f t="shared" si="155"/>
        <v>2</v>
      </c>
      <c r="AI600" s="2">
        <f t="shared" si="156"/>
        <v>2</v>
      </c>
      <c r="AJ600" s="2">
        <f t="shared" si="157"/>
        <v>2</v>
      </c>
      <c r="AK600" s="2">
        <f t="shared" si="158"/>
        <v>0</v>
      </c>
      <c r="AL600" s="2">
        <f t="shared" si="159"/>
        <v>0</v>
      </c>
      <c r="AM600" s="115"/>
      <c r="AN600" s="115"/>
      <c r="AO600" s="63"/>
    </row>
    <row r="601" spans="1:41" ht="28.8" x14ac:dyDescent="0.55000000000000004">
      <c r="A601" s="36">
        <v>4125</v>
      </c>
      <c r="B601" s="113" t="s">
        <v>2208</v>
      </c>
      <c r="C601" s="138" t="s">
        <v>2209</v>
      </c>
      <c r="D601" s="114" t="s">
        <v>52</v>
      </c>
      <c r="E601" s="115"/>
      <c r="F601" s="116"/>
      <c r="G601" s="113" t="s">
        <v>2173</v>
      </c>
      <c r="H601" s="113" t="s">
        <v>2204</v>
      </c>
      <c r="I601" s="113" t="s">
        <v>2210</v>
      </c>
      <c r="J601" s="117" t="s">
        <v>2211</v>
      </c>
      <c r="K601" s="118"/>
      <c r="L601" s="109">
        <v>2</v>
      </c>
      <c r="M601" s="109">
        <v>2</v>
      </c>
      <c r="N601" s="109"/>
      <c r="O601" s="119"/>
      <c r="P601" s="2">
        <f t="shared" si="144"/>
        <v>1</v>
      </c>
      <c r="Q601" s="110" t="str">
        <f>IF(AND(Drops!$D$45&gt;1,OR(U601&lt;&gt;U600,AND(ROW()=5,U600=U601))),VLOOKUP(U601,Drops!$D$26:$E$44,2,FALSE),"")</f>
        <v/>
      </c>
      <c r="R601" s="2" t="str">
        <f t="shared" si="145"/>
        <v/>
      </c>
      <c r="S601" s="2">
        <f t="shared" ca="1" si="146"/>
        <v>1</v>
      </c>
      <c r="T601" s="2">
        <f t="shared" si="147"/>
        <v>0</v>
      </c>
      <c r="U601" s="110" t="s">
        <v>2176</v>
      </c>
      <c r="V601" s="110">
        <v>4</v>
      </c>
      <c r="W601" s="110">
        <v>2</v>
      </c>
      <c r="X601" s="110">
        <v>0</v>
      </c>
      <c r="Y601" s="110">
        <v>0</v>
      </c>
      <c r="Z601" s="110">
        <v>0</v>
      </c>
      <c r="AA601" s="2">
        <f t="shared" si="148"/>
        <v>1</v>
      </c>
      <c r="AB601" s="2">
        <f t="shared" si="149"/>
        <v>0</v>
      </c>
      <c r="AC601" s="2">
        <f t="shared" si="150"/>
        <v>1</v>
      </c>
      <c r="AD601" s="2">
        <f t="shared" si="151"/>
        <v>1</v>
      </c>
      <c r="AE601" s="2">
        <f t="shared" si="152"/>
        <v>2</v>
      </c>
      <c r="AF601" s="2">
        <f t="shared" si="153"/>
        <v>2</v>
      </c>
      <c r="AG601" s="2">
        <f t="shared" si="154"/>
        <v>2</v>
      </c>
      <c r="AH601" s="2">
        <f t="shared" si="155"/>
        <v>2</v>
      </c>
      <c r="AI601" s="2">
        <f t="shared" si="156"/>
        <v>2</v>
      </c>
      <c r="AJ601" s="2">
        <f t="shared" si="157"/>
        <v>2</v>
      </c>
      <c r="AK601" s="2">
        <f t="shared" si="158"/>
        <v>0</v>
      </c>
      <c r="AL601" s="2">
        <f t="shared" si="159"/>
        <v>0</v>
      </c>
      <c r="AM601" s="115"/>
      <c r="AN601" s="115"/>
      <c r="AO601" s="63"/>
    </row>
    <row r="602" spans="1:41" ht="86.4" x14ac:dyDescent="0.55000000000000004">
      <c r="A602" s="36">
        <v>4554</v>
      </c>
      <c r="B602" s="113" t="s">
        <v>2212</v>
      </c>
      <c r="C602" s="138" t="s">
        <v>2213</v>
      </c>
      <c r="D602" s="114" t="s">
        <v>52</v>
      </c>
      <c r="E602" s="115"/>
      <c r="F602" s="116"/>
      <c r="G602" s="113" t="s">
        <v>2173</v>
      </c>
      <c r="H602" s="113" t="s">
        <v>2204</v>
      </c>
      <c r="I602" s="113" t="s">
        <v>2179</v>
      </c>
      <c r="J602" s="117" t="s">
        <v>2175</v>
      </c>
      <c r="K602" s="118"/>
      <c r="L602" s="109">
        <v>2</v>
      </c>
      <c r="M602" s="109">
        <v>3</v>
      </c>
      <c r="N602" s="109"/>
      <c r="O602" s="119"/>
      <c r="P602" s="2">
        <f t="shared" si="144"/>
        <v>1</v>
      </c>
      <c r="Q602" s="110" t="str">
        <f>IF(AND(Drops!$D$45&gt;1,OR(U602&lt;&gt;U601,AND(ROW()=5,U601=U602))),VLOOKUP(U602,Drops!$D$26:$E$44,2,FALSE),"")</f>
        <v/>
      </c>
      <c r="R602" s="2" t="str">
        <f t="shared" si="145"/>
        <v/>
      </c>
      <c r="S602" s="2">
        <f t="shared" ca="1" si="146"/>
        <v>1</v>
      </c>
      <c r="T602" s="2">
        <f t="shared" si="147"/>
        <v>0</v>
      </c>
      <c r="U602" s="110" t="s">
        <v>2176</v>
      </c>
      <c r="V602" s="110">
        <v>4</v>
      </c>
      <c r="W602" s="110">
        <v>3</v>
      </c>
      <c r="X602" s="110">
        <v>0</v>
      </c>
      <c r="Y602" s="110">
        <v>0</v>
      </c>
      <c r="Z602" s="110">
        <v>0</v>
      </c>
      <c r="AA602" s="2">
        <f t="shared" si="148"/>
        <v>1</v>
      </c>
      <c r="AB602" s="2">
        <f t="shared" si="149"/>
        <v>0</v>
      </c>
      <c r="AC602" s="2">
        <f t="shared" si="150"/>
        <v>1</v>
      </c>
      <c r="AD602" s="2">
        <f t="shared" si="151"/>
        <v>1</v>
      </c>
      <c r="AE602" s="2">
        <f t="shared" si="152"/>
        <v>2</v>
      </c>
      <c r="AF602" s="2">
        <f t="shared" si="153"/>
        <v>2</v>
      </c>
      <c r="AG602" s="2">
        <f t="shared" si="154"/>
        <v>2</v>
      </c>
      <c r="AH602" s="2">
        <f t="shared" si="155"/>
        <v>2</v>
      </c>
      <c r="AI602" s="2">
        <f t="shared" si="156"/>
        <v>2</v>
      </c>
      <c r="AJ602" s="2">
        <f t="shared" si="157"/>
        <v>2</v>
      </c>
      <c r="AK602" s="2">
        <f t="shared" si="158"/>
        <v>0</v>
      </c>
      <c r="AL602" s="2">
        <f t="shared" si="159"/>
        <v>0</v>
      </c>
      <c r="AM602" s="115"/>
      <c r="AN602" s="115"/>
      <c r="AO602" s="63"/>
    </row>
    <row r="603" spans="1:41" ht="57.6" x14ac:dyDescent="0.55000000000000004">
      <c r="A603" s="36">
        <v>4765</v>
      </c>
      <c r="B603" s="113" t="s">
        <v>2214</v>
      </c>
      <c r="C603" s="113" t="s">
        <v>2215</v>
      </c>
      <c r="D603" s="114" t="s">
        <v>52</v>
      </c>
      <c r="E603" s="115" t="s">
        <v>2216</v>
      </c>
      <c r="F603" s="116"/>
      <c r="G603" s="113" t="s">
        <v>2217</v>
      </c>
      <c r="H603" s="113" t="s">
        <v>2218</v>
      </c>
      <c r="I603" s="113" t="s">
        <v>2185</v>
      </c>
      <c r="J603" s="117"/>
      <c r="K603" s="118"/>
      <c r="L603" s="109">
        <v>1</v>
      </c>
      <c r="M603" s="109">
        <v>3</v>
      </c>
      <c r="N603" s="109"/>
      <c r="O603" s="119"/>
      <c r="P603" s="2">
        <f t="shared" si="144"/>
        <v>1</v>
      </c>
      <c r="Q603" s="110" t="str">
        <f>IF(AND(Drops!$D$45&gt;1,OR(U603&lt;&gt;U602,AND(ROW()=5,U602=U603))),VLOOKUP(U603,Drops!$D$26:$E$44,2,FALSE),"")</f>
        <v/>
      </c>
      <c r="R603" s="2" t="str">
        <f t="shared" si="145"/>
        <v/>
      </c>
      <c r="S603" s="2">
        <f t="shared" ca="1" si="146"/>
        <v>1</v>
      </c>
      <c r="T603" s="2">
        <f t="shared" si="147"/>
        <v>1</v>
      </c>
      <c r="U603" s="110" t="s">
        <v>2176</v>
      </c>
      <c r="V603" s="110">
        <v>7</v>
      </c>
      <c r="W603" s="110">
        <v>0</v>
      </c>
      <c r="X603" s="110">
        <v>0</v>
      </c>
      <c r="Y603" s="110">
        <v>0</v>
      </c>
      <c r="Z603" s="110">
        <v>0</v>
      </c>
      <c r="AA603" s="2">
        <f t="shared" si="148"/>
        <v>1</v>
      </c>
      <c r="AB603" s="2">
        <f t="shared" si="149"/>
        <v>1</v>
      </c>
      <c r="AC603" s="2">
        <f t="shared" si="150"/>
        <v>1</v>
      </c>
      <c r="AD603" s="2">
        <f t="shared" si="151"/>
        <v>0</v>
      </c>
      <c r="AE603" s="2">
        <f t="shared" si="152"/>
        <v>2</v>
      </c>
      <c r="AF603" s="2">
        <f t="shared" si="153"/>
        <v>2</v>
      </c>
      <c r="AG603" s="2">
        <f t="shared" si="154"/>
        <v>2</v>
      </c>
      <c r="AH603" s="2">
        <f t="shared" si="155"/>
        <v>2</v>
      </c>
      <c r="AI603" s="2">
        <f t="shared" si="156"/>
        <v>2</v>
      </c>
      <c r="AJ603" s="2">
        <f t="shared" si="157"/>
        <v>2</v>
      </c>
      <c r="AK603" s="2">
        <f t="shared" si="158"/>
        <v>0</v>
      </c>
      <c r="AL603" s="2">
        <f t="shared" si="159"/>
        <v>0</v>
      </c>
      <c r="AM603" s="115"/>
      <c r="AN603" s="115"/>
      <c r="AO603" s="63"/>
    </row>
    <row r="604" spans="1:41" ht="43.2" x14ac:dyDescent="0.55000000000000004">
      <c r="A604" s="36">
        <v>4766</v>
      </c>
      <c r="B604" s="113" t="s">
        <v>2219</v>
      </c>
      <c r="C604" s="138" t="s">
        <v>2220</v>
      </c>
      <c r="D604" s="114" t="s">
        <v>925</v>
      </c>
      <c r="E604" s="115" t="s">
        <v>2221</v>
      </c>
      <c r="F604" s="116"/>
      <c r="G604" s="113" t="s">
        <v>2217</v>
      </c>
      <c r="H604" s="113" t="s">
        <v>2218</v>
      </c>
      <c r="I604" s="113"/>
      <c r="J604" s="117"/>
      <c r="K604" s="118"/>
      <c r="L604" s="109">
        <v>2</v>
      </c>
      <c r="M604" s="109">
        <v>3</v>
      </c>
      <c r="N604" s="109"/>
      <c r="O604" s="119"/>
      <c r="P604" s="2">
        <f t="shared" si="144"/>
        <v>3</v>
      </c>
      <c r="Q604" s="110" t="str">
        <f>IF(AND(Drops!$D$45&gt;1,OR(U604&lt;&gt;U603,AND(ROW()=5,U603=U604))),VLOOKUP(U604,Drops!$D$26:$E$44,2,FALSE),"")</f>
        <v/>
      </c>
      <c r="R604" s="2" t="str">
        <f t="shared" si="145"/>
        <v/>
      </c>
      <c r="S604" s="2">
        <f t="shared" ca="1" si="146"/>
        <v>3</v>
      </c>
      <c r="T604" s="2">
        <f t="shared" si="147"/>
        <v>0</v>
      </c>
      <c r="U604" s="110" t="s">
        <v>2176</v>
      </c>
      <c r="V604" s="110">
        <v>7</v>
      </c>
      <c r="W604" s="110">
        <v>1</v>
      </c>
      <c r="X604" s="110">
        <v>0</v>
      </c>
      <c r="Y604" s="110">
        <v>0</v>
      </c>
      <c r="Z604" s="110">
        <v>0</v>
      </c>
      <c r="AA604" s="2">
        <f t="shared" si="148"/>
        <v>1</v>
      </c>
      <c r="AB604" s="2">
        <f t="shared" si="149"/>
        <v>0</v>
      </c>
      <c r="AC604" s="2">
        <f t="shared" si="150"/>
        <v>1</v>
      </c>
      <c r="AD604" s="2">
        <f t="shared" si="151"/>
        <v>3</v>
      </c>
      <c r="AE604" s="2">
        <f t="shared" si="152"/>
        <v>3</v>
      </c>
      <c r="AF604" s="2">
        <f t="shared" si="153"/>
        <v>3</v>
      </c>
      <c r="AG604" s="2">
        <f t="shared" si="154"/>
        <v>3</v>
      </c>
      <c r="AH604" s="2">
        <f t="shared" si="155"/>
        <v>2</v>
      </c>
      <c r="AI604" s="2">
        <f t="shared" si="156"/>
        <v>1</v>
      </c>
      <c r="AJ604" s="2">
        <f t="shared" si="157"/>
        <v>2</v>
      </c>
      <c r="AK604" s="2">
        <f t="shared" si="158"/>
        <v>0</v>
      </c>
      <c r="AL604" s="2">
        <f t="shared" si="159"/>
        <v>0</v>
      </c>
      <c r="AM604" s="115"/>
      <c r="AN604" s="115"/>
      <c r="AO604" s="63"/>
    </row>
    <row r="605" spans="1:41" ht="43.2" x14ac:dyDescent="0.55000000000000004">
      <c r="A605" s="36">
        <v>4767</v>
      </c>
      <c r="B605" s="113" t="s">
        <v>2222</v>
      </c>
      <c r="C605" s="138" t="s">
        <v>2223</v>
      </c>
      <c r="D605" s="114" t="s">
        <v>52</v>
      </c>
      <c r="E605" s="115"/>
      <c r="F605" s="116"/>
      <c r="G605" s="113" t="s">
        <v>2217</v>
      </c>
      <c r="H605" s="113" t="s">
        <v>2218</v>
      </c>
      <c r="I605" s="113" t="s">
        <v>2185</v>
      </c>
      <c r="J605" s="117" t="s">
        <v>1028</v>
      </c>
      <c r="K605" s="118"/>
      <c r="L605" s="109">
        <v>2</v>
      </c>
      <c r="M605" s="109">
        <v>3</v>
      </c>
      <c r="N605" s="109"/>
      <c r="O605" s="119"/>
      <c r="P605" s="2">
        <f t="shared" si="144"/>
        <v>1</v>
      </c>
      <c r="Q605" s="110" t="str">
        <f>IF(AND(Drops!$D$45&gt;1,OR(U605&lt;&gt;U604,AND(ROW()=5,U604=U605))),VLOOKUP(U605,Drops!$D$26:$E$44,2,FALSE),"")</f>
        <v/>
      </c>
      <c r="R605" s="2" t="str">
        <f t="shared" si="145"/>
        <v/>
      </c>
      <c r="S605" s="2">
        <f t="shared" ca="1" si="146"/>
        <v>1</v>
      </c>
      <c r="T605" s="2">
        <f t="shared" si="147"/>
        <v>0</v>
      </c>
      <c r="U605" s="110" t="s">
        <v>2176</v>
      </c>
      <c r="V605" s="110">
        <v>7</v>
      </c>
      <c r="W605" s="110">
        <v>2</v>
      </c>
      <c r="X605" s="110">
        <v>0</v>
      </c>
      <c r="Y605" s="110">
        <v>0</v>
      </c>
      <c r="Z605" s="110">
        <v>0</v>
      </c>
      <c r="AA605" s="2">
        <f t="shared" si="148"/>
        <v>1</v>
      </c>
      <c r="AB605" s="2">
        <f t="shared" si="149"/>
        <v>0</v>
      </c>
      <c r="AC605" s="2">
        <f t="shared" si="150"/>
        <v>1</v>
      </c>
      <c r="AD605" s="2">
        <f t="shared" si="151"/>
        <v>1</v>
      </c>
      <c r="AE605" s="2">
        <f t="shared" si="152"/>
        <v>3</v>
      </c>
      <c r="AF605" s="2">
        <f t="shared" si="153"/>
        <v>3</v>
      </c>
      <c r="AG605" s="2">
        <f t="shared" si="154"/>
        <v>3</v>
      </c>
      <c r="AH605" s="2">
        <f t="shared" si="155"/>
        <v>2</v>
      </c>
      <c r="AI605" s="2">
        <f t="shared" si="156"/>
        <v>2</v>
      </c>
      <c r="AJ605" s="2">
        <f t="shared" si="157"/>
        <v>2</v>
      </c>
      <c r="AK605" s="2">
        <f t="shared" si="158"/>
        <v>0</v>
      </c>
      <c r="AL605" s="2">
        <f t="shared" si="159"/>
        <v>0</v>
      </c>
      <c r="AM605" s="115"/>
      <c r="AN605" s="115"/>
      <c r="AO605" s="63"/>
    </row>
    <row r="606" spans="1:41" ht="43.2" x14ac:dyDescent="0.55000000000000004">
      <c r="A606" s="36">
        <v>4799</v>
      </c>
      <c r="B606" s="113" t="s">
        <v>2224</v>
      </c>
      <c r="C606" s="113" t="s">
        <v>2225</v>
      </c>
      <c r="D606" s="114" t="s">
        <v>52</v>
      </c>
      <c r="E606" s="115"/>
      <c r="F606" s="116"/>
      <c r="G606" s="113" t="s">
        <v>2217</v>
      </c>
      <c r="H606" s="113" t="s">
        <v>2226</v>
      </c>
      <c r="I606" s="113" t="s">
        <v>2185</v>
      </c>
      <c r="J606" s="117"/>
      <c r="K606" s="118"/>
      <c r="L606" s="109">
        <v>1</v>
      </c>
      <c r="M606" s="109">
        <v>3</v>
      </c>
      <c r="N606" s="109"/>
      <c r="O606" s="119"/>
      <c r="P606" s="2">
        <f t="shared" si="144"/>
        <v>1</v>
      </c>
      <c r="Q606" s="110" t="str">
        <f>IF(AND(Drops!$D$45&gt;1,OR(U606&lt;&gt;U605,AND(ROW()=5,U605=U606))),VLOOKUP(U606,Drops!$D$26:$E$44,2,FALSE),"")</f>
        <v/>
      </c>
      <c r="R606" s="2" t="str">
        <f t="shared" si="145"/>
        <v/>
      </c>
      <c r="S606" s="2">
        <f t="shared" ca="1" si="146"/>
        <v>1</v>
      </c>
      <c r="T606" s="2">
        <f t="shared" si="147"/>
        <v>1</v>
      </c>
      <c r="U606" s="110" t="s">
        <v>2176</v>
      </c>
      <c r="V606" s="110">
        <v>8</v>
      </c>
      <c r="W606" s="110">
        <v>0</v>
      </c>
      <c r="X606" s="110">
        <v>0</v>
      </c>
      <c r="Y606" s="110">
        <v>0</v>
      </c>
      <c r="Z606" s="110">
        <v>0</v>
      </c>
      <c r="AA606" s="2">
        <f t="shared" si="148"/>
        <v>1</v>
      </c>
      <c r="AB606" s="2">
        <f t="shared" si="149"/>
        <v>1</v>
      </c>
      <c r="AC606" s="2">
        <f t="shared" si="150"/>
        <v>1</v>
      </c>
      <c r="AD606" s="2">
        <f t="shared" si="151"/>
        <v>0</v>
      </c>
      <c r="AE606" s="2">
        <f t="shared" si="152"/>
        <v>3</v>
      </c>
      <c r="AF606" s="2">
        <f t="shared" si="153"/>
        <v>3</v>
      </c>
      <c r="AG606" s="2">
        <f t="shared" si="154"/>
        <v>3</v>
      </c>
      <c r="AH606" s="2">
        <f t="shared" si="155"/>
        <v>2</v>
      </c>
      <c r="AI606" s="2">
        <f t="shared" si="156"/>
        <v>2</v>
      </c>
      <c r="AJ606" s="2">
        <f t="shared" si="157"/>
        <v>2</v>
      </c>
      <c r="AK606" s="2">
        <f t="shared" si="158"/>
        <v>0</v>
      </c>
      <c r="AL606" s="2">
        <f t="shared" si="159"/>
        <v>0</v>
      </c>
      <c r="AM606" s="115"/>
      <c r="AN606" s="115"/>
      <c r="AO606" s="63"/>
    </row>
    <row r="607" spans="1:41" ht="43.2" x14ac:dyDescent="0.55000000000000004">
      <c r="A607" s="36">
        <v>4800</v>
      </c>
      <c r="B607" s="113" t="s">
        <v>2227</v>
      </c>
      <c r="C607" s="138" t="s">
        <v>2228</v>
      </c>
      <c r="D607" s="114" t="s">
        <v>52</v>
      </c>
      <c r="E607" s="115"/>
      <c r="F607" s="116"/>
      <c r="G607" s="113" t="s">
        <v>2217</v>
      </c>
      <c r="H607" s="113" t="s">
        <v>2226</v>
      </c>
      <c r="I607" s="113" t="s">
        <v>2185</v>
      </c>
      <c r="J607" s="117"/>
      <c r="K607" s="118"/>
      <c r="L607" s="109">
        <v>2</v>
      </c>
      <c r="M607" s="109">
        <v>3</v>
      </c>
      <c r="N607" s="109"/>
      <c r="O607" s="119"/>
      <c r="P607" s="2">
        <f t="shared" si="144"/>
        <v>1</v>
      </c>
      <c r="Q607" s="110" t="str">
        <f>IF(AND(Drops!$D$45&gt;1,OR(U607&lt;&gt;U606,AND(ROW()=5,U606=U607))),VLOOKUP(U607,Drops!$D$26:$E$44,2,FALSE),"")</f>
        <v/>
      </c>
      <c r="R607" s="2" t="str">
        <f t="shared" si="145"/>
        <v/>
      </c>
      <c r="S607" s="2">
        <f t="shared" ca="1" si="146"/>
        <v>1</v>
      </c>
      <c r="T607" s="2">
        <f t="shared" si="147"/>
        <v>0</v>
      </c>
      <c r="U607" s="110" t="s">
        <v>2176</v>
      </c>
      <c r="V607" s="110">
        <v>8</v>
      </c>
      <c r="W607" s="110">
        <v>1</v>
      </c>
      <c r="X607" s="110">
        <v>0</v>
      </c>
      <c r="Y607" s="110">
        <v>0</v>
      </c>
      <c r="Z607" s="110">
        <v>0</v>
      </c>
      <c r="AA607" s="2">
        <f t="shared" si="148"/>
        <v>1</v>
      </c>
      <c r="AB607" s="2">
        <f t="shared" si="149"/>
        <v>1</v>
      </c>
      <c r="AC607" s="2">
        <f t="shared" si="150"/>
        <v>1</v>
      </c>
      <c r="AD607" s="2">
        <f t="shared" si="151"/>
        <v>1</v>
      </c>
      <c r="AE607" s="2">
        <f t="shared" si="152"/>
        <v>3</v>
      </c>
      <c r="AF607" s="2">
        <f t="shared" si="153"/>
        <v>3</v>
      </c>
      <c r="AG607" s="2">
        <f t="shared" si="154"/>
        <v>3</v>
      </c>
      <c r="AH607" s="2">
        <f t="shared" si="155"/>
        <v>2</v>
      </c>
      <c r="AI607" s="2">
        <f t="shared" si="156"/>
        <v>2</v>
      </c>
      <c r="AJ607" s="2">
        <f t="shared" si="157"/>
        <v>2</v>
      </c>
      <c r="AK607" s="2">
        <f t="shared" si="158"/>
        <v>0</v>
      </c>
      <c r="AL607" s="2">
        <f t="shared" si="159"/>
        <v>0</v>
      </c>
      <c r="AM607" s="115"/>
      <c r="AN607" s="115"/>
      <c r="AO607" s="63"/>
    </row>
    <row r="608" spans="1:41" ht="43.2" x14ac:dyDescent="0.55000000000000004">
      <c r="A608" s="36">
        <v>4801</v>
      </c>
      <c r="B608" s="113" t="s">
        <v>2229</v>
      </c>
      <c r="C608" s="139" t="s">
        <v>2230</v>
      </c>
      <c r="D608" s="114" t="s">
        <v>55</v>
      </c>
      <c r="E608" s="115" t="s">
        <v>2231</v>
      </c>
      <c r="F608" s="116"/>
      <c r="G608" s="113" t="s">
        <v>2217</v>
      </c>
      <c r="H608" s="113" t="s">
        <v>2226</v>
      </c>
      <c r="I608" s="113"/>
      <c r="J608" s="117"/>
      <c r="K608" s="118"/>
      <c r="L608" s="109">
        <v>3</v>
      </c>
      <c r="M608" s="109">
        <v>3</v>
      </c>
      <c r="N608" s="109"/>
      <c r="O608" s="119"/>
      <c r="P608" s="2">
        <f t="shared" si="144"/>
        <v>2</v>
      </c>
      <c r="Q608" s="110" t="str">
        <f>IF(AND(Drops!$D$45&gt;1,OR(U608&lt;&gt;U607,AND(ROW()=5,U607=U608))),VLOOKUP(U608,Drops!$D$26:$E$44,2,FALSE),"")</f>
        <v/>
      </c>
      <c r="R608" s="2" t="str">
        <f t="shared" si="145"/>
        <v/>
      </c>
      <c r="S608" s="2">
        <f t="shared" ca="1" si="146"/>
        <v>2</v>
      </c>
      <c r="T608" s="2">
        <f t="shared" si="147"/>
        <v>0</v>
      </c>
      <c r="U608" s="110" t="s">
        <v>2176</v>
      </c>
      <c r="V608" s="110">
        <v>8</v>
      </c>
      <c r="W608" s="110">
        <v>1</v>
      </c>
      <c r="X608" s="110">
        <v>1</v>
      </c>
      <c r="Y608" s="110">
        <v>0</v>
      </c>
      <c r="Z608" s="110">
        <v>0</v>
      </c>
      <c r="AA608" s="2">
        <f t="shared" si="148"/>
        <v>1</v>
      </c>
      <c r="AB608" s="2">
        <f t="shared" si="149"/>
        <v>0</v>
      </c>
      <c r="AC608" s="2">
        <f t="shared" si="150"/>
        <v>1</v>
      </c>
      <c r="AD608" s="2">
        <f t="shared" si="151"/>
        <v>1</v>
      </c>
      <c r="AE608" s="2">
        <f t="shared" si="152"/>
        <v>2</v>
      </c>
      <c r="AF608" s="2">
        <f t="shared" si="153"/>
        <v>2</v>
      </c>
      <c r="AG608" s="2">
        <f t="shared" si="154"/>
        <v>2</v>
      </c>
      <c r="AH608" s="2">
        <f t="shared" si="155"/>
        <v>2</v>
      </c>
      <c r="AI608" s="2">
        <f t="shared" si="156"/>
        <v>2</v>
      </c>
      <c r="AJ608" s="2">
        <f t="shared" si="157"/>
        <v>1</v>
      </c>
      <c r="AK608" s="2">
        <f t="shared" si="158"/>
        <v>0</v>
      </c>
      <c r="AL608" s="2">
        <f t="shared" si="159"/>
        <v>0</v>
      </c>
      <c r="AM608" s="115"/>
      <c r="AN608" s="115"/>
      <c r="AO608" s="63"/>
    </row>
    <row r="609" spans="1:41" ht="43.2" x14ac:dyDescent="0.55000000000000004">
      <c r="A609" s="36">
        <v>4802</v>
      </c>
      <c r="B609" s="113" t="s">
        <v>2232</v>
      </c>
      <c r="C609" s="113" t="s">
        <v>2233</v>
      </c>
      <c r="D609" s="114" t="s">
        <v>52</v>
      </c>
      <c r="E609" s="115"/>
      <c r="F609" s="116"/>
      <c r="G609" s="113" t="s">
        <v>2217</v>
      </c>
      <c r="H609" s="113" t="s">
        <v>2234</v>
      </c>
      <c r="I609" s="113" t="s">
        <v>2185</v>
      </c>
      <c r="J609" s="117"/>
      <c r="K609" s="118"/>
      <c r="L609" s="109">
        <v>1</v>
      </c>
      <c r="M609" s="109">
        <v>3</v>
      </c>
      <c r="N609" s="109"/>
      <c r="O609" s="119"/>
      <c r="P609" s="2">
        <f t="shared" si="144"/>
        <v>1</v>
      </c>
      <c r="Q609" s="110" t="str">
        <f>IF(AND(Drops!$D$45&gt;1,OR(U609&lt;&gt;U608,AND(ROW()=5,U608=U609))),VLOOKUP(U609,Drops!$D$26:$E$44,2,FALSE),"")</f>
        <v/>
      </c>
      <c r="R609" s="2" t="str">
        <f t="shared" si="145"/>
        <v/>
      </c>
      <c r="S609" s="2">
        <f t="shared" ca="1" si="146"/>
        <v>1</v>
      </c>
      <c r="T609" s="2">
        <f t="shared" si="147"/>
        <v>1</v>
      </c>
      <c r="U609" s="110" t="s">
        <v>2176</v>
      </c>
      <c r="V609" s="110">
        <v>10</v>
      </c>
      <c r="W609" s="110">
        <v>0</v>
      </c>
      <c r="X609" s="110">
        <v>0</v>
      </c>
      <c r="Y609" s="110">
        <v>0</v>
      </c>
      <c r="Z609" s="110">
        <v>0</v>
      </c>
      <c r="AA609" s="2">
        <f t="shared" si="148"/>
        <v>1</v>
      </c>
      <c r="AB609" s="2">
        <f t="shared" si="149"/>
        <v>1</v>
      </c>
      <c r="AC609" s="2">
        <f t="shared" si="150"/>
        <v>1</v>
      </c>
      <c r="AD609" s="2">
        <f t="shared" si="151"/>
        <v>0</v>
      </c>
      <c r="AE609" s="2">
        <f t="shared" si="152"/>
        <v>0</v>
      </c>
      <c r="AF609" s="2">
        <f t="shared" si="153"/>
        <v>2</v>
      </c>
      <c r="AG609" s="2">
        <f t="shared" si="154"/>
        <v>2</v>
      </c>
      <c r="AH609" s="2">
        <f t="shared" si="155"/>
        <v>2</v>
      </c>
      <c r="AI609" s="2">
        <f t="shared" si="156"/>
        <v>2</v>
      </c>
      <c r="AJ609" s="2">
        <f t="shared" si="157"/>
        <v>0</v>
      </c>
      <c r="AK609" s="2">
        <f t="shared" si="158"/>
        <v>0</v>
      </c>
      <c r="AL609" s="2">
        <f t="shared" si="159"/>
        <v>0</v>
      </c>
      <c r="AM609" s="115"/>
      <c r="AN609" s="115"/>
      <c r="AO609" s="63"/>
    </row>
    <row r="610" spans="1:41" ht="43.2" x14ac:dyDescent="0.55000000000000004">
      <c r="A610" s="36">
        <v>4803</v>
      </c>
      <c r="B610" s="113" t="s">
        <v>2235</v>
      </c>
      <c r="C610" s="138" t="s">
        <v>2236</v>
      </c>
      <c r="D610" s="114" t="s">
        <v>52</v>
      </c>
      <c r="E610" s="115"/>
      <c r="F610" s="116"/>
      <c r="G610" s="113" t="s">
        <v>2217</v>
      </c>
      <c r="H610" s="113" t="s">
        <v>2234</v>
      </c>
      <c r="I610" s="113"/>
      <c r="J610" s="117"/>
      <c r="K610" s="118"/>
      <c r="L610" s="109">
        <v>2</v>
      </c>
      <c r="M610" s="109">
        <v>3</v>
      </c>
      <c r="N610" s="109"/>
      <c r="O610" s="119"/>
      <c r="P610" s="2">
        <f t="shared" si="144"/>
        <v>1</v>
      </c>
      <c r="Q610" s="110" t="str">
        <f>IF(AND(Drops!$D$45&gt;1,OR(U610&lt;&gt;U609,AND(ROW()=5,U609=U610))),VLOOKUP(U610,Drops!$D$26:$E$44,2,FALSE),"")</f>
        <v/>
      </c>
      <c r="R610" s="2" t="str">
        <f t="shared" si="145"/>
        <v/>
      </c>
      <c r="S610" s="2">
        <f t="shared" ca="1" si="146"/>
        <v>1</v>
      </c>
      <c r="T610" s="2">
        <f t="shared" si="147"/>
        <v>0</v>
      </c>
      <c r="U610" s="110" t="s">
        <v>2176</v>
      </c>
      <c r="V610" s="110">
        <v>10</v>
      </c>
      <c r="W610" s="110">
        <v>1</v>
      </c>
      <c r="X610" s="110">
        <v>0</v>
      </c>
      <c r="Y610" s="110">
        <v>0</v>
      </c>
      <c r="Z610" s="110">
        <v>0</v>
      </c>
      <c r="AA610" s="2">
        <f t="shared" si="148"/>
        <v>1</v>
      </c>
      <c r="AB610" s="2">
        <f t="shared" si="149"/>
        <v>0</v>
      </c>
      <c r="AC610" s="2">
        <f t="shared" si="150"/>
        <v>1</v>
      </c>
      <c r="AD610" s="2">
        <f t="shared" si="151"/>
        <v>1</v>
      </c>
      <c r="AE610" s="2">
        <f t="shared" si="152"/>
        <v>0</v>
      </c>
      <c r="AF610" s="2">
        <f t="shared" si="153"/>
        <v>2</v>
      </c>
      <c r="AG610" s="2">
        <f t="shared" si="154"/>
        <v>2</v>
      </c>
      <c r="AH610" s="2">
        <f t="shared" si="155"/>
        <v>2</v>
      </c>
      <c r="AI610" s="2">
        <f t="shared" si="156"/>
        <v>2</v>
      </c>
      <c r="AJ610" s="2">
        <f t="shared" si="157"/>
        <v>0</v>
      </c>
      <c r="AK610" s="2">
        <f t="shared" si="158"/>
        <v>0</v>
      </c>
      <c r="AL610" s="2">
        <f t="shared" si="159"/>
        <v>0</v>
      </c>
      <c r="AM610" s="115"/>
      <c r="AN610" s="115"/>
      <c r="AO610" s="63"/>
    </row>
    <row r="611" spans="1:41" ht="43.2" x14ac:dyDescent="0.55000000000000004">
      <c r="A611" s="36">
        <v>4804</v>
      </c>
      <c r="B611" s="113" t="s">
        <v>2237</v>
      </c>
      <c r="C611" s="138" t="s">
        <v>2238</v>
      </c>
      <c r="D611" s="114" t="s">
        <v>52</v>
      </c>
      <c r="E611" s="115"/>
      <c r="F611" s="116"/>
      <c r="G611" s="113" t="s">
        <v>2217</v>
      </c>
      <c r="H611" s="113" t="s">
        <v>2234</v>
      </c>
      <c r="I611" s="113"/>
      <c r="J611" s="117"/>
      <c r="K611" s="118"/>
      <c r="L611" s="109">
        <v>2</v>
      </c>
      <c r="M611" s="109">
        <v>3</v>
      </c>
      <c r="N611" s="109"/>
      <c r="O611" s="119"/>
      <c r="P611" s="2">
        <f t="shared" si="144"/>
        <v>1</v>
      </c>
      <c r="Q611" s="110" t="str">
        <f>IF(AND(Drops!$D$45&gt;1,OR(U611&lt;&gt;U610,AND(ROW()=5,U610=U611))),VLOOKUP(U611,Drops!$D$26:$E$44,2,FALSE),"")</f>
        <v/>
      </c>
      <c r="R611" s="2" t="str">
        <f t="shared" si="145"/>
        <v/>
      </c>
      <c r="S611" s="2">
        <f t="shared" ca="1" si="146"/>
        <v>1</v>
      </c>
      <c r="T611" s="2">
        <f t="shared" si="147"/>
        <v>0</v>
      </c>
      <c r="U611" s="110" t="s">
        <v>2176</v>
      </c>
      <c r="V611" s="110">
        <v>10</v>
      </c>
      <c r="W611" s="110">
        <v>2</v>
      </c>
      <c r="X611" s="110">
        <v>0</v>
      </c>
      <c r="Y611" s="110">
        <v>0</v>
      </c>
      <c r="Z611" s="110">
        <v>0</v>
      </c>
      <c r="AA611" s="2">
        <f t="shared" si="148"/>
        <v>1</v>
      </c>
      <c r="AB611" s="2">
        <f t="shared" si="149"/>
        <v>0</v>
      </c>
      <c r="AC611" s="2">
        <f t="shared" si="150"/>
        <v>1</v>
      </c>
      <c r="AD611" s="2">
        <f t="shared" si="151"/>
        <v>1</v>
      </c>
      <c r="AE611" s="2">
        <f t="shared" si="152"/>
        <v>0</v>
      </c>
      <c r="AF611" s="2">
        <f t="shared" si="153"/>
        <v>2</v>
      </c>
      <c r="AG611" s="2">
        <f t="shared" si="154"/>
        <v>2</v>
      </c>
      <c r="AH611" s="2">
        <f t="shared" si="155"/>
        <v>2</v>
      </c>
      <c r="AI611" s="2">
        <f t="shared" si="156"/>
        <v>2</v>
      </c>
      <c r="AJ611" s="2">
        <f t="shared" si="157"/>
        <v>0</v>
      </c>
      <c r="AK611" s="2">
        <f t="shared" si="158"/>
        <v>0</v>
      </c>
      <c r="AL611" s="2">
        <f t="shared" si="159"/>
        <v>0</v>
      </c>
      <c r="AM611" s="115"/>
      <c r="AN611" s="115"/>
      <c r="AO611" s="63"/>
    </row>
    <row r="612" spans="1:41" ht="43.2" x14ac:dyDescent="0.55000000000000004">
      <c r="A612" s="36">
        <v>3733</v>
      </c>
      <c r="B612" s="113" t="s">
        <v>2239</v>
      </c>
      <c r="C612" s="113" t="s">
        <v>2240</v>
      </c>
      <c r="D612" s="114" t="s">
        <v>52</v>
      </c>
      <c r="E612" s="115"/>
      <c r="F612" s="116"/>
      <c r="G612" s="113" t="s">
        <v>2217</v>
      </c>
      <c r="H612" s="113" t="s">
        <v>2241</v>
      </c>
      <c r="I612" s="113" t="s">
        <v>2185</v>
      </c>
      <c r="J612" s="117"/>
      <c r="K612" s="118"/>
      <c r="L612" s="109">
        <v>1</v>
      </c>
      <c r="M612" s="109">
        <v>3</v>
      </c>
      <c r="N612" s="109"/>
      <c r="O612" s="119"/>
      <c r="P612" s="2">
        <f t="shared" si="144"/>
        <v>1</v>
      </c>
      <c r="Q612" s="110" t="str">
        <f>IF(AND(Drops!$D$45&gt;1,OR(U612&lt;&gt;U611,AND(ROW()=5,U611=U612))),VLOOKUP(U612,Drops!$D$26:$E$44,2,FALSE),"")</f>
        <v/>
      </c>
      <c r="R612" s="2" t="str">
        <f t="shared" si="145"/>
        <v/>
      </c>
      <c r="S612" s="2">
        <f t="shared" ca="1" si="146"/>
        <v>1</v>
      </c>
      <c r="T612" s="2">
        <f t="shared" si="147"/>
        <v>1</v>
      </c>
      <c r="U612" s="110" t="s">
        <v>2176</v>
      </c>
      <c r="V612" s="110">
        <v>11</v>
      </c>
      <c r="W612" s="110">
        <v>0</v>
      </c>
      <c r="X612" s="110">
        <v>0</v>
      </c>
      <c r="Y612" s="110">
        <v>0</v>
      </c>
      <c r="Z612" s="110">
        <v>0</v>
      </c>
      <c r="AA612" s="2">
        <f t="shared" si="148"/>
        <v>1</v>
      </c>
      <c r="AB612" s="2">
        <f t="shared" si="149"/>
        <v>1</v>
      </c>
      <c r="AC612" s="2">
        <f t="shared" si="150"/>
        <v>1</v>
      </c>
      <c r="AD612" s="2">
        <f t="shared" si="151"/>
        <v>0</v>
      </c>
      <c r="AE612" s="2">
        <f t="shared" si="152"/>
        <v>0</v>
      </c>
      <c r="AF612" s="2">
        <f t="shared" si="153"/>
        <v>2</v>
      </c>
      <c r="AG612" s="2">
        <f t="shared" si="154"/>
        <v>2</v>
      </c>
      <c r="AH612" s="2">
        <f t="shared" si="155"/>
        <v>2</v>
      </c>
      <c r="AI612" s="2">
        <f t="shared" si="156"/>
        <v>2</v>
      </c>
      <c r="AJ612" s="2">
        <f t="shared" si="157"/>
        <v>0</v>
      </c>
      <c r="AK612" s="2">
        <f t="shared" si="158"/>
        <v>0</v>
      </c>
      <c r="AL612" s="2">
        <f t="shared" si="159"/>
        <v>0</v>
      </c>
      <c r="AM612" s="115"/>
      <c r="AN612" s="115"/>
      <c r="AO612" s="63"/>
    </row>
    <row r="613" spans="1:41" ht="43.2" x14ac:dyDescent="0.55000000000000004">
      <c r="A613" s="36">
        <v>4557</v>
      </c>
      <c r="B613" s="113" t="s">
        <v>2242</v>
      </c>
      <c r="C613" s="138" t="s">
        <v>2243</v>
      </c>
      <c r="D613" s="114" t="s">
        <v>52</v>
      </c>
      <c r="E613" s="115"/>
      <c r="F613" s="116"/>
      <c r="G613" s="113" t="s">
        <v>2217</v>
      </c>
      <c r="H613" s="113" t="s">
        <v>2241</v>
      </c>
      <c r="I613" s="113"/>
      <c r="J613" s="117"/>
      <c r="K613" s="118"/>
      <c r="L613" s="109">
        <v>2</v>
      </c>
      <c r="M613" s="109">
        <v>3</v>
      </c>
      <c r="N613" s="109"/>
      <c r="O613" s="119"/>
      <c r="P613" s="2">
        <f t="shared" si="144"/>
        <v>1</v>
      </c>
      <c r="Q613" s="110" t="str">
        <f>IF(AND(Drops!$D$45&gt;1,OR(U613&lt;&gt;U612,AND(ROW()=5,U612=U613))),VLOOKUP(U613,Drops!$D$26:$E$44,2,FALSE),"")</f>
        <v/>
      </c>
      <c r="R613" s="2" t="str">
        <f t="shared" si="145"/>
        <v/>
      </c>
      <c r="S613" s="2">
        <f t="shared" ca="1" si="146"/>
        <v>1</v>
      </c>
      <c r="T613" s="2">
        <f t="shared" si="147"/>
        <v>0</v>
      </c>
      <c r="U613" s="110" t="s">
        <v>2176</v>
      </c>
      <c r="V613" s="110">
        <v>11</v>
      </c>
      <c r="W613" s="110">
        <v>1</v>
      </c>
      <c r="X613" s="110">
        <v>0</v>
      </c>
      <c r="Y613" s="110">
        <v>0</v>
      </c>
      <c r="Z613" s="110">
        <v>0</v>
      </c>
      <c r="AA613" s="2">
        <f t="shared" si="148"/>
        <v>1</v>
      </c>
      <c r="AB613" s="2">
        <f t="shared" si="149"/>
        <v>0</v>
      </c>
      <c r="AC613" s="2">
        <f t="shared" si="150"/>
        <v>1</v>
      </c>
      <c r="AD613" s="2">
        <f t="shared" si="151"/>
        <v>1</v>
      </c>
      <c r="AE613" s="2">
        <f t="shared" si="152"/>
        <v>0</v>
      </c>
      <c r="AF613" s="2">
        <f t="shared" si="153"/>
        <v>2</v>
      </c>
      <c r="AG613" s="2">
        <f t="shared" si="154"/>
        <v>2</v>
      </c>
      <c r="AH613" s="2">
        <f t="shared" si="155"/>
        <v>2</v>
      </c>
      <c r="AI613" s="2">
        <f t="shared" si="156"/>
        <v>2</v>
      </c>
      <c r="AJ613" s="2">
        <f t="shared" si="157"/>
        <v>0</v>
      </c>
      <c r="AK613" s="2">
        <f t="shared" si="158"/>
        <v>0</v>
      </c>
      <c r="AL613" s="2">
        <f t="shared" si="159"/>
        <v>0</v>
      </c>
      <c r="AM613" s="115"/>
      <c r="AN613" s="115"/>
      <c r="AO613" s="63"/>
    </row>
    <row r="614" spans="1:41" ht="43.2" x14ac:dyDescent="0.55000000000000004">
      <c r="A614" s="36">
        <v>4128</v>
      </c>
      <c r="B614" s="113" t="s">
        <v>2244</v>
      </c>
      <c r="C614" s="138" t="s">
        <v>2245</v>
      </c>
      <c r="D614" s="114" t="s">
        <v>52</v>
      </c>
      <c r="E614" s="115"/>
      <c r="F614" s="116"/>
      <c r="G614" s="113" t="s">
        <v>2217</v>
      </c>
      <c r="H614" s="113" t="s">
        <v>2241</v>
      </c>
      <c r="I614" s="113" t="s">
        <v>2185</v>
      </c>
      <c r="J614" s="117"/>
      <c r="K614" s="118"/>
      <c r="L614" s="109">
        <v>2</v>
      </c>
      <c r="M614" s="109">
        <v>3</v>
      </c>
      <c r="N614" s="109"/>
      <c r="O614" s="119"/>
      <c r="P614" s="2">
        <f t="shared" si="144"/>
        <v>1</v>
      </c>
      <c r="Q614" s="110" t="str">
        <f>IF(AND(Drops!$D$45&gt;1,OR(U614&lt;&gt;U613,AND(ROW()=5,U613=U614))),VLOOKUP(U614,Drops!$D$26:$E$44,2,FALSE),"")</f>
        <v/>
      </c>
      <c r="R614" s="2" t="str">
        <f t="shared" si="145"/>
        <v/>
      </c>
      <c r="S614" s="2">
        <f t="shared" ca="1" si="146"/>
        <v>1</v>
      </c>
      <c r="T614" s="2">
        <f t="shared" si="147"/>
        <v>0</v>
      </c>
      <c r="U614" s="110" t="s">
        <v>2176</v>
      </c>
      <c r="V614" s="110">
        <v>11</v>
      </c>
      <c r="W614" s="110">
        <v>2</v>
      </c>
      <c r="X614" s="110">
        <v>0</v>
      </c>
      <c r="Y614" s="110">
        <v>0</v>
      </c>
      <c r="Z614" s="110">
        <v>0</v>
      </c>
      <c r="AA614" s="2">
        <f t="shared" si="148"/>
        <v>1</v>
      </c>
      <c r="AB614" s="2">
        <f t="shared" si="149"/>
        <v>0</v>
      </c>
      <c r="AC614" s="2">
        <f t="shared" si="150"/>
        <v>1</v>
      </c>
      <c r="AD614" s="2">
        <f t="shared" si="151"/>
        <v>1</v>
      </c>
      <c r="AE614" s="2">
        <f t="shared" si="152"/>
        <v>0</v>
      </c>
      <c r="AF614" s="2">
        <f t="shared" si="153"/>
        <v>2</v>
      </c>
      <c r="AG614" s="2">
        <f t="shared" si="154"/>
        <v>2</v>
      </c>
      <c r="AH614" s="2">
        <f t="shared" si="155"/>
        <v>2</v>
      </c>
      <c r="AI614" s="2">
        <f t="shared" si="156"/>
        <v>2</v>
      </c>
      <c r="AJ614" s="2">
        <f t="shared" si="157"/>
        <v>0</v>
      </c>
      <c r="AK614" s="2">
        <f t="shared" si="158"/>
        <v>0</v>
      </c>
      <c r="AL614" s="2">
        <f t="shared" si="159"/>
        <v>0</v>
      </c>
      <c r="AM614" s="115"/>
      <c r="AN614" s="115"/>
      <c r="AO614" s="63"/>
    </row>
    <row r="615" spans="1:41" ht="43.2" x14ac:dyDescent="0.55000000000000004">
      <c r="A615" s="36">
        <v>4558</v>
      </c>
      <c r="B615" s="113" t="s">
        <v>2246</v>
      </c>
      <c r="C615" s="138" t="s">
        <v>2247</v>
      </c>
      <c r="D615" s="114" t="s">
        <v>52</v>
      </c>
      <c r="E615" s="115"/>
      <c r="F615" s="116"/>
      <c r="G615" s="113" t="s">
        <v>2217</v>
      </c>
      <c r="H615" s="113" t="s">
        <v>2241</v>
      </c>
      <c r="I615" s="113"/>
      <c r="J615" s="117"/>
      <c r="K615" s="118"/>
      <c r="L615" s="109">
        <v>2</v>
      </c>
      <c r="M615" s="109">
        <v>2</v>
      </c>
      <c r="N615" s="109"/>
      <c r="O615" s="119"/>
      <c r="P615" s="2">
        <f t="shared" si="144"/>
        <v>1</v>
      </c>
      <c r="Q615" s="110" t="str">
        <f>IF(AND(Drops!$D$45&gt;1,OR(U615&lt;&gt;U614,AND(ROW()=5,U614=U615))),VLOOKUP(U615,Drops!$D$26:$E$44,2,FALSE),"")</f>
        <v/>
      </c>
      <c r="R615" s="2" t="str">
        <f t="shared" si="145"/>
        <v/>
      </c>
      <c r="S615" s="2">
        <f t="shared" ca="1" si="146"/>
        <v>1</v>
      </c>
      <c r="T615" s="2">
        <f t="shared" si="147"/>
        <v>0</v>
      </c>
      <c r="U615" s="110" t="s">
        <v>2176</v>
      </c>
      <c r="V615" s="110">
        <v>11</v>
      </c>
      <c r="W615" s="110">
        <v>3</v>
      </c>
      <c r="X615" s="110">
        <v>0</v>
      </c>
      <c r="Y615" s="110">
        <v>0</v>
      </c>
      <c r="Z615" s="110">
        <v>0</v>
      </c>
      <c r="AA615" s="2">
        <f t="shared" si="148"/>
        <v>1</v>
      </c>
      <c r="AB615" s="2">
        <f t="shared" si="149"/>
        <v>0</v>
      </c>
      <c r="AC615" s="2">
        <f t="shared" si="150"/>
        <v>1</v>
      </c>
      <c r="AD615" s="2">
        <f t="shared" si="151"/>
        <v>1</v>
      </c>
      <c r="AE615" s="2">
        <f t="shared" si="152"/>
        <v>0</v>
      </c>
      <c r="AF615" s="2">
        <f t="shared" si="153"/>
        <v>2</v>
      </c>
      <c r="AG615" s="2">
        <f t="shared" si="154"/>
        <v>2</v>
      </c>
      <c r="AH615" s="2">
        <f t="shared" si="155"/>
        <v>2</v>
      </c>
      <c r="AI615" s="2">
        <f t="shared" si="156"/>
        <v>2</v>
      </c>
      <c r="AJ615" s="2">
        <f t="shared" si="157"/>
        <v>0</v>
      </c>
      <c r="AK615" s="2">
        <f t="shared" si="158"/>
        <v>0</v>
      </c>
      <c r="AL615" s="2">
        <f t="shared" si="159"/>
        <v>0</v>
      </c>
      <c r="AM615" s="115"/>
      <c r="AN615" s="115"/>
      <c r="AO615" s="63"/>
    </row>
    <row r="616" spans="1:41" ht="43.2" x14ac:dyDescent="0.55000000000000004">
      <c r="A616" s="36">
        <v>5642</v>
      </c>
      <c r="B616" s="113" t="s">
        <v>2248</v>
      </c>
      <c r="C616" s="113" t="s">
        <v>2249</v>
      </c>
      <c r="D616" s="114" t="s">
        <v>52</v>
      </c>
      <c r="E616" s="115"/>
      <c r="F616" s="116"/>
      <c r="G616" s="113" t="s">
        <v>2217</v>
      </c>
      <c r="H616" s="113" t="s">
        <v>2250</v>
      </c>
      <c r="I616" s="113"/>
      <c r="J616" s="117"/>
      <c r="K616" s="118"/>
      <c r="L616" s="109">
        <v>1</v>
      </c>
      <c r="M616" s="109">
        <v>3</v>
      </c>
      <c r="N616" s="109"/>
      <c r="O616" s="119"/>
      <c r="P616" s="2">
        <f t="shared" si="144"/>
        <v>1</v>
      </c>
      <c r="Q616" s="110" t="str">
        <f>IF(AND(Drops!$D$45&gt;1,OR(U616&lt;&gt;U615,AND(ROW()=5,U615=U616))),VLOOKUP(U616,Drops!$D$26:$E$44,2,FALSE),"")</f>
        <v/>
      </c>
      <c r="R616" s="2" t="str">
        <f t="shared" si="145"/>
        <v/>
      </c>
      <c r="S616" s="2">
        <f t="shared" ca="1" si="146"/>
        <v>1</v>
      </c>
      <c r="T616" s="2">
        <f t="shared" si="147"/>
        <v>1</v>
      </c>
      <c r="U616" s="110" t="s">
        <v>2176</v>
      </c>
      <c r="V616" s="110">
        <v>13</v>
      </c>
      <c r="W616" s="110">
        <v>0</v>
      </c>
      <c r="X616" s="110">
        <v>0</v>
      </c>
      <c r="Y616" s="110">
        <v>0</v>
      </c>
      <c r="Z616" s="110">
        <v>0</v>
      </c>
      <c r="AA616" s="2">
        <f t="shared" si="148"/>
        <v>1</v>
      </c>
      <c r="AB616" s="2">
        <f t="shared" si="149"/>
        <v>0</v>
      </c>
      <c r="AC616" s="2">
        <f t="shared" si="150"/>
        <v>1</v>
      </c>
      <c r="AD616" s="2">
        <f t="shared" si="151"/>
        <v>0</v>
      </c>
      <c r="AE616" s="2">
        <f t="shared" si="152"/>
        <v>0</v>
      </c>
      <c r="AF616" s="2">
        <f t="shared" si="153"/>
        <v>2</v>
      </c>
      <c r="AG616" s="2">
        <f t="shared" si="154"/>
        <v>2</v>
      </c>
      <c r="AH616" s="2">
        <f t="shared" si="155"/>
        <v>2</v>
      </c>
      <c r="AI616" s="2">
        <f t="shared" si="156"/>
        <v>2</v>
      </c>
      <c r="AJ616" s="2">
        <f t="shared" si="157"/>
        <v>0</v>
      </c>
      <c r="AK616" s="2">
        <f t="shared" si="158"/>
        <v>0</v>
      </c>
      <c r="AL616" s="2">
        <f t="shared" si="159"/>
        <v>0</v>
      </c>
      <c r="AM616" s="115"/>
      <c r="AN616" s="115"/>
      <c r="AO616" s="63"/>
    </row>
    <row r="617" spans="1:41" ht="14.4" x14ac:dyDescent="0.55000000000000004">
      <c r="A617" s="36">
        <v>4810</v>
      </c>
      <c r="B617" s="113" t="s">
        <v>2251</v>
      </c>
      <c r="C617" s="113" t="s">
        <v>2252</v>
      </c>
      <c r="D617" s="114" t="s">
        <v>55</v>
      </c>
      <c r="E617" s="115"/>
      <c r="F617" s="116"/>
      <c r="G617" s="113" t="s">
        <v>2253</v>
      </c>
      <c r="H617" s="113" t="s">
        <v>1742</v>
      </c>
      <c r="I617" s="113"/>
      <c r="J617" s="117"/>
      <c r="K617" s="118"/>
      <c r="L617" s="109">
        <v>1</v>
      </c>
      <c r="M617" s="109">
        <v>1</v>
      </c>
      <c r="N617" s="109"/>
      <c r="O617" s="119"/>
      <c r="P617" s="2">
        <f t="shared" si="144"/>
        <v>2</v>
      </c>
      <c r="Q617" s="110" t="str">
        <f>IF(AND(Drops!$D$45&gt;1,OR(U617&lt;&gt;U616,AND(ROW()=5,U616=U617))),VLOOKUP(U617,Drops!$D$26:$E$44,2,FALSE),"")</f>
        <v/>
      </c>
      <c r="R617" s="2" t="str">
        <f t="shared" si="145"/>
        <v/>
      </c>
      <c r="S617" s="2">
        <f t="shared" ca="1" si="146"/>
        <v>2</v>
      </c>
      <c r="T617" s="2">
        <f t="shared" si="147"/>
        <v>1</v>
      </c>
      <c r="U617" s="110" t="s">
        <v>2176</v>
      </c>
      <c r="V617" s="110">
        <v>14</v>
      </c>
      <c r="W617" s="110">
        <v>0</v>
      </c>
      <c r="X617" s="110">
        <v>0</v>
      </c>
      <c r="Y617" s="110">
        <v>0</v>
      </c>
      <c r="Z617" s="110">
        <v>0</v>
      </c>
      <c r="AA617" s="2">
        <f t="shared" si="148"/>
        <v>1</v>
      </c>
      <c r="AB617" s="2">
        <f t="shared" si="149"/>
        <v>1</v>
      </c>
      <c r="AC617" s="2">
        <f t="shared" si="150"/>
        <v>2</v>
      </c>
      <c r="AD617" s="2">
        <f t="shared" si="151"/>
        <v>2</v>
      </c>
      <c r="AE617" s="2">
        <f t="shared" si="152"/>
        <v>2</v>
      </c>
      <c r="AF617" s="2">
        <f t="shared" si="153"/>
        <v>2</v>
      </c>
      <c r="AG617" s="2">
        <f t="shared" si="154"/>
        <v>2</v>
      </c>
      <c r="AH617" s="2">
        <f t="shared" si="155"/>
        <v>1</v>
      </c>
      <c r="AI617" s="2">
        <f t="shared" si="156"/>
        <v>2</v>
      </c>
      <c r="AJ617" s="2">
        <f t="shared" si="157"/>
        <v>0</v>
      </c>
      <c r="AK617" s="2">
        <f t="shared" si="158"/>
        <v>0</v>
      </c>
      <c r="AL617" s="2">
        <f t="shared" si="159"/>
        <v>0</v>
      </c>
      <c r="AM617" s="115"/>
      <c r="AN617" s="115"/>
      <c r="AO617" s="63"/>
    </row>
    <row r="618" spans="1:41" ht="28.8" hidden="1" x14ac:dyDescent="0.55000000000000004">
      <c r="A618" s="36">
        <v>4820</v>
      </c>
      <c r="B618" s="113" t="s">
        <v>2254</v>
      </c>
      <c r="C618" s="138" t="s">
        <v>2255</v>
      </c>
      <c r="D618" s="114"/>
      <c r="E618" s="115"/>
      <c r="F618" s="116"/>
      <c r="G618" s="113" t="s">
        <v>2253</v>
      </c>
      <c r="H618" s="113" t="s">
        <v>2256</v>
      </c>
      <c r="I618" s="113"/>
      <c r="J618" s="117"/>
      <c r="K618" s="118"/>
      <c r="L618" s="109">
        <v>2</v>
      </c>
      <c r="M618" s="109">
        <v>3</v>
      </c>
      <c r="N618" s="109"/>
      <c r="O618" s="119"/>
      <c r="P618" s="2">
        <f t="shared" si="144"/>
        <v>0</v>
      </c>
      <c r="Q618" s="110" t="str">
        <f>IF(AND(Drops!$D$45&gt;1,OR(U618&lt;&gt;U617,AND(ROW()=5,U617=U618))),VLOOKUP(U618,Drops!$D$26:$E$44,2,FALSE),"")</f>
        <v/>
      </c>
      <c r="R618" s="2" t="str">
        <f t="shared" si="145"/>
        <v/>
      </c>
      <c r="S618" s="2">
        <f t="shared" ca="1" si="146"/>
        <v>2</v>
      </c>
      <c r="T618" s="2">
        <f t="shared" si="147"/>
        <v>0</v>
      </c>
      <c r="U618" s="110" t="s">
        <v>2176</v>
      </c>
      <c r="V618" s="110">
        <v>14</v>
      </c>
      <c r="W618" s="110">
        <v>6</v>
      </c>
      <c r="X618" s="110">
        <v>0</v>
      </c>
      <c r="Y618" s="110">
        <v>0</v>
      </c>
      <c r="Z618" s="110">
        <v>0</v>
      </c>
      <c r="AA618" s="2">
        <f t="shared" si="148"/>
        <v>0</v>
      </c>
      <c r="AB618" s="2">
        <f t="shared" si="149"/>
        <v>0</v>
      </c>
      <c r="AC618" s="2">
        <f t="shared" si="150"/>
        <v>2</v>
      </c>
      <c r="AD618" s="2">
        <f t="shared" si="151"/>
        <v>2</v>
      </c>
      <c r="AE618" s="2">
        <f t="shared" si="152"/>
        <v>2</v>
      </c>
      <c r="AF618" s="2">
        <f t="shared" si="153"/>
        <v>2</v>
      </c>
      <c r="AG618" s="2">
        <f t="shared" si="154"/>
        <v>2</v>
      </c>
      <c r="AH618" s="2">
        <f t="shared" si="155"/>
        <v>0</v>
      </c>
      <c r="AI618" s="2">
        <f t="shared" si="156"/>
        <v>1</v>
      </c>
      <c r="AJ618" s="2">
        <f t="shared" si="157"/>
        <v>0</v>
      </c>
      <c r="AK618" s="2">
        <f t="shared" si="158"/>
        <v>0</v>
      </c>
      <c r="AL618" s="2">
        <f t="shared" si="159"/>
        <v>0</v>
      </c>
      <c r="AM618" s="115"/>
      <c r="AN618" s="115"/>
      <c r="AO618" s="63"/>
    </row>
    <row r="619" spans="1:41" ht="28.8" hidden="1" x14ac:dyDescent="0.55000000000000004">
      <c r="A619" s="36">
        <v>4821</v>
      </c>
      <c r="B619" s="113" t="s">
        <v>2257</v>
      </c>
      <c r="C619" s="138" t="s">
        <v>2258</v>
      </c>
      <c r="D619" s="114"/>
      <c r="E619" s="115"/>
      <c r="F619" s="116"/>
      <c r="G619" s="113" t="s">
        <v>2253</v>
      </c>
      <c r="H619" s="113" t="s">
        <v>2256</v>
      </c>
      <c r="I619" s="113"/>
      <c r="J619" s="117"/>
      <c r="K619" s="118"/>
      <c r="L619" s="109">
        <v>2</v>
      </c>
      <c r="M619" s="109">
        <v>3</v>
      </c>
      <c r="N619" s="109"/>
      <c r="O619" s="119"/>
      <c r="P619" s="2">
        <f t="shared" si="144"/>
        <v>0</v>
      </c>
      <c r="Q619" s="110" t="str">
        <f>IF(AND(Drops!$D$45&gt;1,OR(U619&lt;&gt;U618,AND(ROW()=5,U618=U619))),VLOOKUP(U619,Drops!$D$26:$E$44,2,FALSE),"")</f>
        <v/>
      </c>
      <c r="R619" s="2" t="str">
        <f t="shared" si="145"/>
        <v/>
      </c>
      <c r="S619" s="2">
        <f t="shared" ca="1" si="146"/>
        <v>2</v>
      </c>
      <c r="T619" s="2">
        <f t="shared" si="147"/>
        <v>0</v>
      </c>
      <c r="U619" s="110" t="s">
        <v>2176</v>
      </c>
      <c r="V619" s="110">
        <v>14</v>
      </c>
      <c r="W619" s="110">
        <v>7</v>
      </c>
      <c r="X619" s="110">
        <v>0</v>
      </c>
      <c r="Y619" s="110">
        <v>0</v>
      </c>
      <c r="Z619" s="110">
        <v>0</v>
      </c>
      <c r="AA619" s="2">
        <f t="shared" si="148"/>
        <v>0</v>
      </c>
      <c r="AB619" s="2">
        <f t="shared" si="149"/>
        <v>0</v>
      </c>
      <c r="AC619" s="2">
        <f t="shared" si="150"/>
        <v>2</v>
      </c>
      <c r="AD619" s="2">
        <f t="shared" si="151"/>
        <v>2</v>
      </c>
      <c r="AE619" s="2">
        <f t="shared" si="152"/>
        <v>2</v>
      </c>
      <c r="AF619" s="2">
        <f t="shared" si="153"/>
        <v>2</v>
      </c>
      <c r="AG619" s="2">
        <f t="shared" si="154"/>
        <v>2</v>
      </c>
      <c r="AH619" s="2">
        <f t="shared" si="155"/>
        <v>0</v>
      </c>
      <c r="AI619" s="2">
        <f t="shared" si="156"/>
        <v>1</v>
      </c>
      <c r="AJ619" s="2">
        <f t="shared" si="157"/>
        <v>0</v>
      </c>
      <c r="AK619" s="2">
        <f t="shared" si="158"/>
        <v>0</v>
      </c>
      <c r="AL619" s="2">
        <f t="shared" si="159"/>
        <v>0</v>
      </c>
      <c r="AM619" s="115"/>
      <c r="AN619" s="115"/>
      <c r="AO619" s="63"/>
    </row>
    <row r="620" spans="1:41" ht="14.4" hidden="1" x14ac:dyDescent="0.55000000000000004">
      <c r="A620" s="36">
        <v>4822</v>
      </c>
      <c r="B620" s="113" t="s">
        <v>2259</v>
      </c>
      <c r="C620" s="138" t="s">
        <v>2260</v>
      </c>
      <c r="D620" s="114"/>
      <c r="E620" s="115"/>
      <c r="F620" s="116"/>
      <c r="G620" s="113" t="s">
        <v>2253</v>
      </c>
      <c r="H620" s="113" t="s">
        <v>2256</v>
      </c>
      <c r="I620" s="113"/>
      <c r="J620" s="117"/>
      <c r="K620" s="118"/>
      <c r="L620" s="109">
        <v>2</v>
      </c>
      <c r="M620" s="109">
        <v>3</v>
      </c>
      <c r="N620" s="109"/>
      <c r="O620" s="119"/>
      <c r="P620" s="2">
        <f t="shared" si="144"/>
        <v>0</v>
      </c>
      <c r="Q620" s="110" t="str">
        <f>IF(AND(Drops!$D$45&gt;1,OR(U620&lt;&gt;U619,AND(ROW()=5,U619=U620))),VLOOKUP(U620,Drops!$D$26:$E$44,2,FALSE),"")</f>
        <v/>
      </c>
      <c r="R620" s="2" t="str">
        <f t="shared" si="145"/>
        <v/>
      </c>
      <c r="S620" s="2">
        <f t="shared" ca="1" si="146"/>
        <v>2</v>
      </c>
      <c r="T620" s="2">
        <f t="shared" si="147"/>
        <v>0</v>
      </c>
      <c r="U620" s="110" t="s">
        <v>2176</v>
      </c>
      <c r="V620" s="110">
        <v>14</v>
      </c>
      <c r="W620" s="110">
        <v>8</v>
      </c>
      <c r="X620" s="110">
        <v>0</v>
      </c>
      <c r="Y620" s="110">
        <v>0</v>
      </c>
      <c r="Z620" s="110">
        <v>0</v>
      </c>
      <c r="AA620" s="2">
        <f t="shared" si="148"/>
        <v>0</v>
      </c>
      <c r="AB620" s="2">
        <f t="shared" si="149"/>
        <v>0</v>
      </c>
      <c r="AC620" s="2">
        <f t="shared" si="150"/>
        <v>2</v>
      </c>
      <c r="AD620" s="2">
        <f t="shared" si="151"/>
        <v>2</v>
      </c>
      <c r="AE620" s="2">
        <f t="shared" si="152"/>
        <v>2</v>
      </c>
      <c r="AF620" s="2">
        <f t="shared" si="153"/>
        <v>2</v>
      </c>
      <c r="AG620" s="2">
        <f t="shared" si="154"/>
        <v>2</v>
      </c>
      <c r="AH620" s="2">
        <f t="shared" si="155"/>
        <v>0</v>
      </c>
      <c r="AI620" s="2">
        <f t="shared" si="156"/>
        <v>1</v>
      </c>
      <c r="AJ620" s="2">
        <f t="shared" si="157"/>
        <v>0</v>
      </c>
      <c r="AK620" s="2">
        <f t="shared" si="158"/>
        <v>0</v>
      </c>
      <c r="AL620" s="2">
        <f t="shared" si="159"/>
        <v>0</v>
      </c>
      <c r="AM620" s="115"/>
      <c r="AN620" s="115"/>
      <c r="AO620" s="63"/>
    </row>
    <row r="621" spans="1:41" ht="28.8" hidden="1" x14ac:dyDescent="0.55000000000000004">
      <c r="A621" s="36">
        <v>4834</v>
      </c>
      <c r="B621" s="113" t="s">
        <v>2261</v>
      </c>
      <c r="C621" s="138" t="s">
        <v>2262</v>
      </c>
      <c r="D621" s="114"/>
      <c r="E621" s="115"/>
      <c r="F621" s="116"/>
      <c r="G621" s="113" t="s">
        <v>2253</v>
      </c>
      <c r="H621" s="113" t="s">
        <v>2263</v>
      </c>
      <c r="I621" s="113"/>
      <c r="J621" s="117"/>
      <c r="K621" s="118"/>
      <c r="L621" s="109">
        <v>2</v>
      </c>
      <c r="M621" s="109">
        <v>3</v>
      </c>
      <c r="N621" s="109"/>
      <c r="O621" s="119"/>
      <c r="P621" s="2">
        <f t="shared" si="144"/>
        <v>0</v>
      </c>
      <c r="Q621" s="110" t="str">
        <f>IF(AND(Drops!$D$45&gt;1,OR(U621&lt;&gt;U620,AND(ROW()=5,U620=U621))),VLOOKUP(U621,Drops!$D$26:$E$44,2,FALSE),"")</f>
        <v/>
      </c>
      <c r="R621" s="2" t="str">
        <f t="shared" si="145"/>
        <v/>
      </c>
      <c r="S621" s="2">
        <f t="shared" ca="1" si="146"/>
        <v>2</v>
      </c>
      <c r="T621" s="2">
        <f t="shared" si="147"/>
        <v>0</v>
      </c>
      <c r="U621" s="110" t="s">
        <v>2176</v>
      </c>
      <c r="V621" s="110">
        <v>14</v>
      </c>
      <c r="W621" s="110">
        <v>11</v>
      </c>
      <c r="X621" s="110">
        <v>0</v>
      </c>
      <c r="Y621" s="110">
        <v>0</v>
      </c>
      <c r="Z621" s="110">
        <v>0</v>
      </c>
      <c r="AA621" s="2">
        <f t="shared" si="148"/>
        <v>0</v>
      </c>
      <c r="AB621" s="2">
        <f t="shared" si="149"/>
        <v>0</v>
      </c>
      <c r="AC621" s="2">
        <f t="shared" si="150"/>
        <v>2</v>
      </c>
      <c r="AD621" s="2">
        <f t="shared" si="151"/>
        <v>2</v>
      </c>
      <c r="AE621" s="2">
        <f t="shared" si="152"/>
        <v>2</v>
      </c>
      <c r="AF621" s="2">
        <f t="shared" si="153"/>
        <v>2</v>
      </c>
      <c r="AG621" s="2">
        <f t="shared" si="154"/>
        <v>2</v>
      </c>
      <c r="AH621" s="2">
        <f t="shared" si="155"/>
        <v>0</v>
      </c>
      <c r="AI621" s="2">
        <f t="shared" si="156"/>
        <v>1</v>
      </c>
      <c r="AJ621" s="2">
        <f t="shared" si="157"/>
        <v>0</v>
      </c>
      <c r="AK621" s="2">
        <f t="shared" si="158"/>
        <v>0</v>
      </c>
      <c r="AL621" s="2">
        <f t="shared" si="159"/>
        <v>0</v>
      </c>
      <c r="AM621" s="115"/>
      <c r="AN621" s="115"/>
      <c r="AO621" s="63"/>
    </row>
    <row r="622" spans="1:41" ht="28.8" x14ac:dyDescent="0.55000000000000004">
      <c r="A622" s="36">
        <v>4135</v>
      </c>
      <c r="B622" s="113" t="s">
        <v>2264</v>
      </c>
      <c r="C622" s="113" t="s">
        <v>2265</v>
      </c>
      <c r="D622" s="114" t="s">
        <v>55</v>
      </c>
      <c r="E622" s="115"/>
      <c r="F622" s="116"/>
      <c r="G622" s="113" t="s">
        <v>2266</v>
      </c>
      <c r="H622" s="113" t="s">
        <v>2267</v>
      </c>
      <c r="I622" s="113"/>
      <c r="J622" s="117"/>
      <c r="K622" s="118"/>
      <c r="L622" s="109">
        <v>1</v>
      </c>
      <c r="M622" s="109">
        <v>1</v>
      </c>
      <c r="N622" s="109"/>
      <c r="O622" s="119"/>
      <c r="P622" s="2">
        <f t="shared" si="144"/>
        <v>2</v>
      </c>
      <c r="Q622" s="110" t="str">
        <f>IF(AND(Drops!$D$45&gt;1,OR(U622&lt;&gt;U621,AND(ROW()=5,U621=U622))),VLOOKUP(U622,Drops!$D$26:$E$44,2,FALSE),"")</f>
        <v/>
      </c>
      <c r="R622" s="2" t="str">
        <f t="shared" si="145"/>
        <v/>
      </c>
      <c r="S622" s="2">
        <f t="shared" ca="1" si="146"/>
        <v>2</v>
      </c>
      <c r="T622" s="2">
        <f t="shared" si="147"/>
        <v>1</v>
      </c>
      <c r="U622" s="110" t="s">
        <v>2176</v>
      </c>
      <c r="V622" s="110">
        <v>16</v>
      </c>
      <c r="W622" s="110">
        <v>0</v>
      </c>
      <c r="X622" s="110">
        <v>0</v>
      </c>
      <c r="Y622" s="110">
        <v>0</v>
      </c>
      <c r="Z622" s="110">
        <v>0</v>
      </c>
      <c r="AA622" s="2">
        <f t="shared" si="148"/>
        <v>1</v>
      </c>
      <c r="AB622" s="2">
        <f t="shared" si="149"/>
        <v>1</v>
      </c>
      <c r="AC622" s="2">
        <f t="shared" si="150"/>
        <v>2</v>
      </c>
      <c r="AD622" s="2">
        <f t="shared" si="151"/>
        <v>2</v>
      </c>
      <c r="AE622" s="2">
        <f t="shared" si="152"/>
        <v>2</v>
      </c>
      <c r="AF622" s="2">
        <f t="shared" si="153"/>
        <v>2</v>
      </c>
      <c r="AG622" s="2">
        <f t="shared" si="154"/>
        <v>2</v>
      </c>
      <c r="AH622" s="2">
        <f t="shared" si="155"/>
        <v>1</v>
      </c>
      <c r="AI622" s="2">
        <f t="shared" si="156"/>
        <v>0</v>
      </c>
      <c r="AJ622" s="2">
        <f t="shared" si="157"/>
        <v>0</v>
      </c>
      <c r="AK622" s="2">
        <f t="shared" si="158"/>
        <v>0</v>
      </c>
      <c r="AL622" s="2">
        <f t="shared" si="159"/>
        <v>0</v>
      </c>
      <c r="AM622" s="115"/>
      <c r="AN622" s="115"/>
      <c r="AO622" s="63"/>
    </row>
    <row r="623" spans="1:41" ht="28.8" x14ac:dyDescent="0.55000000000000004">
      <c r="A623" s="36">
        <v>4157</v>
      </c>
      <c r="B623" s="113" t="s">
        <v>2268</v>
      </c>
      <c r="C623" s="138" t="s">
        <v>2269</v>
      </c>
      <c r="D623" s="114" t="s">
        <v>48</v>
      </c>
      <c r="E623" s="115" t="s">
        <v>2270</v>
      </c>
      <c r="F623" s="116"/>
      <c r="G623" s="113" t="s">
        <v>2266</v>
      </c>
      <c r="H623" s="113" t="s">
        <v>2267</v>
      </c>
      <c r="I623" s="113" t="s">
        <v>2210</v>
      </c>
      <c r="J623" s="117"/>
      <c r="K623" s="118"/>
      <c r="L623" s="109">
        <v>2</v>
      </c>
      <c r="M623" s="109">
        <v>3</v>
      </c>
      <c r="N623" s="109"/>
      <c r="O623" s="119"/>
      <c r="P623" s="2">
        <f t="shared" si="144"/>
        <v>3</v>
      </c>
      <c r="Q623" s="110" t="str">
        <f>IF(AND(Drops!$D$45&gt;1,OR(U623&lt;&gt;U622,AND(ROW()=5,U622=U623))),VLOOKUP(U623,Drops!$D$26:$E$44,2,FALSE),"")</f>
        <v/>
      </c>
      <c r="R623" s="2" t="str">
        <f t="shared" si="145"/>
        <v/>
      </c>
      <c r="S623" s="2">
        <f t="shared" ca="1" si="146"/>
        <v>2</v>
      </c>
      <c r="T623" s="2">
        <f t="shared" si="147"/>
        <v>0</v>
      </c>
      <c r="U623" s="110" t="s">
        <v>2176</v>
      </c>
      <c r="V623" s="110">
        <v>16</v>
      </c>
      <c r="W623" s="110">
        <v>1</v>
      </c>
      <c r="X623" s="110">
        <v>0</v>
      </c>
      <c r="Y623" s="110">
        <v>0</v>
      </c>
      <c r="Z623" s="110">
        <v>0</v>
      </c>
      <c r="AA623" s="2">
        <f t="shared" si="148"/>
        <v>1</v>
      </c>
      <c r="AB623" s="2">
        <f t="shared" si="149"/>
        <v>0</v>
      </c>
      <c r="AC623" s="2">
        <f t="shared" si="150"/>
        <v>2</v>
      </c>
      <c r="AD623" s="2">
        <f t="shared" si="151"/>
        <v>2</v>
      </c>
      <c r="AE623" s="2">
        <f t="shared" si="152"/>
        <v>2</v>
      </c>
      <c r="AF623" s="2">
        <f t="shared" si="153"/>
        <v>2</v>
      </c>
      <c r="AG623" s="2">
        <f t="shared" si="154"/>
        <v>2</v>
      </c>
      <c r="AH623" s="2">
        <f t="shared" si="155"/>
        <v>0</v>
      </c>
      <c r="AI623" s="2">
        <f t="shared" si="156"/>
        <v>1</v>
      </c>
      <c r="AJ623" s="2">
        <f t="shared" si="157"/>
        <v>0</v>
      </c>
      <c r="AK623" s="2">
        <f t="shared" si="158"/>
        <v>0</v>
      </c>
      <c r="AL623" s="2">
        <f t="shared" si="159"/>
        <v>0</v>
      </c>
      <c r="AM623" s="115"/>
      <c r="AN623" s="115"/>
      <c r="AO623" s="63"/>
    </row>
    <row r="624" spans="1:41" ht="28.8" x14ac:dyDescent="0.55000000000000004">
      <c r="A624" s="36">
        <v>4136</v>
      </c>
      <c r="B624" s="113" t="s">
        <v>2271</v>
      </c>
      <c r="C624" s="138" t="s">
        <v>2272</v>
      </c>
      <c r="D624" s="114" t="s">
        <v>48</v>
      </c>
      <c r="E624" s="115" t="s">
        <v>2270</v>
      </c>
      <c r="F624" s="116"/>
      <c r="G624" s="113" t="s">
        <v>2266</v>
      </c>
      <c r="H624" s="113" t="s">
        <v>2267</v>
      </c>
      <c r="I624" s="113" t="s">
        <v>2210</v>
      </c>
      <c r="J624" s="117"/>
      <c r="K624" s="118"/>
      <c r="L624" s="109">
        <v>2</v>
      </c>
      <c r="M624" s="109">
        <v>2</v>
      </c>
      <c r="N624" s="109"/>
      <c r="O624" s="119"/>
      <c r="P624" s="2">
        <f t="shared" si="144"/>
        <v>3</v>
      </c>
      <c r="Q624" s="110" t="str">
        <f>IF(AND(Drops!$D$45&gt;1,OR(U624&lt;&gt;U623,AND(ROW()=5,U623=U624))),VLOOKUP(U624,Drops!$D$26:$E$44,2,FALSE),"")</f>
        <v/>
      </c>
      <c r="R624" s="2" t="str">
        <f t="shared" si="145"/>
        <v/>
      </c>
      <c r="S624" s="2">
        <f t="shared" ca="1" si="146"/>
        <v>2</v>
      </c>
      <c r="T624" s="2">
        <f t="shared" si="147"/>
        <v>0</v>
      </c>
      <c r="U624" s="110" t="s">
        <v>2176</v>
      </c>
      <c r="V624" s="110">
        <v>16</v>
      </c>
      <c r="W624" s="110">
        <v>2</v>
      </c>
      <c r="X624" s="110">
        <v>0</v>
      </c>
      <c r="Y624" s="110">
        <v>0</v>
      </c>
      <c r="Z624" s="110">
        <v>0</v>
      </c>
      <c r="AA624" s="2">
        <f t="shared" si="148"/>
        <v>1</v>
      </c>
      <c r="AB624" s="2">
        <f t="shared" si="149"/>
        <v>0</v>
      </c>
      <c r="AC624" s="2">
        <f t="shared" si="150"/>
        <v>2</v>
      </c>
      <c r="AD624" s="2">
        <f t="shared" si="151"/>
        <v>2</v>
      </c>
      <c r="AE624" s="2">
        <f t="shared" si="152"/>
        <v>2</v>
      </c>
      <c r="AF624" s="2">
        <f t="shared" si="153"/>
        <v>2</v>
      </c>
      <c r="AG624" s="2">
        <f t="shared" si="154"/>
        <v>2</v>
      </c>
      <c r="AH624" s="2">
        <f t="shared" si="155"/>
        <v>0</v>
      </c>
      <c r="AI624" s="2">
        <f t="shared" si="156"/>
        <v>1</v>
      </c>
      <c r="AJ624" s="2">
        <f t="shared" si="157"/>
        <v>0</v>
      </c>
      <c r="AK624" s="2">
        <f t="shared" si="158"/>
        <v>0</v>
      </c>
      <c r="AL624" s="2">
        <f t="shared" si="159"/>
        <v>0</v>
      </c>
      <c r="AM624" s="115"/>
      <c r="AN624" s="115"/>
      <c r="AO624" s="63"/>
    </row>
    <row r="625" spans="1:41" ht="28.8" x14ac:dyDescent="0.55000000000000004">
      <c r="A625" s="36">
        <v>4137</v>
      </c>
      <c r="B625" s="113" t="s">
        <v>2273</v>
      </c>
      <c r="C625" s="138" t="s">
        <v>2274</v>
      </c>
      <c r="D625" s="114" t="s">
        <v>48</v>
      </c>
      <c r="E625" s="115" t="s">
        <v>2270</v>
      </c>
      <c r="F625" s="116"/>
      <c r="G625" s="113" t="s">
        <v>2266</v>
      </c>
      <c r="H625" s="113" t="s">
        <v>2267</v>
      </c>
      <c r="I625" s="113"/>
      <c r="J625" s="117"/>
      <c r="K625" s="118"/>
      <c r="L625" s="109">
        <v>2</v>
      </c>
      <c r="M625" s="109">
        <v>3</v>
      </c>
      <c r="N625" s="109"/>
      <c r="O625" s="119"/>
      <c r="P625" s="2">
        <f t="shared" si="144"/>
        <v>3</v>
      </c>
      <c r="Q625" s="110" t="str">
        <f>IF(AND(Drops!$D$45&gt;1,OR(U625&lt;&gt;U624,AND(ROW()=5,U624=U625))),VLOOKUP(U625,Drops!$D$26:$E$44,2,FALSE),"")</f>
        <v/>
      </c>
      <c r="R625" s="2" t="str">
        <f t="shared" si="145"/>
        <v/>
      </c>
      <c r="S625" s="2">
        <f t="shared" ca="1" si="146"/>
        <v>2</v>
      </c>
      <c r="T625" s="2">
        <f t="shared" si="147"/>
        <v>0</v>
      </c>
      <c r="U625" s="110" t="s">
        <v>2176</v>
      </c>
      <c r="V625" s="110">
        <v>16</v>
      </c>
      <c r="W625" s="110">
        <v>3</v>
      </c>
      <c r="X625" s="110">
        <v>0</v>
      </c>
      <c r="Y625" s="110">
        <v>0</v>
      </c>
      <c r="Z625" s="110">
        <v>0</v>
      </c>
      <c r="AA625" s="2">
        <f t="shared" si="148"/>
        <v>1</v>
      </c>
      <c r="AB625" s="2">
        <f t="shared" si="149"/>
        <v>0</v>
      </c>
      <c r="AC625" s="2">
        <f t="shared" si="150"/>
        <v>2</v>
      </c>
      <c r="AD625" s="2">
        <f t="shared" si="151"/>
        <v>2</v>
      </c>
      <c r="AE625" s="2">
        <f t="shared" si="152"/>
        <v>2</v>
      </c>
      <c r="AF625" s="2">
        <f t="shared" si="153"/>
        <v>2</v>
      </c>
      <c r="AG625" s="2">
        <f t="shared" si="154"/>
        <v>2</v>
      </c>
      <c r="AH625" s="2">
        <f t="shared" si="155"/>
        <v>0</v>
      </c>
      <c r="AI625" s="2">
        <f t="shared" si="156"/>
        <v>1</v>
      </c>
      <c r="AJ625" s="2">
        <f t="shared" si="157"/>
        <v>0</v>
      </c>
      <c r="AK625" s="2">
        <f t="shared" si="158"/>
        <v>0</v>
      </c>
      <c r="AL625" s="2">
        <f t="shared" si="159"/>
        <v>0</v>
      </c>
      <c r="AM625" s="115"/>
      <c r="AN625" s="115"/>
      <c r="AO625" s="63"/>
    </row>
    <row r="626" spans="1:41" ht="43.2" x14ac:dyDescent="0.55000000000000004">
      <c r="A626" s="36">
        <v>4138</v>
      </c>
      <c r="B626" s="113" t="s">
        <v>2275</v>
      </c>
      <c r="C626" s="138" t="s">
        <v>2276</v>
      </c>
      <c r="D626" s="114" t="s">
        <v>48</v>
      </c>
      <c r="E626" s="115" t="s">
        <v>2270</v>
      </c>
      <c r="F626" s="116"/>
      <c r="G626" s="113" t="s">
        <v>2266</v>
      </c>
      <c r="H626" s="113" t="s">
        <v>2267</v>
      </c>
      <c r="I626" s="113" t="s">
        <v>2210</v>
      </c>
      <c r="J626" s="117"/>
      <c r="K626" s="118"/>
      <c r="L626" s="109">
        <v>2</v>
      </c>
      <c r="M626" s="109">
        <v>2</v>
      </c>
      <c r="N626" s="109"/>
      <c r="O626" s="119"/>
      <c r="P626" s="2">
        <f t="shared" si="144"/>
        <v>3</v>
      </c>
      <c r="Q626" s="110" t="str">
        <f>IF(AND(Drops!$D$45&gt;1,OR(U626&lt;&gt;U625,AND(ROW()=5,U625=U626))),VLOOKUP(U626,Drops!$D$26:$E$44,2,FALSE),"")</f>
        <v/>
      </c>
      <c r="R626" s="2" t="str">
        <f t="shared" si="145"/>
        <v/>
      </c>
      <c r="S626" s="2">
        <f t="shared" ca="1" si="146"/>
        <v>2</v>
      </c>
      <c r="T626" s="2">
        <f t="shared" si="147"/>
        <v>0</v>
      </c>
      <c r="U626" s="110" t="s">
        <v>2176</v>
      </c>
      <c r="V626" s="110">
        <v>16</v>
      </c>
      <c r="W626" s="110">
        <v>4</v>
      </c>
      <c r="X626" s="110">
        <v>0</v>
      </c>
      <c r="Y626" s="110">
        <v>0</v>
      </c>
      <c r="Z626" s="110">
        <v>0</v>
      </c>
      <c r="AA626" s="2">
        <f t="shared" si="148"/>
        <v>1</v>
      </c>
      <c r="AB626" s="2">
        <f t="shared" si="149"/>
        <v>0</v>
      </c>
      <c r="AC626" s="2">
        <f t="shared" si="150"/>
        <v>2</v>
      </c>
      <c r="AD626" s="2">
        <f t="shared" si="151"/>
        <v>2</v>
      </c>
      <c r="AE626" s="2">
        <f t="shared" si="152"/>
        <v>2</v>
      </c>
      <c r="AF626" s="2">
        <f t="shared" si="153"/>
        <v>2</v>
      </c>
      <c r="AG626" s="2">
        <f t="shared" si="154"/>
        <v>2</v>
      </c>
      <c r="AH626" s="2">
        <f t="shared" si="155"/>
        <v>0</v>
      </c>
      <c r="AI626" s="2">
        <f t="shared" si="156"/>
        <v>1</v>
      </c>
      <c r="AJ626" s="2">
        <f t="shared" si="157"/>
        <v>0</v>
      </c>
      <c r="AK626" s="2">
        <f t="shared" si="158"/>
        <v>0</v>
      </c>
      <c r="AL626" s="2">
        <f t="shared" si="159"/>
        <v>0</v>
      </c>
      <c r="AM626" s="115"/>
      <c r="AN626" s="115"/>
      <c r="AO626" s="63"/>
    </row>
    <row r="627" spans="1:41" ht="43.2" x14ac:dyDescent="0.55000000000000004">
      <c r="A627" s="36">
        <v>4140</v>
      </c>
      <c r="B627" s="113" t="s">
        <v>2277</v>
      </c>
      <c r="C627" s="138" t="s">
        <v>2278</v>
      </c>
      <c r="D627" s="114" t="s">
        <v>48</v>
      </c>
      <c r="E627" s="115" t="s">
        <v>2270</v>
      </c>
      <c r="F627" s="116"/>
      <c r="G627" s="113" t="s">
        <v>2266</v>
      </c>
      <c r="H627" s="113" t="s">
        <v>2267</v>
      </c>
      <c r="I627" s="113"/>
      <c r="J627" s="117"/>
      <c r="K627" s="118"/>
      <c r="L627" s="109">
        <v>2</v>
      </c>
      <c r="M627" s="109">
        <v>2</v>
      </c>
      <c r="N627" s="109"/>
      <c r="O627" s="119"/>
      <c r="P627" s="2">
        <f t="shared" si="144"/>
        <v>3</v>
      </c>
      <c r="Q627" s="110" t="str">
        <f>IF(AND(Drops!$D$45&gt;1,OR(U627&lt;&gt;U626,AND(ROW()=5,U626=U627))),VLOOKUP(U627,Drops!$D$26:$E$44,2,FALSE),"")</f>
        <v/>
      </c>
      <c r="R627" s="2" t="str">
        <f t="shared" si="145"/>
        <v/>
      </c>
      <c r="S627" s="2">
        <f t="shared" ca="1" si="146"/>
        <v>2</v>
      </c>
      <c r="T627" s="2">
        <f t="shared" si="147"/>
        <v>0</v>
      </c>
      <c r="U627" s="110" t="s">
        <v>2176</v>
      </c>
      <c r="V627" s="110">
        <v>16</v>
      </c>
      <c r="W627" s="110">
        <v>5</v>
      </c>
      <c r="X627" s="110">
        <v>0</v>
      </c>
      <c r="Y627" s="110">
        <v>0</v>
      </c>
      <c r="Z627" s="110">
        <v>0</v>
      </c>
      <c r="AA627" s="2">
        <f t="shared" si="148"/>
        <v>1</v>
      </c>
      <c r="AB627" s="2">
        <f t="shared" si="149"/>
        <v>0</v>
      </c>
      <c r="AC627" s="2">
        <f t="shared" si="150"/>
        <v>2</v>
      </c>
      <c r="AD627" s="2">
        <f t="shared" si="151"/>
        <v>2</v>
      </c>
      <c r="AE627" s="2">
        <f t="shared" si="152"/>
        <v>2</v>
      </c>
      <c r="AF627" s="2">
        <f t="shared" si="153"/>
        <v>2</v>
      </c>
      <c r="AG627" s="2">
        <f t="shared" si="154"/>
        <v>2</v>
      </c>
      <c r="AH627" s="2">
        <f t="shared" si="155"/>
        <v>0</v>
      </c>
      <c r="AI627" s="2">
        <f t="shared" si="156"/>
        <v>1</v>
      </c>
      <c r="AJ627" s="2">
        <f t="shared" si="157"/>
        <v>0</v>
      </c>
      <c r="AK627" s="2">
        <f t="shared" si="158"/>
        <v>0</v>
      </c>
      <c r="AL627" s="2">
        <f t="shared" si="159"/>
        <v>0</v>
      </c>
      <c r="AM627" s="115"/>
      <c r="AN627" s="115"/>
      <c r="AO627" s="63"/>
    </row>
    <row r="628" spans="1:41" ht="28.8" x14ac:dyDescent="0.55000000000000004">
      <c r="A628" s="36">
        <v>4144</v>
      </c>
      <c r="B628" s="113" t="s">
        <v>2279</v>
      </c>
      <c r="C628" s="138" t="s">
        <v>2280</v>
      </c>
      <c r="D628" s="114" t="s">
        <v>48</v>
      </c>
      <c r="E628" s="115" t="s">
        <v>2281</v>
      </c>
      <c r="F628" s="116"/>
      <c r="G628" s="113" t="s">
        <v>2266</v>
      </c>
      <c r="H628" s="113" t="s">
        <v>2267</v>
      </c>
      <c r="I628" s="113"/>
      <c r="J628" s="117"/>
      <c r="K628" s="118"/>
      <c r="L628" s="109">
        <v>2</v>
      </c>
      <c r="M628" s="109">
        <v>3</v>
      </c>
      <c r="N628" s="109"/>
      <c r="O628" s="119"/>
      <c r="P628" s="2">
        <f t="shared" si="144"/>
        <v>3</v>
      </c>
      <c r="Q628" s="110" t="str">
        <f>IF(AND(Drops!$D$45&gt;1,OR(U628&lt;&gt;U627,AND(ROW()=5,U627=U628))),VLOOKUP(U628,Drops!$D$26:$E$44,2,FALSE),"")</f>
        <v/>
      </c>
      <c r="R628" s="2" t="str">
        <f t="shared" si="145"/>
        <v/>
      </c>
      <c r="S628" s="2">
        <f t="shared" ca="1" si="146"/>
        <v>2</v>
      </c>
      <c r="T628" s="2">
        <f t="shared" si="147"/>
        <v>0</v>
      </c>
      <c r="U628" s="110" t="s">
        <v>2176</v>
      </c>
      <c r="V628" s="110">
        <v>16</v>
      </c>
      <c r="W628" s="110">
        <v>6</v>
      </c>
      <c r="X628" s="110">
        <v>0</v>
      </c>
      <c r="Y628" s="110">
        <v>0</v>
      </c>
      <c r="Z628" s="110">
        <v>0</v>
      </c>
      <c r="AA628" s="2">
        <f t="shared" si="148"/>
        <v>1</v>
      </c>
      <c r="AB628" s="2">
        <f t="shared" si="149"/>
        <v>0</v>
      </c>
      <c r="AC628" s="2">
        <f t="shared" si="150"/>
        <v>2</v>
      </c>
      <c r="AD628" s="2">
        <f t="shared" si="151"/>
        <v>2</v>
      </c>
      <c r="AE628" s="2">
        <f t="shared" si="152"/>
        <v>2</v>
      </c>
      <c r="AF628" s="2">
        <f t="shared" si="153"/>
        <v>2</v>
      </c>
      <c r="AG628" s="2">
        <f t="shared" si="154"/>
        <v>2</v>
      </c>
      <c r="AH628" s="2">
        <f t="shared" si="155"/>
        <v>0</v>
      </c>
      <c r="AI628" s="2">
        <f t="shared" si="156"/>
        <v>1</v>
      </c>
      <c r="AJ628" s="2">
        <f t="shared" si="157"/>
        <v>0</v>
      </c>
      <c r="AK628" s="2">
        <f t="shared" si="158"/>
        <v>0</v>
      </c>
      <c r="AL628" s="2">
        <f t="shared" si="159"/>
        <v>0</v>
      </c>
      <c r="AM628" s="115"/>
      <c r="AN628" s="115"/>
      <c r="AO628" s="63"/>
    </row>
    <row r="629" spans="1:41" ht="28.8" x14ac:dyDescent="0.55000000000000004">
      <c r="A629" s="36">
        <v>4835</v>
      </c>
      <c r="B629" s="113" t="s">
        <v>2282</v>
      </c>
      <c r="C629" s="113" t="s">
        <v>2283</v>
      </c>
      <c r="D629" s="114" t="s">
        <v>48</v>
      </c>
      <c r="E629" s="115" t="s">
        <v>2281</v>
      </c>
      <c r="F629" s="116"/>
      <c r="G629" s="113" t="s">
        <v>2266</v>
      </c>
      <c r="H629" s="113" t="s">
        <v>2284</v>
      </c>
      <c r="I629" s="113"/>
      <c r="J629" s="117"/>
      <c r="K629" s="118"/>
      <c r="L629" s="109">
        <v>1</v>
      </c>
      <c r="M629" s="109">
        <v>1</v>
      </c>
      <c r="N629" s="109"/>
      <c r="O629" s="119"/>
      <c r="P629" s="2">
        <f t="shared" si="144"/>
        <v>3</v>
      </c>
      <c r="Q629" s="110" t="str">
        <f>IF(AND(Drops!$D$45&gt;1,OR(U629&lt;&gt;U628,AND(ROW()=5,U628=U629))),VLOOKUP(U629,Drops!$D$26:$E$44,2,FALSE),"")</f>
        <v/>
      </c>
      <c r="R629" s="2" t="str">
        <f t="shared" si="145"/>
        <v/>
      </c>
      <c r="S629" s="2">
        <f t="shared" ca="1" si="146"/>
        <v>3</v>
      </c>
      <c r="T629" s="2">
        <f t="shared" si="147"/>
        <v>1</v>
      </c>
      <c r="U629" s="110" t="s">
        <v>2176</v>
      </c>
      <c r="V629" s="110">
        <v>17</v>
      </c>
      <c r="W629" s="110">
        <v>0</v>
      </c>
      <c r="X629" s="110">
        <v>0</v>
      </c>
      <c r="Y629" s="110">
        <v>0</v>
      </c>
      <c r="Z629" s="110">
        <v>0</v>
      </c>
      <c r="AA629" s="2">
        <f t="shared" si="148"/>
        <v>1</v>
      </c>
      <c r="AB629" s="2">
        <f t="shared" si="149"/>
        <v>1</v>
      </c>
      <c r="AC629" s="2">
        <f t="shared" si="150"/>
        <v>3</v>
      </c>
      <c r="AD629" s="2">
        <f t="shared" si="151"/>
        <v>3</v>
      </c>
      <c r="AE629" s="2">
        <f t="shared" si="152"/>
        <v>3</v>
      </c>
      <c r="AF629" s="2">
        <f t="shared" si="153"/>
        <v>3</v>
      </c>
      <c r="AG629" s="2">
        <f t="shared" si="154"/>
        <v>3</v>
      </c>
      <c r="AH629" s="2">
        <f t="shared" si="155"/>
        <v>1</v>
      </c>
      <c r="AI629" s="2">
        <f t="shared" si="156"/>
        <v>0</v>
      </c>
      <c r="AJ629" s="2">
        <f t="shared" si="157"/>
        <v>0</v>
      </c>
      <c r="AK629" s="2">
        <f t="shared" si="158"/>
        <v>0</v>
      </c>
      <c r="AL629" s="2">
        <f t="shared" si="159"/>
        <v>0</v>
      </c>
      <c r="AM629" s="115"/>
      <c r="AN629" s="115"/>
      <c r="AO629" s="63"/>
    </row>
    <row r="630" spans="1:41" ht="28.8" hidden="1" x14ac:dyDescent="0.55000000000000004">
      <c r="A630" s="36">
        <v>4836</v>
      </c>
      <c r="B630" s="113" t="s">
        <v>2285</v>
      </c>
      <c r="C630" s="138" t="s">
        <v>2286</v>
      </c>
      <c r="D630" s="114"/>
      <c r="E630" s="115"/>
      <c r="F630" s="116"/>
      <c r="G630" s="113" t="s">
        <v>2266</v>
      </c>
      <c r="H630" s="113" t="s">
        <v>2284</v>
      </c>
      <c r="I630" s="113"/>
      <c r="J630" s="117"/>
      <c r="K630" s="118"/>
      <c r="L630" s="109">
        <v>2</v>
      </c>
      <c r="M630" s="109">
        <v>3</v>
      </c>
      <c r="N630" s="109"/>
      <c r="O630" s="119"/>
      <c r="P630" s="2">
        <f t="shared" si="144"/>
        <v>0</v>
      </c>
      <c r="Q630" s="110" t="str">
        <f>IF(AND(Drops!$D$45&gt;1,OR(U630&lt;&gt;U629,AND(ROW()=5,U629=U630))),VLOOKUP(U630,Drops!$D$26:$E$44,2,FALSE),"")</f>
        <v/>
      </c>
      <c r="R630" s="2" t="str">
        <f t="shared" si="145"/>
        <v/>
      </c>
      <c r="S630" s="2">
        <f t="shared" ca="1" si="146"/>
        <v>3</v>
      </c>
      <c r="T630" s="2">
        <f t="shared" si="147"/>
        <v>0</v>
      </c>
      <c r="U630" s="110" t="s">
        <v>2176</v>
      </c>
      <c r="V630" s="110">
        <v>17</v>
      </c>
      <c r="W630" s="110">
        <v>1</v>
      </c>
      <c r="X630" s="110">
        <v>0</v>
      </c>
      <c r="Y630" s="110">
        <v>0</v>
      </c>
      <c r="Z630" s="110">
        <v>0</v>
      </c>
      <c r="AA630" s="2">
        <f t="shared" si="148"/>
        <v>0</v>
      </c>
      <c r="AB630" s="2">
        <f t="shared" si="149"/>
        <v>0</v>
      </c>
      <c r="AC630" s="2">
        <f t="shared" si="150"/>
        <v>3</v>
      </c>
      <c r="AD630" s="2">
        <f t="shared" si="151"/>
        <v>3</v>
      </c>
      <c r="AE630" s="2">
        <f t="shared" si="152"/>
        <v>3</v>
      </c>
      <c r="AF630" s="2">
        <f t="shared" si="153"/>
        <v>3</v>
      </c>
      <c r="AG630" s="2">
        <f t="shared" si="154"/>
        <v>3</v>
      </c>
      <c r="AH630" s="2">
        <f t="shared" si="155"/>
        <v>0</v>
      </c>
      <c r="AI630" s="2">
        <f t="shared" si="156"/>
        <v>1</v>
      </c>
      <c r="AJ630" s="2">
        <f t="shared" si="157"/>
        <v>0</v>
      </c>
      <c r="AK630" s="2">
        <f t="shared" si="158"/>
        <v>0</v>
      </c>
      <c r="AL630" s="2">
        <f t="shared" si="159"/>
        <v>0</v>
      </c>
      <c r="AM630" s="115"/>
      <c r="AN630" s="115"/>
      <c r="AO630" s="63"/>
    </row>
    <row r="631" spans="1:41" ht="43.2" x14ac:dyDescent="0.55000000000000004">
      <c r="A631" s="36">
        <v>4150</v>
      </c>
      <c r="B631" s="113" t="s">
        <v>2287</v>
      </c>
      <c r="C631" s="113" t="s">
        <v>2288</v>
      </c>
      <c r="D631" s="114" t="s">
        <v>48</v>
      </c>
      <c r="E631" s="115" t="s">
        <v>2281</v>
      </c>
      <c r="F631" s="116"/>
      <c r="G631" s="113" t="s">
        <v>2266</v>
      </c>
      <c r="H631" s="113" t="s">
        <v>2289</v>
      </c>
      <c r="I631" s="113"/>
      <c r="J631" s="117"/>
      <c r="K631" s="118"/>
      <c r="L631" s="109">
        <v>1</v>
      </c>
      <c r="M631" s="109">
        <v>3</v>
      </c>
      <c r="N631" s="109"/>
      <c r="O631" s="119"/>
      <c r="P631" s="2">
        <f t="shared" si="144"/>
        <v>3</v>
      </c>
      <c r="Q631" s="110" t="str">
        <f>IF(AND(Drops!$D$45&gt;1,OR(U631&lt;&gt;U630,AND(ROW()=5,U630=U631))),VLOOKUP(U631,Drops!$D$26:$E$44,2,FALSE),"")</f>
        <v/>
      </c>
      <c r="R631" s="2" t="str">
        <f t="shared" si="145"/>
        <v/>
      </c>
      <c r="S631" s="2">
        <f t="shared" ca="1" si="146"/>
        <v>3</v>
      </c>
      <c r="T631" s="2">
        <f t="shared" si="147"/>
        <v>1</v>
      </c>
      <c r="U631" s="110" t="s">
        <v>2176</v>
      </c>
      <c r="V631" s="110">
        <v>18</v>
      </c>
      <c r="W631" s="110">
        <v>0</v>
      </c>
      <c r="X631" s="110">
        <v>0</v>
      </c>
      <c r="Y631" s="110">
        <v>0</v>
      </c>
      <c r="Z631" s="110">
        <v>0</v>
      </c>
      <c r="AA631" s="2">
        <f t="shared" si="148"/>
        <v>1</v>
      </c>
      <c r="AB631" s="2">
        <f t="shared" si="149"/>
        <v>1</v>
      </c>
      <c r="AC631" s="2">
        <f t="shared" si="150"/>
        <v>3</v>
      </c>
      <c r="AD631" s="2">
        <f t="shared" si="151"/>
        <v>3</v>
      </c>
      <c r="AE631" s="2">
        <f t="shared" si="152"/>
        <v>3</v>
      </c>
      <c r="AF631" s="2">
        <f t="shared" si="153"/>
        <v>3</v>
      </c>
      <c r="AG631" s="2">
        <f t="shared" si="154"/>
        <v>3</v>
      </c>
      <c r="AH631" s="2">
        <f t="shared" si="155"/>
        <v>1</v>
      </c>
      <c r="AI631" s="2">
        <f t="shared" si="156"/>
        <v>0</v>
      </c>
      <c r="AJ631" s="2">
        <f t="shared" si="157"/>
        <v>0</v>
      </c>
      <c r="AK631" s="2">
        <f t="shared" si="158"/>
        <v>0</v>
      </c>
      <c r="AL631" s="2">
        <f t="shared" si="159"/>
        <v>0</v>
      </c>
      <c r="AM631" s="115"/>
      <c r="AN631" s="115"/>
      <c r="AO631" s="63"/>
    </row>
    <row r="632" spans="1:41" ht="57.6" hidden="1" x14ac:dyDescent="0.55000000000000004">
      <c r="A632" s="36">
        <v>4560</v>
      </c>
      <c r="B632" s="113" t="s">
        <v>2290</v>
      </c>
      <c r="C632" s="138" t="s">
        <v>2291</v>
      </c>
      <c r="D632" s="114"/>
      <c r="E632" s="115"/>
      <c r="F632" s="116"/>
      <c r="G632" s="113" t="s">
        <v>2266</v>
      </c>
      <c r="H632" s="113" t="s">
        <v>2289</v>
      </c>
      <c r="I632" s="113"/>
      <c r="J632" s="117"/>
      <c r="K632" s="118"/>
      <c r="L632" s="109">
        <v>2</v>
      </c>
      <c r="M632" s="109">
        <v>3</v>
      </c>
      <c r="N632" s="109"/>
      <c r="O632" s="119"/>
      <c r="P632" s="2">
        <f t="shared" si="144"/>
        <v>0</v>
      </c>
      <c r="Q632" s="110" t="str">
        <f>IF(AND(Drops!$D$45&gt;1,OR(U632&lt;&gt;U631,AND(ROW()=5,U631=U632))),VLOOKUP(U632,Drops!$D$26:$E$44,2,FALSE),"")</f>
        <v/>
      </c>
      <c r="R632" s="2" t="str">
        <f t="shared" si="145"/>
        <v/>
      </c>
      <c r="S632" s="2">
        <f t="shared" ca="1" si="146"/>
        <v>3</v>
      </c>
      <c r="T632" s="2">
        <f t="shared" si="147"/>
        <v>0</v>
      </c>
      <c r="U632" s="110" t="s">
        <v>2176</v>
      </c>
      <c r="V632" s="110">
        <v>18</v>
      </c>
      <c r="W632" s="110">
        <v>1</v>
      </c>
      <c r="X632" s="110">
        <v>0</v>
      </c>
      <c r="Y632" s="110">
        <v>0</v>
      </c>
      <c r="Z632" s="110">
        <v>0</v>
      </c>
      <c r="AA632" s="2">
        <f t="shared" si="148"/>
        <v>0</v>
      </c>
      <c r="AB632" s="2">
        <f t="shared" si="149"/>
        <v>0</v>
      </c>
      <c r="AC632" s="2">
        <f t="shared" si="150"/>
        <v>3</v>
      </c>
      <c r="AD632" s="2">
        <f t="shared" si="151"/>
        <v>3</v>
      </c>
      <c r="AE632" s="2">
        <f t="shared" si="152"/>
        <v>3</v>
      </c>
      <c r="AF632" s="2">
        <f t="shared" si="153"/>
        <v>3</v>
      </c>
      <c r="AG632" s="2">
        <f t="shared" si="154"/>
        <v>3</v>
      </c>
      <c r="AH632" s="2">
        <f t="shared" si="155"/>
        <v>0</v>
      </c>
      <c r="AI632" s="2">
        <f t="shared" si="156"/>
        <v>1</v>
      </c>
      <c r="AJ632" s="2">
        <f t="shared" si="157"/>
        <v>0</v>
      </c>
      <c r="AK632" s="2">
        <f t="shared" si="158"/>
        <v>0</v>
      </c>
      <c r="AL632" s="2">
        <f t="shared" si="159"/>
        <v>0</v>
      </c>
      <c r="AM632" s="115"/>
      <c r="AN632" s="115"/>
      <c r="AO632" s="63"/>
    </row>
    <row r="633" spans="1:41" ht="28.8" hidden="1" x14ac:dyDescent="0.55000000000000004">
      <c r="A633" s="36">
        <v>4561</v>
      </c>
      <c r="B633" s="113" t="s">
        <v>2292</v>
      </c>
      <c r="C633" s="138" t="s">
        <v>2293</v>
      </c>
      <c r="D633" s="114"/>
      <c r="E633" s="115"/>
      <c r="F633" s="116"/>
      <c r="G633" s="113" t="s">
        <v>2266</v>
      </c>
      <c r="H633" s="113" t="s">
        <v>2289</v>
      </c>
      <c r="I633" s="113"/>
      <c r="J633" s="117"/>
      <c r="K633" s="118"/>
      <c r="L633" s="109">
        <v>2</v>
      </c>
      <c r="M633" s="109">
        <v>2</v>
      </c>
      <c r="N633" s="109"/>
      <c r="O633" s="119"/>
      <c r="P633" s="2">
        <f t="shared" si="144"/>
        <v>0</v>
      </c>
      <c r="Q633" s="110" t="str">
        <f>IF(AND(Drops!$D$45&gt;1,OR(U633&lt;&gt;U632,AND(ROW()=5,U632=U633))),VLOOKUP(U633,Drops!$D$26:$E$44,2,FALSE),"")</f>
        <v/>
      </c>
      <c r="R633" s="2" t="str">
        <f t="shared" si="145"/>
        <v/>
      </c>
      <c r="S633" s="2">
        <f t="shared" ca="1" si="146"/>
        <v>3</v>
      </c>
      <c r="T633" s="2">
        <f t="shared" si="147"/>
        <v>0</v>
      </c>
      <c r="U633" s="110" t="s">
        <v>2176</v>
      </c>
      <c r="V633" s="110">
        <v>18</v>
      </c>
      <c r="W633" s="110">
        <v>2</v>
      </c>
      <c r="X633" s="110">
        <v>0</v>
      </c>
      <c r="Y633" s="110">
        <v>0</v>
      </c>
      <c r="Z633" s="110">
        <v>0</v>
      </c>
      <c r="AA633" s="2">
        <f t="shared" si="148"/>
        <v>0</v>
      </c>
      <c r="AB633" s="2">
        <f t="shared" si="149"/>
        <v>0</v>
      </c>
      <c r="AC633" s="2">
        <f t="shared" si="150"/>
        <v>3</v>
      </c>
      <c r="AD633" s="2">
        <f t="shared" si="151"/>
        <v>3</v>
      </c>
      <c r="AE633" s="2">
        <f t="shared" si="152"/>
        <v>3</v>
      </c>
      <c r="AF633" s="2">
        <f t="shared" si="153"/>
        <v>3</v>
      </c>
      <c r="AG633" s="2">
        <f t="shared" si="154"/>
        <v>3</v>
      </c>
      <c r="AH633" s="2">
        <f t="shared" si="155"/>
        <v>0</v>
      </c>
      <c r="AI633" s="2">
        <f t="shared" si="156"/>
        <v>1</v>
      </c>
      <c r="AJ633" s="2">
        <f t="shared" si="157"/>
        <v>0</v>
      </c>
      <c r="AK633" s="2">
        <f t="shared" si="158"/>
        <v>0</v>
      </c>
      <c r="AL633" s="2">
        <f t="shared" si="159"/>
        <v>0</v>
      </c>
      <c r="AM633" s="115"/>
      <c r="AN633" s="115"/>
      <c r="AO633" s="63"/>
    </row>
    <row r="634" spans="1:41" ht="28.8" x14ac:dyDescent="0.55000000000000004">
      <c r="A634" s="36">
        <v>4141</v>
      </c>
      <c r="B634" s="113" t="s">
        <v>2294</v>
      </c>
      <c r="C634" s="113" t="s">
        <v>2295</v>
      </c>
      <c r="D634" s="114" t="s">
        <v>55</v>
      </c>
      <c r="E634" s="115"/>
      <c r="F634" s="116"/>
      <c r="G634" s="113" t="s">
        <v>2266</v>
      </c>
      <c r="H634" s="113" t="s">
        <v>2296</v>
      </c>
      <c r="I634" s="113"/>
      <c r="J634" s="117"/>
      <c r="K634" s="118"/>
      <c r="L634" s="109">
        <v>1</v>
      </c>
      <c r="M634" s="109">
        <v>1</v>
      </c>
      <c r="N634" s="109"/>
      <c r="O634" s="119"/>
      <c r="P634" s="2">
        <f t="shared" si="144"/>
        <v>2</v>
      </c>
      <c r="Q634" s="110" t="str">
        <f>IF(AND(Drops!$D$45&gt;1,OR(U634&lt;&gt;U633,AND(ROW()=5,U633=U634))),VLOOKUP(U634,Drops!$D$26:$E$44,2,FALSE),"")</f>
        <v/>
      </c>
      <c r="R634" s="2" t="str">
        <f t="shared" si="145"/>
        <v/>
      </c>
      <c r="S634" s="2">
        <f t="shared" ca="1" si="146"/>
        <v>2</v>
      </c>
      <c r="T634" s="2">
        <f t="shared" si="147"/>
        <v>1</v>
      </c>
      <c r="U634" s="110" t="s">
        <v>2176</v>
      </c>
      <c r="V634" s="110">
        <v>19</v>
      </c>
      <c r="W634" s="110">
        <v>0</v>
      </c>
      <c r="X634" s="110">
        <v>0</v>
      </c>
      <c r="Y634" s="110">
        <v>0</v>
      </c>
      <c r="Z634" s="110">
        <v>0</v>
      </c>
      <c r="AA634" s="2">
        <f t="shared" si="148"/>
        <v>1</v>
      </c>
      <c r="AB634" s="2">
        <f t="shared" si="149"/>
        <v>1</v>
      </c>
      <c r="AC634" s="2">
        <f t="shared" si="150"/>
        <v>2</v>
      </c>
      <c r="AD634" s="2">
        <f t="shared" si="151"/>
        <v>2</v>
      </c>
      <c r="AE634" s="2">
        <f t="shared" si="152"/>
        <v>2</v>
      </c>
      <c r="AF634" s="2">
        <f t="shared" si="153"/>
        <v>2</v>
      </c>
      <c r="AG634" s="2">
        <f t="shared" si="154"/>
        <v>2</v>
      </c>
      <c r="AH634" s="2">
        <f t="shared" si="155"/>
        <v>1</v>
      </c>
      <c r="AI634" s="2">
        <f t="shared" si="156"/>
        <v>0</v>
      </c>
      <c r="AJ634" s="2">
        <f t="shared" si="157"/>
        <v>0</v>
      </c>
      <c r="AK634" s="2">
        <f t="shared" si="158"/>
        <v>0</v>
      </c>
      <c r="AL634" s="2">
        <f t="shared" si="159"/>
        <v>0</v>
      </c>
      <c r="AM634" s="115"/>
      <c r="AN634" s="115"/>
      <c r="AO634" s="63"/>
    </row>
    <row r="635" spans="1:41" ht="28.8" hidden="1" x14ac:dyDescent="0.55000000000000004">
      <c r="A635" s="36">
        <v>5653</v>
      </c>
      <c r="B635" s="113" t="s">
        <v>2297</v>
      </c>
      <c r="C635" s="138" t="s">
        <v>2298</v>
      </c>
      <c r="D635" s="114"/>
      <c r="E635" s="115"/>
      <c r="F635" s="116"/>
      <c r="G635" s="113" t="s">
        <v>2266</v>
      </c>
      <c r="H635" s="113" t="s">
        <v>2296</v>
      </c>
      <c r="I635" s="113" t="s">
        <v>2210</v>
      </c>
      <c r="J635" s="117"/>
      <c r="K635" s="118"/>
      <c r="L635" s="109">
        <v>2</v>
      </c>
      <c r="M635" s="109">
        <v>3</v>
      </c>
      <c r="N635" s="109"/>
      <c r="O635" s="119"/>
      <c r="P635" s="2">
        <f t="shared" si="144"/>
        <v>0</v>
      </c>
      <c r="Q635" s="110" t="str">
        <f>IF(AND(Drops!$D$45&gt;1,OR(U635&lt;&gt;U634,AND(ROW()=5,U634=U635))),VLOOKUP(U635,Drops!$D$26:$E$44,2,FALSE),"")</f>
        <v/>
      </c>
      <c r="R635" s="2" t="str">
        <f t="shared" si="145"/>
        <v/>
      </c>
      <c r="S635" s="2">
        <f t="shared" ca="1" si="146"/>
        <v>2</v>
      </c>
      <c r="T635" s="2">
        <f t="shared" si="147"/>
        <v>0</v>
      </c>
      <c r="U635" s="110" t="s">
        <v>2176</v>
      </c>
      <c r="V635" s="110">
        <v>19</v>
      </c>
      <c r="W635" s="110">
        <v>1</v>
      </c>
      <c r="X635" s="110">
        <v>0</v>
      </c>
      <c r="Y635" s="110">
        <v>0</v>
      </c>
      <c r="Z635" s="110">
        <v>0</v>
      </c>
      <c r="AA635" s="2">
        <f t="shared" si="148"/>
        <v>0</v>
      </c>
      <c r="AB635" s="2">
        <f t="shared" si="149"/>
        <v>0</v>
      </c>
      <c r="AC635" s="2">
        <f t="shared" si="150"/>
        <v>2</v>
      </c>
      <c r="AD635" s="2">
        <f t="shared" si="151"/>
        <v>2</v>
      </c>
      <c r="AE635" s="2">
        <f t="shared" si="152"/>
        <v>2</v>
      </c>
      <c r="AF635" s="2">
        <f t="shared" si="153"/>
        <v>2</v>
      </c>
      <c r="AG635" s="2">
        <f t="shared" si="154"/>
        <v>2</v>
      </c>
      <c r="AH635" s="2">
        <f t="shared" si="155"/>
        <v>0</v>
      </c>
      <c r="AI635" s="2">
        <f t="shared" si="156"/>
        <v>1</v>
      </c>
      <c r="AJ635" s="2">
        <f t="shared" si="157"/>
        <v>0</v>
      </c>
      <c r="AK635" s="2">
        <f t="shared" si="158"/>
        <v>0</v>
      </c>
      <c r="AL635" s="2">
        <f t="shared" si="159"/>
        <v>0</v>
      </c>
      <c r="AM635" s="115"/>
      <c r="AN635" s="115"/>
      <c r="AO635" s="63"/>
    </row>
    <row r="636" spans="1:41" ht="28.8" hidden="1" x14ac:dyDescent="0.55000000000000004">
      <c r="A636" s="36">
        <v>4837</v>
      </c>
      <c r="B636" s="113" t="s">
        <v>2299</v>
      </c>
      <c r="C636" s="138" t="s">
        <v>2300</v>
      </c>
      <c r="D636" s="114"/>
      <c r="E636" s="115"/>
      <c r="F636" s="116"/>
      <c r="G636" s="113" t="s">
        <v>2266</v>
      </c>
      <c r="H636" s="113" t="s">
        <v>2296</v>
      </c>
      <c r="I636" s="113" t="s">
        <v>2210</v>
      </c>
      <c r="J636" s="117"/>
      <c r="K636" s="118"/>
      <c r="L636" s="109">
        <v>2</v>
      </c>
      <c r="M636" s="109">
        <v>3</v>
      </c>
      <c r="N636" s="109"/>
      <c r="O636" s="119"/>
      <c r="P636" s="2">
        <f t="shared" si="144"/>
        <v>0</v>
      </c>
      <c r="Q636" s="110" t="str">
        <f>IF(AND(Drops!$D$45&gt;1,OR(U636&lt;&gt;U635,AND(ROW()=5,U635=U636))),VLOOKUP(U636,Drops!$D$26:$E$44,2,FALSE),"")</f>
        <v/>
      </c>
      <c r="R636" s="2" t="str">
        <f t="shared" si="145"/>
        <v/>
      </c>
      <c r="S636" s="2">
        <f t="shared" ca="1" si="146"/>
        <v>2</v>
      </c>
      <c r="T636" s="2">
        <f t="shared" si="147"/>
        <v>0</v>
      </c>
      <c r="U636" s="110" t="s">
        <v>2176</v>
      </c>
      <c r="V636" s="110">
        <v>19</v>
      </c>
      <c r="W636" s="110">
        <v>2</v>
      </c>
      <c r="X636" s="110">
        <v>0</v>
      </c>
      <c r="Y636" s="110">
        <v>0</v>
      </c>
      <c r="Z636" s="110">
        <v>0</v>
      </c>
      <c r="AA636" s="2">
        <f t="shared" si="148"/>
        <v>0</v>
      </c>
      <c r="AB636" s="2">
        <f t="shared" si="149"/>
        <v>0</v>
      </c>
      <c r="AC636" s="2">
        <f t="shared" si="150"/>
        <v>2</v>
      </c>
      <c r="AD636" s="2">
        <f t="shared" si="151"/>
        <v>2</v>
      </c>
      <c r="AE636" s="2">
        <f t="shared" si="152"/>
        <v>2</v>
      </c>
      <c r="AF636" s="2">
        <f t="shared" si="153"/>
        <v>2</v>
      </c>
      <c r="AG636" s="2">
        <f t="shared" si="154"/>
        <v>2</v>
      </c>
      <c r="AH636" s="2">
        <f t="shared" si="155"/>
        <v>0</v>
      </c>
      <c r="AI636" s="2">
        <f t="shared" si="156"/>
        <v>1</v>
      </c>
      <c r="AJ636" s="2">
        <f t="shared" si="157"/>
        <v>0</v>
      </c>
      <c r="AK636" s="2">
        <f t="shared" si="158"/>
        <v>0</v>
      </c>
      <c r="AL636" s="2">
        <f t="shared" si="159"/>
        <v>0</v>
      </c>
      <c r="AM636" s="115"/>
      <c r="AN636" s="115"/>
      <c r="AO636" s="63"/>
    </row>
    <row r="637" spans="1:41" ht="28.8" x14ac:dyDescent="0.55000000000000004">
      <c r="A637" s="36">
        <v>4142</v>
      </c>
      <c r="B637" s="113" t="s">
        <v>2301</v>
      </c>
      <c r="C637" s="138" t="s">
        <v>2302</v>
      </c>
      <c r="D637" s="114" t="s">
        <v>48</v>
      </c>
      <c r="E637" s="115" t="s">
        <v>2281</v>
      </c>
      <c r="F637" s="116"/>
      <c r="G637" s="113" t="s">
        <v>2266</v>
      </c>
      <c r="H637" s="113" t="s">
        <v>2296</v>
      </c>
      <c r="I637" s="113" t="s">
        <v>2210</v>
      </c>
      <c r="J637" s="117"/>
      <c r="K637" s="118"/>
      <c r="L637" s="109">
        <v>2</v>
      </c>
      <c r="M637" s="109">
        <v>3</v>
      </c>
      <c r="N637" s="109"/>
      <c r="O637" s="119"/>
      <c r="P637" s="2">
        <f t="shared" si="144"/>
        <v>3</v>
      </c>
      <c r="Q637" s="110" t="str">
        <f>IF(AND(Drops!$D$45&gt;1,OR(U637&lt;&gt;U636,AND(ROW()=5,U636=U637))),VLOOKUP(U637,Drops!$D$26:$E$44,2,FALSE),"")</f>
        <v/>
      </c>
      <c r="R637" s="2" t="str">
        <f t="shared" si="145"/>
        <v/>
      </c>
      <c r="S637" s="2">
        <f t="shared" ca="1" si="146"/>
        <v>2</v>
      </c>
      <c r="T637" s="2">
        <f t="shared" si="147"/>
        <v>0</v>
      </c>
      <c r="U637" s="110" t="s">
        <v>2176</v>
      </c>
      <c r="V637" s="110">
        <v>19</v>
      </c>
      <c r="W637" s="110">
        <v>3</v>
      </c>
      <c r="X637" s="110">
        <v>0</v>
      </c>
      <c r="Y637" s="110">
        <v>0</v>
      </c>
      <c r="Z637" s="110">
        <v>0</v>
      </c>
      <c r="AA637" s="2">
        <f t="shared" si="148"/>
        <v>1</v>
      </c>
      <c r="AB637" s="2">
        <f t="shared" si="149"/>
        <v>0</v>
      </c>
      <c r="AC637" s="2">
        <f t="shared" si="150"/>
        <v>2</v>
      </c>
      <c r="AD637" s="2">
        <f t="shared" si="151"/>
        <v>2</v>
      </c>
      <c r="AE637" s="2">
        <f t="shared" si="152"/>
        <v>2</v>
      </c>
      <c r="AF637" s="2">
        <f t="shared" si="153"/>
        <v>2</v>
      </c>
      <c r="AG637" s="2">
        <f t="shared" si="154"/>
        <v>2</v>
      </c>
      <c r="AH637" s="2">
        <f t="shared" si="155"/>
        <v>0</v>
      </c>
      <c r="AI637" s="2">
        <f t="shared" si="156"/>
        <v>1</v>
      </c>
      <c r="AJ637" s="2">
        <f t="shared" si="157"/>
        <v>0</v>
      </c>
      <c r="AK637" s="2">
        <f t="shared" si="158"/>
        <v>0</v>
      </c>
      <c r="AL637" s="2">
        <f t="shared" si="159"/>
        <v>0</v>
      </c>
      <c r="AM637" s="115"/>
      <c r="AN637" s="115"/>
      <c r="AO637" s="63"/>
    </row>
    <row r="638" spans="1:41" ht="57.6" x14ac:dyDescent="0.55000000000000004">
      <c r="A638" s="36">
        <v>4143</v>
      </c>
      <c r="B638" s="113" t="s">
        <v>2303</v>
      </c>
      <c r="C638" s="138" t="s">
        <v>2304</v>
      </c>
      <c r="D638" s="114" t="s">
        <v>48</v>
      </c>
      <c r="E638" s="115" t="s">
        <v>2281</v>
      </c>
      <c r="F638" s="116"/>
      <c r="G638" s="113" t="s">
        <v>2266</v>
      </c>
      <c r="H638" s="113" t="s">
        <v>2296</v>
      </c>
      <c r="I638" s="113" t="s">
        <v>2210</v>
      </c>
      <c r="J638" s="117"/>
      <c r="K638" s="118"/>
      <c r="L638" s="109">
        <v>2</v>
      </c>
      <c r="M638" s="109">
        <v>2</v>
      </c>
      <c r="N638" s="109"/>
      <c r="O638" s="119"/>
      <c r="P638" s="2">
        <f t="shared" si="144"/>
        <v>3</v>
      </c>
      <c r="Q638" s="110" t="str">
        <f>IF(AND(Drops!$D$45&gt;1,OR(U638&lt;&gt;U637,AND(ROW()=5,U637=U638))),VLOOKUP(U638,Drops!$D$26:$E$44,2,FALSE),"")</f>
        <v/>
      </c>
      <c r="R638" s="2" t="str">
        <f t="shared" si="145"/>
        <v/>
      </c>
      <c r="S638" s="2">
        <f t="shared" ca="1" si="146"/>
        <v>2</v>
      </c>
      <c r="T638" s="2">
        <f t="shared" si="147"/>
        <v>0</v>
      </c>
      <c r="U638" s="110" t="s">
        <v>2176</v>
      </c>
      <c r="V638" s="110">
        <v>19</v>
      </c>
      <c r="W638" s="110">
        <v>4</v>
      </c>
      <c r="X638" s="110">
        <v>0</v>
      </c>
      <c r="Y638" s="110">
        <v>0</v>
      </c>
      <c r="Z638" s="110">
        <v>0</v>
      </c>
      <c r="AA638" s="2">
        <f t="shared" si="148"/>
        <v>1</v>
      </c>
      <c r="AB638" s="2">
        <f t="shared" si="149"/>
        <v>0</v>
      </c>
      <c r="AC638" s="2">
        <f t="shared" si="150"/>
        <v>2</v>
      </c>
      <c r="AD638" s="2">
        <f t="shared" si="151"/>
        <v>2</v>
      </c>
      <c r="AE638" s="2">
        <f t="shared" si="152"/>
        <v>2</v>
      </c>
      <c r="AF638" s="2">
        <f t="shared" si="153"/>
        <v>2</v>
      </c>
      <c r="AG638" s="2">
        <f t="shared" si="154"/>
        <v>2</v>
      </c>
      <c r="AH638" s="2">
        <f t="shared" si="155"/>
        <v>0</v>
      </c>
      <c r="AI638" s="2">
        <f t="shared" si="156"/>
        <v>1</v>
      </c>
      <c r="AJ638" s="2">
        <f t="shared" si="157"/>
        <v>0</v>
      </c>
      <c r="AK638" s="2">
        <f t="shared" si="158"/>
        <v>0</v>
      </c>
      <c r="AL638" s="2">
        <f t="shared" si="159"/>
        <v>0</v>
      </c>
      <c r="AM638" s="115"/>
      <c r="AN638" s="115"/>
      <c r="AO638" s="63"/>
    </row>
    <row r="639" spans="1:41" ht="28.8" x14ac:dyDescent="0.55000000000000004">
      <c r="A639" s="36">
        <v>4146</v>
      </c>
      <c r="B639" s="113" t="s">
        <v>2305</v>
      </c>
      <c r="C639" s="138" t="s">
        <v>2306</v>
      </c>
      <c r="D639" s="114" t="s">
        <v>48</v>
      </c>
      <c r="E639" s="115" t="s">
        <v>2281</v>
      </c>
      <c r="F639" s="116"/>
      <c r="G639" s="113" t="s">
        <v>2266</v>
      </c>
      <c r="H639" s="113" t="s">
        <v>2296</v>
      </c>
      <c r="I639" s="113" t="s">
        <v>2210</v>
      </c>
      <c r="J639" s="117"/>
      <c r="K639" s="118"/>
      <c r="L639" s="109">
        <v>2</v>
      </c>
      <c r="M639" s="109">
        <v>2</v>
      </c>
      <c r="N639" s="109"/>
      <c r="O639" s="119"/>
      <c r="P639" s="2">
        <f t="shared" si="144"/>
        <v>3</v>
      </c>
      <c r="Q639" s="110" t="str">
        <f>IF(AND(Drops!$D$45&gt;1,OR(U639&lt;&gt;U638,AND(ROW()=5,U638=U639))),VLOOKUP(U639,Drops!$D$26:$E$44,2,FALSE),"")</f>
        <v/>
      </c>
      <c r="R639" s="2" t="str">
        <f t="shared" si="145"/>
        <v/>
      </c>
      <c r="S639" s="2">
        <f t="shared" ca="1" si="146"/>
        <v>2</v>
      </c>
      <c r="T639" s="2">
        <f t="shared" si="147"/>
        <v>0</v>
      </c>
      <c r="U639" s="110" t="s">
        <v>2176</v>
      </c>
      <c r="V639" s="110">
        <v>19</v>
      </c>
      <c r="W639" s="110">
        <v>5</v>
      </c>
      <c r="X639" s="110">
        <v>0</v>
      </c>
      <c r="Y639" s="110">
        <v>0</v>
      </c>
      <c r="Z639" s="110">
        <v>0</v>
      </c>
      <c r="AA639" s="2">
        <f t="shared" si="148"/>
        <v>1</v>
      </c>
      <c r="AB639" s="2">
        <f t="shared" si="149"/>
        <v>0</v>
      </c>
      <c r="AC639" s="2">
        <f t="shared" si="150"/>
        <v>2</v>
      </c>
      <c r="AD639" s="2">
        <f t="shared" si="151"/>
        <v>2</v>
      </c>
      <c r="AE639" s="2">
        <f t="shared" si="152"/>
        <v>2</v>
      </c>
      <c r="AF639" s="2">
        <f t="shared" si="153"/>
        <v>2</v>
      </c>
      <c r="AG639" s="2">
        <f t="shared" si="154"/>
        <v>2</v>
      </c>
      <c r="AH639" s="2">
        <f t="shared" si="155"/>
        <v>0</v>
      </c>
      <c r="AI639" s="2">
        <f t="shared" si="156"/>
        <v>1</v>
      </c>
      <c r="AJ639" s="2">
        <f t="shared" si="157"/>
        <v>0</v>
      </c>
      <c r="AK639" s="2">
        <f t="shared" si="158"/>
        <v>0</v>
      </c>
      <c r="AL639" s="2">
        <f t="shared" si="159"/>
        <v>0</v>
      </c>
      <c r="AM639" s="115"/>
      <c r="AN639" s="115"/>
      <c r="AO639" s="63"/>
    </row>
    <row r="640" spans="1:41" ht="43.2" x14ac:dyDescent="0.55000000000000004">
      <c r="A640" s="36">
        <v>4147</v>
      </c>
      <c r="B640" s="113" t="s">
        <v>2307</v>
      </c>
      <c r="C640" s="113" t="s">
        <v>2308</v>
      </c>
      <c r="D640" s="114" t="s">
        <v>52</v>
      </c>
      <c r="E640" s="115"/>
      <c r="F640" s="116"/>
      <c r="G640" s="113" t="s">
        <v>2309</v>
      </c>
      <c r="H640" s="113" t="s">
        <v>2310</v>
      </c>
      <c r="I640" s="113"/>
      <c r="J640" s="117" t="s">
        <v>2311</v>
      </c>
      <c r="K640" s="118"/>
      <c r="L640" s="109">
        <v>1</v>
      </c>
      <c r="M640" s="109">
        <v>2</v>
      </c>
      <c r="N640" s="109"/>
      <c r="O640" s="119"/>
      <c r="P640" s="2">
        <f t="shared" si="144"/>
        <v>1</v>
      </c>
      <c r="Q640" s="110" t="str">
        <f>IF(AND(Drops!$D$45&gt;1,OR(U640&lt;&gt;U639,AND(ROW()=5,U639=U640))),VLOOKUP(U640,Drops!$D$26:$E$44,2,FALSE),"")</f>
        <v/>
      </c>
      <c r="R640" s="2" t="str">
        <f t="shared" si="145"/>
        <v/>
      </c>
      <c r="S640" s="2">
        <f t="shared" ca="1" si="146"/>
        <v>1</v>
      </c>
      <c r="T640" s="2">
        <f t="shared" si="147"/>
        <v>1</v>
      </c>
      <c r="U640" s="110" t="s">
        <v>2176</v>
      </c>
      <c r="V640" s="110">
        <v>20</v>
      </c>
      <c r="W640" s="110">
        <v>0</v>
      </c>
      <c r="X640" s="110">
        <v>0</v>
      </c>
      <c r="Y640" s="110">
        <v>0</v>
      </c>
      <c r="Z640" s="110">
        <v>0</v>
      </c>
      <c r="AA640" s="2">
        <f t="shared" si="148"/>
        <v>1</v>
      </c>
      <c r="AB640" s="2">
        <f t="shared" si="149"/>
        <v>1</v>
      </c>
      <c r="AC640" s="2">
        <f t="shared" si="150"/>
        <v>1</v>
      </c>
      <c r="AD640" s="2">
        <f t="shared" si="151"/>
        <v>0</v>
      </c>
      <c r="AE640" s="2">
        <f t="shared" si="152"/>
        <v>2</v>
      </c>
      <c r="AF640" s="2">
        <f t="shared" si="153"/>
        <v>2</v>
      </c>
      <c r="AG640" s="2">
        <f t="shared" si="154"/>
        <v>2</v>
      </c>
      <c r="AH640" s="2">
        <f t="shared" si="155"/>
        <v>2</v>
      </c>
      <c r="AI640" s="2">
        <f t="shared" si="156"/>
        <v>0</v>
      </c>
      <c r="AJ640" s="2">
        <f t="shared" si="157"/>
        <v>0</v>
      </c>
      <c r="AK640" s="2">
        <f t="shared" si="158"/>
        <v>0</v>
      </c>
      <c r="AL640" s="2">
        <f t="shared" si="159"/>
        <v>0</v>
      </c>
      <c r="AM640" s="115"/>
      <c r="AN640" s="115"/>
      <c r="AO640" s="63"/>
    </row>
    <row r="641" spans="1:41" ht="43.2" x14ac:dyDescent="0.55000000000000004">
      <c r="A641" s="36">
        <v>4838</v>
      </c>
      <c r="B641" s="113" t="s">
        <v>2312</v>
      </c>
      <c r="C641" s="138" t="s">
        <v>2313</v>
      </c>
      <c r="D641" s="114" t="s">
        <v>52</v>
      </c>
      <c r="E641" s="115"/>
      <c r="F641" s="116"/>
      <c r="G641" s="113" t="s">
        <v>2309</v>
      </c>
      <c r="H641" s="113" t="s">
        <v>2310</v>
      </c>
      <c r="I641" s="113"/>
      <c r="J641" s="117"/>
      <c r="K641" s="118"/>
      <c r="L641" s="109">
        <v>2</v>
      </c>
      <c r="M641" s="109">
        <v>3</v>
      </c>
      <c r="N641" s="109"/>
      <c r="O641" s="119"/>
      <c r="P641" s="2">
        <f t="shared" si="144"/>
        <v>1</v>
      </c>
      <c r="Q641" s="110" t="str">
        <f>IF(AND(Drops!$D$45&gt;1,OR(U641&lt;&gt;U640,AND(ROW()=5,U640=U641))),VLOOKUP(U641,Drops!$D$26:$E$44,2,FALSE),"")</f>
        <v/>
      </c>
      <c r="R641" s="2" t="str">
        <f t="shared" si="145"/>
        <v/>
      </c>
      <c r="S641" s="2">
        <f t="shared" ca="1" si="146"/>
        <v>1</v>
      </c>
      <c r="T641" s="2">
        <f t="shared" si="147"/>
        <v>0</v>
      </c>
      <c r="U641" s="110" t="s">
        <v>2176</v>
      </c>
      <c r="V641" s="110">
        <v>20</v>
      </c>
      <c r="W641" s="110">
        <v>1</v>
      </c>
      <c r="X641" s="110">
        <v>0</v>
      </c>
      <c r="Y641" s="110">
        <v>0</v>
      </c>
      <c r="Z641" s="110">
        <v>0</v>
      </c>
      <c r="AA641" s="2">
        <f t="shared" si="148"/>
        <v>1</v>
      </c>
      <c r="AB641" s="2">
        <f t="shared" si="149"/>
        <v>0</v>
      </c>
      <c r="AC641" s="2">
        <f t="shared" si="150"/>
        <v>1</v>
      </c>
      <c r="AD641" s="2">
        <f t="shared" si="151"/>
        <v>1</v>
      </c>
      <c r="AE641" s="2">
        <f t="shared" si="152"/>
        <v>2</v>
      </c>
      <c r="AF641" s="2">
        <f t="shared" si="153"/>
        <v>2</v>
      </c>
      <c r="AG641" s="2">
        <f t="shared" si="154"/>
        <v>2</v>
      </c>
      <c r="AH641" s="2">
        <f t="shared" si="155"/>
        <v>2</v>
      </c>
      <c r="AI641" s="2">
        <f t="shared" si="156"/>
        <v>2</v>
      </c>
      <c r="AJ641" s="2">
        <f t="shared" si="157"/>
        <v>0</v>
      </c>
      <c r="AK641" s="2">
        <f t="shared" si="158"/>
        <v>0</v>
      </c>
      <c r="AL641" s="2">
        <f t="shared" si="159"/>
        <v>0</v>
      </c>
      <c r="AM641" s="115"/>
      <c r="AN641" s="115"/>
      <c r="AO641" s="63"/>
    </row>
    <row r="642" spans="1:41" ht="57.6" x14ac:dyDescent="0.55000000000000004">
      <c r="A642" s="36">
        <v>4839</v>
      </c>
      <c r="B642" s="113" t="s">
        <v>2314</v>
      </c>
      <c r="C642" s="138" t="s">
        <v>2315</v>
      </c>
      <c r="D642" s="114" t="s">
        <v>52</v>
      </c>
      <c r="E642" s="115"/>
      <c r="F642" s="116"/>
      <c r="G642" s="113" t="s">
        <v>2309</v>
      </c>
      <c r="H642" s="113" t="s">
        <v>2310</v>
      </c>
      <c r="I642" s="113"/>
      <c r="J642" s="117" t="s">
        <v>922</v>
      </c>
      <c r="K642" s="118"/>
      <c r="L642" s="109">
        <v>2</v>
      </c>
      <c r="M642" s="109">
        <v>3</v>
      </c>
      <c r="N642" s="109"/>
      <c r="O642" s="119"/>
      <c r="P642" s="2">
        <f t="shared" si="144"/>
        <v>1</v>
      </c>
      <c r="Q642" s="110" t="str">
        <f>IF(AND(Drops!$D$45&gt;1,OR(U642&lt;&gt;U641,AND(ROW()=5,U641=U642))),VLOOKUP(U642,Drops!$D$26:$E$44,2,FALSE),"")</f>
        <v/>
      </c>
      <c r="R642" s="2" t="str">
        <f t="shared" si="145"/>
        <v/>
      </c>
      <c r="S642" s="2">
        <f t="shared" ca="1" si="146"/>
        <v>1</v>
      </c>
      <c r="T642" s="2">
        <f t="shared" si="147"/>
        <v>0</v>
      </c>
      <c r="U642" s="110" t="s">
        <v>2176</v>
      </c>
      <c r="V642" s="110">
        <v>20</v>
      </c>
      <c r="W642" s="110">
        <v>2</v>
      </c>
      <c r="X642" s="110">
        <v>0</v>
      </c>
      <c r="Y642" s="110">
        <v>0</v>
      </c>
      <c r="Z642" s="110">
        <v>0</v>
      </c>
      <c r="AA642" s="2">
        <f t="shared" si="148"/>
        <v>1</v>
      </c>
      <c r="AB642" s="2">
        <f t="shared" si="149"/>
        <v>0</v>
      </c>
      <c r="AC642" s="2">
        <f t="shared" si="150"/>
        <v>1</v>
      </c>
      <c r="AD642" s="2">
        <f t="shared" si="151"/>
        <v>1</v>
      </c>
      <c r="AE642" s="2">
        <f t="shared" si="152"/>
        <v>2</v>
      </c>
      <c r="AF642" s="2">
        <f t="shared" si="153"/>
        <v>2</v>
      </c>
      <c r="AG642" s="2">
        <f t="shared" si="154"/>
        <v>2</v>
      </c>
      <c r="AH642" s="2">
        <f t="shared" si="155"/>
        <v>2</v>
      </c>
      <c r="AI642" s="2">
        <f t="shared" si="156"/>
        <v>2</v>
      </c>
      <c r="AJ642" s="2">
        <f t="shared" si="157"/>
        <v>0</v>
      </c>
      <c r="AK642" s="2">
        <f t="shared" si="158"/>
        <v>0</v>
      </c>
      <c r="AL642" s="2">
        <f t="shared" si="159"/>
        <v>0</v>
      </c>
      <c r="AM642" s="115"/>
      <c r="AN642" s="115"/>
      <c r="AO642" s="63"/>
    </row>
    <row r="643" spans="1:41" ht="43.2" x14ac:dyDescent="0.55000000000000004">
      <c r="A643" s="36">
        <v>3379</v>
      </c>
      <c r="B643" s="113" t="s">
        <v>2316</v>
      </c>
      <c r="C643" s="113" t="s">
        <v>2317</v>
      </c>
      <c r="D643" s="114" t="s">
        <v>52</v>
      </c>
      <c r="E643" s="115" t="s">
        <v>2318</v>
      </c>
      <c r="F643" s="116"/>
      <c r="G643" s="113" t="s">
        <v>2319</v>
      </c>
      <c r="H643" s="113" t="s">
        <v>2320</v>
      </c>
      <c r="I643" s="113"/>
      <c r="J643" s="117"/>
      <c r="K643" s="118"/>
      <c r="L643" s="109">
        <v>1</v>
      </c>
      <c r="M643" s="109">
        <v>1</v>
      </c>
      <c r="N643" s="109"/>
      <c r="O643" s="119"/>
      <c r="P643" s="2">
        <f t="shared" si="144"/>
        <v>1</v>
      </c>
      <c r="Q643" s="110" t="str">
        <f>IF(AND(Drops!$D$45&gt;1,OR(U643&lt;&gt;U642,AND(ROW()=5,U642=U643))),VLOOKUP(U643,Drops!$D$26:$E$44,2,FALSE),"")</f>
        <v/>
      </c>
      <c r="R643" s="2" t="str">
        <f t="shared" si="145"/>
        <v/>
      </c>
      <c r="S643" s="2">
        <f t="shared" ca="1" si="146"/>
        <v>1</v>
      </c>
      <c r="T643" s="2">
        <f t="shared" si="147"/>
        <v>1</v>
      </c>
      <c r="U643" s="110" t="s">
        <v>2176</v>
      </c>
      <c r="V643" s="110">
        <v>23</v>
      </c>
      <c r="W643" s="110">
        <v>0</v>
      </c>
      <c r="X643" s="110">
        <v>0</v>
      </c>
      <c r="Y643" s="110">
        <v>0</v>
      </c>
      <c r="Z643" s="110">
        <v>0</v>
      </c>
      <c r="AA643" s="2">
        <f t="shared" si="148"/>
        <v>1</v>
      </c>
      <c r="AB643" s="2">
        <f t="shared" si="149"/>
        <v>1</v>
      </c>
      <c r="AC643" s="2">
        <f t="shared" si="150"/>
        <v>1</v>
      </c>
      <c r="AD643" s="2">
        <f t="shared" si="151"/>
        <v>0</v>
      </c>
      <c r="AE643" s="2">
        <f t="shared" si="152"/>
        <v>2</v>
      </c>
      <c r="AF643" s="2">
        <f t="shared" si="153"/>
        <v>2</v>
      </c>
      <c r="AG643" s="2">
        <f t="shared" si="154"/>
        <v>2</v>
      </c>
      <c r="AH643" s="2">
        <f t="shared" si="155"/>
        <v>2</v>
      </c>
      <c r="AI643" s="2">
        <f t="shared" si="156"/>
        <v>2</v>
      </c>
      <c r="AJ643" s="2">
        <f t="shared" si="157"/>
        <v>0</v>
      </c>
      <c r="AK643" s="2">
        <f t="shared" si="158"/>
        <v>0</v>
      </c>
      <c r="AL643" s="2">
        <f t="shared" si="159"/>
        <v>0</v>
      </c>
      <c r="AM643" s="115"/>
      <c r="AN643" s="115"/>
      <c r="AO643" s="63"/>
    </row>
    <row r="644" spans="1:41" ht="28.8" x14ac:dyDescent="0.55000000000000004">
      <c r="A644" s="36">
        <v>3380</v>
      </c>
      <c r="B644" s="113" t="s">
        <v>2321</v>
      </c>
      <c r="C644" s="138" t="s">
        <v>2322</v>
      </c>
      <c r="D644" s="114" t="s">
        <v>52</v>
      </c>
      <c r="E644" s="115"/>
      <c r="F644" s="116"/>
      <c r="G644" s="113" t="s">
        <v>2319</v>
      </c>
      <c r="H644" s="113" t="s">
        <v>2320</v>
      </c>
      <c r="I644" s="113"/>
      <c r="J644" s="117"/>
      <c r="K644" s="118"/>
      <c r="L644" s="109">
        <v>2</v>
      </c>
      <c r="M644" s="109">
        <v>3</v>
      </c>
      <c r="N644" s="109"/>
      <c r="O644" s="119"/>
      <c r="P644" s="2">
        <f t="shared" si="144"/>
        <v>1</v>
      </c>
      <c r="Q644" s="110" t="str">
        <f>IF(AND(Drops!$D$45&gt;1,OR(U644&lt;&gt;U643,AND(ROW()=5,U643=U644))),VLOOKUP(U644,Drops!$D$26:$E$44,2,FALSE),"")</f>
        <v/>
      </c>
      <c r="R644" s="2" t="str">
        <f t="shared" si="145"/>
        <v/>
      </c>
      <c r="S644" s="2">
        <f t="shared" ca="1" si="146"/>
        <v>1</v>
      </c>
      <c r="T644" s="2">
        <f t="shared" si="147"/>
        <v>0</v>
      </c>
      <c r="U644" s="110" t="s">
        <v>2176</v>
      </c>
      <c r="V644" s="110">
        <v>23</v>
      </c>
      <c r="W644" s="110">
        <v>1</v>
      </c>
      <c r="X644" s="110">
        <v>0</v>
      </c>
      <c r="Y644" s="110">
        <v>0</v>
      </c>
      <c r="Z644" s="110">
        <v>0</v>
      </c>
      <c r="AA644" s="2">
        <f t="shared" si="148"/>
        <v>1</v>
      </c>
      <c r="AB644" s="2">
        <f t="shared" si="149"/>
        <v>0</v>
      </c>
      <c r="AC644" s="2">
        <f t="shared" si="150"/>
        <v>1</v>
      </c>
      <c r="AD644" s="2">
        <f t="shared" si="151"/>
        <v>1</v>
      </c>
      <c r="AE644" s="2">
        <f t="shared" si="152"/>
        <v>2</v>
      </c>
      <c r="AF644" s="2">
        <f t="shared" si="153"/>
        <v>2</v>
      </c>
      <c r="AG644" s="2">
        <f t="shared" si="154"/>
        <v>2</v>
      </c>
      <c r="AH644" s="2">
        <f t="shared" si="155"/>
        <v>2</v>
      </c>
      <c r="AI644" s="2">
        <f t="shared" si="156"/>
        <v>2</v>
      </c>
      <c r="AJ644" s="2">
        <f t="shared" si="157"/>
        <v>0</v>
      </c>
      <c r="AK644" s="2">
        <f t="shared" si="158"/>
        <v>0</v>
      </c>
      <c r="AL644" s="2">
        <f t="shared" si="159"/>
        <v>0</v>
      </c>
      <c r="AM644" s="115"/>
      <c r="AN644" s="115"/>
      <c r="AO644" s="63"/>
    </row>
    <row r="645" spans="1:41" ht="28.8" x14ac:dyDescent="0.55000000000000004">
      <c r="A645" s="36">
        <v>3385</v>
      </c>
      <c r="B645" s="113" t="s">
        <v>2323</v>
      </c>
      <c r="C645" s="138" t="s">
        <v>2324</v>
      </c>
      <c r="D645" s="114" t="s">
        <v>52</v>
      </c>
      <c r="E645" s="115"/>
      <c r="F645" s="116"/>
      <c r="G645" s="113" t="s">
        <v>2319</v>
      </c>
      <c r="H645" s="113" t="s">
        <v>2320</v>
      </c>
      <c r="I645" s="113"/>
      <c r="J645" s="117"/>
      <c r="K645" s="118"/>
      <c r="L645" s="109">
        <v>2</v>
      </c>
      <c r="M645" s="109">
        <v>1</v>
      </c>
      <c r="N645" s="109"/>
      <c r="O645" s="119"/>
      <c r="P645" s="2">
        <f t="shared" si="144"/>
        <v>1</v>
      </c>
      <c r="Q645" s="110" t="str">
        <f>IF(AND(Drops!$D$45&gt;1,OR(U645&lt;&gt;U644,AND(ROW()=5,U644=U645))),VLOOKUP(U645,Drops!$D$26:$E$44,2,FALSE),"")</f>
        <v/>
      </c>
      <c r="R645" s="2" t="str">
        <f t="shared" si="145"/>
        <v/>
      </c>
      <c r="S645" s="2">
        <f t="shared" ca="1" si="146"/>
        <v>1</v>
      </c>
      <c r="T645" s="2">
        <f t="shared" si="147"/>
        <v>0</v>
      </c>
      <c r="U645" s="110" t="s">
        <v>2176</v>
      </c>
      <c r="V645" s="110">
        <v>23</v>
      </c>
      <c r="W645" s="110">
        <v>4</v>
      </c>
      <c r="X645" s="110">
        <v>0</v>
      </c>
      <c r="Y645" s="110">
        <v>0</v>
      </c>
      <c r="Z645" s="110">
        <v>0</v>
      </c>
      <c r="AA645" s="2">
        <f t="shared" si="148"/>
        <v>1</v>
      </c>
      <c r="AB645" s="2">
        <f t="shared" si="149"/>
        <v>1</v>
      </c>
      <c r="AC645" s="2">
        <f t="shared" si="150"/>
        <v>1</v>
      </c>
      <c r="AD645" s="2">
        <f t="shared" si="151"/>
        <v>1</v>
      </c>
      <c r="AE645" s="2">
        <f t="shared" si="152"/>
        <v>2</v>
      </c>
      <c r="AF645" s="2">
        <f t="shared" si="153"/>
        <v>2</v>
      </c>
      <c r="AG645" s="2">
        <f t="shared" si="154"/>
        <v>2</v>
      </c>
      <c r="AH645" s="2">
        <f t="shared" si="155"/>
        <v>2</v>
      </c>
      <c r="AI645" s="2">
        <f t="shared" si="156"/>
        <v>2</v>
      </c>
      <c r="AJ645" s="2">
        <f t="shared" si="157"/>
        <v>0</v>
      </c>
      <c r="AK645" s="2">
        <f t="shared" si="158"/>
        <v>0</v>
      </c>
      <c r="AL645" s="2">
        <f t="shared" si="159"/>
        <v>0</v>
      </c>
      <c r="AM645" s="115"/>
      <c r="AN645" s="115"/>
      <c r="AO645" s="63"/>
    </row>
    <row r="646" spans="1:41" ht="28.8" x14ac:dyDescent="0.55000000000000004">
      <c r="A646" s="36">
        <v>3386</v>
      </c>
      <c r="B646" s="113" t="s">
        <v>2325</v>
      </c>
      <c r="C646" s="139" t="s">
        <v>2326</v>
      </c>
      <c r="D646" s="114" t="s">
        <v>52</v>
      </c>
      <c r="E646" s="115"/>
      <c r="F646" s="116"/>
      <c r="G646" s="113" t="s">
        <v>2319</v>
      </c>
      <c r="H646" s="113" t="s">
        <v>2320</v>
      </c>
      <c r="I646" s="113"/>
      <c r="J646" s="117"/>
      <c r="K646" s="118"/>
      <c r="L646" s="109">
        <v>3</v>
      </c>
      <c r="M646" s="109">
        <v>3</v>
      </c>
      <c r="N646" s="109"/>
      <c r="O646" s="119"/>
      <c r="P646" s="2">
        <f t="shared" ref="P646:P709" si="160">IF($L646="","",IF($D646="Yes",1,IF($D646="No",2,IF($D646="N/A",3,0))))</f>
        <v>1</v>
      </c>
      <c r="Q646" s="110" t="str">
        <f>IF(AND(Drops!$D$45&gt;1,OR(U646&lt;&gt;U645,AND(ROW()=5,U645=U646))),VLOOKUP(U646,Drops!$D$26:$E$44,2,FALSE),"")</f>
        <v/>
      </c>
      <c r="R646" s="2" t="str">
        <f t="shared" ref="R646:R709" si="161">IF(Q646&lt;&gt;"",ROW(),"")</f>
        <v/>
      </c>
      <c r="S646" s="2">
        <f t="shared" ref="S646:S709" ca="1" si="162">OFFSET(AC646,,L646-1)</f>
        <v>1</v>
      </c>
      <c r="T646" s="2">
        <f t="shared" ref="T646:T709" si="163">IF(OR(V646&lt;&gt;V645,U646&lt;&gt;U645,AND(V646&lt;&gt;V645,W646&lt;&gt;W645),AND(V646&lt;&gt;V645,W646&lt;&gt;W645,X646&lt;&gt;X645),AND(V646&lt;&gt;V645,W646&lt;&gt;W645,X646&lt;&gt;X645,Y646&lt;&gt;Y645),AND(V646&lt;&gt;V645,W646&lt;&gt;W645,X646&lt;&gt;X645,Y646&lt;&gt;Y645,Z646&lt;&gt;Z645),L646-L645&gt;1),1,0)</f>
        <v>0</v>
      </c>
      <c r="U646" s="110" t="s">
        <v>2176</v>
      </c>
      <c r="V646" s="110">
        <v>23</v>
      </c>
      <c r="W646" s="110">
        <v>4</v>
      </c>
      <c r="X646" s="110">
        <v>1</v>
      </c>
      <c r="Y646" s="110">
        <v>0</v>
      </c>
      <c r="Z646" s="110">
        <v>0</v>
      </c>
      <c r="AA646" s="2">
        <f t="shared" ref="AA646:AA709" si="164">IF(ROW()=5,1,IF(OR(AH646=1,P646&gt;0,T646=1),1,IF(OR(AND(AH646=2,AI646=1),AND(AI646=2,AJ646=1),AND(AJ646=2,AK646=1),AND(AK646=2,AL646=1)),1,0)))</f>
        <v>1</v>
      </c>
      <c r="AB646" s="2">
        <f t="shared" ref="AB646:AB709" si="165">IF(L647&gt;L646,1,0)</f>
        <v>0</v>
      </c>
      <c r="AC646" s="2">
        <f t="shared" ref="AC646:AC709" si="166">IF(ROW()=5,P646,IF(AND($P646&gt;1,AC$4=$L646),$P646,IF(AND($U646=$U645,V646=V645),AC645,IF(AND($L646=AC$4,P646=1),P646,0))))</f>
        <v>1</v>
      </c>
      <c r="AD646" s="2">
        <f t="shared" ref="AD646:AD709" si="167">IF(AC646&gt;1,AC646,IF(AND($P646&gt;1,AD$4=$L646),$P646,IF(AND($U646=$U645,W646=W645),AD645,IF(AND($L646=AD$4,P646=1),P646,0))))</f>
        <v>1</v>
      </c>
      <c r="AE646" s="2">
        <f t="shared" ref="AE646:AE709" si="168">IF(AD646&gt;1,AD646,IF(AND($P646&gt;1,AE$4=$L646),$P646,IF(AND($U646=$U645,X646=X645),AE645,IF(AND($L646=AE$4,P646=1),P646,0))))</f>
        <v>1</v>
      </c>
      <c r="AF646" s="2">
        <f t="shared" ref="AF646:AF709" si="169">IF(AE646&gt;1,AE646,IF(AND($P646&gt;1,AF$4=$L646),$P646,IF(AND($U646=$U645,Y646=Y645),AF645,IF(AND($L646=AF$4,P646=1),P646,0))))</f>
        <v>2</v>
      </c>
      <c r="AG646" s="2">
        <f t="shared" ref="AG646:AG709" si="170">IF(AF646&gt;1,AF646,IF(AND($P646&gt;1,AG$4=$L646),$P646,IF(AND($U646=$U645,Z646=Z645),AG645,IF(AND($L646=AG$4,P646=1),P646,0))))</f>
        <v>2</v>
      </c>
      <c r="AH646" s="2">
        <f t="shared" ref="AH646:AH709" si="171">IF(AND($P646=1,$L646=AH$4),2,IF(AND($L646&lt;&gt;AH$4,AH645=2),AH645,IF($L646&lt;&gt;AH$4,0,1)))</f>
        <v>2</v>
      </c>
      <c r="AI646" s="2">
        <f t="shared" ref="AI646:AI709" si="172">IF(OR(ROW()=5,$U645&lt;&gt;$U646),0,IF(AND($P646=1,$L646=AI$4),2,IF(AND($L646&lt;&gt;AI$4,AI645=2),AI645,IF($L646&lt;&gt;AI$4,0,1))))</f>
        <v>2</v>
      </c>
      <c r="AJ646" s="2">
        <f t="shared" ref="AJ646:AJ709" si="173">IF(OR(ROW()=5,$U645&lt;&gt;$U646),0,IF(AND($P646=1,$L646=AJ$4),2,IF(AND($L646&lt;&gt;AJ$4,AJ645=2),AJ645,IF($L646&lt;&gt;AJ$4,0,1))))</f>
        <v>2</v>
      </c>
      <c r="AK646" s="2">
        <f t="shared" ref="AK646:AK709" si="174">IF(OR(ROW()=5,$U645&lt;&gt;$U646),0,IF(AND($P646=1,$L646=AK$4),2,IF(AND($L646&lt;&gt;AK$4,AK645=2),AK645,IF($L646&lt;&gt;AK$4,0,1))))</f>
        <v>0</v>
      </c>
      <c r="AL646" s="2">
        <f t="shared" ref="AL646:AL709" si="175">IF(OR(ROW()=5,$U645&lt;&gt;$U646),0,IF(AND($P646=1,$L646=AL$4),2,IF(AND($L646&lt;&gt;AL$4,AL645=2),AL645,IF($L646&lt;&gt;AL$4,0,1))))</f>
        <v>0</v>
      </c>
      <c r="AM646" s="115"/>
      <c r="AN646" s="115"/>
      <c r="AO646" s="63"/>
    </row>
    <row r="647" spans="1:41" ht="28.8" x14ac:dyDescent="0.55000000000000004">
      <c r="A647" s="36">
        <v>3387</v>
      </c>
      <c r="B647" s="113" t="s">
        <v>2327</v>
      </c>
      <c r="C647" s="139" t="s">
        <v>2328</v>
      </c>
      <c r="D647" s="114" t="s">
        <v>52</v>
      </c>
      <c r="E647" s="115"/>
      <c r="F647" s="116"/>
      <c r="G647" s="113" t="s">
        <v>2319</v>
      </c>
      <c r="H647" s="113" t="s">
        <v>2320</v>
      </c>
      <c r="I647" s="113"/>
      <c r="J647" s="117"/>
      <c r="K647" s="118"/>
      <c r="L647" s="109">
        <v>3</v>
      </c>
      <c r="M647" s="109">
        <v>3</v>
      </c>
      <c r="N647" s="109"/>
      <c r="O647" s="119"/>
      <c r="P647" s="2">
        <f t="shared" si="160"/>
        <v>1</v>
      </c>
      <c r="Q647" s="110" t="str">
        <f>IF(AND(Drops!$D$45&gt;1,OR(U647&lt;&gt;U646,AND(ROW()=5,U646=U647))),VLOOKUP(U647,Drops!$D$26:$E$44,2,FALSE),"")</f>
        <v/>
      </c>
      <c r="R647" s="2" t="str">
        <f t="shared" si="161"/>
        <v/>
      </c>
      <c r="S647" s="2">
        <f t="shared" ca="1" si="162"/>
        <v>1</v>
      </c>
      <c r="T647" s="2">
        <f t="shared" si="163"/>
        <v>0</v>
      </c>
      <c r="U647" s="110" t="s">
        <v>2176</v>
      </c>
      <c r="V647" s="110">
        <v>23</v>
      </c>
      <c r="W647" s="110">
        <v>4</v>
      </c>
      <c r="X647" s="110">
        <v>2</v>
      </c>
      <c r="Y647" s="110">
        <v>0</v>
      </c>
      <c r="Z647" s="110">
        <v>0</v>
      </c>
      <c r="AA647" s="2">
        <f t="shared" si="164"/>
        <v>1</v>
      </c>
      <c r="AB647" s="2">
        <f t="shared" si="165"/>
        <v>0</v>
      </c>
      <c r="AC647" s="2">
        <f t="shared" si="166"/>
        <v>1</v>
      </c>
      <c r="AD647" s="2">
        <f t="shared" si="167"/>
        <v>1</v>
      </c>
      <c r="AE647" s="2">
        <f t="shared" si="168"/>
        <v>1</v>
      </c>
      <c r="AF647" s="2">
        <f t="shared" si="169"/>
        <v>2</v>
      </c>
      <c r="AG647" s="2">
        <f t="shared" si="170"/>
        <v>2</v>
      </c>
      <c r="AH647" s="2">
        <f t="shared" si="171"/>
        <v>2</v>
      </c>
      <c r="AI647" s="2">
        <f t="shared" si="172"/>
        <v>2</v>
      </c>
      <c r="AJ647" s="2">
        <f t="shared" si="173"/>
        <v>2</v>
      </c>
      <c r="AK647" s="2">
        <f t="shared" si="174"/>
        <v>0</v>
      </c>
      <c r="AL647" s="2">
        <f t="shared" si="175"/>
        <v>0</v>
      </c>
      <c r="AM647" s="115"/>
      <c r="AN647" s="115"/>
      <c r="AO647" s="63"/>
    </row>
    <row r="648" spans="1:41" ht="28.8" x14ac:dyDescent="0.55000000000000004">
      <c r="A648" s="36">
        <v>3388</v>
      </c>
      <c r="B648" s="113" t="s">
        <v>2329</v>
      </c>
      <c r="C648" s="139" t="s">
        <v>2330</v>
      </c>
      <c r="D648" s="114" t="s">
        <v>52</v>
      </c>
      <c r="E648" s="115"/>
      <c r="F648" s="116"/>
      <c r="G648" s="113" t="s">
        <v>2319</v>
      </c>
      <c r="H648" s="113" t="s">
        <v>2320</v>
      </c>
      <c r="I648" s="113"/>
      <c r="J648" s="117"/>
      <c r="K648" s="118"/>
      <c r="L648" s="109">
        <v>3</v>
      </c>
      <c r="M648" s="109">
        <v>3</v>
      </c>
      <c r="N648" s="109"/>
      <c r="O648" s="119"/>
      <c r="P648" s="2">
        <f t="shared" si="160"/>
        <v>1</v>
      </c>
      <c r="Q648" s="110" t="str">
        <f>IF(AND(Drops!$D$45&gt;1,OR(U648&lt;&gt;U647,AND(ROW()=5,U647=U648))),VLOOKUP(U648,Drops!$D$26:$E$44,2,FALSE),"")</f>
        <v/>
      </c>
      <c r="R648" s="2" t="str">
        <f t="shared" si="161"/>
        <v/>
      </c>
      <c r="S648" s="2">
        <f t="shared" ca="1" si="162"/>
        <v>1</v>
      </c>
      <c r="T648" s="2">
        <f t="shared" si="163"/>
        <v>0</v>
      </c>
      <c r="U648" s="110" t="s">
        <v>2176</v>
      </c>
      <c r="V648" s="110">
        <v>23</v>
      </c>
      <c r="W648" s="110">
        <v>4</v>
      </c>
      <c r="X648" s="110">
        <v>3</v>
      </c>
      <c r="Y648" s="110">
        <v>0</v>
      </c>
      <c r="Z648" s="110">
        <v>0</v>
      </c>
      <c r="AA648" s="2">
        <f t="shared" si="164"/>
        <v>1</v>
      </c>
      <c r="AB648" s="2">
        <f t="shared" si="165"/>
        <v>0</v>
      </c>
      <c r="AC648" s="2">
        <f t="shared" si="166"/>
        <v>1</v>
      </c>
      <c r="AD648" s="2">
        <f t="shared" si="167"/>
        <v>1</v>
      </c>
      <c r="AE648" s="2">
        <f t="shared" si="168"/>
        <v>1</v>
      </c>
      <c r="AF648" s="2">
        <f t="shared" si="169"/>
        <v>2</v>
      </c>
      <c r="AG648" s="2">
        <f t="shared" si="170"/>
        <v>2</v>
      </c>
      <c r="AH648" s="2">
        <f t="shared" si="171"/>
        <v>2</v>
      </c>
      <c r="AI648" s="2">
        <f t="shared" si="172"/>
        <v>2</v>
      </c>
      <c r="AJ648" s="2">
        <f t="shared" si="173"/>
        <v>2</v>
      </c>
      <c r="AK648" s="2">
        <f t="shared" si="174"/>
        <v>0</v>
      </c>
      <c r="AL648" s="2">
        <f t="shared" si="175"/>
        <v>0</v>
      </c>
      <c r="AM648" s="115"/>
      <c r="AN648" s="115"/>
      <c r="AO648" s="63"/>
    </row>
    <row r="649" spans="1:41" ht="28.8" x14ac:dyDescent="0.55000000000000004">
      <c r="A649" s="36">
        <v>3389</v>
      </c>
      <c r="B649" s="113" t="s">
        <v>2331</v>
      </c>
      <c r="C649" s="139" t="s">
        <v>2332</v>
      </c>
      <c r="D649" s="114" t="s">
        <v>52</v>
      </c>
      <c r="E649" s="115"/>
      <c r="F649" s="116"/>
      <c r="G649" s="113" t="s">
        <v>2319</v>
      </c>
      <c r="H649" s="113" t="s">
        <v>2320</v>
      </c>
      <c r="I649" s="113"/>
      <c r="J649" s="117"/>
      <c r="K649" s="118"/>
      <c r="L649" s="109">
        <v>3</v>
      </c>
      <c r="M649" s="109">
        <v>3</v>
      </c>
      <c r="N649" s="109"/>
      <c r="O649" s="119"/>
      <c r="P649" s="2">
        <f t="shared" si="160"/>
        <v>1</v>
      </c>
      <c r="Q649" s="110" t="str">
        <f>IF(AND(Drops!$D$45&gt;1,OR(U649&lt;&gt;U648,AND(ROW()=5,U648=U649))),VLOOKUP(U649,Drops!$D$26:$E$44,2,FALSE),"")</f>
        <v/>
      </c>
      <c r="R649" s="2" t="str">
        <f t="shared" si="161"/>
        <v/>
      </c>
      <c r="S649" s="2">
        <f t="shared" ca="1" si="162"/>
        <v>1</v>
      </c>
      <c r="T649" s="2">
        <f t="shared" si="163"/>
        <v>0</v>
      </c>
      <c r="U649" s="110" t="s">
        <v>2176</v>
      </c>
      <c r="V649" s="110">
        <v>23</v>
      </c>
      <c r="W649" s="110">
        <v>4</v>
      </c>
      <c r="X649" s="110">
        <v>4</v>
      </c>
      <c r="Y649" s="110">
        <v>0</v>
      </c>
      <c r="Z649" s="110">
        <v>0</v>
      </c>
      <c r="AA649" s="2">
        <f t="shared" si="164"/>
        <v>1</v>
      </c>
      <c r="AB649" s="2">
        <f t="shared" si="165"/>
        <v>0</v>
      </c>
      <c r="AC649" s="2">
        <f t="shared" si="166"/>
        <v>1</v>
      </c>
      <c r="AD649" s="2">
        <f t="shared" si="167"/>
        <v>1</v>
      </c>
      <c r="AE649" s="2">
        <f t="shared" si="168"/>
        <v>1</v>
      </c>
      <c r="AF649" s="2">
        <f t="shared" si="169"/>
        <v>2</v>
      </c>
      <c r="AG649" s="2">
        <f t="shared" si="170"/>
        <v>2</v>
      </c>
      <c r="AH649" s="2">
        <f t="shared" si="171"/>
        <v>2</v>
      </c>
      <c r="AI649" s="2">
        <f t="shared" si="172"/>
        <v>2</v>
      </c>
      <c r="AJ649" s="2">
        <f t="shared" si="173"/>
        <v>2</v>
      </c>
      <c r="AK649" s="2">
        <f t="shared" si="174"/>
        <v>0</v>
      </c>
      <c r="AL649" s="2">
        <f t="shared" si="175"/>
        <v>0</v>
      </c>
      <c r="AM649" s="115"/>
      <c r="AN649" s="115"/>
      <c r="AO649" s="63"/>
    </row>
    <row r="650" spans="1:41" ht="28.8" x14ac:dyDescent="0.55000000000000004">
      <c r="A650" s="36">
        <v>3390</v>
      </c>
      <c r="B650" s="113" t="s">
        <v>2333</v>
      </c>
      <c r="C650" s="139" t="s">
        <v>2334</v>
      </c>
      <c r="D650" s="114" t="s">
        <v>52</v>
      </c>
      <c r="E650" s="115"/>
      <c r="F650" s="116"/>
      <c r="G650" s="113" t="s">
        <v>2319</v>
      </c>
      <c r="H650" s="113" t="s">
        <v>2320</v>
      </c>
      <c r="I650" s="113"/>
      <c r="J650" s="117"/>
      <c r="K650" s="118"/>
      <c r="L650" s="109">
        <v>3</v>
      </c>
      <c r="M650" s="109">
        <v>3</v>
      </c>
      <c r="N650" s="109"/>
      <c r="O650" s="119"/>
      <c r="P650" s="2">
        <f t="shared" si="160"/>
        <v>1</v>
      </c>
      <c r="Q650" s="110" t="str">
        <f>IF(AND(Drops!$D$45&gt;1,OR(U650&lt;&gt;U649,AND(ROW()=5,U649=U650))),VLOOKUP(U650,Drops!$D$26:$E$44,2,FALSE),"")</f>
        <v/>
      </c>
      <c r="R650" s="2" t="str">
        <f t="shared" si="161"/>
        <v/>
      </c>
      <c r="S650" s="2">
        <f t="shared" ca="1" si="162"/>
        <v>1</v>
      </c>
      <c r="T650" s="2">
        <f t="shared" si="163"/>
        <v>0</v>
      </c>
      <c r="U650" s="110" t="s">
        <v>2176</v>
      </c>
      <c r="V650" s="110">
        <v>23</v>
      </c>
      <c r="W650" s="110">
        <v>4</v>
      </c>
      <c r="X650" s="110">
        <v>5</v>
      </c>
      <c r="Y650" s="110">
        <v>0</v>
      </c>
      <c r="Z650" s="110">
        <v>0</v>
      </c>
      <c r="AA650" s="2">
        <f t="shared" si="164"/>
        <v>1</v>
      </c>
      <c r="AB650" s="2">
        <f t="shared" si="165"/>
        <v>0</v>
      </c>
      <c r="AC650" s="2">
        <f t="shared" si="166"/>
        <v>1</v>
      </c>
      <c r="AD650" s="2">
        <f t="shared" si="167"/>
        <v>1</v>
      </c>
      <c r="AE650" s="2">
        <f t="shared" si="168"/>
        <v>1</v>
      </c>
      <c r="AF650" s="2">
        <f t="shared" si="169"/>
        <v>2</v>
      </c>
      <c r="AG650" s="2">
        <f t="shared" si="170"/>
        <v>2</v>
      </c>
      <c r="AH650" s="2">
        <f t="shared" si="171"/>
        <v>2</v>
      </c>
      <c r="AI650" s="2">
        <f t="shared" si="172"/>
        <v>2</v>
      </c>
      <c r="AJ650" s="2">
        <f t="shared" si="173"/>
        <v>2</v>
      </c>
      <c r="AK650" s="2">
        <f t="shared" si="174"/>
        <v>0</v>
      </c>
      <c r="AL650" s="2">
        <f t="shared" si="175"/>
        <v>0</v>
      </c>
      <c r="AM650" s="115"/>
      <c r="AN650" s="115"/>
      <c r="AO650" s="63"/>
    </row>
    <row r="651" spans="1:41" ht="28.8" x14ac:dyDescent="0.55000000000000004">
      <c r="A651" s="36">
        <v>3383</v>
      </c>
      <c r="B651" s="113" t="s">
        <v>2335</v>
      </c>
      <c r="C651" s="138" t="s">
        <v>2336</v>
      </c>
      <c r="D651" s="114" t="s">
        <v>52</v>
      </c>
      <c r="E651" s="115"/>
      <c r="F651" s="116"/>
      <c r="G651" s="113" t="s">
        <v>2319</v>
      </c>
      <c r="H651" s="113" t="s">
        <v>2337</v>
      </c>
      <c r="I651" s="113"/>
      <c r="J651" s="117" t="s">
        <v>2338</v>
      </c>
      <c r="K651" s="118"/>
      <c r="L651" s="109">
        <v>2</v>
      </c>
      <c r="M651" s="109">
        <v>1</v>
      </c>
      <c r="N651" s="109"/>
      <c r="O651" s="119"/>
      <c r="P651" s="2">
        <f t="shared" si="160"/>
        <v>1</v>
      </c>
      <c r="Q651" s="110" t="str">
        <f>IF(AND(Drops!$D$45&gt;1,OR(U651&lt;&gt;U650,AND(ROW()=5,U650=U651))),VLOOKUP(U651,Drops!$D$26:$E$44,2,FALSE),"")</f>
        <v/>
      </c>
      <c r="R651" s="2" t="str">
        <f t="shared" si="161"/>
        <v/>
      </c>
      <c r="S651" s="2">
        <f t="shared" ca="1" si="162"/>
        <v>1</v>
      </c>
      <c r="T651" s="2">
        <f t="shared" si="163"/>
        <v>0</v>
      </c>
      <c r="U651" s="110" t="s">
        <v>2176</v>
      </c>
      <c r="V651" s="110">
        <v>23</v>
      </c>
      <c r="W651" s="110">
        <v>5</v>
      </c>
      <c r="X651" s="110">
        <v>0</v>
      </c>
      <c r="Y651" s="110">
        <v>0</v>
      </c>
      <c r="Z651" s="110">
        <v>0</v>
      </c>
      <c r="AA651" s="2">
        <f t="shared" si="164"/>
        <v>1</v>
      </c>
      <c r="AB651" s="2">
        <f t="shared" si="165"/>
        <v>1</v>
      </c>
      <c r="AC651" s="2">
        <f t="shared" si="166"/>
        <v>1</v>
      </c>
      <c r="AD651" s="2">
        <f t="shared" si="167"/>
        <v>1</v>
      </c>
      <c r="AE651" s="2">
        <f t="shared" si="168"/>
        <v>0</v>
      </c>
      <c r="AF651" s="2">
        <f t="shared" si="169"/>
        <v>2</v>
      </c>
      <c r="AG651" s="2">
        <f t="shared" si="170"/>
        <v>2</v>
      </c>
      <c r="AH651" s="2">
        <f t="shared" si="171"/>
        <v>2</v>
      </c>
      <c r="AI651" s="2">
        <f t="shared" si="172"/>
        <v>2</v>
      </c>
      <c r="AJ651" s="2">
        <f t="shared" si="173"/>
        <v>2</v>
      </c>
      <c r="AK651" s="2">
        <f t="shared" si="174"/>
        <v>0</v>
      </c>
      <c r="AL651" s="2">
        <f t="shared" si="175"/>
        <v>0</v>
      </c>
      <c r="AM651" s="115"/>
      <c r="AN651" s="115"/>
      <c r="AO651" s="63"/>
    </row>
    <row r="652" spans="1:41" ht="28.8" x14ac:dyDescent="0.55000000000000004">
      <c r="A652" s="36">
        <v>4285</v>
      </c>
      <c r="B652" s="113" t="s">
        <v>2339</v>
      </c>
      <c r="C652" s="139" t="s">
        <v>2340</v>
      </c>
      <c r="D652" s="114" t="s">
        <v>55</v>
      </c>
      <c r="E652" s="115"/>
      <c r="F652" s="116"/>
      <c r="G652" s="113" t="s">
        <v>2319</v>
      </c>
      <c r="H652" s="113" t="s">
        <v>2337</v>
      </c>
      <c r="I652" s="113"/>
      <c r="J652" s="117" t="s">
        <v>2338</v>
      </c>
      <c r="K652" s="118"/>
      <c r="L652" s="109">
        <v>3</v>
      </c>
      <c r="M652" s="109">
        <v>3</v>
      </c>
      <c r="N652" s="109"/>
      <c r="O652" s="119"/>
      <c r="P652" s="2">
        <f t="shared" si="160"/>
        <v>2</v>
      </c>
      <c r="Q652" s="110" t="str">
        <f>IF(AND(Drops!$D$45&gt;1,OR(U652&lt;&gt;U651,AND(ROW()=5,U651=U652))),VLOOKUP(U652,Drops!$D$26:$E$44,2,FALSE),"")</f>
        <v/>
      </c>
      <c r="R652" s="2" t="str">
        <f t="shared" si="161"/>
        <v/>
      </c>
      <c r="S652" s="2">
        <f t="shared" ca="1" si="162"/>
        <v>2</v>
      </c>
      <c r="T652" s="2">
        <f t="shared" si="163"/>
        <v>0</v>
      </c>
      <c r="U652" s="110" t="s">
        <v>2176</v>
      </c>
      <c r="V652" s="110">
        <v>23</v>
      </c>
      <c r="W652" s="110">
        <v>5</v>
      </c>
      <c r="X652" s="110">
        <v>1</v>
      </c>
      <c r="Y652" s="110">
        <v>0</v>
      </c>
      <c r="Z652" s="110">
        <v>0</v>
      </c>
      <c r="AA652" s="2">
        <f t="shared" si="164"/>
        <v>1</v>
      </c>
      <c r="AB652" s="2">
        <f t="shared" si="165"/>
        <v>0</v>
      </c>
      <c r="AC652" s="2">
        <f t="shared" si="166"/>
        <v>1</v>
      </c>
      <c r="AD652" s="2">
        <f t="shared" si="167"/>
        <v>1</v>
      </c>
      <c r="AE652" s="2">
        <f t="shared" si="168"/>
        <v>2</v>
      </c>
      <c r="AF652" s="2">
        <f t="shared" si="169"/>
        <v>2</v>
      </c>
      <c r="AG652" s="2">
        <f t="shared" si="170"/>
        <v>2</v>
      </c>
      <c r="AH652" s="2">
        <f t="shared" si="171"/>
        <v>2</v>
      </c>
      <c r="AI652" s="2">
        <f t="shared" si="172"/>
        <v>2</v>
      </c>
      <c r="AJ652" s="2">
        <f t="shared" si="173"/>
        <v>1</v>
      </c>
      <c r="AK652" s="2">
        <f t="shared" si="174"/>
        <v>0</v>
      </c>
      <c r="AL652" s="2">
        <f t="shared" si="175"/>
        <v>0</v>
      </c>
      <c r="AM652" s="115"/>
      <c r="AN652" s="115"/>
      <c r="AO652" s="63"/>
    </row>
    <row r="653" spans="1:41" ht="28.8" x14ac:dyDescent="0.55000000000000004">
      <c r="A653" s="36">
        <v>4286</v>
      </c>
      <c r="B653" s="113" t="s">
        <v>2341</v>
      </c>
      <c r="C653" s="139" t="s">
        <v>2342</v>
      </c>
      <c r="D653" s="114" t="s">
        <v>55</v>
      </c>
      <c r="E653" s="115"/>
      <c r="F653" s="116"/>
      <c r="G653" s="113" t="s">
        <v>2319</v>
      </c>
      <c r="H653" s="113" t="s">
        <v>2337</v>
      </c>
      <c r="I653" s="113"/>
      <c r="J653" s="117"/>
      <c r="K653" s="118"/>
      <c r="L653" s="109">
        <v>3</v>
      </c>
      <c r="M653" s="109">
        <v>3</v>
      </c>
      <c r="N653" s="109"/>
      <c r="O653" s="119"/>
      <c r="P653" s="2">
        <f t="shared" si="160"/>
        <v>2</v>
      </c>
      <c r="Q653" s="110" t="str">
        <f>IF(AND(Drops!$D$45&gt;1,OR(U653&lt;&gt;U652,AND(ROW()=5,U652=U653))),VLOOKUP(U653,Drops!$D$26:$E$44,2,FALSE),"")</f>
        <v/>
      </c>
      <c r="R653" s="2" t="str">
        <f t="shared" si="161"/>
        <v/>
      </c>
      <c r="S653" s="2">
        <f t="shared" ca="1" si="162"/>
        <v>2</v>
      </c>
      <c r="T653" s="2">
        <f t="shared" si="163"/>
        <v>0</v>
      </c>
      <c r="U653" s="110" t="s">
        <v>2176</v>
      </c>
      <c r="V653" s="110">
        <v>23</v>
      </c>
      <c r="W653" s="110">
        <v>5</v>
      </c>
      <c r="X653" s="110">
        <v>2</v>
      </c>
      <c r="Y653" s="110">
        <v>0</v>
      </c>
      <c r="Z653" s="110">
        <v>0</v>
      </c>
      <c r="AA653" s="2">
        <f t="shared" si="164"/>
        <v>1</v>
      </c>
      <c r="AB653" s="2">
        <f t="shared" si="165"/>
        <v>0</v>
      </c>
      <c r="AC653" s="2">
        <f t="shared" si="166"/>
        <v>1</v>
      </c>
      <c r="AD653" s="2">
        <f t="shared" si="167"/>
        <v>1</v>
      </c>
      <c r="AE653" s="2">
        <f t="shared" si="168"/>
        <v>2</v>
      </c>
      <c r="AF653" s="2">
        <f t="shared" si="169"/>
        <v>2</v>
      </c>
      <c r="AG653" s="2">
        <f t="shared" si="170"/>
        <v>2</v>
      </c>
      <c r="AH653" s="2">
        <f t="shared" si="171"/>
        <v>2</v>
      </c>
      <c r="AI653" s="2">
        <f t="shared" si="172"/>
        <v>2</v>
      </c>
      <c r="AJ653" s="2">
        <f t="shared" si="173"/>
        <v>1</v>
      </c>
      <c r="AK653" s="2">
        <f t="shared" si="174"/>
        <v>0</v>
      </c>
      <c r="AL653" s="2">
        <f t="shared" si="175"/>
        <v>0</v>
      </c>
      <c r="AM653" s="115"/>
      <c r="AN653" s="115"/>
      <c r="AO653" s="63"/>
    </row>
    <row r="654" spans="1:41" ht="28.8" x14ac:dyDescent="0.55000000000000004">
      <c r="A654" s="36">
        <v>4287</v>
      </c>
      <c r="B654" s="113" t="s">
        <v>2343</v>
      </c>
      <c r="C654" s="139" t="s">
        <v>2344</v>
      </c>
      <c r="D654" s="114" t="s">
        <v>52</v>
      </c>
      <c r="E654" s="115"/>
      <c r="F654" s="116"/>
      <c r="G654" s="113" t="s">
        <v>2319</v>
      </c>
      <c r="H654" s="113" t="s">
        <v>2337</v>
      </c>
      <c r="I654" s="113"/>
      <c r="J654" s="117"/>
      <c r="K654" s="118"/>
      <c r="L654" s="109">
        <v>3</v>
      </c>
      <c r="M654" s="109">
        <v>3</v>
      </c>
      <c r="N654" s="109"/>
      <c r="O654" s="119"/>
      <c r="P654" s="2">
        <f t="shared" si="160"/>
        <v>1</v>
      </c>
      <c r="Q654" s="110" t="str">
        <f>IF(AND(Drops!$D$45&gt;1,OR(U654&lt;&gt;U653,AND(ROW()=5,U653=U654))),VLOOKUP(U654,Drops!$D$26:$E$44,2,FALSE),"")</f>
        <v/>
      </c>
      <c r="R654" s="2" t="str">
        <f t="shared" si="161"/>
        <v/>
      </c>
      <c r="S654" s="2">
        <f t="shared" ca="1" si="162"/>
        <v>1</v>
      </c>
      <c r="T654" s="2">
        <f t="shared" si="163"/>
        <v>0</v>
      </c>
      <c r="U654" s="110" t="s">
        <v>2176</v>
      </c>
      <c r="V654" s="110">
        <v>23</v>
      </c>
      <c r="W654" s="110">
        <v>5</v>
      </c>
      <c r="X654" s="110">
        <v>3</v>
      </c>
      <c r="Y654" s="110">
        <v>0</v>
      </c>
      <c r="Z654" s="110">
        <v>0</v>
      </c>
      <c r="AA654" s="2">
        <f t="shared" si="164"/>
        <v>1</v>
      </c>
      <c r="AB654" s="2">
        <f t="shared" si="165"/>
        <v>0</v>
      </c>
      <c r="AC654" s="2">
        <f t="shared" si="166"/>
        <v>1</v>
      </c>
      <c r="AD654" s="2">
        <f t="shared" si="167"/>
        <v>1</v>
      </c>
      <c r="AE654" s="2">
        <f t="shared" si="168"/>
        <v>1</v>
      </c>
      <c r="AF654" s="2">
        <f t="shared" si="169"/>
        <v>2</v>
      </c>
      <c r="AG654" s="2">
        <f t="shared" si="170"/>
        <v>2</v>
      </c>
      <c r="AH654" s="2">
        <f t="shared" si="171"/>
        <v>2</v>
      </c>
      <c r="AI654" s="2">
        <f t="shared" si="172"/>
        <v>2</v>
      </c>
      <c r="AJ654" s="2">
        <f t="shared" si="173"/>
        <v>2</v>
      </c>
      <c r="AK654" s="2">
        <f t="shared" si="174"/>
        <v>0</v>
      </c>
      <c r="AL654" s="2">
        <f t="shared" si="175"/>
        <v>0</v>
      </c>
      <c r="AM654" s="115"/>
      <c r="AN654" s="115"/>
      <c r="AO654" s="63"/>
    </row>
    <row r="655" spans="1:41" ht="28.8" x14ac:dyDescent="0.55000000000000004">
      <c r="A655" s="36">
        <v>4289</v>
      </c>
      <c r="B655" s="113" t="s">
        <v>2345</v>
      </c>
      <c r="C655" s="139" t="s">
        <v>2346</v>
      </c>
      <c r="D655" s="114" t="s">
        <v>55</v>
      </c>
      <c r="E655" s="115"/>
      <c r="F655" s="116"/>
      <c r="G655" s="113" t="s">
        <v>2319</v>
      </c>
      <c r="H655" s="113" t="s">
        <v>2337</v>
      </c>
      <c r="I655" s="113"/>
      <c r="J655" s="117" t="s">
        <v>2338</v>
      </c>
      <c r="K655" s="118"/>
      <c r="L655" s="109">
        <v>3</v>
      </c>
      <c r="M655" s="109">
        <v>3</v>
      </c>
      <c r="N655" s="109"/>
      <c r="O655" s="119"/>
      <c r="P655" s="2">
        <f t="shared" si="160"/>
        <v>2</v>
      </c>
      <c r="Q655" s="110" t="str">
        <f>IF(AND(Drops!$D$45&gt;1,OR(U655&lt;&gt;U654,AND(ROW()=5,U654=U655))),VLOOKUP(U655,Drops!$D$26:$E$44,2,FALSE),"")</f>
        <v/>
      </c>
      <c r="R655" s="2" t="str">
        <f t="shared" si="161"/>
        <v/>
      </c>
      <c r="S655" s="2">
        <f t="shared" ca="1" si="162"/>
        <v>2</v>
      </c>
      <c r="T655" s="2">
        <f t="shared" si="163"/>
        <v>0</v>
      </c>
      <c r="U655" s="110" t="s">
        <v>2176</v>
      </c>
      <c r="V655" s="110">
        <v>23</v>
      </c>
      <c r="W655" s="110">
        <v>5</v>
      </c>
      <c r="X655" s="110">
        <v>5</v>
      </c>
      <c r="Y655" s="110">
        <v>0</v>
      </c>
      <c r="Z655" s="110">
        <v>0</v>
      </c>
      <c r="AA655" s="2">
        <f t="shared" si="164"/>
        <v>1</v>
      </c>
      <c r="AB655" s="2">
        <f t="shared" si="165"/>
        <v>0</v>
      </c>
      <c r="AC655" s="2">
        <f t="shared" si="166"/>
        <v>1</v>
      </c>
      <c r="AD655" s="2">
        <f t="shared" si="167"/>
        <v>1</v>
      </c>
      <c r="AE655" s="2">
        <f t="shared" si="168"/>
        <v>2</v>
      </c>
      <c r="AF655" s="2">
        <f t="shared" si="169"/>
        <v>2</v>
      </c>
      <c r="AG655" s="2">
        <f t="shared" si="170"/>
        <v>2</v>
      </c>
      <c r="AH655" s="2">
        <f t="shared" si="171"/>
        <v>2</v>
      </c>
      <c r="AI655" s="2">
        <f t="shared" si="172"/>
        <v>2</v>
      </c>
      <c r="AJ655" s="2">
        <f t="shared" si="173"/>
        <v>1</v>
      </c>
      <c r="AK655" s="2">
        <f t="shared" si="174"/>
        <v>0</v>
      </c>
      <c r="AL655" s="2">
        <f t="shared" si="175"/>
        <v>0</v>
      </c>
      <c r="AM655" s="115"/>
      <c r="AN655" s="115"/>
      <c r="AO655" s="63"/>
    </row>
    <row r="656" spans="1:41" ht="28.8" x14ac:dyDescent="0.55000000000000004">
      <c r="A656" s="36">
        <v>4290</v>
      </c>
      <c r="B656" s="113" t="s">
        <v>2347</v>
      </c>
      <c r="C656" s="139" t="s">
        <v>2348</v>
      </c>
      <c r="D656" s="114" t="s">
        <v>55</v>
      </c>
      <c r="E656" s="115"/>
      <c r="F656" s="116"/>
      <c r="G656" s="113" t="s">
        <v>2319</v>
      </c>
      <c r="H656" s="113" t="s">
        <v>2337</v>
      </c>
      <c r="I656" s="113"/>
      <c r="J656" s="117" t="s">
        <v>2338</v>
      </c>
      <c r="K656" s="118"/>
      <c r="L656" s="109">
        <v>3</v>
      </c>
      <c r="M656" s="109">
        <v>3</v>
      </c>
      <c r="N656" s="109"/>
      <c r="O656" s="119"/>
      <c r="P656" s="2">
        <f t="shared" si="160"/>
        <v>2</v>
      </c>
      <c r="Q656" s="110" t="str">
        <f>IF(AND(Drops!$D$45&gt;1,OR(U656&lt;&gt;U655,AND(ROW()=5,U655=U656))),VLOOKUP(U656,Drops!$D$26:$E$44,2,FALSE),"")</f>
        <v/>
      </c>
      <c r="R656" s="2" t="str">
        <f t="shared" si="161"/>
        <v/>
      </c>
      <c r="S656" s="2">
        <f t="shared" ca="1" si="162"/>
        <v>2</v>
      </c>
      <c r="T656" s="2">
        <f t="shared" si="163"/>
        <v>0</v>
      </c>
      <c r="U656" s="110" t="s">
        <v>2176</v>
      </c>
      <c r="V656" s="110">
        <v>23</v>
      </c>
      <c r="W656" s="110">
        <v>5</v>
      </c>
      <c r="X656" s="110">
        <v>6</v>
      </c>
      <c r="Y656" s="110">
        <v>0</v>
      </c>
      <c r="Z656" s="110">
        <v>0</v>
      </c>
      <c r="AA656" s="2">
        <f t="shared" si="164"/>
        <v>1</v>
      </c>
      <c r="AB656" s="2">
        <f t="shared" si="165"/>
        <v>0</v>
      </c>
      <c r="AC656" s="2">
        <f t="shared" si="166"/>
        <v>1</v>
      </c>
      <c r="AD656" s="2">
        <f t="shared" si="167"/>
        <v>1</v>
      </c>
      <c r="AE656" s="2">
        <f t="shared" si="168"/>
        <v>2</v>
      </c>
      <c r="AF656" s="2">
        <f t="shared" si="169"/>
        <v>2</v>
      </c>
      <c r="AG656" s="2">
        <f t="shared" si="170"/>
        <v>2</v>
      </c>
      <c r="AH656" s="2">
        <f t="shared" si="171"/>
        <v>2</v>
      </c>
      <c r="AI656" s="2">
        <f t="shared" si="172"/>
        <v>2</v>
      </c>
      <c r="AJ656" s="2">
        <f t="shared" si="173"/>
        <v>1</v>
      </c>
      <c r="AK656" s="2">
        <f t="shared" si="174"/>
        <v>0</v>
      </c>
      <c r="AL656" s="2">
        <f t="shared" si="175"/>
        <v>0</v>
      </c>
      <c r="AM656" s="115"/>
      <c r="AN656" s="115"/>
      <c r="AO656" s="63"/>
    </row>
    <row r="657" spans="1:41" ht="28.8" x14ac:dyDescent="0.55000000000000004">
      <c r="A657" s="36">
        <v>4291</v>
      </c>
      <c r="B657" s="113" t="s">
        <v>2349</v>
      </c>
      <c r="C657" s="139" t="s">
        <v>2350</v>
      </c>
      <c r="D657" s="114" t="s">
        <v>55</v>
      </c>
      <c r="E657" s="115"/>
      <c r="F657" s="116"/>
      <c r="G657" s="113" t="s">
        <v>2319</v>
      </c>
      <c r="H657" s="113" t="s">
        <v>2337</v>
      </c>
      <c r="I657" s="113"/>
      <c r="J657" s="117" t="s">
        <v>2338</v>
      </c>
      <c r="K657" s="118"/>
      <c r="L657" s="109">
        <v>3</v>
      </c>
      <c r="M657" s="109">
        <v>3</v>
      </c>
      <c r="N657" s="109"/>
      <c r="O657" s="119"/>
      <c r="P657" s="2">
        <f t="shared" si="160"/>
        <v>2</v>
      </c>
      <c r="Q657" s="110" t="str">
        <f>IF(AND(Drops!$D$45&gt;1,OR(U657&lt;&gt;U656,AND(ROW()=5,U656=U657))),VLOOKUP(U657,Drops!$D$26:$E$44,2,FALSE),"")</f>
        <v/>
      </c>
      <c r="R657" s="2" t="str">
        <f t="shared" si="161"/>
        <v/>
      </c>
      <c r="S657" s="2">
        <f t="shared" ca="1" si="162"/>
        <v>2</v>
      </c>
      <c r="T657" s="2">
        <f t="shared" si="163"/>
        <v>0</v>
      </c>
      <c r="U657" s="110" t="s">
        <v>2176</v>
      </c>
      <c r="V657" s="110">
        <v>23</v>
      </c>
      <c r="W657" s="110">
        <v>5</v>
      </c>
      <c r="X657" s="110">
        <v>7</v>
      </c>
      <c r="Y657" s="110">
        <v>0</v>
      </c>
      <c r="Z657" s="110">
        <v>0</v>
      </c>
      <c r="AA657" s="2">
        <f t="shared" si="164"/>
        <v>1</v>
      </c>
      <c r="AB657" s="2">
        <f t="shared" si="165"/>
        <v>0</v>
      </c>
      <c r="AC657" s="2">
        <f t="shared" si="166"/>
        <v>1</v>
      </c>
      <c r="AD657" s="2">
        <f t="shared" si="167"/>
        <v>1</v>
      </c>
      <c r="AE657" s="2">
        <f t="shared" si="168"/>
        <v>2</v>
      </c>
      <c r="AF657" s="2">
        <f t="shared" si="169"/>
        <v>2</v>
      </c>
      <c r="AG657" s="2">
        <f t="shared" si="170"/>
        <v>2</v>
      </c>
      <c r="AH657" s="2">
        <f t="shared" si="171"/>
        <v>2</v>
      </c>
      <c r="AI657" s="2">
        <f t="shared" si="172"/>
        <v>2</v>
      </c>
      <c r="AJ657" s="2">
        <f t="shared" si="173"/>
        <v>1</v>
      </c>
      <c r="AK657" s="2">
        <f t="shared" si="174"/>
        <v>0</v>
      </c>
      <c r="AL657" s="2">
        <f t="shared" si="175"/>
        <v>0</v>
      </c>
      <c r="AM657" s="115"/>
      <c r="AN657" s="115"/>
      <c r="AO657" s="63"/>
    </row>
    <row r="658" spans="1:41" ht="28.8" x14ac:dyDescent="0.55000000000000004">
      <c r="A658" s="36">
        <v>4292</v>
      </c>
      <c r="B658" s="113" t="s">
        <v>2351</v>
      </c>
      <c r="C658" s="139" t="s">
        <v>2352</v>
      </c>
      <c r="D658" s="114" t="s">
        <v>55</v>
      </c>
      <c r="E658" s="115"/>
      <c r="F658" s="116"/>
      <c r="G658" s="113" t="s">
        <v>2319</v>
      </c>
      <c r="H658" s="113" t="s">
        <v>2337</v>
      </c>
      <c r="I658" s="113"/>
      <c r="J658" s="117"/>
      <c r="K658" s="118"/>
      <c r="L658" s="109">
        <v>3</v>
      </c>
      <c r="M658" s="109">
        <v>3</v>
      </c>
      <c r="N658" s="109"/>
      <c r="O658" s="119"/>
      <c r="P658" s="2">
        <f t="shared" si="160"/>
        <v>2</v>
      </c>
      <c r="Q658" s="110" t="str">
        <f>IF(AND(Drops!$D$45&gt;1,OR(U658&lt;&gt;U657,AND(ROW()=5,U657=U658))),VLOOKUP(U658,Drops!$D$26:$E$44,2,FALSE),"")</f>
        <v/>
      </c>
      <c r="R658" s="2" t="str">
        <f t="shared" si="161"/>
        <v/>
      </c>
      <c r="S658" s="2">
        <f t="shared" ca="1" si="162"/>
        <v>2</v>
      </c>
      <c r="T658" s="2">
        <f t="shared" si="163"/>
        <v>0</v>
      </c>
      <c r="U658" s="110" t="s">
        <v>2176</v>
      </c>
      <c r="V658" s="110">
        <v>23</v>
      </c>
      <c r="W658" s="110">
        <v>5</v>
      </c>
      <c r="X658" s="110">
        <v>8</v>
      </c>
      <c r="Y658" s="110">
        <v>0</v>
      </c>
      <c r="Z658" s="110">
        <v>0</v>
      </c>
      <c r="AA658" s="2">
        <f t="shared" si="164"/>
        <v>1</v>
      </c>
      <c r="AB658" s="2">
        <f t="shared" si="165"/>
        <v>0</v>
      </c>
      <c r="AC658" s="2">
        <f t="shared" si="166"/>
        <v>1</v>
      </c>
      <c r="AD658" s="2">
        <f t="shared" si="167"/>
        <v>1</v>
      </c>
      <c r="AE658" s="2">
        <f t="shared" si="168"/>
        <v>2</v>
      </c>
      <c r="AF658" s="2">
        <f t="shared" si="169"/>
        <v>2</v>
      </c>
      <c r="AG658" s="2">
        <f t="shared" si="170"/>
        <v>2</v>
      </c>
      <c r="AH658" s="2">
        <f t="shared" si="171"/>
        <v>2</v>
      </c>
      <c r="AI658" s="2">
        <f t="shared" si="172"/>
        <v>2</v>
      </c>
      <c r="AJ658" s="2">
        <f t="shared" si="173"/>
        <v>1</v>
      </c>
      <c r="AK658" s="2">
        <f t="shared" si="174"/>
        <v>0</v>
      </c>
      <c r="AL658" s="2">
        <f t="shared" si="175"/>
        <v>0</v>
      </c>
      <c r="AM658" s="115"/>
      <c r="AN658" s="115"/>
      <c r="AO658" s="63"/>
    </row>
    <row r="659" spans="1:41" ht="28.8" x14ac:dyDescent="0.55000000000000004">
      <c r="A659" s="36">
        <v>4293</v>
      </c>
      <c r="B659" s="113" t="s">
        <v>2353</v>
      </c>
      <c r="C659" s="139" t="s">
        <v>2354</v>
      </c>
      <c r="D659" s="114" t="s">
        <v>48</v>
      </c>
      <c r="E659" s="115" t="s">
        <v>2355</v>
      </c>
      <c r="F659" s="116"/>
      <c r="G659" s="113" t="s">
        <v>2319</v>
      </c>
      <c r="H659" s="113" t="s">
        <v>2337</v>
      </c>
      <c r="I659" s="113"/>
      <c r="J659" s="117"/>
      <c r="K659" s="118"/>
      <c r="L659" s="109">
        <v>3</v>
      </c>
      <c r="M659" s="109">
        <v>3</v>
      </c>
      <c r="N659" s="109"/>
      <c r="O659" s="119"/>
      <c r="P659" s="2">
        <f t="shared" si="160"/>
        <v>3</v>
      </c>
      <c r="Q659" s="110" t="str">
        <f>IF(AND(Drops!$D$45&gt;1,OR(U659&lt;&gt;U658,AND(ROW()=5,U658=U659))),VLOOKUP(U659,Drops!$D$26:$E$44,2,FALSE),"")</f>
        <v/>
      </c>
      <c r="R659" s="2" t="str">
        <f t="shared" si="161"/>
        <v/>
      </c>
      <c r="S659" s="2">
        <f t="shared" ca="1" si="162"/>
        <v>3</v>
      </c>
      <c r="T659" s="2">
        <f t="shared" si="163"/>
        <v>0</v>
      </c>
      <c r="U659" s="110" t="s">
        <v>2176</v>
      </c>
      <c r="V659" s="110">
        <v>23</v>
      </c>
      <c r="W659" s="110">
        <v>5</v>
      </c>
      <c r="X659" s="110">
        <v>9</v>
      </c>
      <c r="Y659" s="110">
        <v>0</v>
      </c>
      <c r="Z659" s="110">
        <v>0</v>
      </c>
      <c r="AA659" s="2">
        <f t="shared" si="164"/>
        <v>1</v>
      </c>
      <c r="AB659" s="2">
        <f t="shared" si="165"/>
        <v>0</v>
      </c>
      <c r="AC659" s="2">
        <f t="shared" si="166"/>
        <v>1</v>
      </c>
      <c r="AD659" s="2">
        <f t="shared" si="167"/>
        <v>1</v>
      </c>
      <c r="AE659" s="2">
        <f t="shared" si="168"/>
        <v>3</v>
      </c>
      <c r="AF659" s="2">
        <f t="shared" si="169"/>
        <v>3</v>
      </c>
      <c r="AG659" s="2">
        <f t="shared" si="170"/>
        <v>3</v>
      </c>
      <c r="AH659" s="2">
        <f t="shared" si="171"/>
        <v>2</v>
      </c>
      <c r="AI659" s="2">
        <f t="shared" si="172"/>
        <v>2</v>
      </c>
      <c r="AJ659" s="2">
        <f t="shared" si="173"/>
        <v>1</v>
      </c>
      <c r="AK659" s="2">
        <f t="shared" si="174"/>
        <v>0</v>
      </c>
      <c r="AL659" s="2">
        <f t="shared" si="175"/>
        <v>0</v>
      </c>
      <c r="AM659" s="115"/>
      <c r="AN659" s="115"/>
      <c r="AO659" s="63"/>
    </row>
    <row r="660" spans="1:41" ht="28.8" x14ac:dyDescent="0.55000000000000004">
      <c r="A660" s="36">
        <v>4294</v>
      </c>
      <c r="B660" s="113" t="s">
        <v>2356</v>
      </c>
      <c r="C660" s="139" t="s">
        <v>2357</v>
      </c>
      <c r="D660" s="114" t="s">
        <v>48</v>
      </c>
      <c r="E660" s="115" t="s">
        <v>2358</v>
      </c>
      <c r="F660" s="116"/>
      <c r="G660" s="113" t="s">
        <v>2319</v>
      </c>
      <c r="H660" s="113" t="s">
        <v>2337</v>
      </c>
      <c r="I660" s="113"/>
      <c r="J660" s="117"/>
      <c r="K660" s="118"/>
      <c r="L660" s="109">
        <v>3</v>
      </c>
      <c r="M660" s="109">
        <v>3</v>
      </c>
      <c r="N660" s="109"/>
      <c r="O660" s="119"/>
      <c r="P660" s="2">
        <f t="shared" si="160"/>
        <v>3</v>
      </c>
      <c r="Q660" s="110" t="str">
        <f>IF(AND(Drops!$D$45&gt;1,OR(U660&lt;&gt;U659,AND(ROW()=5,U659=U660))),VLOOKUP(U660,Drops!$D$26:$E$44,2,FALSE),"")</f>
        <v/>
      </c>
      <c r="R660" s="2" t="str">
        <f t="shared" si="161"/>
        <v/>
      </c>
      <c r="S660" s="2">
        <f t="shared" ca="1" si="162"/>
        <v>3</v>
      </c>
      <c r="T660" s="2">
        <f t="shared" si="163"/>
        <v>0</v>
      </c>
      <c r="U660" s="110" t="s">
        <v>2176</v>
      </c>
      <c r="V660" s="110">
        <v>23</v>
      </c>
      <c r="W660" s="110">
        <v>5</v>
      </c>
      <c r="X660" s="110">
        <v>10</v>
      </c>
      <c r="Y660" s="110">
        <v>0</v>
      </c>
      <c r="Z660" s="110">
        <v>0</v>
      </c>
      <c r="AA660" s="2">
        <f t="shared" si="164"/>
        <v>1</v>
      </c>
      <c r="AB660" s="2">
        <f t="shared" si="165"/>
        <v>0</v>
      </c>
      <c r="AC660" s="2">
        <f t="shared" si="166"/>
        <v>1</v>
      </c>
      <c r="AD660" s="2">
        <f t="shared" si="167"/>
        <v>1</v>
      </c>
      <c r="AE660" s="2">
        <f t="shared" si="168"/>
        <v>3</v>
      </c>
      <c r="AF660" s="2">
        <f t="shared" si="169"/>
        <v>3</v>
      </c>
      <c r="AG660" s="2">
        <f t="shared" si="170"/>
        <v>3</v>
      </c>
      <c r="AH660" s="2">
        <f t="shared" si="171"/>
        <v>2</v>
      </c>
      <c r="AI660" s="2">
        <f t="shared" si="172"/>
        <v>2</v>
      </c>
      <c r="AJ660" s="2">
        <f t="shared" si="173"/>
        <v>1</v>
      </c>
      <c r="AK660" s="2">
        <f t="shared" si="174"/>
        <v>0</v>
      </c>
      <c r="AL660" s="2">
        <f t="shared" si="175"/>
        <v>0</v>
      </c>
      <c r="AM660" s="115"/>
      <c r="AN660" s="115"/>
      <c r="AO660" s="63"/>
    </row>
    <row r="661" spans="1:41" ht="28.8" x14ac:dyDescent="0.55000000000000004">
      <c r="A661" s="36">
        <v>4295</v>
      </c>
      <c r="B661" s="113" t="s">
        <v>2359</v>
      </c>
      <c r="C661" s="139" t="s">
        <v>2360</v>
      </c>
      <c r="D661" s="114" t="s">
        <v>55</v>
      </c>
      <c r="E661" s="115"/>
      <c r="F661" s="116"/>
      <c r="G661" s="113" t="s">
        <v>2319</v>
      </c>
      <c r="H661" s="113" t="s">
        <v>2337</v>
      </c>
      <c r="I661" s="113"/>
      <c r="J661" s="117"/>
      <c r="K661" s="118"/>
      <c r="L661" s="109">
        <v>3</v>
      </c>
      <c r="M661" s="109">
        <v>3</v>
      </c>
      <c r="N661" s="109"/>
      <c r="O661" s="119"/>
      <c r="P661" s="2">
        <f t="shared" si="160"/>
        <v>2</v>
      </c>
      <c r="Q661" s="110" t="str">
        <f>IF(AND(Drops!$D$45&gt;1,OR(U661&lt;&gt;U660,AND(ROW()=5,U660=U661))),VLOOKUP(U661,Drops!$D$26:$E$44,2,FALSE),"")</f>
        <v/>
      </c>
      <c r="R661" s="2" t="str">
        <f t="shared" si="161"/>
        <v/>
      </c>
      <c r="S661" s="2">
        <f t="shared" ca="1" si="162"/>
        <v>2</v>
      </c>
      <c r="T661" s="2">
        <f t="shared" si="163"/>
        <v>0</v>
      </c>
      <c r="U661" s="110" t="s">
        <v>2176</v>
      </c>
      <c r="V661" s="110">
        <v>23</v>
      </c>
      <c r="W661" s="110">
        <v>5</v>
      </c>
      <c r="X661" s="110">
        <v>11</v>
      </c>
      <c r="Y661" s="110">
        <v>0</v>
      </c>
      <c r="Z661" s="110">
        <v>0</v>
      </c>
      <c r="AA661" s="2">
        <f t="shared" si="164"/>
        <v>1</v>
      </c>
      <c r="AB661" s="2">
        <f t="shared" si="165"/>
        <v>0</v>
      </c>
      <c r="AC661" s="2">
        <f t="shared" si="166"/>
        <v>1</v>
      </c>
      <c r="AD661" s="2">
        <f t="shared" si="167"/>
        <v>1</v>
      </c>
      <c r="AE661" s="2">
        <f t="shared" si="168"/>
        <v>2</v>
      </c>
      <c r="AF661" s="2">
        <f t="shared" si="169"/>
        <v>2</v>
      </c>
      <c r="AG661" s="2">
        <f t="shared" si="170"/>
        <v>2</v>
      </c>
      <c r="AH661" s="2">
        <f t="shared" si="171"/>
        <v>2</v>
      </c>
      <c r="AI661" s="2">
        <f t="shared" si="172"/>
        <v>2</v>
      </c>
      <c r="AJ661" s="2">
        <f t="shared" si="173"/>
        <v>1</v>
      </c>
      <c r="AK661" s="2">
        <f t="shared" si="174"/>
        <v>0</v>
      </c>
      <c r="AL661" s="2">
        <f t="shared" si="175"/>
        <v>0</v>
      </c>
      <c r="AM661" s="115"/>
      <c r="AN661" s="115"/>
      <c r="AO661" s="63"/>
    </row>
    <row r="662" spans="1:41" ht="43.2" x14ac:dyDescent="0.55000000000000004">
      <c r="A662" s="36">
        <v>4296</v>
      </c>
      <c r="B662" s="113" t="s">
        <v>2361</v>
      </c>
      <c r="C662" s="139" t="s">
        <v>2362</v>
      </c>
      <c r="D662" s="114" t="s">
        <v>55</v>
      </c>
      <c r="E662" s="115"/>
      <c r="F662" s="116"/>
      <c r="G662" s="113" t="s">
        <v>2319</v>
      </c>
      <c r="H662" s="113" t="s">
        <v>2337</v>
      </c>
      <c r="I662" s="113"/>
      <c r="J662" s="117" t="s">
        <v>2338</v>
      </c>
      <c r="K662" s="118"/>
      <c r="L662" s="109">
        <v>3</v>
      </c>
      <c r="M662" s="109">
        <v>3</v>
      </c>
      <c r="N662" s="109"/>
      <c r="O662" s="119"/>
      <c r="P662" s="2">
        <f t="shared" si="160"/>
        <v>2</v>
      </c>
      <c r="Q662" s="110" t="str">
        <f>IF(AND(Drops!$D$45&gt;1,OR(U662&lt;&gt;U661,AND(ROW()=5,U661=U662))),VLOOKUP(U662,Drops!$D$26:$E$44,2,FALSE),"")</f>
        <v/>
      </c>
      <c r="R662" s="2" t="str">
        <f t="shared" si="161"/>
        <v/>
      </c>
      <c r="S662" s="2">
        <f t="shared" ca="1" si="162"/>
        <v>2</v>
      </c>
      <c r="T662" s="2">
        <f t="shared" si="163"/>
        <v>0</v>
      </c>
      <c r="U662" s="110" t="s">
        <v>2176</v>
      </c>
      <c r="V662" s="110">
        <v>23</v>
      </c>
      <c r="W662" s="110">
        <v>5</v>
      </c>
      <c r="X662" s="110">
        <v>12</v>
      </c>
      <c r="Y662" s="110">
        <v>0</v>
      </c>
      <c r="Z662" s="110">
        <v>0</v>
      </c>
      <c r="AA662" s="2">
        <f t="shared" si="164"/>
        <v>1</v>
      </c>
      <c r="AB662" s="2">
        <f t="shared" si="165"/>
        <v>0</v>
      </c>
      <c r="AC662" s="2">
        <f t="shared" si="166"/>
        <v>1</v>
      </c>
      <c r="AD662" s="2">
        <f t="shared" si="167"/>
        <v>1</v>
      </c>
      <c r="AE662" s="2">
        <f t="shared" si="168"/>
        <v>2</v>
      </c>
      <c r="AF662" s="2">
        <f t="shared" si="169"/>
        <v>2</v>
      </c>
      <c r="AG662" s="2">
        <f t="shared" si="170"/>
        <v>2</v>
      </c>
      <c r="AH662" s="2">
        <f t="shared" si="171"/>
        <v>2</v>
      </c>
      <c r="AI662" s="2">
        <f t="shared" si="172"/>
        <v>2</v>
      </c>
      <c r="AJ662" s="2">
        <f t="shared" si="173"/>
        <v>1</v>
      </c>
      <c r="AK662" s="2">
        <f t="shared" si="174"/>
        <v>0</v>
      </c>
      <c r="AL662" s="2">
        <f t="shared" si="175"/>
        <v>0</v>
      </c>
      <c r="AM662" s="115"/>
      <c r="AN662" s="115"/>
      <c r="AO662" s="63"/>
    </row>
    <row r="663" spans="1:41" ht="28.8" x14ac:dyDescent="0.55000000000000004">
      <c r="A663" s="36">
        <v>4849</v>
      </c>
      <c r="B663" s="113" t="s">
        <v>2363</v>
      </c>
      <c r="C663" s="113" t="s">
        <v>2364</v>
      </c>
      <c r="D663" s="114" t="s">
        <v>48</v>
      </c>
      <c r="E663" s="115" t="s">
        <v>2365</v>
      </c>
      <c r="F663" s="116"/>
      <c r="G663" s="113" t="s">
        <v>2366</v>
      </c>
      <c r="H663" s="113" t="s">
        <v>2367</v>
      </c>
      <c r="I663" s="113" t="s">
        <v>2185</v>
      </c>
      <c r="J663" s="117"/>
      <c r="K663" s="118"/>
      <c r="L663" s="109">
        <v>1</v>
      </c>
      <c r="M663" s="109">
        <v>2</v>
      </c>
      <c r="N663" s="109"/>
      <c r="O663" s="119"/>
      <c r="P663" s="2">
        <f t="shared" si="160"/>
        <v>3</v>
      </c>
      <c r="Q663" s="110" t="str">
        <f>IF(AND(Drops!$D$45&gt;1,OR(U663&lt;&gt;U662,AND(ROW()=5,U662=U663))),VLOOKUP(U663,Drops!$D$26:$E$44,2,FALSE),"")</f>
        <v/>
      </c>
      <c r="R663" s="2" t="str">
        <f t="shared" si="161"/>
        <v/>
      </c>
      <c r="S663" s="2">
        <f t="shared" ca="1" si="162"/>
        <v>3</v>
      </c>
      <c r="T663" s="2">
        <f t="shared" si="163"/>
        <v>1</v>
      </c>
      <c r="U663" s="110" t="s">
        <v>2176</v>
      </c>
      <c r="V663" s="110">
        <v>25</v>
      </c>
      <c r="W663" s="110">
        <v>0</v>
      </c>
      <c r="X663" s="110">
        <v>0</v>
      </c>
      <c r="Y663" s="110">
        <v>0</v>
      </c>
      <c r="Z663" s="110">
        <v>0</v>
      </c>
      <c r="AA663" s="2">
        <f t="shared" si="164"/>
        <v>1</v>
      </c>
      <c r="AB663" s="2">
        <f t="shared" si="165"/>
        <v>1</v>
      </c>
      <c r="AC663" s="2">
        <f t="shared" si="166"/>
        <v>3</v>
      </c>
      <c r="AD663" s="2">
        <f t="shared" si="167"/>
        <v>3</v>
      </c>
      <c r="AE663" s="2">
        <f t="shared" si="168"/>
        <v>3</v>
      </c>
      <c r="AF663" s="2">
        <f t="shared" si="169"/>
        <v>3</v>
      </c>
      <c r="AG663" s="2">
        <f t="shared" si="170"/>
        <v>3</v>
      </c>
      <c r="AH663" s="2">
        <f t="shared" si="171"/>
        <v>1</v>
      </c>
      <c r="AI663" s="2">
        <f t="shared" si="172"/>
        <v>2</v>
      </c>
      <c r="AJ663" s="2">
        <f t="shared" si="173"/>
        <v>0</v>
      </c>
      <c r="AK663" s="2">
        <f t="shared" si="174"/>
        <v>0</v>
      </c>
      <c r="AL663" s="2">
        <f t="shared" si="175"/>
        <v>0</v>
      </c>
      <c r="AM663" s="115"/>
      <c r="AN663" s="115"/>
      <c r="AO663" s="63"/>
    </row>
    <row r="664" spans="1:41" ht="28.8" hidden="1" x14ac:dyDescent="0.55000000000000004">
      <c r="A664" s="36">
        <v>4133</v>
      </c>
      <c r="B664" s="113" t="s">
        <v>2368</v>
      </c>
      <c r="C664" s="138" t="s">
        <v>2369</v>
      </c>
      <c r="D664" s="114"/>
      <c r="E664" s="115"/>
      <c r="F664" s="116"/>
      <c r="G664" s="113" t="s">
        <v>2366</v>
      </c>
      <c r="H664" s="113" t="s">
        <v>2367</v>
      </c>
      <c r="I664" s="113" t="s">
        <v>2185</v>
      </c>
      <c r="J664" s="117"/>
      <c r="K664" s="118"/>
      <c r="L664" s="109">
        <v>2</v>
      </c>
      <c r="M664" s="109">
        <v>3</v>
      </c>
      <c r="N664" s="109"/>
      <c r="O664" s="119"/>
      <c r="P664" s="2">
        <f t="shared" si="160"/>
        <v>0</v>
      </c>
      <c r="Q664" s="110" t="str">
        <f>IF(AND(Drops!$D$45&gt;1,OR(U664&lt;&gt;U663,AND(ROW()=5,U663=U664))),VLOOKUP(U664,Drops!$D$26:$E$44,2,FALSE),"")</f>
        <v/>
      </c>
      <c r="R664" s="2" t="str">
        <f t="shared" si="161"/>
        <v/>
      </c>
      <c r="S664" s="2">
        <f t="shared" ca="1" si="162"/>
        <v>3</v>
      </c>
      <c r="T664" s="2">
        <f t="shared" si="163"/>
        <v>0</v>
      </c>
      <c r="U664" s="110" t="s">
        <v>2176</v>
      </c>
      <c r="V664" s="110">
        <v>25</v>
      </c>
      <c r="W664" s="110">
        <v>3</v>
      </c>
      <c r="X664" s="110">
        <v>0</v>
      </c>
      <c r="Y664" s="110">
        <v>0</v>
      </c>
      <c r="Z664" s="110">
        <v>0</v>
      </c>
      <c r="AA664" s="2">
        <f t="shared" si="164"/>
        <v>0</v>
      </c>
      <c r="AB664" s="2">
        <f t="shared" si="165"/>
        <v>0</v>
      </c>
      <c r="AC664" s="2">
        <f t="shared" si="166"/>
        <v>3</v>
      </c>
      <c r="AD664" s="2">
        <f t="shared" si="167"/>
        <v>3</v>
      </c>
      <c r="AE664" s="2">
        <f t="shared" si="168"/>
        <v>3</v>
      </c>
      <c r="AF664" s="2">
        <f t="shared" si="169"/>
        <v>3</v>
      </c>
      <c r="AG664" s="2">
        <f t="shared" si="170"/>
        <v>3</v>
      </c>
      <c r="AH664" s="2">
        <f t="shared" si="171"/>
        <v>0</v>
      </c>
      <c r="AI664" s="2">
        <f t="shared" si="172"/>
        <v>1</v>
      </c>
      <c r="AJ664" s="2">
        <f t="shared" si="173"/>
        <v>0</v>
      </c>
      <c r="AK664" s="2">
        <f t="shared" si="174"/>
        <v>0</v>
      </c>
      <c r="AL664" s="2">
        <f t="shared" si="175"/>
        <v>0</v>
      </c>
      <c r="AM664" s="115"/>
      <c r="AN664" s="115"/>
      <c r="AO664" s="63"/>
    </row>
    <row r="665" spans="1:41" ht="28.8" x14ac:dyDescent="0.55000000000000004">
      <c r="A665" s="36">
        <v>4155</v>
      </c>
      <c r="B665" s="113" t="s">
        <v>2370</v>
      </c>
      <c r="C665" s="138" t="s">
        <v>2371</v>
      </c>
      <c r="D665" s="114" t="s">
        <v>48</v>
      </c>
      <c r="E665" s="115" t="s">
        <v>2365</v>
      </c>
      <c r="F665" s="116"/>
      <c r="G665" s="113" t="s">
        <v>2366</v>
      </c>
      <c r="H665" s="113" t="s">
        <v>2367</v>
      </c>
      <c r="I665" s="113"/>
      <c r="J665" s="117"/>
      <c r="K665" s="118"/>
      <c r="L665" s="109">
        <v>2</v>
      </c>
      <c r="M665" s="109">
        <v>3</v>
      </c>
      <c r="N665" s="109"/>
      <c r="O665" s="119"/>
      <c r="P665" s="2">
        <f t="shared" si="160"/>
        <v>3</v>
      </c>
      <c r="Q665" s="110" t="str">
        <f>IF(AND(Drops!$D$45&gt;1,OR(U665&lt;&gt;U664,AND(ROW()=5,U664=U665))),VLOOKUP(U665,Drops!$D$26:$E$44,2,FALSE),"")</f>
        <v/>
      </c>
      <c r="R665" s="2" t="str">
        <f t="shared" si="161"/>
        <v/>
      </c>
      <c r="S665" s="2">
        <f t="shared" ca="1" si="162"/>
        <v>3</v>
      </c>
      <c r="T665" s="2">
        <f t="shared" si="163"/>
        <v>0</v>
      </c>
      <c r="U665" s="110" t="s">
        <v>2176</v>
      </c>
      <c r="V665" s="110">
        <v>25</v>
      </c>
      <c r="W665" s="110">
        <v>4</v>
      </c>
      <c r="X665" s="110">
        <v>0</v>
      </c>
      <c r="Y665" s="110">
        <v>0</v>
      </c>
      <c r="Z665" s="110">
        <v>0</v>
      </c>
      <c r="AA665" s="2">
        <f t="shared" si="164"/>
        <v>1</v>
      </c>
      <c r="AB665" s="2">
        <f t="shared" si="165"/>
        <v>0</v>
      </c>
      <c r="AC665" s="2">
        <f t="shared" si="166"/>
        <v>3</v>
      </c>
      <c r="AD665" s="2">
        <f t="shared" si="167"/>
        <v>3</v>
      </c>
      <c r="AE665" s="2">
        <f t="shared" si="168"/>
        <v>3</v>
      </c>
      <c r="AF665" s="2">
        <f t="shared" si="169"/>
        <v>3</v>
      </c>
      <c r="AG665" s="2">
        <f t="shared" si="170"/>
        <v>3</v>
      </c>
      <c r="AH665" s="2">
        <f t="shared" si="171"/>
        <v>0</v>
      </c>
      <c r="AI665" s="2">
        <f t="shared" si="172"/>
        <v>1</v>
      </c>
      <c r="AJ665" s="2">
        <f t="shared" si="173"/>
        <v>0</v>
      </c>
      <c r="AK665" s="2">
        <f t="shared" si="174"/>
        <v>0</v>
      </c>
      <c r="AL665" s="2">
        <f t="shared" si="175"/>
        <v>0</v>
      </c>
      <c r="AM665" s="115"/>
      <c r="AN665" s="115"/>
      <c r="AO665" s="63"/>
    </row>
    <row r="666" spans="1:41" ht="28.8" x14ac:dyDescent="0.55000000000000004">
      <c r="A666" s="36">
        <v>4850</v>
      </c>
      <c r="B666" s="113" t="s">
        <v>2372</v>
      </c>
      <c r="C666" s="113" t="s">
        <v>2373</v>
      </c>
      <c r="D666" s="114" t="s">
        <v>52</v>
      </c>
      <c r="E666" s="115"/>
      <c r="F666" s="116"/>
      <c r="G666" s="113" t="s">
        <v>2366</v>
      </c>
      <c r="H666" s="113" t="s">
        <v>2374</v>
      </c>
      <c r="I666" s="113" t="s">
        <v>2185</v>
      </c>
      <c r="J666" s="117"/>
      <c r="K666" s="118"/>
      <c r="L666" s="109">
        <v>1</v>
      </c>
      <c r="M666" s="109">
        <v>3</v>
      </c>
      <c r="N666" s="109"/>
      <c r="O666" s="119"/>
      <c r="P666" s="2">
        <f t="shared" si="160"/>
        <v>1</v>
      </c>
      <c r="Q666" s="110" t="str">
        <f>IF(AND(Drops!$D$45&gt;1,OR(U666&lt;&gt;U665,AND(ROW()=5,U665=U666))),VLOOKUP(U666,Drops!$D$26:$E$44,2,FALSE),"")</f>
        <v/>
      </c>
      <c r="R666" s="2" t="str">
        <f t="shared" si="161"/>
        <v/>
      </c>
      <c r="S666" s="2">
        <f t="shared" ca="1" si="162"/>
        <v>1</v>
      </c>
      <c r="T666" s="2">
        <f t="shared" si="163"/>
        <v>1</v>
      </c>
      <c r="U666" s="110" t="s">
        <v>2176</v>
      </c>
      <c r="V666" s="110">
        <v>26</v>
      </c>
      <c r="W666" s="110">
        <v>0</v>
      </c>
      <c r="X666" s="110">
        <v>0</v>
      </c>
      <c r="Y666" s="110">
        <v>0</v>
      </c>
      <c r="Z666" s="110">
        <v>0</v>
      </c>
      <c r="AA666" s="2">
        <f t="shared" si="164"/>
        <v>1</v>
      </c>
      <c r="AB666" s="2">
        <f t="shared" si="165"/>
        <v>1</v>
      </c>
      <c r="AC666" s="2">
        <f t="shared" si="166"/>
        <v>1</v>
      </c>
      <c r="AD666" s="2">
        <f t="shared" si="167"/>
        <v>0</v>
      </c>
      <c r="AE666" s="2">
        <f t="shared" si="168"/>
        <v>3</v>
      </c>
      <c r="AF666" s="2">
        <f t="shared" si="169"/>
        <v>3</v>
      </c>
      <c r="AG666" s="2">
        <f t="shared" si="170"/>
        <v>3</v>
      </c>
      <c r="AH666" s="2">
        <f t="shared" si="171"/>
        <v>2</v>
      </c>
      <c r="AI666" s="2">
        <f t="shared" si="172"/>
        <v>0</v>
      </c>
      <c r="AJ666" s="2">
        <f t="shared" si="173"/>
        <v>0</v>
      </c>
      <c r="AK666" s="2">
        <f t="shared" si="174"/>
        <v>0</v>
      </c>
      <c r="AL666" s="2">
        <f t="shared" si="175"/>
        <v>0</v>
      </c>
      <c r="AM666" s="115"/>
      <c r="AN666" s="115"/>
      <c r="AO666" s="63"/>
    </row>
    <row r="667" spans="1:41" ht="28.8" x14ac:dyDescent="0.55000000000000004">
      <c r="A667" s="36">
        <v>4851</v>
      </c>
      <c r="B667" s="113" t="s">
        <v>2375</v>
      </c>
      <c r="C667" s="138" t="s">
        <v>2376</v>
      </c>
      <c r="D667" s="114" t="s">
        <v>48</v>
      </c>
      <c r="E667" s="115" t="s">
        <v>2377</v>
      </c>
      <c r="F667" s="116"/>
      <c r="G667" s="113" t="s">
        <v>2366</v>
      </c>
      <c r="H667" s="113" t="s">
        <v>2374</v>
      </c>
      <c r="I667" s="113"/>
      <c r="J667" s="117"/>
      <c r="K667" s="118"/>
      <c r="L667" s="109">
        <v>2</v>
      </c>
      <c r="M667" s="109">
        <v>3</v>
      </c>
      <c r="N667" s="109"/>
      <c r="O667" s="119"/>
      <c r="P667" s="2">
        <f t="shared" si="160"/>
        <v>3</v>
      </c>
      <c r="Q667" s="110" t="str">
        <f>IF(AND(Drops!$D$45&gt;1,OR(U667&lt;&gt;U666,AND(ROW()=5,U666=U667))),VLOOKUP(U667,Drops!$D$26:$E$44,2,FALSE),"")</f>
        <v/>
      </c>
      <c r="R667" s="2" t="str">
        <f t="shared" si="161"/>
        <v/>
      </c>
      <c r="S667" s="2">
        <f t="shared" ca="1" si="162"/>
        <v>3</v>
      </c>
      <c r="T667" s="2">
        <f t="shared" si="163"/>
        <v>0</v>
      </c>
      <c r="U667" s="110" t="s">
        <v>2176</v>
      </c>
      <c r="V667" s="110">
        <v>26</v>
      </c>
      <c r="W667" s="110">
        <v>1</v>
      </c>
      <c r="X667" s="110">
        <v>0</v>
      </c>
      <c r="Y667" s="110">
        <v>0</v>
      </c>
      <c r="Z667" s="110">
        <v>0</v>
      </c>
      <c r="AA667" s="2">
        <f t="shared" si="164"/>
        <v>1</v>
      </c>
      <c r="AB667" s="2">
        <f t="shared" si="165"/>
        <v>0</v>
      </c>
      <c r="AC667" s="2">
        <f t="shared" si="166"/>
        <v>1</v>
      </c>
      <c r="AD667" s="2">
        <f t="shared" si="167"/>
        <v>3</v>
      </c>
      <c r="AE667" s="2">
        <f t="shared" si="168"/>
        <v>3</v>
      </c>
      <c r="AF667" s="2">
        <f t="shared" si="169"/>
        <v>3</v>
      </c>
      <c r="AG667" s="2">
        <f t="shared" si="170"/>
        <v>3</v>
      </c>
      <c r="AH667" s="2">
        <f t="shared" si="171"/>
        <v>2</v>
      </c>
      <c r="AI667" s="2">
        <f t="shared" si="172"/>
        <v>1</v>
      </c>
      <c r="AJ667" s="2">
        <f t="shared" si="173"/>
        <v>0</v>
      </c>
      <c r="AK667" s="2">
        <f t="shared" si="174"/>
        <v>0</v>
      </c>
      <c r="AL667" s="2">
        <f t="shared" si="175"/>
        <v>0</v>
      </c>
      <c r="AM667" s="115"/>
      <c r="AN667" s="115"/>
      <c r="AO667" s="63"/>
    </row>
    <row r="668" spans="1:41" ht="28.8" x14ac:dyDescent="0.55000000000000004">
      <c r="A668" s="36">
        <v>4865</v>
      </c>
      <c r="B668" s="113" t="s">
        <v>2378</v>
      </c>
      <c r="C668" s="113" t="s">
        <v>2379</v>
      </c>
      <c r="D668" s="114" t="s">
        <v>55</v>
      </c>
      <c r="E668" s="115" t="s">
        <v>2380</v>
      </c>
      <c r="F668" s="116"/>
      <c r="G668" s="113" t="s">
        <v>2381</v>
      </c>
      <c r="H668" s="113" t="s">
        <v>1742</v>
      </c>
      <c r="I668" s="113" t="s">
        <v>2185</v>
      </c>
      <c r="J668" s="117"/>
      <c r="K668" s="118"/>
      <c r="L668" s="109">
        <v>1</v>
      </c>
      <c r="M668" s="109">
        <v>3</v>
      </c>
      <c r="N668" s="109"/>
      <c r="O668" s="119"/>
      <c r="P668" s="2">
        <f t="shared" si="160"/>
        <v>2</v>
      </c>
      <c r="Q668" s="110" t="str">
        <f>IF(AND(Drops!$D$45&gt;1,OR(U668&lt;&gt;U667,AND(ROW()=5,U667=U668))),VLOOKUP(U668,Drops!$D$26:$E$44,2,FALSE),"")</f>
        <v/>
      </c>
      <c r="R668" s="2" t="str">
        <f t="shared" si="161"/>
        <v/>
      </c>
      <c r="S668" s="2">
        <f t="shared" ca="1" si="162"/>
        <v>2</v>
      </c>
      <c r="T668" s="2">
        <f t="shared" si="163"/>
        <v>1</v>
      </c>
      <c r="U668" s="110" t="s">
        <v>2176</v>
      </c>
      <c r="V668" s="110">
        <v>31</v>
      </c>
      <c r="W668" s="110">
        <v>0</v>
      </c>
      <c r="X668" s="110">
        <v>0</v>
      </c>
      <c r="Y668" s="110">
        <v>0</v>
      </c>
      <c r="Z668" s="110">
        <v>0</v>
      </c>
      <c r="AA668" s="2">
        <f t="shared" si="164"/>
        <v>1</v>
      </c>
      <c r="AB668" s="2">
        <f t="shared" si="165"/>
        <v>1</v>
      </c>
      <c r="AC668" s="2">
        <f t="shared" si="166"/>
        <v>2</v>
      </c>
      <c r="AD668" s="2">
        <f t="shared" si="167"/>
        <v>2</v>
      </c>
      <c r="AE668" s="2">
        <f t="shared" si="168"/>
        <v>2</v>
      </c>
      <c r="AF668" s="2">
        <f t="shared" si="169"/>
        <v>2</v>
      </c>
      <c r="AG668" s="2">
        <f t="shared" si="170"/>
        <v>2</v>
      </c>
      <c r="AH668" s="2">
        <f t="shared" si="171"/>
        <v>1</v>
      </c>
      <c r="AI668" s="2">
        <f t="shared" si="172"/>
        <v>0</v>
      </c>
      <c r="AJ668" s="2">
        <f t="shared" si="173"/>
        <v>0</v>
      </c>
      <c r="AK668" s="2">
        <f t="shared" si="174"/>
        <v>0</v>
      </c>
      <c r="AL668" s="2">
        <f t="shared" si="175"/>
        <v>0</v>
      </c>
      <c r="AM668" s="115"/>
      <c r="AN668" s="115"/>
      <c r="AO668" s="63"/>
    </row>
    <row r="669" spans="1:41" ht="28.8" x14ac:dyDescent="0.55000000000000004">
      <c r="A669" s="36">
        <v>4131</v>
      </c>
      <c r="B669" s="113" t="s">
        <v>2382</v>
      </c>
      <c r="C669" s="138" t="s">
        <v>2383</v>
      </c>
      <c r="D669" s="114" t="s">
        <v>48</v>
      </c>
      <c r="E669" s="115" t="s">
        <v>2380</v>
      </c>
      <c r="F669" s="116"/>
      <c r="G669" s="113" t="s">
        <v>2381</v>
      </c>
      <c r="H669" s="113" t="s">
        <v>1742</v>
      </c>
      <c r="I669" s="113" t="s">
        <v>2185</v>
      </c>
      <c r="J669" s="117"/>
      <c r="K669" s="118"/>
      <c r="L669" s="109">
        <v>2</v>
      </c>
      <c r="M669" s="109">
        <v>3</v>
      </c>
      <c r="N669" s="109"/>
      <c r="O669" s="119"/>
      <c r="P669" s="2">
        <f t="shared" si="160"/>
        <v>3</v>
      </c>
      <c r="Q669" s="110" t="str">
        <f>IF(AND(Drops!$D$45&gt;1,OR(U669&lt;&gt;U668,AND(ROW()=5,U668=U669))),VLOOKUP(U669,Drops!$D$26:$E$44,2,FALSE),"")</f>
        <v/>
      </c>
      <c r="R669" s="2" t="str">
        <f t="shared" si="161"/>
        <v/>
      </c>
      <c r="S669" s="2">
        <f t="shared" ca="1" si="162"/>
        <v>2</v>
      </c>
      <c r="T669" s="2">
        <f t="shared" si="163"/>
        <v>0</v>
      </c>
      <c r="U669" s="110" t="s">
        <v>2176</v>
      </c>
      <c r="V669" s="110">
        <v>31</v>
      </c>
      <c r="W669" s="110">
        <v>1</v>
      </c>
      <c r="X669" s="110">
        <v>0</v>
      </c>
      <c r="Y669" s="110">
        <v>0</v>
      </c>
      <c r="Z669" s="110">
        <v>0</v>
      </c>
      <c r="AA669" s="2">
        <f t="shared" si="164"/>
        <v>1</v>
      </c>
      <c r="AB669" s="2">
        <f t="shared" si="165"/>
        <v>0</v>
      </c>
      <c r="AC669" s="2">
        <f t="shared" si="166"/>
        <v>2</v>
      </c>
      <c r="AD669" s="2">
        <f t="shared" si="167"/>
        <v>2</v>
      </c>
      <c r="AE669" s="2">
        <f t="shared" si="168"/>
        <v>2</v>
      </c>
      <c r="AF669" s="2">
        <f t="shared" si="169"/>
        <v>2</v>
      </c>
      <c r="AG669" s="2">
        <f t="shared" si="170"/>
        <v>2</v>
      </c>
      <c r="AH669" s="2">
        <f t="shared" si="171"/>
        <v>0</v>
      </c>
      <c r="AI669" s="2">
        <f t="shared" si="172"/>
        <v>1</v>
      </c>
      <c r="AJ669" s="2">
        <f t="shared" si="173"/>
        <v>0</v>
      </c>
      <c r="AK669" s="2">
        <f t="shared" si="174"/>
        <v>0</v>
      </c>
      <c r="AL669" s="2">
        <f t="shared" si="175"/>
        <v>0</v>
      </c>
      <c r="AM669" s="115"/>
      <c r="AN669" s="115"/>
      <c r="AO669" s="63"/>
    </row>
    <row r="670" spans="1:41" ht="28.8" x14ac:dyDescent="0.55000000000000004">
      <c r="A670" s="36">
        <v>4555</v>
      </c>
      <c r="B670" s="113" t="s">
        <v>2384</v>
      </c>
      <c r="C670" s="138" t="s">
        <v>2385</v>
      </c>
      <c r="D670" s="114" t="s">
        <v>48</v>
      </c>
      <c r="E670" s="115" t="s">
        <v>2380</v>
      </c>
      <c r="F670" s="116"/>
      <c r="G670" s="113" t="s">
        <v>2381</v>
      </c>
      <c r="H670" s="113" t="s">
        <v>1742</v>
      </c>
      <c r="I670" s="113" t="s">
        <v>2185</v>
      </c>
      <c r="J670" s="117"/>
      <c r="K670" s="118"/>
      <c r="L670" s="109">
        <v>2</v>
      </c>
      <c r="M670" s="109">
        <v>3</v>
      </c>
      <c r="N670" s="109"/>
      <c r="O670" s="119"/>
      <c r="P670" s="2">
        <f t="shared" si="160"/>
        <v>3</v>
      </c>
      <c r="Q670" s="110" t="str">
        <f>IF(AND(Drops!$D$45&gt;1,OR(U670&lt;&gt;U669,AND(ROW()=5,U669=U670))),VLOOKUP(U670,Drops!$D$26:$E$44,2,FALSE),"")</f>
        <v/>
      </c>
      <c r="R670" s="2" t="str">
        <f t="shared" si="161"/>
        <v/>
      </c>
      <c r="S670" s="2">
        <f t="shared" ca="1" si="162"/>
        <v>2</v>
      </c>
      <c r="T670" s="2">
        <f t="shared" si="163"/>
        <v>0</v>
      </c>
      <c r="U670" s="110" t="s">
        <v>2176</v>
      </c>
      <c r="V670" s="110">
        <v>31</v>
      </c>
      <c r="W670" s="110">
        <v>2</v>
      </c>
      <c r="X670" s="110">
        <v>0</v>
      </c>
      <c r="Y670" s="110">
        <v>0</v>
      </c>
      <c r="Z670" s="110">
        <v>0</v>
      </c>
      <c r="AA670" s="2">
        <f t="shared" si="164"/>
        <v>1</v>
      </c>
      <c r="AB670" s="2">
        <f t="shared" si="165"/>
        <v>0</v>
      </c>
      <c r="AC670" s="2">
        <f t="shared" si="166"/>
        <v>2</v>
      </c>
      <c r="AD670" s="2">
        <f t="shared" si="167"/>
        <v>2</v>
      </c>
      <c r="AE670" s="2">
        <f t="shared" si="168"/>
        <v>2</v>
      </c>
      <c r="AF670" s="2">
        <f t="shared" si="169"/>
        <v>2</v>
      </c>
      <c r="AG670" s="2">
        <f t="shared" si="170"/>
        <v>2</v>
      </c>
      <c r="AH670" s="2">
        <f t="shared" si="171"/>
        <v>0</v>
      </c>
      <c r="AI670" s="2">
        <f t="shared" si="172"/>
        <v>1</v>
      </c>
      <c r="AJ670" s="2">
        <f t="shared" si="173"/>
        <v>0</v>
      </c>
      <c r="AK670" s="2">
        <f t="shared" si="174"/>
        <v>0</v>
      </c>
      <c r="AL670" s="2">
        <f t="shared" si="175"/>
        <v>0</v>
      </c>
      <c r="AM670" s="115"/>
      <c r="AN670" s="115"/>
      <c r="AO670" s="63"/>
    </row>
    <row r="671" spans="1:41" ht="43.2" x14ac:dyDescent="0.55000000000000004">
      <c r="A671" s="36">
        <v>4866</v>
      </c>
      <c r="B671" s="113" t="s">
        <v>2386</v>
      </c>
      <c r="C671" s="138" t="s">
        <v>2387</v>
      </c>
      <c r="D671" s="114" t="s">
        <v>48</v>
      </c>
      <c r="E671" s="115" t="s">
        <v>2380</v>
      </c>
      <c r="F671" s="116"/>
      <c r="G671" s="113" t="s">
        <v>2381</v>
      </c>
      <c r="H671" s="113" t="s">
        <v>1742</v>
      </c>
      <c r="I671" s="113"/>
      <c r="J671" s="117"/>
      <c r="K671" s="118"/>
      <c r="L671" s="109">
        <v>2</v>
      </c>
      <c r="M671" s="109">
        <v>3</v>
      </c>
      <c r="N671" s="109"/>
      <c r="O671" s="119"/>
      <c r="P671" s="2">
        <f t="shared" si="160"/>
        <v>3</v>
      </c>
      <c r="Q671" s="110" t="str">
        <f>IF(AND(Drops!$D$45&gt;1,OR(U671&lt;&gt;U670,AND(ROW()=5,U670=U671))),VLOOKUP(U671,Drops!$D$26:$E$44,2,FALSE),"")</f>
        <v/>
      </c>
      <c r="R671" s="2" t="str">
        <f t="shared" si="161"/>
        <v/>
      </c>
      <c r="S671" s="2">
        <f t="shared" ca="1" si="162"/>
        <v>2</v>
      </c>
      <c r="T671" s="2">
        <f t="shared" si="163"/>
        <v>0</v>
      </c>
      <c r="U671" s="110" t="s">
        <v>2176</v>
      </c>
      <c r="V671" s="110">
        <v>31</v>
      </c>
      <c r="W671" s="110">
        <v>3</v>
      </c>
      <c r="X671" s="110">
        <v>0</v>
      </c>
      <c r="Y671" s="110">
        <v>0</v>
      </c>
      <c r="Z671" s="110">
        <v>0</v>
      </c>
      <c r="AA671" s="2">
        <f t="shared" si="164"/>
        <v>1</v>
      </c>
      <c r="AB671" s="2">
        <f t="shared" si="165"/>
        <v>0</v>
      </c>
      <c r="AC671" s="2">
        <f t="shared" si="166"/>
        <v>2</v>
      </c>
      <c r="AD671" s="2">
        <f t="shared" si="167"/>
        <v>2</v>
      </c>
      <c r="AE671" s="2">
        <f t="shared" si="168"/>
        <v>2</v>
      </c>
      <c r="AF671" s="2">
        <f t="shared" si="169"/>
        <v>2</v>
      </c>
      <c r="AG671" s="2">
        <f t="shared" si="170"/>
        <v>2</v>
      </c>
      <c r="AH671" s="2">
        <f t="shared" si="171"/>
        <v>0</v>
      </c>
      <c r="AI671" s="2">
        <f t="shared" si="172"/>
        <v>1</v>
      </c>
      <c r="AJ671" s="2">
        <f t="shared" si="173"/>
        <v>0</v>
      </c>
      <c r="AK671" s="2">
        <f t="shared" si="174"/>
        <v>0</v>
      </c>
      <c r="AL671" s="2">
        <f t="shared" si="175"/>
        <v>0</v>
      </c>
      <c r="AM671" s="115"/>
      <c r="AN671" s="115"/>
      <c r="AO671" s="63"/>
    </row>
    <row r="672" spans="1:41" ht="57.6" x14ac:dyDescent="0.55000000000000004">
      <c r="A672" s="36">
        <v>4154</v>
      </c>
      <c r="B672" s="113" t="s">
        <v>2388</v>
      </c>
      <c r="C672" s="113" t="s">
        <v>2389</v>
      </c>
      <c r="D672" s="114" t="s">
        <v>48</v>
      </c>
      <c r="E672" s="115" t="s">
        <v>2365</v>
      </c>
      <c r="F672" s="116"/>
      <c r="G672" s="113" t="s">
        <v>2390</v>
      </c>
      <c r="H672" s="113" t="s">
        <v>1742</v>
      </c>
      <c r="I672" s="113"/>
      <c r="J672" s="117"/>
      <c r="K672" s="118"/>
      <c r="L672" s="109">
        <v>1</v>
      </c>
      <c r="M672" s="109">
        <v>1</v>
      </c>
      <c r="N672" s="109"/>
      <c r="O672" s="119"/>
      <c r="P672" s="2">
        <f t="shared" si="160"/>
        <v>3</v>
      </c>
      <c r="Q672" s="110" t="str">
        <f>IF(AND(Drops!$D$45&gt;1,OR(U672&lt;&gt;U671,AND(ROW()=5,U671=U672))),VLOOKUP(U672,Drops!$D$26:$E$44,2,FALSE),"")</f>
        <v/>
      </c>
      <c r="R672" s="2" t="str">
        <f t="shared" si="161"/>
        <v/>
      </c>
      <c r="S672" s="2">
        <f t="shared" ca="1" si="162"/>
        <v>3</v>
      </c>
      <c r="T672" s="2">
        <f t="shared" si="163"/>
        <v>1</v>
      </c>
      <c r="U672" s="110" t="s">
        <v>2176</v>
      </c>
      <c r="V672" s="110">
        <v>32</v>
      </c>
      <c r="W672" s="110">
        <v>0</v>
      </c>
      <c r="X672" s="110">
        <v>0</v>
      </c>
      <c r="Y672" s="110">
        <v>0</v>
      </c>
      <c r="Z672" s="110">
        <v>0</v>
      </c>
      <c r="AA672" s="2">
        <f t="shared" si="164"/>
        <v>1</v>
      </c>
      <c r="AB672" s="2">
        <f t="shared" si="165"/>
        <v>1</v>
      </c>
      <c r="AC672" s="2">
        <f t="shared" si="166"/>
        <v>3</v>
      </c>
      <c r="AD672" s="2">
        <f t="shared" si="167"/>
        <v>3</v>
      </c>
      <c r="AE672" s="2">
        <f t="shared" si="168"/>
        <v>3</v>
      </c>
      <c r="AF672" s="2">
        <f t="shared" si="169"/>
        <v>3</v>
      </c>
      <c r="AG672" s="2">
        <f t="shared" si="170"/>
        <v>3</v>
      </c>
      <c r="AH672" s="2">
        <f t="shared" si="171"/>
        <v>1</v>
      </c>
      <c r="AI672" s="2">
        <f t="shared" si="172"/>
        <v>0</v>
      </c>
      <c r="AJ672" s="2">
        <f t="shared" si="173"/>
        <v>0</v>
      </c>
      <c r="AK672" s="2">
        <f t="shared" si="174"/>
        <v>0</v>
      </c>
      <c r="AL672" s="2">
        <f t="shared" si="175"/>
        <v>0</v>
      </c>
      <c r="AM672" s="115"/>
      <c r="AN672" s="115"/>
      <c r="AO672" s="63"/>
    </row>
    <row r="673" spans="1:41" ht="28.8" hidden="1" x14ac:dyDescent="0.55000000000000004">
      <c r="A673" s="36">
        <v>4867</v>
      </c>
      <c r="B673" s="113" t="s">
        <v>2391</v>
      </c>
      <c r="C673" s="138" t="s">
        <v>2392</v>
      </c>
      <c r="D673" s="114"/>
      <c r="E673" s="115"/>
      <c r="F673" s="116"/>
      <c r="G673" s="113" t="s">
        <v>2390</v>
      </c>
      <c r="H673" s="113" t="s">
        <v>1742</v>
      </c>
      <c r="I673" s="113"/>
      <c r="J673" s="117"/>
      <c r="K673" s="118"/>
      <c r="L673" s="109">
        <v>2</v>
      </c>
      <c r="M673" s="109">
        <v>2</v>
      </c>
      <c r="N673" s="109"/>
      <c r="O673" s="119"/>
      <c r="P673" s="2">
        <f t="shared" si="160"/>
        <v>0</v>
      </c>
      <c r="Q673" s="110" t="str">
        <f>IF(AND(Drops!$D$45&gt;1,OR(U673&lt;&gt;U672,AND(ROW()=5,U672=U673))),VLOOKUP(U673,Drops!$D$26:$E$44,2,FALSE),"")</f>
        <v/>
      </c>
      <c r="R673" s="2" t="str">
        <f t="shared" si="161"/>
        <v/>
      </c>
      <c r="S673" s="2">
        <f t="shared" ca="1" si="162"/>
        <v>3</v>
      </c>
      <c r="T673" s="2">
        <f t="shared" si="163"/>
        <v>0</v>
      </c>
      <c r="U673" s="110" t="s">
        <v>2176</v>
      </c>
      <c r="V673" s="110">
        <v>32</v>
      </c>
      <c r="W673" s="110">
        <v>1</v>
      </c>
      <c r="X673" s="110">
        <v>0</v>
      </c>
      <c r="Y673" s="110">
        <v>0</v>
      </c>
      <c r="Z673" s="110">
        <v>0</v>
      </c>
      <c r="AA673" s="2">
        <f t="shared" si="164"/>
        <v>0</v>
      </c>
      <c r="AB673" s="2">
        <f t="shared" si="165"/>
        <v>0</v>
      </c>
      <c r="AC673" s="2">
        <f t="shared" si="166"/>
        <v>3</v>
      </c>
      <c r="AD673" s="2">
        <f t="shared" si="167"/>
        <v>3</v>
      </c>
      <c r="AE673" s="2">
        <f t="shared" si="168"/>
        <v>3</v>
      </c>
      <c r="AF673" s="2">
        <f t="shared" si="169"/>
        <v>3</v>
      </c>
      <c r="AG673" s="2">
        <f t="shared" si="170"/>
        <v>3</v>
      </c>
      <c r="AH673" s="2">
        <f t="shared" si="171"/>
        <v>0</v>
      </c>
      <c r="AI673" s="2">
        <f t="shared" si="172"/>
        <v>1</v>
      </c>
      <c r="AJ673" s="2">
        <f t="shared" si="173"/>
        <v>0</v>
      </c>
      <c r="AK673" s="2">
        <f t="shared" si="174"/>
        <v>0</v>
      </c>
      <c r="AL673" s="2">
        <f t="shared" si="175"/>
        <v>0</v>
      </c>
      <c r="AM673" s="115"/>
      <c r="AN673" s="115"/>
      <c r="AO673" s="63"/>
    </row>
    <row r="674" spans="1:41" ht="28.8" x14ac:dyDescent="0.55000000000000004">
      <c r="A674" s="36">
        <v>2649</v>
      </c>
      <c r="B674" s="113" t="s">
        <v>2393</v>
      </c>
      <c r="C674" s="138" t="s">
        <v>2394</v>
      </c>
      <c r="D674" s="114" t="s">
        <v>55</v>
      </c>
      <c r="E674" s="115" t="s">
        <v>2365</v>
      </c>
      <c r="F674" s="116"/>
      <c r="G674" s="113" t="s">
        <v>2390</v>
      </c>
      <c r="H674" s="113" t="s">
        <v>2395</v>
      </c>
      <c r="I674" s="113"/>
      <c r="J674" s="117"/>
      <c r="K674" s="118"/>
      <c r="L674" s="109">
        <v>2</v>
      </c>
      <c r="M674" s="109">
        <v>1</v>
      </c>
      <c r="N674" s="109"/>
      <c r="O674" s="119"/>
      <c r="P674" s="2">
        <f t="shared" si="160"/>
        <v>2</v>
      </c>
      <c r="Q674" s="110" t="str">
        <f>IF(AND(Drops!$D$45&gt;1,OR(U674&lt;&gt;U673,AND(ROW()=5,U673=U674))),VLOOKUP(U674,Drops!$D$26:$E$44,2,FALSE),"")</f>
        <v/>
      </c>
      <c r="R674" s="2" t="str">
        <f t="shared" si="161"/>
        <v/>
      </c>
      <c r="S674" s="2">
        <f t="shared" ca="1" si="162"/>
        <v>3</v>
      </c>
      <c r="T674" s="2">
        <f t="shared" si="163"/>
        <v>0</v>
      </c>
      <c r="U674" s="110" t="s">
        <v>2176</v>
      </c>
      <c r="V674" s="110">
        <v>32</v>
      </c>
      <c r="W674" s="110">
        <v>3</v>
      </c>
      <c r="X674" s="110">
        <v>0</v>
      </c>
      <c r="Y674" s="110">
        <v>0</v>
      </c>
      <c r="Z674" s="110">
        <v>0</v>
      </c>
      <c r="AA674" s="2">
        <f t="shared" si="164"/>
        <v>1</v>
      </c>
      <c r="AB674" s="2">
        <f t="shared" si="165"/>
        <v>1</v>
      </c>
      <c r="AC674" s="2">
        <f t="shared" si="166"/>
        <v>3</v>
      </c>
      <c r="AD674" s="2">
        <f t="shared" si="167"/>
        <v>3</v>
      </c>
      <c r="AE674" s="2">
        <f t="shared" si="168"/>
        <v>3</v>
      </c>
      <c r="AF674" s="2">
        <f t="shared" si="169"/>
        <v>3</v>
      </c>
      <c r="AG674" s="2">
        <f t="shared" si="170"/>
        <v>3</v>
      </c>
      <c r="AH674" s="2">
        <f t="shared" si="171"/>
        <v>0</v>
      </c>
      <c r="AI674" s="2">
        <f t="shared" si="172"/>
        <v>1</v>
      </c>
      <c r="AJ674" s="2">
        <f t="shared" si="173"/>
        <v>0</v>
      </c>
      <c r="AK674" s="2">
        <f t="shared" si="174"/>
        <v>0</v>
      </c>
      <c r="AL674" s="2">
        <f t="shared" si="175"/>
        <v>0</v>
      </c>
      <c r="AM674" s="115"/>
      <c r="AN674" s="115"/>
      <c r="AO674" s="63"/>
    </row>
    <row r="675" spans="1:41" ht="43.2" x14ac:dyDescent="0.55000000000000004">
      <c r="A675" s="36">
        <v>2652</v>
      </c>
      <c r="B675" s="113" t="s">
        <v>2396</v>
      </c>
      <c r="C675" s="139" t="s">
        <v>2397</v>
      </c>
      <c r="D675" s="114" t="s">
        <v>48</v>
      </c>
      <c r="E675" s="115" t="s">
        <v>2365</v>
      </c>
      <c r="F675" s="116"/>
      <c r="G675" s="113" t="s">
        <v>2390</v>
      </c>
      <c r="H675" s="113" t="s">
        <v>2395</v>
      </c>
      <c r="I675" s="113"/>
      <c r="J675" s="117"/>
      <c r="K675" s="118"/>
      <c r="L675" s="109">
        <v>3</v>
      </c>
      <c r="M675" s="109">
        <v>2</v>
      </c>
      <c r="N675" s="109"/>
      <c r="O675" s="119"/>
      <c r="P675" s="2">
        <f t="shared" si="160"/>
        <v>3</v>
      </c>
      <c r="Q675" s="110" t="str">
        <f>IF(AND(Drops!$D$45&gt;1,OR(U675&lt;&gt;U674,AND(ROW()=5,U674=U675))),VLOOKUP(U675,Drops!$D$26:$E$44,2,FALSE),"")</f>
        <v/>
      </c>
      <c r="R675" s="2" t="str">
        <f t="shared" si="161"/>
        <v/>
      </c>
      <c r="S675" s="2">
        <f t="shared" ca="1" si="162"/>
        <v>3</v>
      </c>
      <c r="T675" s="2">
        <f t="shared" si="163"/>
        <v>0</v>
      </c>
      <c r="U675" s="110" t="s">
        <v>2176</v>
      </c>
      <c r="V675" s="110">
        <v>32</v>
      </c>
      <c r="W675" s="110">
        <v>3</v>
      </c>
      <c r="X675" s="110">
        <v>2</v>
      </c>
      <c r="Y675" s="110">
        <v>0</v>
      </c>
      <c r="Z675" s="110">
        <v>0</v>
      </c>
      <c r="AA675" s="2">
        <f t="shared" si="164"/>
        <v>1</v>
      </c>
      <c r="AB675" s="2">
        <f t="shared" si="165"/>
        <v>0</v>
      </c>
      <c r="AC675" s="2">
        <f t="shared" si="166"/>
        <v>3</v>
      </c>
      <c r="AD675" s="2">
        <f t="shared" si="167"/>
        <v>3</v>
      </c>
      <c r="AE675" s="2">
        <f t="shared" si="168"/>
        <v>3</v>
      </c>
      <c r="AF675" s="2">
        <f t="shared" si="169"/>
        <v>3</v>
      </c>
      <c r="AG675" s="2">
        <f t="shared" si="170"/>
        <v>3</v>
      </c>
      <c r="AH675" s="2">
        <f t="shared" si="171"/>
        <v>0</v>
      </c>
      <c r="AI675" s="2">
        <f t="shared" si="172"/>
        <v>0</v>
      </c>
      <c r="AJ675" s="2">
        <f t="shared" si="173"/>
        <v>1</v>
      </c>
      <c r="AK675" s="2">
        <f t="shared" si="174"/>
        <v>0</v>
      </c>
      <c r="AL675" s="2">
        <f t="shared" si="175"/>
        <v>0</v>
      </c>
      <c r="AM675" s="115"/>
      <c r="AN675" s="115"/>
      <c r="AO675" s="63"/>
    </row>
    <row r="676" spans="1:41" ht="43.2" hidden="1" x14ac:dyDescent="0.55000000000000004">
      <c r="A676" s="36">
        <v>4876</v>
      </c>
      <c r="B676" s="113" t="s">
        <v>2398</v>
      </c>
      <c r="C676" s="138" t="s">
        <v>2399</v>
      </c>
      <c r="D676" s="114"/>
      <c r="E676" s="115"/>
      <c r="F676" s="116"/>
      <c r="G676" s="113" t="s">
        <v>2390</v>
      </c>
      <c r="H676" s="113" t="s">
        <v>2400</v>
      </c>
      <c r="I676" s="113"/>
      <c r="J676" s="117"/>
      <c r="K676" s="118"/>
      <c r="L676" s="109">
        <v>2</v>
      </c>
      <c r="M676" s="109">
        <v>3</v>
      </c>
      <c r="N676" s="109"/>
      <c r="O676" s="119"/>
      <c r="P676" s="2">
        <f t="shared" si="160"/>
        <v>0</v>
      </c>
      <c r="Q676" s="110" t="str">
        <f>IF(AND(Drops!$D$45&gt;1,OR(U676&lt;&gt;U675,AND(ROW()=5,U675=U676))),VLOOKUP(U676,Drops!$D$26:$E$44,2,FALSE),"")</f>
        <v/>
      </c>
      <c r="R676" s="2" t="str">
        <f t="shared" si="161"/>
        <v/>
      </c>
      <c r="S676" s="2">
        <f t="shared" ca="1" si="162"/>
        <v>3</v>
      </c>
      <c r="T676" s="2">
        <f t="shared" si="163"/>
        <v>0</v>
      </c>
      <c r="U676" s="110" t="s">
        <v>2176</v>
      </c>
      <c r="V676" s="110">
        <v>32</v>
      </c>
      <c r="W676" s="110">
        <v>4</v>
      </c>
      <c r="X676" s="110">
        <v>0</v>
      </c>
      <c r="Y676" s="110">
        <v>0</v>
      </c>
      <c r="Z676" s="110">
        <v>0</v>
      </c>
      <c r="AA676" s="2">
        <f t="shared" si="164"/>
        <v>0</v>
      </c>
      <c r="AB676" s="2">
        <f t="shared" si="165"/>
        <v>1</v>
      </c>
      <c r="AC676" s="2">
        <f t="shared" si="166"/>
        <v>3</v>
      </c>
      <c r="AD676" s="2">
        <f t="shared" si="167"/>
        <v>3</v>
      </c>
      <c r="AE676" s="2">
        <f t="shared" si="168"/>
        <v>3</v>
      </c>
      <c r="AF676" s="2">
        <f t="shared" si="169"/>
        <v>3</v>
      </c>
      <c r="AG676" s="2">
        <f t="shared" si="170"/>
        <v>3</v>
      </c>
      <c r="AH676" s="2">
        <f t="shared" si="171"/>
        <v>0</v>
      </c>
      <c r="AI676" s="2">
        <f t="shared" si="172"/>
        <v>1</v>
      </c>
      <c r="AJ676" s="2">
        <f t="shared" si="173"/>
        <v>0</v>
      </c>
      <c r="AK676" s="2">
        <f t="shared" si="174"/>
        <v>0</v>
      </c>
      <c r="AL676" s="2">
        <f t="shared" si="175"/>
        <v>0</v>
      </c>
      <c r="AM676" s="115"/>
      <c r="AN676" s="115"/>
      <c r="AO676" s="63"/>
    </row>
    <row r="677" spans="1:41" ht="28.8" hidden="1" x14ac:dyDescent="0.55000000000000004">
      <c r="A677" s="36">
        <v>4877</v>
      </c>
      <c r="B677" s="113" t="s">
        <v>2401</v>
      </c>
      <c r="C677" s="139" t="s">
        <v>2402</v>
      </c>
      <c r="D677" s="114"/>
      <c r="E677" s="115"/>
      <c r="F677" s="116"/>
      <c r="G677" s="113" t="s">
        <v>2390</v>
      </c>
      <c r="H677" s="113" t="s">
        <v>2400</v>
      </c>
      <c r="I677" s="113"/>
      <c r="J677" s="117"/>
      <c r="K677" s="118"/>
      <c r="L677" s="109">
        <v>3</v>
      </c>
      <c r="M677" s="109">
        <v>3</v>
      </c>
      <c r="N677" s="109"/>
      <c r="O677" s="119"/>
      <c r="P677" s="2">
        <f t="shared" si="160"/>
        <v>0</v>
      </c>
      <c r="Q677" s="110" t="str">
        <f>IF(AND(Drops!$D$45&gt;1,OR(U677&lt;&gt;U676,AND(ROW()=5,U676=U677))),VLOOKUP(U677,Drops!$D$26:$E$44,2,FALSE),"")</f>
        <v/>
      </c>
      <c r="R677" s="2" t="str">
        <f t="shared" si="161"/>
        <v/>
      </c>
      <c r="S677" s="2">
        <f t="shared" ca="1" si="162"/>
        <v>3</v>
      </c>
      <c r="T677" s="2">
        <f t="shared" si="163"/>
        <v>0</v>
      </c>
      <c r="U677" s="110" t="s">
        <v>2176</v>
      </c>
      <c r="V677" s="110">
        <v>32</v>
      </c>
      <c r="W677" s="110">
        <v>4</v>
      </c>
      <c r="X677" s="110">
        <v>1</v>
      </c>
      <c r="Y677" s="110">
        <v>0</v>
      </c>
      <c r="Z677" s="110">
        <v>0</v>
      </c>
      <c r="AA677" s="2">
        <f t="shared" si="164"/>
        <v>0</v>
      </c>
      <c r="AB677" s="2">
        <f t="shared" si="165"/>
        <v>0</v>
      </c>
      <c r="AC677" s="2">
        <f t="shared" si="166"/>
        <v>3</v>
      </c>
      <c r="AD677" s="2">
        <f t="shared" si="167"/>
        <v>3</v>
      </c>
      <c r="AE677" s="2">
        <f t="shared" si="168"/>
        <v>3</v>
      </c>
      <c r="AF677" s="2">
        <f t="shared" si="169"/>
        <v>3</v>
      </c>
      <c r="AG677" s="2">
        <f t="shared" si="170"/>
        <v>3</v>
      </c>
      <c r="AH677" s="2">
        <f t="shared" si="171"/>
        <v>0</v>
      </c>
      <c r="AI677" s="2">
        <f t="shared" si="172"/>
        <v>0</v>
      </c>
      <c r="AJ677" s="2">
        <f t="shared" si="173"/>
        <v>1</v>
      </c>
      <c r="AK677" s="2">
        <f t="shared" si="174"/>
        <v>0</v>
      </c>
      <c r="AL677" s="2">
        <f t="shared" si="175"/>
        <v>0</v>
      </c>
      <c r="AM677" s="115"/>
      <c r="AN677" s="115"/>
      <c r="AO677" s="63"/>
    </row>
    <row r="678" spans="1:41" ht="72" x14ac:dyDescent="0.55000000000000004">
      <c r="A678" s="36">
        <v>2837</v>
      </c>
      <c r="B678" s="113" t="s">
        <v>2403</v>
      </c>
      <c r="C678" s="113" t="s">
        <v>2404</v>
      </c>
      <c r="D678" s="114" t="s">
        <v>52</v>
      </c>
      <c r="E678" s="115" t="s">
        <v>2405</v>
      </c>
      <c r="F678" s="116"/>
      <c r="G678" s="113" t="s">
        <v>2406</v>
      </c>
      <c r="H678" s="113" t="s">
        <v>1742</v>
      </c>
      <c r="I678" s="113" t="s">
        <v>2185</v>
      </c>
      <c r="J678" s="117" t="s">
        <v>2407</v>
      </c>
      <c r="K678" s="118"/>
      <c r="L678" s="109">
        <v>1</v>
      </c>
      <c r="M678" s="109">
        <v>3</v>
      </c>
      <c r="N678" s="109"/>
      <c r="O678" s="119"/>
      <c r="P678" s="2">
        <f t="shared" si="160"/>
        <v>1</v>
      </c>
      <c r="Q678" s="110" t="str">
        <f>IF(AND(Drops!$D$45&gt;1,OR(U678&lt;&gt;U677,AND(ROW()=5,U677=U678))),VLOOKUP(U678,Drops!$D$26:$E$44,2,FALSE),"")</f>
        <v/>
      </c>
      <c r="R678" s="2" t="str">
        <f t="shared" si="161"/>
        <v/>
      </c>
      <c r="S678" s="2">
        <f t="shared" ca="1" si="162"/>
        <v>1</v>
      </c>
      <c r="T678" s="2">
        <f t="shared" si="163"/>
        <v>1</v>
      </c>
      <c r="U678" s="110" t="s">
        <v>2176</v>
      </c>
      <c r="V678" s="110">
        <v>33</v>
      </c>
      <c r="W678" s="110">
        <v>0</v>
      </c>
      <c r="X678" s="110">
        <v>0</v>
      </c>
      <c r="Y678" s="110">
        <v>0</v>
      </c>
      <c r="Z678" s="110">
        <v>0</v>
      </c>
      <c r="AA678" s="2">
        <f t="shared" si="164"/>
        <v>1</v>
      </c>
      <c r="AB678" s="2">
        <f t="shared" si="165"/>
        <v>1</v>
      </c>
      <c r="AC678" s="2">
        <f t="shared" si="166"/>
        <v>1</v>
      </c>
      <c r="AD678" s="2">
        <f t="shared" si="167"/>
        <v>0</v>
      </c>
      <c r="AE678" s="2">
        <f t="shared" si="168"/>
        <v>0</v>
      </c>
      <c r="AF678" s="2">
        <f t="shared" si="169"/>
        <v>3</v>
      </c>
      <c r="AG678" s="2">
        <f t="shared" si="170"/>
        <v>3</v>
      </c>
      <c r="AH678" s="2">
        <f t="shared" si="171"/>
        <v>2</v>
      </c>
      <c r="AI678" s="2">
        <f t="shared" si="172"/>
        <v>0</v>
      </c>
      <c r="AJ678" s="2">
        <f t="shared" si="173"/>
        <v>0</v>
      </c>
      <c r="AK678" s="2">
        <f t="shared" si="174"/>
        <v>0</v>
      </c>
      <c r="AL678" s="2">
        <f t="shared" si="175"/>
        <v>0</v>
      </c>
      <c r="AM678" s="115"/>
      <c r="AN678" s="115"/>
      <c r="AO678" s="63"/>
    </row>
    <row r="679" spans="1:41" ht="43.2" x14ac:dyDescent="0.55000000000000004">
      <c r="A679" s="36">
        <v>4884</v>
      </c>
      <c r="B679" s="113" t="s">
        <v>2408</v>
      </c>
      <c r="C679" s="138" t="s">
        <v>2409</v>
      </c>
      <c r="D679" s="114" t="s">
        <v>52</v>
      </c>
      <c r="E679" s="115"/>
      <c r="F679" s="116"/>
      <c r="G679" s="113" t="s">
        <v>2406</v>
      </c>
      <c r="H679" s="113" t="s">
        <v>2410</v>
      </c>
      <c r="I679" s="113"/>
      <c r="J679" s="117" t="s">
        <v>2411</v>
      </c>
      <c r="K679" s="118"/>
      <c r="L679" s="109">
        <v>2</v>
      </c>
      <c r="M679" s="109">
        <v>3</v>
      </c>
      <c r="N679" s="109"/>
      <c r="O679" s="119"/>
      <c r="P679" s="2">
        <f t="shared" si="160"/>
        <v>1</v>
      </c>
      <c r="Q679" s="110" t="str">
        <f>IF(AND(Drops!$D$45&gt;1,OR(U679&lt;&gt;U678,AND(ROW()=5,U678=U679))),VLOOKUP(U679,Drops!$D$26:$E$44,2,FALSE),"")</f>
        <v/>
      </c>
      <c r="R679" s="2" t="str">
        <f t="shared" si="161"/>
        <v/>
      </c>
      <c r="S679" s="2">
        <f t="shared" ca="1" si="162"/>
        <v>1</v>
      </c>
      <c r="T679" s="2">
        <f t="shared" si="163"/>
        <v>0</v>
      </c>
      <c r="U679" s="110" t="s">
        <v>2176</v>
      </c>
      <c r="V679" s="110">
        <v>33</v>
      </c>
      <c r="W679" s="110">
        <v>2</v>
      </c>
      <c r="X679" s="110">
        <v>0</v>
      </c>
      <c r="Y679" s="110">
        <v>0</v>
      </c>
      <c r="Z679" s="110">
        <v>0</v>
      </c>
      <c r="AA679" s="2">
        <f t="shared" si="164"/>
        <v>1</v>
      </c>
      <c r="AB679" s="2">
        <f t="shared" si="165"/>
        <v>0</v>
      </c>
      <c r="AC679" s="2">
        <f t="shared" si="166"/>
        <v>1</v>
      </c>
      <c r="AD679" s="2">
        <f t="shared" si="167"/>
        <v>1</v>
      </c>
      <c r="AE679" s="2">
        <f t="shared" si="168"/>
        <v>0</v>
      </c>
      <c r="AF679" s="2">
        <f t="shared" si="169"/>
        <v>3</v>
      </c>
      <c r="AG679" s="2">
        <f t="shared" si="170"/>
        <v>3</v>
      </c>
      <c r="AH679" s="2">
        <f t="shared" si="171"/>
        <v>2</v>
      </c>
      <c r="AI679" s="2">
        <f t="shared" si="172"/>
        <v>2</v>
      </c>
      <c r="AJ679" s="2">
        <f t="shared" si="173"/>
        <v>0</v>
      </c>
      <c r="AK679" s="2">
        <f t="shared" si="174"/>
        <v>0</v>
      </c>
      <c r="AL679" s="2">
        <f t="shared" si="175"/>
        <v>0</v>
      </c>
      <c r="AM679" s="115"/>
      <c r="AN679" s="115"/>
      <c r="AO679" s="63"/>
    </row>
    <row r="680" spans="1:41" ht="28.8" x14ac:dyDescent="0.55000000000000004">
      <c r="A680" s="36">
        <v>4885</v>
      </c>
      <c r="B680" s="113" t="s">
        <v>2412</v>
      </c>
      <c r="C680" s="113" t="s">
        <v>2413</v>
      </c>
      <c r="D680" s="114" t="s">
        <v>55</v>
      </c>
      <c r="E680" s="115"/>
      <c r="F680" s="116"/>
      <c r="G680" s="113" t="s">
        <v>2414</v>
      </c>
      <c r="H680" s="113" t="s">
        <v>1742</v>
      </c>
      <c r="I680" s="113"/>
      <c r="J680" s="117"/>
      <c r="K680" s="118"/>
      <c r="L680" s="109">
        <v>1</v>
      </c>
      <c r="M680" s="109">
        <v>2</v>
      </c>
      <c r="N680" s="109"/>
      <c r="O680" s="119"/>
      <c r="P680" s="2">
        <f t="shared" si="160"/>
        <v>2</v>
      </c>
      <c r="Q680" s="110" t="str">
        <f>IF(AND(Drops!$D$45&gt;1,OR(U680&lt;&gt;U679,AND(ROW()=5,U679=U680))),VLOOKUP(U680,Drops!$D$26:$E$44,2,FALSE),"")</f>
        <v/>
      </c>
      <c r="R680" s="2" t="str">
        <f t="shared" si="161"/>
        <v/>
      </c>
      <c r="S680" s="2">
        <f t="shared" ca="1" si="162"/>
        <v>2</v>
      </c>
      <c r="T680" s="2">
        <f t="shared" si="163"/>
        <v>1</v>
      </c>
      <c r="U680" s="110" t="s">
        <v>2176</v>
      </c>
      <c r="V680" s="110">
        <v>34</v>
      </c>
      <c r="W680" s="110">
        <v>0</v>
      </c>
      <c r="X680" s="110">
        <v>0</v>
      </c>
      <c r="Y680" s="110">
        <v>0</v>
      </c>
      <c r="Z680" s="110">
        <v>0</v>
      </c>
      <c r="AA680" s="2">
        <f t="shared" si="164"/>
        <v>1</v>
      </c>
      <c r="AB680" s="2">
        <f t="shared" si="165"/>
        <v>1</v>
      </c>
      <c r="AC680" s="2">
        <f t="shared" si="166"/>
        <v>2</v>
      </c>
      <c r="AD680" s="2">
        <f t="shared" si="167"/>
        <v>2</v>
      </c>
      <c r="AE680" s="2">
        <f t="shared" si="168"/>
        <v>2</v>
      </c>
      <c r="AF680" s="2">
        <f t="shared" si="169"/>
        <v>2</v>
      </c>
      <c r="AG680" s="2">
        <f t="shared" si="170"/>
        <v>2</v>
      </c>
      <c r="AH680" s="2">
        <f t="shared" si="171"/>
        <v>1</v>
      </c>
      <c r="AI680" s="2">
        <f t="shared" si="172"/>
        <v>2</v>
      </c>
      <c r="AJ680" s="2">
        <f t="shared" si="173"/>
        <v>0</v>
      </c>
      <c r="AK680" s="2">
        <f t="shared" si="174"/>
        <v>0</v>
      </c>
      <c r="AL680" s="2">
        <f t="shared" si="175"/>
        <v>0</v>
      </c>
      <c r="AM680" s="115"/>
      <c r="AN680" s="115"/>
      <c r="AO680" s="63"/>
    </row>
    <row r="681" spans="1:41" ht="43.2" hidden="1" x14ac:dyDescent="0.55000000000000004">
      <c r="A681" s="36">
        <v>4894</v>
      </c>
      <c r="B681" s="113" t="s">
        <v>2415</v>
      </c>
      <c r="C681" s="138" t="s">
        <v>2416</v>
      </c>
      <c r="D681" s="114"/>
      <c r="E681" s="115"/>
      <c r="F681" s="116"/>
      <c r="G681" s="113" t="s">
        <v>2414</v>
      </c>
      <c r="H681" s="113" t="s">
        <v>2417</v>
      </c>
      <c r="I681" s="113"/>
      <c r="J681" s="117" t="s">
        <v>2188</v>
      </c>
      <c r="K681" s="118"/>
      <c r="L681" s="109">
        <v>2</v>
      </c>
      <c r="M681" s="109">
        <v>3</v>
      </c>
      <c r="N681" s="109"/>
      <c r="O681" s="119"/>
      <c r="P681" s="2">
        <f t="shared" si="160"/>
        <v>0</v>
      </c>
      <c r="Q681" s="110" t="str">
        <f>IF(AND(Drops!$D$45&gt;1,OR(U681&lt;&gt;U680,AND(ROW()=5,U680=U681))),VLOOKUP(U681,Drops!$D$26:$E$44,2,FALSE),"")</f>
        <v/>
      </c>
      <c r="R681" s="2" t="str">
        <f t="shared" si="161"/>
        <v/>
      </c>
      <c r="S681" s="2">
        <f t="shared" ca="1" si="162"/>
        <v>2</v>
      </c>
      <c r="T681" s="2">
        <f t="shared" si="163"/>
        <v>0</v>
      </c>
      <c r="U681" s="110" t="s">
        <v>2176</v>
      </c>
      <c r="V681" s="110">
        <v>34</v>
      </c>
      <c r="W681" s="110">
        <v>7</v>
      </c>
      <c r="X681" s="110">
        <v>0</v>
      </c>
      <c r="Y681" s="110">
        <v>0</v>
      </c>
      <c r="Z681" s="110">
        <v>0</v>
      </c>
      <c r="AA681" s="2">
        <f t="shared" si="164"/>
        <v>0</v>
      </c>
      <c r="AB681" s="2">
        <f t="shared" si="165"/>
        <v>0</v>
      </c>
      <c r="AC681" s="2">
        <f t="shared" si="166"/>
        <v>2</v>
      </c>
      <c r="AD681" s="2">
        <f t="shared" si="167"/>
        <v>2</v>
      </c>
      <c r="AE681" s="2">
        <f t="shared" si="168"/>
        <v>2</v>
      </c>
      <c r="AF681" s="2">
        <f t="shared" si="169"/>
        <v>2</v>
      </c>
      <c r="AG681" s="2">
        <f t="shared" si="170"/>
        <v>2</v>
      </c>
      <c r="AH681" s="2">
        <f t="shared" si="171"/>
        <v>0</v>
      </c>
      <c r="AI681" s="2">
        <f t="shared" si="172"/>
        <v>1</v>
      </c>
      <c r="AJ681" s="2">
        <f t="shared" si="173"/>
        <v>0</v>
      </c>
      <c r="AK681" s="2">
        <f t="shared" si="174"/>
        <v>0</v>
      </c>
      <c r="AL681" s="2">
        <f t="shared" si="175"/>
        <v>0</v>
      </c>
      <c r="AM681" s="115"/>
      <c r="AN681" s="115"/>
      <c r="AO681" s="63"/>
    </row>
    <row r="682" spans="1:41" ht="28.8" hidden="1" x14ac:dyDescent="0.55000000000000004">
      <c r="A682" s="36">
        <v>3905</v>
      </c>
      <c r="B682" s="113" t="s">
        <v>2418</v>
      </c>
      <c r="C682" s="138" t="s">
        <v>2419</v>
      </c>
      <c r="D682" s="114"/>
      <c r="E682" s="115"/>
      <c r="F682" s="116"/>
      <c r="G682" s="113" t="s">
        <v>2414</v>
      </c>
      <c r="H682" s="113" t="s">
        <v>2420</v>
      </c>
      <c r="I682" s="113"/>
      <c r="J682" s="117"/>
      <c r="K682" s="118"/>
      <c r="L682" s="109">
        <v>2</v>
      </c>
      <c r="M682" s="109">
        <v>2</v>
      </c>
      <c r="N682" s="109"/>
      <c r="O682" s="119"/>
      <c r="P682" s="2">
        <f t="shared" si="160"/>
        <v>0</v>
      </c>
      <c r="Q682" s="110" t="str">
        <f>IF(AND(Drops!$D$45&gt;1,OR(U682&lt;&gt;U681,AND(ROW()=5,U681=U682))),VLOOKUP(U682,Drops!$D$26:$E$44,2,FALSE),"")</f>
        <v/>
      </c>
      <c r="R682" s="2" t="str">
        <f t="shared" si="161"/>
        <v/>
      </c>
      <c r="S682" s="2">
        <f t="shared" ca="1" si="162"/>
        <v>2</v>
      </c>
      <c r="T682" s="2">
        <f t="shared" si="163"/>
        <v>0</v>
      </c>
      <c r="U682" s="110" t="s">
        <v>2176</v>
      </c>
      <c r="V682" s="110">
        <v>34</v>
      </c>
      <c r="W682" s="110">
        <v>10</v>
      </c>
      <c r="X682" s="110">
        <v>0</v>
      </c>
      <c r="Y682" s="110">
        <v>0</v>
      </c>
      <c r="Z682" s="110">
        <v>0</v>
      </c>
      <c r="AA682" s="2">
        <f t="shared" si="164"/>
        <v>0</v>
      </c>
      <c r="AB682" s="2">
        <f t="shared" si="165"/>
        <v>1</v>
      </c>
      <c r="AC682" s="2">
        <f t="shared" si="166"/>
        <v>2</v>
      </c>
      <c r="AD682" s="2">
        <f t="shared" si="167"/>
        <v>2</v>
      </c>
      <c r="AE682" s="2">
        <f t="shared" si="168"/>
        <v>2</v>
      </c>
      <c r="AF682" s="2">
        <f t="shared" si="169"/>
        <v>2</v>
      </c>
      <c r="AG682" s="2">
        <f t="shared" si="170"/>
        <v>2</v>
      </c>
      <c r="AH682" s="2">
        <f t="shared" si="171"/>
        <v>0</v>
      </c>
      <c r="AI682" s="2">
        <f t="shared" si="172"/>
        <v>1</v>
      </c>
      <c r="AJ682" s="2">
        <f t="shared" si="173"/>
        <v>0</v>
      </c>
      <c r="AK682" s="2">
        <f t="shared" si="174"/>
        <v>0</v>
      </c>
      <c r="AL682" s="2">
        <f t="shared" si="175"/>
        <v>0</v>
      </c>
      <c r="AM682" s="115"/>
      <c r="AN682" s="115"/>
      <c r="AO682" s="63"/>
    </row>
    <row r="683" spans="1:41" ht="28.8" hidden="1" x14ac:dyDescent="0.55000000000000004">
      <c r="A683" s="36">
        <v>5654</v>
      </c>
      <c r="B683" s="113" t="s">
        <v>2421</v>
      </c>
      <c r="C683" s="139" t="s">
        <v>2422</v>
      </c>
      <c r="D683" s="114"/>
      <c r="E683" s="115"/>
      <c r="F683" s="116"/>
      <c r="G683" s="113" t="s">
        <v>2414</v>
      </c>
      <c r="H683" s="113" t="s">
        <v>2420</v>
      </c>
      <c r="I683" s="113"/>
      <c r="J683" s="117"/>
      <c r="K683" s="118"/>
      <c r="L683" s="109">
        <v>3</v>
      </c>
      <c r="M683" s="109">
        <v>3</v>
      </c>
      <c r="N683" s="109"/>
      <c r="O683" s="119"/>
      <c r="P683" s="2">
        <f t="shared" si="160"/>
        <v>0</v>
      </c>
      <c r="Q683" s="110" t="str">
        <f>IF(AND(Drops!$D$45&gt;1,OR(U683&lt;&gt;U682,AND(ROW()=5,U682=U683))),VLOOKUP(U683,Drops!$D$26:$E$44,2,FALSE),"")</f>
        <v/>
      </c>
      <c r="R683" s="2" t="str">
        <f t="shared" si="161"/>
        <v/>
      </c>
      <c r="S683" s="2">
        <f t="shared" ca="1" si="162"/>
        <v>2</v>
      </c>
      <c r="T683" s="2">
        <f t="shared" si="163"/>
        <v>0</v>
      </c>
      <c r="U683" s="110" t="s">
        <v>2176</v>
      </c>
      <c r="V683" s="110">
        <v>34</v>
      </c>
      <c r="W683" s="110">
        <v>10</v>
      </c>
      <c r="X683" s="110">
        <v>1</v>
      </c>
      <c r="Y683" s="110">
        <v>0</v>
      </c>
      <c r="Z683" s="110">
        <v>0</v>
      </c>
      <c r="AA683" s="2">
        <f t="shared" si="164"/>
        <v>0</v>
      </c>
      <c r="AB683" s="2">
        <f t="shared" si="165"/>
        <v>0</v>
      </c>
      <c r="AC683" s="2">
        <f t="shared" si="166"/>
        <v>2</v>
      </c>
      <c r="AD683" s="2">
        <f t="shared" si="167"/>
        <v>2</v>
      </c>
      <c r="AE683" s="2">
        <f t="shared" si="168"/>
        <v>2</v>
      </c>
      <c r="AF683" s="2">
        <f t="shared" si="169"/>
        <v>2</v>
      </c>
      <c r="AG683" s="2">
        <f t="shared" si="170"/>
        <v>2</v>
      </c>
      <c r="AH683" s="2">
        <f t="shared" si="171"/>
        <v>0</v>
      </c>
      <c r="AI683" s="2">
        <f t="shared" si="172"/>
        <v>0</v>
      </c>
      <c r="AJ683" s="2">
        <f t="shared" si="173"/>
        <v>1</v>
      </c>
      <c r="AK683" s="2">
        <f t="shared" si="174"/>
        <v>0</v>
      </c>
      <c r="AL683" s="2">
        <f t="shared" si="175"/>
        <v>0</v>
      </c>
      <c r="AM683" s="115"/>
      <c r="AN683" s="115"/>
      <c r="AO683" s="63"/>
    </row>
    <row r="684" spans="1:41" ht="43.2" hidden="1" x14ac:dyDescent="0.55000000000000004">
      <c r="A684" s="36">
        <v>4901</v>
      </c>
      <c r="B684" s="113" t="s">
        <v>2423</v>
      </c>
      <c r="C684" s="138" t="s">
        <v>2424</v>
      </c>
      <c r="D684" s="114"/>
      <c r="E684" s="115"/>
      <c r="F684" s="116"/>
      <c r="G684" s="113" t="s">
        <v>2414</v>
      </c>
      <c r="H684" s="113" t="s">
        <v>2425</v>
      </c>
      <c r="I684" s="113"/>
      <c r="J684" s="117"/>
      <c r="K684" s="118"/>
      <c r="L684" s="109">
        <v>2</v>
      </c>
      <c r="M684" s="109">
        <v>2</v>
      </c>
      <c r="N684" s="109"/>
      <c r="O684" s="119"/>
      <c r="P684" s="2">
        <f t="shared" si="160"/>
        <v>0</v>
      </c>
      <c r="Q684" s="110" t="str">
        <f>IF(AND(Drops!$D$45&gt;1,OR(U684&lt;&gt;U683,AND(ROW()=5,U683=U684))),VLOOKUP(U684,Drops!$D$26:$E$44,2,FALSE),"")</f>
        <v/>
      </c>
      <c r="R684" s="2" t="str">
        <f t="shared" si="161"/>
        <v/>
      </c>
      <c r="S684" s="2">
        <f t="shared" ca="1" si="162"/>
        <v>2</v>
      </c>
      <c r="T684" s="2">
        <f t="shared" si="163"/>
        <v>0</v>
      </c>
      <c r="U684" s="110" t="s">
        <v>2176</v>
      </c>
      <c r="V684" s="110">
        <v>34</v>
      </c>
      <c r="W684" s="110">
        <v>11</v>
      </c>
      <c r="X684" s="110">
        <v>0</v>
      </c>
      <c r="Y684" s="110">
        <v>0</v>
      </c>
      <c r="Z684" s="110">
        <v>0</v>
      </c>
      <c r="AA684" s="2">
        <f t="shared" si="164"/>
        <v>0</v>
      </c>
      <c r="AB684" s="2">
        <f t="shared" si="165"/>
        <v>0</v>
      </c>
      <c r="AC684" s="2">
        <f t="shared" si="166"/>
        <v>2</v>
      </c>
      <c r="AD684" s="2">
        <f t="shared" si="167"/>
        <v>2</v>
      </c>
      <c r="AE684" s="2">
        <f t="shared" si="168"/>
        <v>2</v>
      </c>
      <c r="AF684" s="2">
        <f t="shared" si="169"/>
        <v>2</v>
      </c>
      <c r="AG684" s="2">
        <f t="shared" si="170"/>
        <v>2</v>
      </c>
      <c r="AH684" s="2">
        <f t="shared" si="171"/>
        <v>0</v>
      </c>
      <c r="AI684" s="2">
        <f t="shared" si="172"/>
        <v>1</v>
      </c>
      <c r="AJ684" s="2">
        <f t="shared" si="173"/>
        <v>0</v>
      </c>
      <c r="AK684" s="2">
        <f t="shared" si="174"/>
        <v>0</v>
      </c>
      <c r="AL684" s="2">
        <f t="shared" si="175"/>
        <v>0</v>
      </c>
      <c r="AM684" s="115"/>
      <c r="AN684" s="115"/>
      <c r="AO684" s="63"/>
    </row>
    <row r="685" spans="1:41" ht="100.8" x14ac:dyDescent="0.55000000000000004">
      <c r="A685" s="36">
        <v>4297</v>
      </c>
      <c r="B685" s="113" t="s">
        <v>360</v>
      </c>
      <c r="C685" s="113" t="s">
        <v>2426</v>
      </c>
      <c r="D685" s="114" t="s">
        <v>52</v>
      </c>
      <c r="E685" s="115" t="s">
        <v>2427</v>
      </c>
      <c r="F685" s="116"/>
      <c r="G685" s="113" t="s">
        <v>2428</v>
      </c>
      <c r="H685" s="113" t="s">
        <v>910</v>
      </c>
      <c r="I685" s="113"/>
      <c r="J685" s="117" t="s">
        <v>2429</v>
      </c>
      <c r="K685" s="118"/>
      <c r="L685" s="109">
        <v>1</v>
      </c>
      <c r="M685" s="109">
        <v>1</v>
      </c>
      <c r="N685" s="109"/>
      <c r="O685" s="119"/>
      <c r="P685" s="2">
        <f t="shared" si="160"/>
        <v>1</v>
      </c>
      <c r="Q685" s="110" t="str">
        <f>IF(AND(Drops!$D$45&gt;1,OR(U685&lt;&gt;U684,AND(ROW()=5,U684=U685))),VLOOKUP(U685,Drops!$D$26:$E$44,2,FALSE),"")</f>
        <v>M. End User Device Security</v>
      </c>
      <c r="R685" s="2">
        <f t="shared" si="161"/>
        <v>685</v>
      </c>
      <c r="S685" s="2">
        <f t="shared" ca="1" si="162"/>
        <v>1</v>
      </c>
      <c r="T685" s="2">
        <f t="shared" si="163"/>
        <v>1</v>
      </c>
      <c r="U685" s="110" t="s">
        <v>2430</v>
      </c>
      <c r="V685" s="110">
        <v>1</v>
      </c>
      <c r="W685" s="110">
        <v>0</v>
      </c>
      <c r="X685" s="110">
        <v>0</v>
      </c>
      <c r="Y685" s="110">
        <v>0</v>
      </c>
      <c r="Z685" s="110">
        <v>0</v>
      </c>
      <c r="AA685" s="2">
        <f t="shared" si="164"/>
        <v>1</v>
      </c>
      <c r="AB685" s="2">
        <f t="shared" si="165"/>
        <v>1</v>
      </c>
      <c r="AC685" s="2">
        <f t="shared" si="166"/>
        <v>1</v>
      </c>
      <c r="AD685" s="2">
        <f t="shared" si="167"/>
        <v>0</v>
      </c>
      <c r="AE685" s="2">
        <f t="shared" si="168"/>
        <v>0</v>
      </c>
      <c r="AF685" s="2">
        <f t="shared" si="169"/>
        <v>0</v>
      </c>
      <c r="AG685" s="2">
        <f t="shared" si="170"/>
        <v>0</v>
      </c>
      <c r="AH685" s="2">
        <f t="shared" si="171"/>
        <v>2</v>
      </c>
      <c r="AI685" s="2">
        <f t="shared" si="172"/>
        <v>0</v>
      </c>
      <c r="AJ685" s="2">
        <f t="shared" si="173"/>
        <v>0</v>
      </c>
      <c r="AK685" s="2">
        <f t="shared" si="174"/>
        <v>0</v>
      </c>
      <c r="AL685" s="2">
        <f t="shared" si="175"/>
        <v>0</v>
      </c>
      <c r="AM685" s="115"/>
      <c r="AN685" s="115"/>
      <c r="AO685" s="63"/>
    </row>
    <row r="686" spans="1:41" ht="115.2" x14ac:dyDescent="0.55000000000000004">
      <c r="A686" s="36">
        <v>4298</v>
      </c>
      <c r="B686" s="113" t="s">
        <v>2431</v>
      </c>
      <c r="C686" s="138" t="s">
        <v>2432</v>
      </c>
      <c r="D686" s="114" t="s">
        <v>52</v>
      </c>
      <c r="E686" s="115" t="s">
        <v>2433</v>
      </c>
      <c r="F686" s="116"/>
      <c r="G686" s="113" t="s">
        <v>2428</v>
      </c>
      <c r="H686" s="113" t="s">
        <v>2434</v>
      </c>
      <c r="I686" s="113" t="s">
        <v>2435</v>
      </c>
      <c r="J686" s="117"/>
      <c r="K686" s="118"/>
      <c r="L686" s="109">
        <v>2</v>
      </c>
      <c r="M686" s="109">
        <v>2</v>
      </c>
      <c r="N686" s="109"/>
      <c r="O686" s="119"/>
      <c r="P686" s="2">
        <f t="shared" si="160"/>
        <v>1</v>
      </c>
      <c r="Q686" s="110" t="str">
        <f>IF(AND(Drops!$D$45&gt;1,OR(U686&lt;&gt;U685,AND(ROW()=5,U685=U686))),VLOOKUP(U686,Drops!$D$26:$E$44,2,FALSE),"")</f>
        <v/>
      </c>
      <c r="R686" s="2" t="str">
        <f t="shared" si="161"/>
        <v/>
      </c>
      <c r="S686" s="2">
        <f t="shared" ca="1" si="162"/>
        <v>1</v>
      </c>
      <c r="T686" s="2">
        <f t="shared" si="163"/>
        <v>0</v>
      </c>
      <c r="U686" s="110" t="s">
        <v>2430</v>
      </c>
      <c r="V686" s="110">
        <v>1</v>
      </c>
      <c r="W686" s="110">
        <v>1</v>
      </c>
      <c r="X686" s="110">
        <v>0</v>
      </c>
      <c r="Y686" s="110">
        <v>0</v>
      </c>
      <c r="Z686" s="110">
        <v>0</v>
      </c>
      <c r="AA686" s="2">
        <f t="shared" si="164"/>
        <v>1</v>
      </c>
      <c r="AB686" s="2">
        <f t="shared" si="165"/>
        <v>1</v>
      </c>
      <c r="AC686" s="2">
        <f t="shared" si="166"/>
        <v>1</v>
      </c>
      <c r="AD686" s="2">
        <f t="shared" si="167"/>
        <v>1</v>
      </c>
      <c r="AE686" s="2">
        <f t="shared" si="168"/>
        <v>0</v>
      </c>
      <c r="AF686" s="2">
        <f t="shared" si="169"/>
        <v>0</v>
      </c>
      <c r="AG686" s="2">
        <f t="shared" si="170"/>
        <v>0</v>
      </c>
      <c r="AH686" s="2">
        <f t="shared" si="171"/>
        <v>2</v>
      </c>
      <c r="AI686" s="2">
        <f t="shared" si="172"/>
        <v>2</v>
      </c>
      <c r="AJ686" s="2">
        <f t="shared" si="173"/>
        <v>0</v>
      </c>
      <c r="AK686" s="2">
        <f t="shared" si="174"/>
        <v>0</v>
      </c>
      <c r="AL686" s="2">
        <f t="shared" si="175"/>
        <v>0</v>
      </c>
      <c r="AM686" s="115"/>
      <c r="AN686" s="115"/>
      <c r="AO686" s="63"/>
    </row>
    <row r="687" spans="1:41" ht="43.2" x14ac:dyDescent="0.55000000000000004">
      <c r="A687" s="36">
        <v>4299</v>
      </c>
      <c r="B687" s="113" t="s">
        <v>2436</v>
      </c>
      <c r="C687" s="139" t="s">
        <v>2437</v>
      </c>
      <c r="D687" s="114" t="s">
        <v>52</v>
      </c>
      <c r="E687" s="115"/>
      <c r="F687" s="116"/>
      <c r="G687" s="113" t="s">
        <v>2428</v>
      </c>
      <c r="H687" s="113" t="s">
        <v>2434</v>
      </c>
      <c r="I687" s="113" t="s">
        <v>2435</v>
      </c>
      <c r="J687" s="117"/>
      <c r="K687" s="118"/>
      <c r="L687" s="109">
        <v>3</v>
      </c>
      <c r="M687" s="109">
        <v>3</v>
      </c>
      <c r="N687" s="109"/>
      <c r="O687" s="119"/>
      <c r="P687" s="2">
        <f t="shared" si="160"/>
        <v>1</v>
      </c>
      <c r="Q687" s="110" t="str">
        <f>IF(AND(Drops!$D$45&gt;1,OR(U687&lt;&gt;U686,AND(ROW()=5,U686=U687))),VLOOKUP(U687,Drops!$D$26:$E$44,2,FALSE),"")</f>
        <v/>
      </c>
      <c r="R687" s="2" t="str">
        <f t="shared" si="161"/>
        <v/>
      </c>
      <c r="S687" s="2">
        <f t="shared" ca="1" si="162"/>
        <v>1</v>
      </c>
      <c r="T687" s="2">
        <f t="shared" si="163"/>
        <v>0</v>
      </c>
      <c r="U687" s="110" t="s">
        <v>2430</v>
      </c>
      <c r="V687" s="110">
        <v>1</v>
      </c>
      <c r="W687" s="110">
        <v>1</v>
      </c>
      <c r="X687" s="110">
        <v>1</v>
      </c>
      <c r="Y687" s="110">
        <v>0</v>
      </c>
      <c r="Z687" s="110">
        <v>0</v>
      </c>
      <c r="AA687" s="2">
        <f t="shared" si="164"/>
        <v>1</v>
      </c>
      <c r="AB687" s="2">
        <f t="shared" si="165"/>
        <v>0</v>
      </c>
      <c r="AC687" s="2">
        <f t="shared" si="166"/>
        <v>1</v>
      </c>
      <c r="AD687" s="2">
        <f t="shared" si="167"/>
        <v>1</v>
      </c>
      <c r="AE687" s="2">
        <f t="shared" si="168"/>
        <v>1</v>
      </c>
      <c r="AF687" s="2">
        <f t="shared" si="169"/>
        <v>0</v>
      </c>
      <c r="AG687" s="2">
        <f t="shared" si="170"/>
        <v>0</v>
      </c>
      <c r="AH687" s="2">
        <f t="shared" si="171"/>
        <v>2</v>
      </c>
      <c r="AI687" s="2">
        <f t="shared" si="172"/>
        <v>2</v>
      </c>
      <c r="AJ687" s="2">
        <f t="shared" si="173"/>
        <v>2</v>
      </c>
      <c r="AK687" s="2">
        <f t="shared" si="174"/>
        <v>0</v>
      </c>
      <c r="AL687" s="2">
        <f t="shared" si="175"/>
        <v>0</v>
      </c>
      <c r="AM687" s="115"/>
      <c r="AN687" s="115"/>
      <c r="AO687" s="63"/>
    </row>
    <row r="688" spans="1:41" ht="43.2" x14ac:dyDescent="0.55000000000000004">
      <c r="A688" s="36">
        <v>4300</v>
      </c>
      <c r="B688" s="113" t="s">
        <v>2438</v>
      </c>
      <c r="C688" s="139" t="s">
        <v>2439</v>
      </c>
      <c r="D688" s="114" t="s">
        <v>52</v>
      </c>
      <c r="E688" s="115"/>
      <c r="F688" s="116"/>
      <c r="G688" s="113" t="s">
        <v>2428</v>
      </c>
      <c r="H688" s="113" t="s">
        <v>2434</v>
      </c>
      <c r="I688" s="113" t="s">
        <v>2435</v>
      </c>
      <c r="J688" s="117"/>
      <c r="K688" s="118"/>
      <c r="L688" s="109">
        <v>3</v>
      </c>
      <c r="M688" s="109">
        <v>3</v>
      </c>
      <c r="N688" s="109"/>
      <c r="O688" s="119"/>
      <c r="P688" s="2">
        <f t="shared" si="160"/>
        <v>1</v>
      </c>
      <c r="Q688" s="110" t="str">
        <f>IF(AND(Drops!$D$45&gt;1,OR(U688&lt;&gt;U687,AND(ROW()=5,U687=U688))),VLOOKUP(U688,Drops!$D$26:$E$44,2,FALSE),"")</f>
        <v/>
      </c>
      <c r="R688" s="2" t="str">
        <f t="shared" si="161"/>
        <v/>
      </c>
      <c r="S688" s="2">
        <f t="shared" ca="1" si="162"/>
        <v>1</v>
      </c>
      <c r="T688" s="2">
        <f t="shared" si="163"/>
        <v>0</v>
      </c>
      <c r="U688" s="110" t="s">
        <v>2430</v>
      </c>
      <c r="V688" s="110">
        <v>1</v>
      </c>
      <c r="W688" s="110">
        <v>1</v>
      </c>
      <c r="X688" s="110">
        <v>2</v>
      </c>
      <c r="Y688" s="110">
        <v>0</v>
      </c>
      <c r="Z688" s="110">
        <v>0</v>
      </c>
      <c r="AA688" s="2">
        <f t="shared" si="164"/>
        <v>1</v>
      </c>
      <c r="AB688" s="2">
        <f t="shared" si="165"/>
        <v>0</v>
      </c>
      <c r="AC688" s="2">
        <f t="shared" si="166"/>
        <v>1</v>
      </c>
      <c r="AD688" s="2">
        <f t="shared" si="167"/>
        <v>1</v>
      </c>
      <c r="AE688" s="2">
        <f t="shared" si="168"/>
        <v>1</v>
      </c>
      <c r="AF688" s="2">
        <f t="shared" si="169"/>
        <v>0</v>
      </c>
      <c r="AG688" s="2">
        <f t="shared" si="170"/>
        <v>0</v>
      </c>
      <c r="AH688" s="2">
        <f t="shared" si="171"/>
        <v>2</v>
      </c>
      <c r="AI688" s="2">
        <f t="shared" si="172"/>
        <v>2</v>
      </c>
      <c r="AJ688" s="2">
        <f t="shared" si="173"/>
        <v>2</v>
      </c>
      <c r="AK688" s="2">
        <f t="shared" si="174"/>
        <v>0</v>
      </c>
      <c r="AL688" s="2">
        <f t="shared" si="175"/>
        <v>0</v>
      </c>
      <c r="AM688" s="115"/>
      <c r="AN688" s="115"/>
      <c r="AO688" s="63"/>
    </row>
    <row r="689" spans="1:41" ht="43.2" x14ac:dyDescent="0.55000000000000004">
      <c r="A689" s="36">
        <v>4301</v>
      </c>
      <c r="B689" s="113" t="s">
        <v>2440</v>
      </c>
      <c r="C689" s="138" t="s">
        <v>2441</v>
      </c>
      <c r="D689" s="114" t="s">
        <v>52</v>
      </c>
      <c r="E689" s="115"/>
      <c r="F689" s="116"/>
      <c r="G689" s="113" t="s">
        <v>2428</v>
      </c>
      <c r="H689" s="113" t="s">
        <v>2442</v>
      </c>
      <c r="I689" s="113" t="s">
        <v>2435</v>
      </c>
      <c r="J689" s="117"/>
      <c r="K689" s="118"/>
      <c r="L689" s="109">
        <v>2</v>
      </c>
      <c r="M689" s="109">
        <v>3</v>
      </c>
      <c r="N689" s="109"/>
      <c r="O689" s="119"/>
      <c r="P689" s="2">
        <f t="shared" si="160"/>
        <v>1</v>
      </c>
      <c r="Q689" s="110" t="str">
        <f>IF(AND(Drops!$D$45&gt;1,OR(U689&lt;&gt;U688,AND(ROW()=5,U688=U689))),VLOOKUP(U689,Drops!$D$26:$E$44,2,FALSE),"")</f>
        <v/>
      </c>
      <c r="R689" s="2" t="str">
        <f t="shared" si="161"/>
        <v/>
      </c>
      <c r="S689" s="2">
        <f t="shared" ca="1" si="162"/>
        <v>1</v>
      </c>
      <c r="T689" s="2">
        <f t="shared" si="163"/>
        <v>0</v>
      </c>
      <c r="U689" s="110" t="s">
        <v>2430</v>
      </c>
      <c r="V689" s="110">
        <v>1</v>
      </c>
      <c r="W689" s="110">
        <v>2</v>
      </c>
      <c r="X689" s="110">
        <v>0</v>
      </c>
      <c r="Y689" s="110">
        <v>0</v>
      </c>
      <c r="Z689" s="110">
        <v>0</v>
      </c>
      <c r="AA689" s="2">
        <f t="shared" si="164"/>
        <v>1</v>
      </c>
      <c r="AB689" s="2">
        <f t="shared" si="165"/>
        <v>0</v>
      </c>
      <c r="AC689" s="2">
        <f t="shared" si="166"/>
        <v>1</v>
      </c>
      <c r="AD689" s="2">
        <f t="shared" si="167"/>
        <v>1</v>
      </c>
      <c r="AE689" s="2">
        <f t="shared" si="168"/>
        <v>0</v>
      </c>
      <c r="AF689" s="2">
        <f t="shared" si="169"/>
        <v>0</v>
      </c>
      <c r="AG689" s="2">
        <f t="shared" si="170"/>
        <v>0</v>
      </c>
      <c r="AH689" s="2">
        <f t="shared" si="171"/>
        <v>2</v>
      </c>
      <c r="AI689" s="2">
        <f t="shared" si="172"/>
        <v>2</v>
      </c>
      <c r="AJ689" s="2">
        <f t="shared" si="173"/>
        <v>2</v>
      </c>
      <c r="AK689" s="2">
        <f t="shared" si="174"/>
        <v>0</v>
      </c>
      <c r="AL689" s="2">
        <f t="shared" si="175"/>
        <v>0</v>
      </c>
      <c r="AM689" s="115"/>
      <c r="AN689" s="115"/>
      <c r="AO689" s="63"/>
    </row>
    <row r="690" spans="1:41" ht="28.8" x14ac:dyDescent="0.55000000000000004">
      <c r="A690" s="36">
        <v>4302</v>
      </c>
      <c r="B690" s="113" t="s">
        <v>2443</v>
      </c>
      <c r="C690" s="138" t="s">
        <v>2444</v>
      </c>
      <c r="D690" s="114" t="s">
        <v>52</v>
      </c>
      <c r="E690" s="115"/>
      <c r="F690" s="116"/>
      <c r="G690" s="113" t="s">
        <v>2428</v>
      </c>
      <c r="H690" s="113" t="s">
        <v>2442</v>
      </c>
      <c r="I690" s="113" t="s">
        <v>2435</v>
      </c>
      <c r="J690" s="117" t="s">
        <v>2445</v>
      </c>
      <c r="K690" s="118"/>
      <c r="L690" s="109">
        <v>2</v>
      </c>
      <c r="M690" s="109">
        <v>3</v>
      </c>
      <c r="N690" s="109"/>
      <c r="O690" s="119"/>
      <c r="P690" s="2">
        <f t="shared" si="160"/>
        <v>1</v>
      </c>
      <c r="Q690" s="110" t="str">
        <f>IF(AND(Drops!$D$45&gt;1,OR(U690&lt;&gt;U689,AND(ROW()=5,U689=U690))),VLOOKUP(U690,Drops!$D$26:$E$44,2,FALSE),"")</f>
        <v/>
      </c>
      <c r="R690" s="2" t="str">
        <f t="shared" si="161"/>
        <v/>
      </c>
      <c r="S690" s="2">
        <f t="shared" ca="1" si="162"/>
        <v>1</v>
      </c>
      <c r="T690" s="2">
        <f t="shared" si="163"/>
        <v>0</v>
      </c>
      <c r="U690" s="110" t="s">
        <v>2430</v>
      </c>
      <c r="V690" s="110">
        <v>1</v>
      </c>
      <c r="W690" s="110">
        <v>3</v>
      </c>
      <c r="X690" s="110">
        <v>0</v>
      </c>
      <c r="Y690" s="110">
        <v>0</v>
      </c>
      <c r="Z690" s="110">
        <v>0</v>
      </c>
      <c r="AA690" s="2">
        <f t="shared" si="164"/>
        <v>1</v>
      </c>
      <c r="AB690" s="2">
        <f t="shared" si="165"/>
        <v>0</v>
      </c>
      <c r="AC690" s="2">
        <f t="shared" si="166"/>
        <v>1</v>
      </c>
      <c r="AD690" s="2">
        <f t="shared" si="167"/>
        <v>1</v>
      </c>
      <c r="AE690" s="2">
        <f t="shared" si="168"/>
        <v>0</v>
      </c>
      <c r="AF690" s="2">
        <f t="shared" si="169"/>
        <v>0</v>
      </c>
      <c r="AG690" s="2">
        <f t="shared" si="170"/>
        <v>0</v>
      </c>
      <c r="AH690" s="2">
        <f t="shared" si="171"/>
        <v>2</v>
      </c>
      <c r="AI690" s="2">
        <f t="shared" si="172"/>
        <v>2</v>
      </c>
      <c r="AJ690" s="2">
        <f t="shared" si="173"/>
        <v>2</v>
      </c>
      <c r="AK690" s="2">
        <f t="shared" si="174"/>
        <v>0</v>
      </c>
      <c r="AL690" s="2">
        <f t="shared" si="175"/>
        <v>0</v>
      </c>
      <c r="AM690" s="115"/>
      <c r="AN690" s="115"/>
      <c r="AO690" s="63"/>
    </row>
    <row r="691" spans="1:41" ht="28.8" x14ac:dyDescent="0.55000000000000004">
      <c r="A691" s="36">
        <v>4304</v>
      </c>
      <c r="B691" s="113" t="s">
        <v>2446</v>
      </c>
      <c r="C691" s="138" t="s">
        <v>2447</v>
      </c>
      <c r="D691" s="114" t="s">
        <v>52</v>
      </c>
      <c r="E691" s="115"/>
      <c r="F691" s="116"/>
      <c r="G691" s="113" t="s">
        <v>2428</v>
      </c>
      <c r="H691" s="113" t="s">
        <v>2442</v>
      </c>
      <c r="I691" s="113" t="s">
        <v>1076</v>
      </c>
      <c r="J691" s="117"/>
      <c r="K691" s="118"/>
      <c r="L691" s="109">
        <v>2</v>
      </c>
      <c r="M691" s="109">
        <v>3</v>
      </c>
      <c r="N691" s="109"/>
      <c r="O691" s="119"/>
      <c r="P691" s="2">
        <f t="shared" si="160"/>
        <v>1</v>
      </c>
      <c r="Q691" s="110" t="str">
        <f>IF(AND(Drops!$D$45&gt;1,OR(U691&lt;&gt;U690,AND(ROW()=5,U690=U691))),VLOOKUP(U691,Drops!$D$26:$E$44,2,FALSE),"")</f>
        <v/>
      </c>
      <c r="R691" s="2" t="str">
        <f t="shared" si="161"/>
        <v/>
      </c>
      <c r="S691" s="2">
        <f t="shared" ca="1" si="162"/>
        <v>1</v>
      </c>
      <c r="T691" s="2">
        <f t="shared" si="163"/>
        <v>0</v>
      </c>
      <c r="U691" s="110" t="s">
        <v>2430</v>
      </c>
      <c r="V691" s="110">
        <v>1</v>
      </c>
      <c r="W691" s="110">
        <v>5</v>
      </c>
      <c r="X691" s="110">
        <v>0</v>
      </c>
      <c r="Y691" s="110">
        <v>0</v>
      </c>
      <c r="Z691" s="110">
        <v>0</v>
      </c>
      <c r="AA691" s="2">
        <f t="shared" si="164"/>
        <v>1</v>
      </c>
      <c r="AB691" s="2">
        <f t="shared" si="165"/>
        <v>0</v>
      </c>
      <c r="AC691" s="2">
        <f t="shared" si="166"/>
        <v>1</v>
      </c>
      <c r="AD691" s="2">
        <f t="shared" si="167"/>
        <v>1</v>
      </c>
      <c r="AE691" s="2">
        <f t="shared" si="168"/>
        <v>0</v>
      </c>
      <c r="AF691" s="2">
        <f t="shared" si="169"/>
        <v>0</v>
      </c>
      <c r="AG691" s="2">
        <f t="shared" si="170"/>
        <v>0</v>
      </c>
      <c r="AH691" s="2">
        <f t="shared" si="171"/>
        <v>2</v>
      </c>
      <c r="AI691" s="2">
        <f t="shared" si="172"/>
        <v>2</v>
      </c>
      <c r="AJ691" s="2">
        <f t="shared" si="173"/>
        <v>2</v>
      </c>
      <c r="AK691" s="2">
        <f t="shared" si="174"/>
        <v>0</v>
      </c>
      <c r="AL691" s="2">
        <f t="shared" si="175"/>
        <v>0</v>
      </c>
      <c r="AM691" s="115"/>
      <c r="AN691" s="115"/>
      <c r="AO691" s="63"/>
    </row>
    <row r="692" spans="1:41" ht="43.2" x14ac:dyDescent="0.55000000000000004">
      <c r="A692" s="36">
        <v>4305</v>
      </c>
      <c r="B692" s="113" t="s">
        <v>2448</v>
      </c>
      <c r="C692" s="138" t="s">
        <v>2449</v>
      </c>
      <c r="D692" s="114" t="s">
        <v>52</v>
      </c>
      <c r="E692" s="115"/>
      <c r="F692" s="116"/>
      <c r="G692" s="113" t="s">
        <v>2428</v>
      </c>
      <c r="H692" s="113" t="s">
        <v>2450</v>
      </c>
      <c r="I692" s="113" t="s">
        <v>2435</v>
      </c>
      <c r="J692" s="117"/>
      <c r="K692" s="118"/>
      <c r="L692" s="109">
        <v>2</v>
      </c>
      <c r="M692" s="109">
        <v>3</v>
      </c>
      <c r="N692" s="109"/>
      <c r="O692" s="119"/>
      <c r="P692" s="2">
        <f t="shared" si="160"/>
        <v>1</v>
      </c>
      <c r="Q692" s="110" t="str">
        <f>IF(AND(Drops!$D$45&gt;1,OR(U692&lt;&gt;U691,AND(ROW()=5,U691=U692))),VLOOKUP(U692,Drops!$D$26:$E$44,2,FALSE),"")</f>
        <v/>
      </c>
      <c r="R692" s="2" t="str">
        <f t="shared" si="161"/>
        <v/>
      </c>
      <c r="S692" s="2">
        <f t="shared" ca="1" si="162"/>
        <v>1</v>
      </c>
      <c r="T692" s="2">
        <f t="shared" si="163"/>
        <v>0</v>
      </c>
      <c r="U692" s="110" t="s">
        <v>2430</v>
      </c>
      <c r="V692" s="110">
        <v>1</v>
      </c>
      <c r="W692" s="110">
        <v>6</v>
      </c>
      <c r="X692" s="110">
        <v>0</v>
      </c>
      <c r="Y692" s="110">
        <v>0</v>
      </c>
      <c r="Z692" s="110">
        <v>0</v>
      </c>
      <c r="AA692" s="2">
        <f t="shared" si="164"/>
        <v>1</v>
      </c>
      <c r="AB692" s="2">
        <f t="shared" si="165"/>
        <v>0</v>
      </c>
      <c r="AC692" s="2">
        <f t="shared" si="166"/>
        <v>1</v>
      </c>
      <c r="AD692" s="2">
        <f t="shared" si="167"/>
        <v>1</v>
      </c>
      <c r="AE692" s="2">
        <f t="shared" si="168"/>
        <v>0</v>
      </c>
      <c r="AF692" s="2">
        <f t="shared" si="169"/>
        <v>0</v>
      </c>
      <c r="AG692" s="2">
        <f t="shared" si="170"/>
        <v>0</v>
      </c>
      <c r="AH692" s="2">
        <f t="shared" si="171"/>
        <v>2</v>
      </c>
      <c r="AI692" s="2">
        <f t="shared" si="172"/>
        <v>2</v>
      </c>
      <c r="AJ692" s="2">
        <f t="shared" si="173"/>
        <v>2</v>
      </c>
      <c r="AK692" s="2">
        <f t="shared" si="174"/>
        <v>0</v>
      </c>
      <c r="AL692" s="2">
        <f t="shared" si="175"/>
        <v>0</v>
      </c>
      <c r="AM692" s="115"/>
      <c r="AN692" s="115"/>
      <c r="AO692" s="63"/>
    </row>
    <row r="693" spans="1:41" ht="43.2" x14ac:dyDescent="0.55000000000000004">
      <c r="A693" s="36">
        <v>4306</v>
      </c>
      <c r="B693" s="113" t="s">
        <v>2451</v>
      </c>
      <c r="C693" s="138" t="s">
        <v>2452</v>
      </c>
      <c r="D693" s="114" t="s">
        <v>52</v>
      </c>
      <c r="E693" s="115"/>
      <c r="F693" s="116"/>
      <c r="G693" s="113" t="s">
        <v>2428</v>
      </c>
      <c r="H693" s="113" t="s">
        <v>2450</v>
      </c>
      <c r="I693" s="113"/>
      <c r="J693" s="117"/>
      <c r="K693" s="118"/>
      <c r="L693" s="109">
        <v>2</v>
      </c>
      <c r="M693" s="109">
        <v>3</v>
      </c>
      <c r="N693" s="109"/>
      <c r="O693" s="119"/>
      <c r="P693" s="2">
        <f t="shared" si="160"/>
        <v>1</v>
      </c>
      <c r="Q693" s="110" t="str">
        <f>IF(AND(Drops!$D$45&gt;1,OR(U693&lt;&gt;U692,AND(ROW()=5,U692=U693))),VLOOKUP(U693,Drops!$D$26:$E$44,2,FALSE),"")</f>
        <v/>
      </c>
      <c r="R693" s="2" t="str">
        <f t="shared" si="161"/>
        <v/>
      </c>
      <c r="S693" s="2">
        <f t="shared" ca="1" si="162"/>
        <v>1</v>
      </c>
      <c r="T693" s="2">
        <f t="shared" si="163"/>
        <v>0</v>
      </c>
      <c r="U693" s="110" t="s">
        <v>2430</v>
      </c>
      <c r="V693" s="110">
        <v>1</v>
      </c>
      <c r="W693" s="110">
        <v>7</v>
      </c>
      <c r="X693" s="110">
        <v>0</v>
      </c>
      <c r="Y693" s="110">
        <v>0</v>
      </c>
      <c r="Z693" s="110">
        <v>0</v>
      </c>
      <c r="AA693" s="2">
        <f t="shared" si="164"/>
        <v>1</v>
      </c>
      <c r="AB693" s="2">
        <f t="shared" si="165"/>
        <v>0</v>
      </c>
      <c r="AC693" s="2">
        <f t="shared" si="166"/>
        <v>1</v>
      </c>
      <c r="AD693" s="2">
        <f t="shared" si="167"/>
        <v>1</v>
      </c>
      <c r="AE693" s="2">
        <f t="shared" si="168"/>
        <v>0</v>
      </c>
      <c r="AF693" s="2">
        <f t="shared" si="169"/>
        <v>0</v>
      </c>
      <c r="AG693" s="2">
        <f t="shared" si="170"/>
        <v>0</v>
      </c>
      <c r="AH693" s="2">
        <f t="shared" si="171"/>
        <v>2</v>
      </c>
      <c r="AI693" s="2">
        <f t="shared" si="172"/>
        <v>2</v>
      </c>
      <c r="AJ693" s="2">
        <f t="shared" si="173"/>
        <v>2</v>
      </c>
      <c r="AK693" s="2">
        <f t="shared" si="174"/>
        <v>0</v>
      </c>
      <c r="AL693" s="2">
        <f t="shared" si="175"/>
        <v>0</v>
      </c>
      <c r="AM693" s="115"/>
      <c r="AN693" s="115"/>
      <c r="AO693" s="63"/>
    </row>
    <row r="694" spans="1:41" ht="43.2" x14ac:dyDescent="0.55000000000000004">
      <c r="A694" s="36">
        <v>4312</v>
      </c>
      <c r="B694" s="113" t="s">
        <v>2453</v>
      </c>
      <c r="C694" s="138" t="s">
        <v>2454</v>
      </c>
      <c r="D694" s="114" t="s">
        <v>52</v>
      </c>
      <c r="E694" s="115"/>
      <c r="F694" s="116"/>
      <c r="G694" s="113" t="s">
        <v>2428</v>
      </c>
      <c r="H694" s="113" t="s">
        <v>2450</v>
      </c>
      <c r="I694" s="113"/>
      <c r="J694" s="117"/>
      <c r="K694" s="118"/>
      <c r="L694" s="109">
        <v>2</v>
      </c>
      <c r="M694" s="109">
        <v>3</v>
      </c>
      <c r="N694" s="109"/>
      <c r="O694" s="119"/>
      <c r="P694" s="2">
        <f t="shared" si="160"/>
        <v>1</v>
      </c>
      <c r="Q694" s="110" t="str">
        <f>IF(AND(Drops!$D$45&gt;1,OR(U694&lt;&gt;U693,AND(ROW()=5,U693=U694))),VLOOKUP(U694,Drops!$D$26:$E$44,2,FALSE),"")</f>
        <v/>
      </c>
      <c r="R694" s="2" t="str">
        <f t="shared" si="161"/>
        <v/>
      </c>
      <c r="S694" s="2">
        <f t="shared" ca="1" si="162"/>
        <v>1</v>
      </c>
      <c r="T694" s="2">
        <f t="shared" si="163"/>
        <v>0</v>
      </c>
      <c r="U694" s="110" t="s">
        <v>2430</v>
      </c>
      <c r="V694" s="110">
        <v>1</v>
      </c>
      <c r="W694" s="110">
        <v>9</v>
      </c>
      <c r="X694" s="110">
        <v>0</v>
      </c>
      <c r="Y694" s="110">
        <v>0</v>
      </c>
      <c r="Z694" s="110">
        <v>0</v>
      </c>
      <c r="AA694" s="2">
        <f t="shared" si="164"/>
        <v>1</v>
      </c>
      <c r="AB694" s="2">
        <f t="shared" si="165"/>
        <v>0</v>
      </c>
      <c r="AC694" s="2">
        <f t="shared" si="166"/>
        <v>1</v>
      </c>
      <c r="AD694" s="2">
        <f t="shared" si="167"/>
        <v>1</v>
      </c>
      <c r="AE694" s="2">
        <f t="shared" si="168"/>
        <v>0</v>
      </c>
      <c r="AF694" s="2">
        <f t="shared" si="169"/>
        <v>0</v>
      </c>
      <c r="AG694" s="2">
        <f t="shared" si="170"/>
        <v>0</v>
      </c>
      <c r="AH694" s="2">
        <f t="shared" si="171"/>
        <v>2</v>
      </c>
      <c r="AI694" s="2">
        <f t="shared" si="172"/>
        <v>2</v>
      </c>
      <c r="AJ694" s="2">
        <f t="shared" si="173"/>
        <v>2</v>
      </c>
      <c r="AK694" s="2">
        <f t="shared" si="174"/>
        <v>0</v>
      </c>
      <c r="AL694" s="2">
        <f t="shared" si="175"/>
        <v>0</v>
      </c>
      <c r="AM694" s="115"/>
      <c r="AN694" s="115"/>
      <c r="AO694" s="63"/>
    </row>
    <row r="695" spans="1:41" ht="57.6" x14ac:dyDescent="0.55000000000000004">
      <c r="A695" s="36">
        <v>4313</v>
      </c>
      <c r="B695" s="113" t="s">
        <v>2455</v>
      </c>
      <c r="C695" s="138" t="s">
        <v>2456</v>
      </c>
      <c r="D695" s="114" t="s">
        <v>52</v>
      </c>
      <c r="E695" s="115"/>
      <c r="F695" s="116"/>
      <c r="G695" s="113" t="s">
        <v>2428</v>
      </c>
      <c r="H695" s="113" t="s">
        <v>2457</v>
      </c>
      <c r="I695" s="113" t="s">
        <v>2435</v>
      </c>
      <c r="J695" s="117" t="s">
        <v>1702</v>
      </c>
      <c r="K695" s="118"/>
      <c r="L695" s="109">
        <v>2</v>
      </c>
      <c r="M695" s="109">
        <v>3</v>
      </c>
      <c r="N695" s="109"/>
      <c r="O695" s="119"/>
      <c r="P695" s="2">
        <f t="shared" si="160"/>
        <v>1</v>
      </c>
      <c r="Q695" s="110" t="str">
        <f>IF(AND(Drops!$D$45&gt;1,OR(U695&lt;&gt;U694,AND(ROW()=5,U694=U695))),VLOOKUP(U695,Drops!$D$26:$E$44,2,FALSE),"")</f>
        <v/>
      </c>
      <c r="R695" s="2" t="str">
        <f t="shared" si="161"/>
        <v/>
      </c>
      <c r="S695" s="2">
        <f t="shared" ca="1" si="162"/>
        <v>1</v>
      </c>
      <c r="T695" s="2">
        <f t="shared" si="163"/>
        <v>0</v>
      </c>
      <c r="U695" s="110" t="s">
        <v>2430</v>
      </c>
      <c r="V695" s="110">
        <v>1</v>
      </c>
      <c r="W695" s="110">
        <v>10</v>
      </c>
      <c r="X695" s="110">
        <v>0</v>
      </c>
      <c r="Y695" s="110">
        <v>0</v>
      </c>
      <c r="Z695" s="110">
        <v>0</v>
      </c>
      <c r="AA695" s="2">
        <f t="shared" si="164"/>
        <v>1</v>
      </c>
      <c r="AB695" s="2">
        <f t="shared" si="165"/>
        <v>0</v>
      </c>
      <c r="AC695" s="2">
        <f t="shared" si="166"/>
        <v>1</v>
      </c>
      <c r="AD695" s="2">
        <f t="shared" si="167"/>
        <v>1</v>
      </c>
      <c r="AE695" s="2">
        <f t="shared" si="168"/>
        <v>0</v>
      </c>
      <c r="AF695" s="2">
        <f t="shared" si="169"/>
        <v>0</v>
      </c>
      <c r="AG695" s="2">
        <f t="shared" si="170"/>
        <v>0</v>
      </c>
      <c r="AH695" s="2">
        <f t="shared" si="171"/>
        <v>2</v>
      </c>
      <c r="AI695" s="2">
        <f t="shared" si="172"/>
        <v>2</v>
      </c>
      <c r="AJ695" s="2">
        <f t="shared" si="173"/>
        <v>2</v>
      </c>
      <c r="AK695" s="2">
        <f t="shared" si="174"/>
        <v>0</v>
      </c>
      <c r="AL695" s="2">
        <f t="shared" si="175"/>
        <v>0</v>
      </c>
      <c r="AM695" s="115"/>
      <c r="AN695" s="115"/>
      <c r="AO695" s="63"/>
    </row>
    <row r="696" spans="1:41" ht="28.8" x14ac:dyDescent="0.55000000000000004">
      <c r="A696" s="36">
        <v>4318</v>
      </c>
      <c r="B696" s="113" t="s">
        <v>2458</v>
      </c>
      <c r="C696" s="138" t="s">
        <v>2459</v>
      </c>
      <c r="D696" s="114" t="s">
        <v>52</v>
      </c>
      <c r="E696" s="115"/>
      <c r="F696" s="116"/>
      <c r="G696" s="113" t="s">
        <v>2428</v>
      </c>
      <c r="H696" s="113" t="s">
        <v>2460</v>
      </c>
      <c r="I696" s="113" t="s">
        <v>2435</v>
      </c>
      <c r="J696" s="117"/>
      <c r="K696" s="118"/>
      <c r="L696" s="109">
        <v>2</v>
      </c>
      <c r="M696" s="109">
        <v>3</v>
      </c>
      <c r="N696" s="109"/>
      <c r="O696" s="119"/>
      <c r="P696" s="2">
        <f t="shared" si="160"/>
        <v>1</v>
      </c>
      <c r="Q696" s="110" t="str">
        <f>IF(AND(Drops!$D$45&gt;1,OR(U696&lt;&gt;U695,AND(ROW()=5,U695=U696))),VLOOKUP(U696,Drops!$D$26:$E$44,2,FALSE),"")</f>
        <v/>
      </c>
      <c r="R696" s="2" t="str">
        <f t="shared" si="161"/>
        <v/>
      </c>
      <c r="S696" s="2">
        <f t="shared" ca="1" si="162"/>
        <v>1</v>
      </c>
      <c r="T696" s="2">
        <f t="shared" si="163"/>
        <v>0</v>
      </c>
      <c r="U696" s="110" t="s">
        <v>2430</v>
      </c>
      <c r="V696" s="110">
        <v>1</v>
      </c>
      <c r="W696" s="110">
        <v>15</v>
      </c>
      <c r="X696" s="110">
        <v>0</v>
      </c>
      <c r="Y696" s="110">
        <v>0</v>
      </c>
      <c r="Z696" s="110">
        <v>0</v>
      </c>
      <c r="AA696" s="2">
        <f t="shared" si="164"/>
        <v>1</v>
      </c>
      <c r="AB696" s="2">
        <f t="shared" si="165"/>
        <v>0</v>
      </c>
      <c r="AC696" s="2">
        <f t="shared" si="166"/>
        <v>1</v>
      </c>
      <c r="AD696" s="2">
        <f t="shared" si="167"/>
        <v>1</v>
      </c>
      <c r="AE696" s="2">
        <f t="shared" si="168"/>
        <v>0</v>
      </c>
      <c r="AF696" s="2">
        <f t="shared" si="169"/>
        <v>0</v>
      </c>
      <c r="AG696" s="2">
        <f t="shared" si="170"/>
        <v>0</v>
      </c>
      <c r="AH696" s="2">
        <f t="shared" si="171"/>
        <v>2</v>
      </c>
      <c r="AI696" s="2">
        <f t="shared" si="172"/>
        <v>2</v>
      </c>
      <c r="AJ696" s="2">
        <f t="shared" si="173"/>
        <v>2</v>
      </c>
      <c r="AK696" s="2">
        <f t="shared" si="174"/>
        <v>0</v>
      </c>
      <c r="AL696" s="2">
        <f t="shared" si="175"/>
        <v>0</v>
      </c>
      <c r="AM696" s="115"/>
      <c r="AN696" s="115"/>
      <c r="AO696" s="63"/>
    </row>
    <row r="697" spans="1:41" ht="28.8" x14ac:dyDescent="0.55000000000000004">
      <c r="A697" s="36">
        <v>4319</v>
      </c>
      <c r="B697" s="113" t="s">
        <v>2461</v>
      </c>
      <c r="C697" s="138" t="s">
        <v>2462</v>
      </c>
      <c r="D697" s="114" t="s">
        <v>52</v>
      </c>
      <c r="E697" s="115"/>
      <c r="F697" s="116"/>
      <c r="G697" s="113" t="s">
        <v>2428</v>
      </c>
      <c r="H697" s="113" t="s">
        <v>2460</v>
      </c>
      <c r="I697" s="113"/>
      <c r="J697" s="117"/>
      <c r="K697" s="118"/>
      <c r="L697" s="109">
        <v>2</v>
      </c>
      <c r="M697" s="109">
        <v>2</v>
      </c>
      <c r="N697" s="109"/>
      <c r="O697" s="119"/>
      <c r="P697" s="2">
        <f t="shared" si="160"/>
        <v>1</v>
      </c>
      <c r="Q697" s="110" t="str">
        <f>IF(AND(Drops!$D$45&gt;1,OR(U697&lt;&gt;U696,AND(ROW()=5,U696=U697))),VLOOKUP(U697,Drops!$D$26:$E$44,2,FALSE),"")</f>
        <v/>
      </c>
      <c r="R697" s="2" t="str">
        <f t="shared" si="161"/>
        <v/>
      </c>
      <c r="S697" s="2">
        <f t="shared" ca="1" si="162"/>
        <v>1</v>
      </c>
      <c r="T697" s="2">
        <f t="shared" si="163"/>
        <v>0</v>
      </c>
      <c r="U697" s="110" t="s">
        <v>2430</v>
      </c>
      <c r="V697" s="110">
        <v>1</v>
      </c>
      <c r="W697" s="110">
        <v>16</v>
      </c>
      <c r="X697" s="110">
        <v>0</v>
      </c>
      <c r="Y697" s="110">
        <v>0</v>
      </c>
      <c r="Z697" s="110">
        <v>0</v>
      </c>
      <c r="AA697" s="2">
        <f t="shared" si="164"/>
        <v>1</v>
      </c>
      <c r="AB697" s="2">
        <f t="shared" si="165"/>
        <v>0</v>
      </c>
      <c r="AC697" s="2">
        <f t="shared" si="166"/>
        <v>1</v>
      </c>
      <c r="AD697" s="2">
        <f t="shared" si="167"/>
        <v>1</v>
      </c>
      <c r="AE697" s="2">
        <f t="shared" si="168"/>
        <v>0</v>
      </c>
      <c r="AF697" s="2">
        <f t="shared" si="169"/>
        <v>0</v>
      </c>
      <c r="AG697" s="2">
        <f t="shared" si="170"/>
        <v>0</v>
      </c>
      <c r="AH697" s="2">
        <f t="shared" si="171"/>
        <v>2</v>
      </c>
      <c r="AI697" s="2">
        <f t="shared" si="172"/>
        <v>2</v>
      </c>
      <c r="AJ697" s="2">
        <f t="shared" si="173"/>
        <v>2</v>
      </c>
      <c r="AK697" s="2">
        <f t="shared" si="174"/>
        <v>0</v>
      </c>
      <c r="AL697" s="2">
        <f t="shared" si="175"/>
        <v>0</v>
      </c>
      <c r="AM697" s="115"/>
      <c r="AN697" s="115"/>
      <c r="AO697" s="63"/>
    </row>
    <row r="698" spans="1:41" ht="28.8" x14ac:dyDescent="0.55000000000000004">
      <c r="A698" s="36">
        <v>4320</v>
      </c>
      <c r="B698" s="113" t="s">
        <v>2463</v>
      </c>
      <c r="C698" s="138" t="s">
        <v>2464</v>
      </c>
      <c r="D698" s="114" t="s">
        <v>52</v>
      </c>
      <c r="E698" s="115"/>
      <c r="F698" s="116"/>
      <c r="G698" s="113" t="s">
        <v>2428</v>
      </c>
      <c r="H698" s="113" t="s">
        <v>2460</v>
      </c>
      <c r="I698" s="113"/>
      <c r="J698" s="117"/>
      <c r="K698" s="118"/>
      <c r="L698" s="109">
        <v>2</v>
      </c>
      <c r="M698" s="109">
        <v>2</v>
      </c>
      <c r="N698" s="109"/>
      <c r="O698" s="119"/>
      <c r="P698" s="2">
        <f t="shared" si="160"/>
        <v>1</v>
      </c>
      <c r="Q698" s="110" t="str">
        <f>IF(AND(Drops!$D$45&gt;1,OR(U698&lt;&gt;U697,AND(ROW()=5,U697=U698))),VLOOKUP(U698,Drops!$D$26:$E$44,2,FALSE),"")</f>
        <v/>
      </c>
      <c r="R698" s="2" t="str">
        <f t="shared" si="161"/>
        <v/>
      </c>
      <c r="S698" s="2">
        <f t="shared" ca="1" si="162"/>
        <v>1</v>
      </c>
      <c r="T698" s="2">
        <f t="shared" si="163"/>
        <v>0</v>
      </c>
      <c r="U698" s="110" t="s">
        <v>2430</v>
      </c>
      <c r="V698" s="110">
        <v>1</v>
      </c>
      <c r="W698" s="110">
        <v>17</v>
      </c>
      <c r="X698" s="110">
        <v>0</v>
      </c>
      <c r="Y698" s="110">
        <v>0</v>
      </c>
      <c r="Z698" s="110">
        <v>0</v>
      </c>
      <c r="AA698" s="2">
        <f t="shared" si="164"/>
        <v>1</v>
      </c>
      <c r="AB698" s="2">
        <f t="shared" si="165"/>
        <v>0</v>
      </c>
      <c r="AC698" s="2">
        <f t="shared" si="166"/>
        <v>1</v>
      </c>
      <c r="AD698" s="2">
        <f t="shared" si="167"/>
        <v>1</v>
      </c>
      <c r="AE698" s="2">
        <f t="shared" si="168"/>
        <v>0</v>
      </c>
      <c r="AF698" s="2">
        <f t="shared" si="169"/>
        <v>0</v>
      </c>
      <c r="AG698" s="2">
        <f t="shared" si="170"/>
        <v>0</v>
      </c>
      <c r="AH698" s="2">
        <f t="shared" si="171"/>
        <v>2</v>
      </c>
      <c r="AI698" s="2">
        <f t="shared" si="172"/>
        <v>2</v>
      </c>
      <c r="AJ698" s="2">
        <f t="shared" si="173"/>
        <v>2</v>
      </c>
      <c r="AK698" s="2">
        <f t="shared" si="174"/>
        <v>0</v>
      </c>
      <c r="AL698" s="2">
        <f t="shared" si="175"/>
        <v>0</v>
      </c>
      <c r="AM698" s="115"/>
      <c r="AN698" s="115"/>
      <c r="AO698" s="63"/>
    </row>
    <row r="699" spans="1:41" ht="28.8" x14ac:dyDescent="0.55000000000000004">
      <c r="A699" s="36">
        <v>4321</v>
      </c>
      <c r="B699" s="113" t="s">
        <v>2465</v>
      </c>
      <c r="C699" s="138" t="s">
        <v>2466</v>
      </c>
      <c r="D699" s="114" t="s">
        <v>52</v>
      </c>
      <c r="E699" s="115"/>
      <c r="F699" s="116"/>
      <c r="G699" s="113" t="s">
        <v>2428</v>
      </c>
      <c r="H699" s="113" t="s">
        <v>2460</v>
      </c>
      <c r="I699" s="113"/>
      <c r="J699" s="117" t="s">
        <v>2467</v>
      </c>
      <c r="K699" s="118"/>
      <c r="L699" s="109">
        <v>2</v>
      </c>
      <c r="M699" s="109">
        <v>3</v>
      </c>
      <c r="N699" s="109"/>
      <c r="O699" s="119"/>
      <c r="P699" s="2">
        <f t="shared" si="160"/>
        <v>1</v>
      </c>
      <c r="Q699" s="110" t="str">
        <f>IF(AND(Drops!$D$45&gt;1,OR(U699&lt;&gt;U698,AND(ROW()=5,U698=U699))),VLOOKUP(U699,Drops!$D$26:$E$44,2,FALSE),"")</f>
        <v/>
      </c>
      <c r="R699" s="2" t="str">
        <f t="shared" si="161"/>
        <v/>
      </c>
      <c r="S699" s="2">
        <f t="shared" ca="1" si="162"/>
        <v>1</v>
      </c>
      <c r="T699" s="2">
        <f t="shared" si="163"/>
        <v>0</v>
      </c>
      <c r="U699" s="110" t="s">
        <v>2430</v>
      </c>
      <c r="V699" s="110">
        <v>1</v>
      </c>
      <c r="W699" s="110">
        <v>18</v>
      </c>
      <c r="X699" s="110">
        <v>0</v>
      </c>
      <c r="Y699" s="110">
        <v>0</v>
      </c>
      <c r="Z699" s="110">
        <v>0</v>
      </c>
      <c r="AA699" s="2">
        <f t="shared" si="164"/>
        <v>1</v>
      </c>
      <c r="AB699" s="2">
        <f t="shared" si="165"/>
        <v>0</v>
      </c>
      <c r="AC699" s="2">
        <f t="shared" si="166"/>
        <v>1</v>
      </c>
      <c r="AD699" s="2">
        <f t="shared" si="167"/>
        <v>1</v>
      </c>
      <c r="AE699" s="2">
        <f t="shared" si="168"/>
        <v>0</v>
      </c>
      <c r="AF699" s="2">
        <f t="shared" si="169"/>
        <v>0</v>
      </c>
      <c r="AG699" s="2">
        <f t="shared" si="170"/>
        <v>0</v>
      </c>
      <c r="AH699" s="2">
        <f t="shared" si="171"/>
        <v>2</v>
      </c>
      <c r="AI699" s="2">
        <f t="shared" si="172"/>
        <v>2</v>
      </c>
      <c r="AJ699" s="2">
        <f t="shared" si="173"/>
        <v>2</v>
      </c>
      <c r="AK699" s="2">
        <f t="shared" si="174"/>
        <v>0</v>
      </c>
      <c r="AL699" s="2">
        <f t="shared" si="175"/>
        <v>0</v>
      </c>
      <c r="AM699" s="115"/>
      <c r="AN699" s="115"/>
      <c r="AO699" s="63"/>
    </row>
    <row r="700" spans="1:41" ht="72" x14ac:dyDescent="0.55000000000000004">
      <c r="A700" s="36">
        <v>4322</v>
      </c>
      <c r="B700" s="113" t="s">
        <v>2468</v>
      </c>
      <c r="C700" s="138" t="s">
        <v>2469</v>
      </c>
      <c r="D700" s="114" t="s">
        <v>52</v>
      </c>
      <c r="E700" s="115"/>
      <c r="F700" s="116"/>
      <c r="G700" s="113" t="s">
        <v>2428</v>
      </c>
      <c r="H700" s="113" t="s">
        <v>2460</v>
      </c>
      <c r="I700" s="113"/>
      <c r="J700" s="117" t="s">
        <v>2470</v>
      </c>
      <c r="K700" s="118"/>
      <c r="L700" s="109">
        <v>2</v>
      </c>
      <c r="M700" s="109">
        <v>3</v>
      </c>
      <c r="N700" s="109"/>
      <c r="O700" s="119"/>
      <c r="P700" s="2">
        <f t="shared" si="160"/>
        <v>1</v>
      </c>
      <c r="Q700" s="110" t="str">
        <f>IF(AND(Drops!$D$45&gt;1,OR(U700&lt;&gt;U699,AND(ROW()=5,U699=U700))),VLOOKUP(U700,Drops!$D$26:$E$44,2,FALSE),"")</f>
        <v/>
      </c>
      <c r="R700" s="2" t="str">
        <f t="shared" si="161"/>
        <v/>
      </c>
      <c r="S700" s="2">
        <f t="shared" ca="1" si="162"/>
        <v>1</v>
      </c>
      <c r="T700" s="2">
        <f t="shared" si="163"/>
        <v>0</v>
      </c>
      <c r="U700" s="110" t="s">
        <v>2430</v>
      </c>
      <c r="V700" s="110">
        <v>1</v>
      </c>
      <c r="W700" s="110">
        <v>19</v>
      </c>
      <c r="X700" s="110">
        <v>0</v>
      </c>
      <c r="Y700" s="110">
        <v>0</v>
      </c>
      <c r="Z700" s="110">
        <v>0</v>
      </c>
      <c r="AA700" s="2">
        <f t="shared" si="164"/>
        <v>1</v>
      </c>
      <c r="AB700" s="2">
        <f t="shared" si="165"/>
        <v>0</v>
      </c>
      <c r="AC700" s="2">
        <f t="shared" si="166"/>
        <v>1</v>
      </c>
      <c r="AD700" s="2">
        <f t="shared" si="167"/>
        <v>1</v>
      </c>
      <c r="AE700" s="2">
        <f t="shared" si="168"/>
        <v>0</v>
      </c>
      <c r="AF700" s="2">
        <f t="shared" si="169"/>
        <v>0</v>
      </c>
      <c r="AG700" s="2">
        <f t="shared" si="170"/>
        <v>0</v>
      </c>
      <c r="AH700" s="2">
        <f t="shared" si="171"/>
        <v>2</v>
      </c>
      <c r="AI700" s="2">
        <f t="shared" si="172"/>
        <v>2</v>
      </c>
      <c r="AJ700" s="2">
        <f t="shared" si="173"/>
        <v>2</v>
      </c>
      <c r="AK700" s="2">
        <f t="shared" si="174"/>
        <v>0</v>
      </c>
      <c r="AL700" s="2">
        <f t="shared" si="175"/>
        <v>0</v>
      </c>
      <c r="AM700" s="115"/>
      <c r="AN700" s="115"/>
      <c r="AO700" s="63"/>
    </row>
    <row r="701" spans="1:41" ht="43.2" x14ac:dyDescent="0.55000000000000004">
      <c r="A701" s="36">
        <v>3210</v>
      </c>
      <c r="B701" s="113" t="s">
        <v>2471</v>
      </c>
      <c r="C701" s="138" t="s">
        <v>2472</v>
      </c>
      <c r="D701" s="114" t="s">
        <v>52</v>
      </c>
      <c r="E701" s="115"/>
      <c r="F701" s="116"/>
      <c r="G701" s="113" t="s">
        <v>2428</v>
      </c>
      <c r="H701" s="113" t="s">
        <v>2473</v>
      </c>
      <c r="I701" s="113"/>
      <c r="J701" s="117" t="s">
        <v>2474</v>
      </c>
      <c r="K701" s="118"/>
      <c r="L701" s="109">
        <v>2</v>
      </c>
      <c r="M701" s="109">
        <v>3</v>
      </c>
      <c r="N701" s="109"/>
      <c r="O701" s="119"/>
      <c r="P701" s="2">
        <f t="shared" si="160"/>
        <v>1</v>
      </c>
      <c r="Q701" s="110" t="str">
        <f>IF(AND(Drops!$D$45&gt;1,OR(U701&lt;&gt;U700,AND(ROW()=5,U700=U701))),VLOOKUP(U701,Drops!$D$26:$E$44,2,FALSE),"")</f>
        <v/>
      </c>
      <c r="R701" s="2" t="str">
        <f t="shared" si="161"/>
        <v/>
      </c>
      <c r="S701" s="2">
        <f t="shared" ca="1" si="162"/>
        <v>1</v>
      </c>
      <c r="T701" s="2">
        <f t="shared" si="163"/>
        <v>0</v>
      </c>
      <c r="U701" s="110" t="s">
        <v>2430</v>
      </c>
      <c r="V701" s="110">
        <v>1</v>
      </c>
      <c r="W701" s="110">
        <v>20</v>
      </c>
      <c r="X701" s="110">
        <v>0</v>
      </c>
      <c r="Y701" s="110">
        <v>0</v>
      </c>
      <c r="Z701" s="110">
        <v>0</v>
      </c>
      <c r="AA701" s="2">
        <f t="shared" si="164"/>
        <v>1</v>
      </c>
      <c r="AB701" s="2">
        <f t="shared" si="165"/>
        <v>0</v>
      </c>
      <c r="AC701" s="2">
        <f t="shared" si="166"/>
        <v>1</v>
      </c>
      <c r="AD701" s="2">
        <f t="shared" si="167"/>
        <v>1</v>
      </c>
      <c r="AE701" s="2">
        <f t="shared" si="168"/>
        <v>0</v>
      </c>
      <c r="AF701" s="2">
        <f t="shared" si="169"/>
        <v>0</v>
      </c>
      <c r="AG701" s="2">
        <f t="shared" si="170"/>
        <v>0</v>
      </c>
      <c r="AH701" s="2">
        <f t="shared" si="171"/>
        <v>2</v>
      </c>
      <c r="AI701" s="2">
        <f t="shared" si="172"/>
        <v>2</v>
      </c>
      <c r="AJ701" s="2">
        <f t="shared" si="173"/>
        <v>2</v>
      </c>
      <c r="AK701" s="2">
        <f t="shared" si="174"/>
        <v>0</v>
      </c>
      <c r="AL701" s="2">
        <f t="shared" si="175"/>
        <v>0</v>
      </c>
      <c r="AM701" s="115"/>
      <c r="AN701" s="115"/>
      <c r="AO701" s="63"/>
    </row>
    <row r="702" spans="1:41" ht="57.6" x14ac:dyDescent="0.55000000000000004">
      <c r="A702" s="36">
        <v>1980</v>
      </c>
      <c r="B702" s="113" t="s">
        <v>2475</v>
      </c>
      <c r="C702" s="138" t="s">
        <v>2476</v>
      </c>
      <c r="D702" s="114" t="s">
        <v>52</v>
      </c>
      <c r="E702" s="115" t="s">
        <v>2477</v>
      </c>
      <c r="F702" s="116"/>
      <c r="G702" s="113" t="s">
        <v>2428</v>
      </c>
      <c r="H702" s="113" t="s">
        <v>2473</v>
      </c>
      <c r="I702" s="113"/>
      <c r="J702" s="117" t="s">
        <v>2474</v>
      </c>
      <c r="K702" s="118"/>
      <c r="L702" s="109">
        <v>2</v>
      </c>
      <c r="M702" s="109">
        <v>3</v>
      </c>
      <c r="N702" s="109"/>
      <c r="O702" s="119"/>
      <c r="P702" s="2">
        <f t="shared" si="160"/>
        <v>1</v>
      </c>
      <c r="Q702" s="110" t="str">
        <f>IF(AND(Drops!$D$45&gt;1,OR(U702&lt;&gt;U701,AND(ROW()=5,U701=U702))),VLOOKUP(U702,Drops!$D$26:$E$44,2,FALSE),"")</f>
        <v/>
      </c>
      <c r="R702" s="2" t="str">
        <f t="shared" si="161"/>
        <v/>
      </c>
      <c r="S702" s="2">
        <f t="shared" ca="1" si="162"/>
        <v>1</v>
      </c>
      <c r="T702" s="2">
        <f t="shared" si="163"/>
        <v>0</v>
      </c>
      <c r="U702" s="110" t="s">
        <v>2430</v>
      </c>
      <c r="V702" s="110">
        <v>1</v>
      </c>
      <c r="W702" s="110">
        <v>21</v>
      </c>
      <c r="X702" s="110">
        <v>0</v>
      </c>
      <c r="Y702" s="110">
        <v>0</v>
      </c>
      <c r="Z702" s="110">
        <v>0</v>
      </c>
      <c r="AA702" s="2">
        <f t="shared" si="164"/>
        <v>1</v>
      </c>
      <c r="AB702" s="2">
        <f t="shared" si="165"/>
        <v>0</v>
      </c>
      <c r="AC702" s="2">
        <f t="shared" si="166"/>
        <v>1</v>
      </c>
      <c r="AD702" s="2">
        <f t="shared" si="167"/>
        <v>1</v>
      </c>
      <c r="AE702" s="2">
        <f t="shared" si="168"/>
        <v>0</v>
      </c>
      <c r="AF702" s="2">
        <f t="shared" si="169"/>
        <v>0</v>
      </c>
      <c r="AG702" s="2">
        <f t="shared" si="170"/>
        <v>0</v>
      </c>
      <c r="AH702" s="2">
        <f t="shared" si="171"/>
        <v>2</v>
      </c>
      <c r="AI702" s="2">
        <f t="shared" si="172"/>
        <v>2</v>
      </c>
      <c r="AJ702" s="2">
        <f t="shared" si="173"/>
        <v>2</v>
      </c>
      <c r="AK702" s="2">
        <f t="shared" si="174"/>
        <v>0</v>
      </c>
      <c r="AL702" s="2">
        <f t="shared" si="175"/>
        <v>0</v>
      </c>
      <c r="AM702" s="115"/>
      <c r="AN702" s="115"/>
      <c r="AO702" s="63"/>
    </row>
    <row r="703" spans="1:41" ht="28.8" x14ac:dyDescent="0.55000000000000004">
      <c r="A703" s="36">
        <v>4090</v>
      </c>
      <c r="B703" s="113" t="s">
        <v>2478</v>
      </c>
      <c r="C703" s="138" t="s">
        <v>2479</v>
      </c>
      <c r="D703" s="114" t="s">
        <v>52</v>
      </c>
      <c r="E703" s="115" t="s">
        <v>2480</v>
      </c>
      <c r="F703" s="116"/>
      <c r="G703" s="113" t="s">
        <v>2481</v>
      </c>
      <c r="H703" s="113" t="s">
        <v>2482</v>
      </c>
      <c r="I703" s="113"/>
      <c r="J703" s="117"/>
      <c r="K703" s="118"/>
      <c r="L703" s="109">
        <v>2</v>
      </c>
      <c r="M703" s="109">
        <v>1</v>
      </c>
      <c r="N703" s="109"/>
      <c r="O703" s="119"/>
      <c r="P703" s="2">
        <f t="shared" si="160"/>
        <v>1</v>
      </c>
      <c r="Q703" s="110" t="str">
        <f>IF(AND(Drops!$D$45&gt;1,OR(U703&lt;&gt;U702,AND(ROW()=5,U702=U703))),VLOOKUP(U703,Drops!$D$26:$E$44,2,FALSE),"")</f>
        <v/>
      </c>
      <c r="R703" s="2" t="str">
        <f t="shared" si="161"/>
        <v/>
      </c>
      <c r="S703" s="2">
        <f t="shared" ca="1" si="162"/>
        <v>1</v>
      </c>
      <c r="T703" s="2">
        <f t="shared" si="163"/>
        <v>0</v>
      </c>
      <c r="U703" s="110" t="s">
        <v>2430</v>
      </c>
      <c r="V703" s="110">
        <v>1</v>
      </c>
      <c r="W703" s="110">
        <v>22</v>
      </c>
      <c r="X703" s="110">
        <v>0</v>
      </c>
      <c r="Y703" s="110">
        <v>0</v>
      </c>
      <c r="Z703" s="110">
        <v>0</v>
      </c>
      <c r="AA703" s="2">
        <f t="shared" si="164"/>
        <v>1</v>
      </c>
      <c r="AB703" s="2">
        <f t="shared" si="165"/>
        <v>1</v>
      </c>
      <c r="AC703" s="2">
        <f t="shared" si="166"/>
        <v>1</v>
      </c>
      <c r="AD703" s="2">
        <f t="shared" si="167"/>
        <v>1</v>
      </c>
      <c r="AE703" s="2">
        <f t="shared" si="168"/>
        <v>0</v>
      </c>
      <c r="AF703" s="2">
        <f t="shared" si="169"/>
        <v>0</v>
      </c>
      <c r="AG703" s="2">
        <f t="shared" si="170"/>
        <v>0</v>
      </c>
      <c r="AH703" s="2">
        <f t="shared" si="171"/>
        <v>2</v>
      </c>
      <c r="AI703" s="2">
        <f t="shared" si="172"/>
        <v>2</v>
      </c>
      <c r="AJ703" s="2">
        <f t="shared" si="173"/>
        <v>2</v>
      </c>
      <c r="AK703" s="2">
        <f t="shared" si="174"/>
        <v>0</v>
      </c>
      <c r="AL703" s="2">
        <f t="shared" si="175"/>
        <v>0</v>
      </c>
      <c r="AM703" s="115"/>
      <c r="AN703" s="115"/>
      <c r="AO703" s="63"/>
    </row>
    <row r="704" spans="1:41" ht="28.8" x14ac:dyDescent="0.55000000000000004">
      <c r="A704" s="36">
        <v>4091</v>
      </c>
      <c r="B704" s="113" t="s">
        <v>2483</v>
      </c>
      <c r="C704" s="139" t="s">
        <v>2484</v>
      </c>
      <c r="D704" s="114" t="s">
        <v>55</v>
      </c>
      <c r="E704" s="115"/>
      <c r="F704" s="116"/>
      <c r="G704" s="113" t="s">
        <v>2481</v>
      </c>
      <c r="H704" s="113" t="s">
        <v>2482</v>
      </c>
      <c r="I704" s="113"/>
      <c r="J704" s="117"/>
      <c r="K704" s="118"/>
      <c r="L704" s="109">
        <v>3</v>
      </c>
      <c r="M704" s="109">
        <v>3</v>
      </c>
      <c r="N704" s="109"/>
      <c r="O704" s="119"/>
      <c r="P704" s="2">
        <f t="shared" si="160"/>
        <v>2</v>
      </c>
      <c r="Q704" s="110" t="str">
        <f>IF(AND(Drops!$D$45&gt;1,OR(U704&lt;&gt;U703,AND(ROW()=5,U703=U704))),VLOOKUP(U704,Drops!$D$26:$E$44,2,FALSE),"")</f>
        <v/>
      </c>
      <c r="R704" s="2" t="str">
        <f t="shared" si="161"/>
        <v/>
      </c>
      <c r="S704" s="2">
        <f t="shared" ca="1" si="162"/>
        <v>2</v>
      </c>
      <c r="T704" s="2">
        <f t="shared" si="163"/>
        <v>0</v>
      </c>
      <c r="U704" s="110" t="s">
        <v>2430</v>
      </c>
      <c r="V704" s="110">
        <v>1</v>
      </c>
      <c r="W704" s="110">
        <v>22</v>
      </c>
      <c r="X704" s="110">
        <v>1</v>
      </c>
      <c r="Y704" s="110">
        <v>0</v>
      </c>
      <c r="Z704" s="110">
        <v>0</v>
      </c>
      <c r="AA704" s="2">
        <f t="shared" si="164"/>
        <v>1</v>
      </c>
      <c r="AB704" s="2">
        <f t="shared" si="165"/>
        <v>0</v>
      </c>
      <c r="AC704" s="2">
        <f t="shared" si="166"/>
        <v>1</v>
      </c>
      <c r="AD704" s="2">
        <f t="shared" si="167"/>
        <v>1</v>
      </c>
      <c r="AE704" s="2">
        <f t="shared" si="168"/>
        <v>2</v>
      </c>
      <c r="AF704" s="2">
        <f t="shared" si="169"/>
        <v>2</v>
      </c>
      <c r="AG704" s="2">
        <f t="shared" si="170"/>
        <v>2</v>
      </c>
      <c r="AH704" s="2">
        <f t="shared" si="171"/>
        <v>2</v>
      </c>
      <c r="AI704" s="2">
        <f t="shared" si="172"/>
        <v>2</v>
      </c>
      <c r="AJ704" s="2">
        <f t="shared" si="173"/>
        <v>1</v>
      </c>
      <c r="AK704" s="2">
        <f t="shared" si="174"/>
        <v>0</v>
      </c>
      <c r="AL704" s="2">
        <f t="shared" si="175"/>
        <v>0</v>
      </c>
      <c r="AM704" s="115"/>
      <c r="AN704" s="115"/>
      <c r="AO704" s="63"/>
    </row>
    <row r="705" spans="1:41" ht="28.8" x14ac:dyDescent="0.55000000000000004">
      <c r="A705" s="36">
        <v>4092</v>
      </c>
      <c r="B705" s="113" t="s">
        <v>2485</v>
      </c>
      <c r="C705" s="139" t="s">
        <v>2486</v>
      </c>
      <c r="D705" s="114" t="s">
        <v>55</v>
      </c>
      <c r="E705" s="115"/>
      <c r="F705" s="116"/>
      <c r="G705" s="113" t="s">
        <v>2481</v>
      </c>
      <c r="H705" s="113" t="s">
        <v>2482</v>
      </c>
      <c r="I705" s="113"/>
      <c r="J705" s="117"/>
      <c r="K705" s="118"/>
      <c r="L705" s="109">
        <v>3</v>
      </c>
      <c r="M705" s="109">
        <v>3</v>
      </c>
      <c r="N705" s="109"/>
      <c r="O705" s="119"/>
      <c r="P705" s="2">
        <f t="shared" si="160"/>
        <v>2</v>
      </c>
      <c r="Q705" s="110" t="str">
        <f>IF(AND(Drops!$D$45&gt;1,OR(U705&lt;&gt;U704,AND(ROW()=5,U704=U705))),VLOOKUP(U705,Drops!$D$26:$E$44,2,FALSE),"")</f>
        <v/>
      </c>
      <c r="R705" s="2" t="str">
        <f t="shared" si="161"/>
        <v/>
      </c>
      <c r="S705" s="2">
        <f t="shared" ca="1" si="162"/>
        <v>2</v>
      </c>
      <c r="T705" s="2">
        <f t="shared" si="163"/>
        <v>0</v>
      </c>
      <c r="U705" s="110" t="s">
        <v>2430</v>
      </c>
      <c r="V705" s="110">
        <v>1</v>
      </c>
      <c r="W705" s="110">
        <v>22</v>
      </c>
      <c r="X705" s="110">
        <v>2</v>
      </c>
      <c r="Y705" s="110">
        <v>0</v>
      </c>
      <c r="Z705" s="110">
        <v>0</v>
      </c>
      <c r="AA705" s="2">
        <f t="shared" si="164"/>
        <v>1</v>
      </c>
      <c r="AB705" s="2">
        <f t="shared" si="165"/>
        <v>0</v>
      </c>
      <c r="AC705" s="2">
        <f t="shared" si="166"/>
        <v>1</v>
      </c>
      <c r="AD705" s="2">
        <f t="shared" si="167"/>
        <v>1</v>
      </c>
      <c r="AE705" s="2">
        <f t="shared" si="168"/>
        <v>2</v>
      </c>
      <c r="AF705" s="2">
        <f t="shared" si="169"/>
        <v>2</v>
      </c>
      <c r="AG705" s="2">
        <f t="shared" si="170"/>
        <v>2</v>
      </c>
      <c r="AH705" s="2">
        <f t="shared" si="171"/>
        <v>2</v>
      </c>
      <c r="AI705" s="2">
        <f t="shared" si="172"/>
        <v>2</v>
      </c>
      <c r="AJ705" s="2">
        <f t="shared" si="173"/>
        <v>1</v>
      </c>
      <c r="AK705" s="2">
        <f t="shared" si="174"/>
        <v>0</v>
      </c>
      <c r="AL705" s="2">
        <f t="shared" si="175"/>
        <v>0</v>
      </c>
      <c r="AM705" s="115"/>
      <c r="AN705" s="115"/>
      <c r="AO705" s="63"/>
    </row>
    <row r="706" spans="1:41" ht="28.8" x14ac:dyDescent="0.55000000000000004">
      <c r="A706" s="36">
        <v>4093</v>
      </c>
      <c r="B706" s="113" t="s">
        <v>2487</v>
      </c>
      <c r="C706" s="139" t="s">
        <v>2488</v>
      </c>
      <c r="D706" s="114" t="s">
        <v>55</v>
      </c>
      <c r="E706" s="115"/>
      <c r="F706" s="116"/>
      <c r="G706" s="113" t="s">
        <v>2481</v>
      </c>
      <c r="H706" s="113" t="s">
        <v>2482</v>
      </c>
      <c r="I706" s="113"/>
      <c r="J706" s="117"/>
      <c r="K706" s="118"/>
      <c r="L706" s="109">
        <v>3</v>
      </c>
      <c r="M706" s="109">
        <v>3</v>
      </c>
      <c r="N706" s="109"/>
      <c r="O706" s="119"/>
      <c r="P706" s="2">
        <f t="shared" si="160"/>
        <v>2</v>
      </c>
      <c r="Q706" s="110" t="str">
        <f>IF(AND(Drops!$D$45&gt;1,OR(U706&lt;&gt;U705,AND(ROW()=5,U705=U706))),VLOOKUP(U706,Drops!$D$26:$E$44,2,FALSE),"")</f>
        <v/>
      </c>
      <c r="R706" s="2" t="str">
        <f t="shared" si="161"/>
        <v/>
      </c>
      <c r="S706" s="2">
        <f t="shared" ca="1" si="162"/>
        <v>2</v>
      </c>
      <c r="T706" s="2">
        <f t="shared" si="163"/>
        <v>0</v>
      </c>
      <c r="U706" s="110" t="s">
        <v>2430</v>
      </c>
      <c r="V706" s="110">
        <v>1</v>
      </c>
      <c r="W706" s="110">
        <v>22</v>
      </c>
      <c r="X706" s="110">
        <v>3</v>
      </c>
      <c r="Y706" s="110">
        <v>0</v>
      </c>
      <c r="Z706" s="110">
        <v>0</v>
      </c>
      <c r="AA706" s="2">
        <f t="shared" si="164"/>
        <v>1</v>
      </c>
      <c r="AB706" s="2">
        <f t="shared" si="165"/>
        <v>0</v>
      </c>
      <c r="AC706" s="2">
        <f t="shared" si="166"/>
        <v>1</v>
      </c>
      <c r="AD706" s="2">
        <f t="shared" si="167"/>
        <v>1</v>
      </c>
      <c r="AE706" s="2">
        <f t="shared" si="168"/>
        <v>2</v>
      </c>
      <c r="AF706" s="2">
        <f t="shared" si="169"/>
        <v>2</v>
      </c>
      <c r="AG706" s="2">
        <f t="shared" si="170"/>
        <v>2</v>
      </c>
      <c r="AH706" s="2">
        <f t="shared" si="171"/>
        <v>2</v>
      </c>
      <c r="AI706" s="2">
        <f t="shared" si="172"/>
        <v>2</v>
      </c>
      <c r="AJ706" s="2">
        <f t="shared" si="173"/>
        <v>1</v>
      </c>
      <c r="AK706" s="2">
        <f t="shared" si="174"/>
        <v>0</v>
      </c>
      <c r="AL706" s="2">
        <f t="shared" si="175"/>
        <v>0</v>
      </c>
      <c r="AM706" s="115"/>
      <c r="AN706" s="115"/>
      <c r="AO706" s="63"/>
    </row>
    <row r="707" spans="1:41" ht="28.8" x14ac:dyDescent="0.55000000000000004">
      <c r="A707" s="36">
        <v>4094</v>
      </c>
      <c r="B707" s="113" t="s">
        <v>2489</v>
      </c>
      <c r="C707" s="139" t="s">
        <v>2490</v>
      </c>
      <c r="D707" s="114" t="s">
        <v>55</v>
      </c>
      <c r="E707" s="115"/>
      <c r="F707" s="116"/>
      <c r="G707" s="113" t="s">
        <v>2481</v>
      </c>
      <c r="H707" s="113" t="s">
        <v>2482</v>
      </c>
      <c r="I707" s="113"/>
      <c r="J707" s="117"/>
      <c r="K707" s="118"/>
      <c r="L707" s="109">
        <v>3</v>
      </c>
      <c r="M707" s="109">
        <v>3</v>
      </c>
      <c r="N707" s="109"/>
      <c r="O707" s="119"/>
      <c r="P707" s="2">
        <f t="shared" si="160"/>
        <v>2</v>
      </c>
      <c r="Q707" s="110" t="str">
        <f>IF(AND(Drops!$D$45&gt;1,OR(U707&lt;&gt;U706,AND(ROW()=5,U706=U707))),VLOOKUP(U707,Drops!$D$26:$E$44,2,FALSE),"")</f>
        <v/>
      </c>
      <c r="R707" s="2" t="str">
        <f t="shared" si="161"/>
        <v/>
      </c>
      <c r="S707" s="2">
        <f t="shared" ca="1" si="162"/>
        <v>2</v>
      </c>
      <c r="T707" s="2">
        <f t="shared" si="163"/>
        <v>0</v>
      </c>
      <c r="U707" s="110" t="s">
        <v>2430</v>
      </c>
      <c r="V707" s="110">
        <v>1</v>
      </c>
      <c r="W707" s="110">
        <v>22</v>
      </c>
      <c r="X707" s="110">
        <v>4</v>
      </c>
      <c r="Y707" s="110">
        <v>0</v>
      </c>
      <c r="Z707" s="110">
        <v>0</v>
      </c>
      <c r="AA707" s="2">
        <f t="shared" si="164"/>
        <v>1</v>
      </c>
      <c r="AB707" s="2">
        <f t="shared" si="165"/>
        <v>0</v>
      </c>
      <c r="AC707" s="2">
        <f t="shared" si="166"/>
        <v>1</v>
      </c>
      <c r="AD707" s="2">
        <f t="shared" si="167"/>
        <v>1</v>
      </c>
      <c r="AE707" s="2">
        <f t="shared" si="168"/>
        <v>2</v>
      </c>
      <c r="AF707" s="2">
        <f t="shared" si="169"/>
        <v>2</v>
      </c>
      <c r="AG707" s="2">
        <f t="shared" si="170"/>
        <v>2</v>
      </c>
      <c r="AH707" s="2">
        <f t="shared" si="171"/>
        <v>2</v>
      </c>
      <c r="AI707" s="2">
        <f t="shared" si="172"/>
        <v>2</v>
      </c>
      <c r="AJ707" s="2">
        <f t="shared" si="173"/>
        <v>1</v>
      </c>
      <c r="AK707" s="2">
        <f t="shared" si="174"/>
        <v>0</v>
      </c>
      <c r="AL707" s="2">
        <f t="shared" si="175"/>
        <v>0</v>
      </c>
      <c r="AM707" s="115"/>
      <c r="AN707" s="115"/>
      <c r="AO707" s="63"/>
    </row>
    <row r="708" spans="1:41" ht="28.8" x14ac:dyDescent="0.55000000000000004">
      <c r="A708" s="36">
        <v>4095</v>
      </c>
      <c r="B708" s="113" t="s">
        <v>2491</v>
      </c>
      <c r="C708" s="139" t="s">
        <v>2492</v>
      </c>
      <c r="D708" s="114" t="s">
        <v>52</v>
      </c>
      <c r="E708" s="115"/>
      <c r="F708" s="116"/>
      <c r="G708" s="113" t="s">
        <v>2481</v>
      </c>
      <c r="H708" s="113" t="s">
        <v>2482</v>
      </c>
      <c r="I708" s="113"/>
      <c r="J708" s="117"/>
      <c r="K708" s="118"/>
      <c r="L708" s="109">
        <v>3</v>
      </c>
      <c r="M708" s="109">
        <v>2</v>
      </c>
      <c r="N708" s="109"/>
      <c r="O708" s="119"/>
      <c r="P708" s="2">
        <f t="shared" si="160"/>
        <v>1</v>
      </c>
      <c r="Q708" s="110" t="str">
        <f>IF(AND(Drops!$D$45&gt;1,OR(U708&lt;&gt;U707,AND(ROW()=5,U707=U708))),VLOOKUP(U708,Drops!$D$26:$E$44,2,FALSE),"")</f>
        <v/>
      </c>
      <c r="R708" s="2" t="str">
        <f t="shared" si="161"/>
        <v/>
      </c>
      <c r="S708" s="2">
        <f t="shared" ca="1" si="162"/>
        <v>1</v>
      </c>
      <c r="T708" s="2">
        <f t="shared" si="163"/>
        <v>0</v>
      </c>
      <c r="U708" s="110" t="s">
        <v>2430</v>
      </c>
      <c r="V708" s="110">
        <v>1</v>
      </c>
      <c r="W708" s="110">
        <v>22</v>
      </c>
      <c r="X708" s="110">
        <v>5</v>
      </c>
      <c r="Y708" s="110">
        <v>0</v>
      </c>
      <c r="Z708" s="110">
        <v>0</v>
      </c>
      <c r="AA708" s="2">
        <f t="shared" si="164"/>
        <v>1</v>
      </c>
      <c r="AB708" s="2">
        <f t="shared" si="165"/>
        <v>0</v>
      </c>
      <c r="AC708" s="2">
        <f t="shared" si="166"/>
        <v>1</v>
      </c>
      <c r="AD708" s="2">
        <f t="shared" si="167"/>
        <v>1</v>
      </c>
      <c r="AE708" s="2">
        <f t="shared" si="168"/>
        <v>1</v>
      </c>
      <c r="AF708" s="2">
        <f t="shared" si="169"/>
        <v>2</v>
      </c>
      <c r="AG708" s="2">
        <f t="shared" si="170"/>
        <v>2</v>
      </c>
      <c r="AH708" s="2">
        <f t="shared" si="171"/>
        <v>2</v>
      </c>
      <c r="AI708" s="2">
        <f t="shared" si="172"/>
        <v>2</v>
      </c>
      <c r="AJ708" s="2">
        <f t="shared" si="173"/>
        <v>2</v>
      </c>
      <c r="AK708" s="2">
        <f t="shared" si="174"/>
        <v>0</v>
      </c>
      <c r="AL708" s="2">
        <f t="shared" si="175"/>
        <v>0</v>
      </c>
      <c r="AM708" s="115"/>
      <c r="AN708" s="115"/>
      <c r="AO708" s="63"/>
    </row>
    <row r="709" spans="1:41" ht="28.8" x14ac:dyDescent="0.55000000000000004">
      <c r="A709" s="36">
        <v>4096</v>
      </c>
      <c r="B709" s="113" t="s">
        <v>2493</v>
      </c>
      <c r="C709" s="139" t="s">
        <v>2494</v>
      </c>
      <c r="D709" s="114" t="s">
        <v>55</v>
      </c>
      <c r="E709" s="115"/>
      <c r="F709" s="116"/>
      <c r="G709" s="113" t="s">
        <v>2481</v>
      </c>
      <c r="H709" s="113" t="s">
        <v>2482</v>
      </c>
      <c r="I709" s="113"/>
      <c r="J709" s="117"/>
      <c r="K709" s="118"/>
      <c r="L709" s="109">
        <v>3</v>
      </c>
      <c r="M709" s="109">
        <v>3</v>
      </c>
      <c r="N709" s="109"/>
      <c r="O709" s="119"/>
      <c r="P709" s="2">
        <f t="shared" si="160"/>
        <v>2</v>
      </c>
      <c r="Q709" s="110" t="str">
        <f>IF(AND(Drops!$D$45&gt;1,OR(U709&lt;&gt;U708,AND(ROW()=5,U708=U709))),VLOOKUP(U709,Drops!$D$26:$E$44,2,FALSE),"")</f>
        <v/>
      </c>
      <c r="R709" s="2" t="str">
        <f t="shared" si="161"/>
        <v/>
      </c>
      <c r="S709" s="2">
        <f t="shared" ca="1" si="162"/>
        <v>2</v>
      </c>
      <c r="T709" s="2">
        <f t="shared" si="163"/>
        <v>0</v>
      </c>
      <c r="U709" s="110" t="s">
        <v>2430</v>
      </c>
      <c r="V709" s="110">
        <v>1</v>
      </c>
      <c r="W709" s="110">
        <v>22</v>
      </c>
      <c r="X709" s="110">
        <v>6</v>
      </c>
      <c r="Y709" s="110">
        <v>0</v>
      </c>
      <c r="Z709" s="110">
        <v>0</v>
      </c>
      <c r="AA709" s="2">
        <f t="shared" si="164"/>
        <v>1</v>
      </c>
      <c r="AB709" s="2">
        <f t="shared" si="165"/>
        <v>0</v>
      </c>
      <c r="AC709" s="2">
        <f t="shared" si="166"/>
        <v>1</v>
      </c>
      <c r="AD709" s="2">
        <f t="shared" si="167"/>
        <v>1</v>
      </c>
      <c r="AE709" s="2">
        <f t="shared" si="168"/>
        <v>2</v>
      </c>
      <c r="AF709" s="2">
        <f t="shared" si="169"/>
        <v>2</v>
      </c>
      <c r="AG709" s="2">
        <f t="shared" si="170"/>
        <v>2</v>
      </c>
      <c r="AH709" s="2">
        <f t="shared" si="171"/>
        <v>2</v>
      </c>
      <c r="AI709" s="2">
        <f t="shared" si="172"/>
        <v>2</v>
      </c>
      <c r="AJ709" s="2">
        <f t="shared" si="173"/>
        <v>1</v>
      </c>
      <c r="AK709" s="2">
        <f t="shared" si="174"/>
        <v>0</v>
      </c>
      <c r="AL709" s="2">
        <f t="shared" si="175"/>
        <v>0</v>
      </c>
      <c r="AM709" s="115"/>
      <c r="AN709" s="115"/>
      <c r="AO709" s="63"/>
    </row>
    <row r="710" spans="1:41" ht="43.2" x14ac:dyDescent="0.55000000000000004">
      <c r="A710" s="36">
        <v>4097</v>
      </c>
      <c r="B710" s="113" t="s">
        <v>2495</v>
      </c>
      <c r="C710" s="138" t="s">
        <v>2496</v>
      </c>
      <c r="D710" s="114" t="s">
        <v>52</v>
      </c>
      <c r="E710" s="115" t="s">
        <v>2497</v>
      </c>
      <c r="F710" s="116"/>
      <c r="G710" s="113" t="s">
        <v>2481</v>
      </c>
      <c r="H710" s="113" t="s">
        <v>2498</v>
      </c>
      <c r="I710" s="113"/>
      <c r="J710" s="117" t="s">
        <v>2499</v>
      </c>
      <c r="K710" s="118"/>
      <c r="L710" s="109">
        <v>2</v>
      </c>
      <c r="M710" s="109">
        <v>2</v>
      </c>
      <c r="N710" s="109"/>
      <c r="O710" s="119"/>
      <c r="P710" s="2">
        <f t="shared" ref="P710:P773" si="176">IF($L710="","",IF($D710="Yes",1,IF($D710="No",2,IF($D710="N/A",3,0))))</f>
        <v>1</v>
      </c>
      <c r="Q710" s="110" t="str">
        <f>IF(AND(Drops!$D$45&gt;1,OR(U710&lt;&gt;U709,AND(ROW()=5,U709=U710))),VLOOKUP(U710,Drops!$D$26:$E$44,2,FALSE),"")</f>
        <v/>
      </c>
      <c r="R710" s="2" t="str">
        <f t="shared" ref="R710:R773" si="177">IF(Q710&lt;&gt;"",ROW(),"")</f>
        <v/>
      </c>
      <c r="S710" s="2">
        <f t="shared" ref="S710:S773" ca="1" si="178">OFFSET(AC710,,L710-1)</f>
        <v>1</v>
      </c>
      <c r="T710" s="2">
        <f t="shared" ref="T710:T773" si="179">IF(OR(V710&lt;&gt;V709,U710&lt;&gt;U709,AND(V710&lt;&gt;V709,W710&lt;&gt;W709),AND(V710&lt;&gt;V709,W710&lt;&gt;W709,X710&lt;&gt;X709),AND(V710&lt;&gt;V709,W710&lt;&gt;W709,X710&lt;&gt;X709,Y710&lt;&gt;Y709),AND(V710&lt;&gt;V709,W710&lt;&gt;W709,X710&lt;&gt;X709,Y710&lt;&gt;Y709,Z710&lt;&gt;Z709),L710-L709&gt;1),1,0)</f>
        <v>0</v>
      </c>
      <c r="U710" s="110" t="s">
        <v>2430</v>
      </c>
      <c r="V710" s="110">
        <v>1</v>
      </c>
      <c r="W710" s="110">
        <v>23</v>
      </c>
      <c r="X710" s="110">
        <v>0</v>
      </c>
      <c r="Y710" s="110">
        <v>0</v>
      </c>
      <c r="Z710" s="110">
        <v>0</v>
      </c>
      <c r="AA710" s="2">
        <f t="shared" ref="AA710:AA773" si="180">IF(ROW()=5,1,IF(OR(AH710=1,P710&gt;0,T710=1),1,IF(OR(AND(AH710=2,AI710=1),AND(AI710=2,AJ710=1),AND(AJ710=2,AK710=1),AND(AK710=2,AL710=1)),1,0)))</f>
        <v>1</v>
      </c>
      <c r="AB710" s="2">
        <f t="shared" ref="AB710:AB773" si="181">IF(L711&gt;L710,1,0)</f>
        <v>1</v>
      </c>
      <c r="AC710" s="2">
        <f t="shared" ref="AC710:AC773" si="182">IF(ROW()=5,P710,IF(AND($P710&gt;1,AC$4=$L710),$P710,IF(AND($U710=$U709,V710=V709),AC709,IF(AND($L710=AC$4,P710=1),P710,0))))</f>
        <v>1</v>
      </c>
      <c r="AD710" s="2">
        <f t="shared" ref="AD710:AD773" si="183">IF(AC710&gt;1,AC710,IF(AND($P710&gt;1,AD$4=$L710),$P710,IF(AND($U710=$U709,W710=W709),AD709,IF(AND($L710=AD$4,P710=1),P710,0))))</f>
        <v>1</v>
      </c>
      <c r="AE710" s="2">
        <f t="shared" ref="AE710:AE773" si="184">IF(AD710&gt;1,AD710,IF(AND($P710&gt;1,AE$4=$L710),$P710,IF(AND($U710=$U709,X710=X709),AE709,IF(AND($L710=AE$4,P710=1),P710,0))))</f>
        <v>0</v>
      </c>
      <c r="AF710" s="2">
        <f t="shared" ref="AF710:AF773" si="185">IF(AE710&gt;1,AE710,IF(AND($P710&gt;1,AF$4=$L710),$P710,IF(AND($U710=$U709,Y710=Y709),AF709,IF(AND($L710=AF$4,P710=1),P710,0))))</f>
        <v>2</v>
      </c>
      <c r="AG710" s="2">
        <f t="shared" ref="AG710:AG773" si="186">IF(AF710&gt;1,AF710,IF(AND($P710&gt;1,AG$4=$L710),$P710,IF(AND($U710=$U709,Z710=Z709),AG709,IF(AND($L710=AG$4,P710=1),P710,0))))</f>
        <v>2</v>
      </c>
      <c r="AH710" s="2">
        <f t="shared" ref="AH710:AH773" si="187">IF(AND($P710=1,$L710=AH$4),2,IF(AND($L710&lt;&gt;AH$4,AH709=2),AH709,IF($L710&lt;&gt;AH$4,0,1)))</f>
        <v>2</v>
      </c>
      <c r="AI710" s="2">
        <f t="shared" ref="AI710:AI773" si="188">IF(OR(ROW()=5,$U709&lt;&gt;$U710),0,IF(AND($P710=1,$L710=AI$4),2,IF(AND($L710&lt;&gt;AI$4,AI709=2),AI709,IF($L710&lt;&gt;AI$4,0,1))))</f>
        <v>2</v>
      </c>
      <c r="AJ710" s="2">
        <f t="shared" ref="AJ710:AJ773" si="189">IF(OR(ROW()=5,$U709&lt;&gt;$U710),0,IF(AND($P710=1,$L710=AJ$4),2,IF(AND($L710&lt;&gt;AJ$4,AJ709=2),AJ709,IF($L710&lt;&gt;AJ$4,0,1))))</f>
        <v>0</v>
      </c>
      <c r="AK710" s="2">
        <f t="shared" ref="AK710:AK773" si="190">IF(OR(ROW()=5,$U709&lt;&gt;$U710),0,IF(AND($P710=1,$L710=AK$4),2,IF(AND($L710&lt;&gt;AK$4,AK709=2),AK709,IF($L710&lt;&gt;AK$4,0,1))))</f>
        <v>0</v>
      </c>
      <c r="AL710" s="2">
        <f t="shared" ref="AL710:AL773" si="191">IF(OR(ROW()=5,$U709&lt;&gt;$U710),0,IF(AND($P710=1,$L710=AL$4),2,IF(AND($L710&lt;&gt;AL$4,AL709=2),AL709,IF($L710&lt;&gt;AL$4,0,1))))</f>
        <v>0</v>
      </c>
      <c r="AM710" s="115"/>
      <c r="AN710" s="115"/>
      <c r="AO710" s="63"/>
    </row>
    <row r="711" spans="1:41" ht="43.2" x14ac:dyDescent="0.55000000000000004">
      <c r="A711" s="36">
        <v>3762</v>
      </c>
      <c r="B711" s="113" t="s">
        <v>2500</v>
      </c>
      <c r="C711" s="139" t="s">
        <v>2501</v>
      </c>
      <c r="D711" s="114" t="s">
        <v>52</v>
      </c>
      <c r="E711" s="115"/>
      <c r="F711" s="116"/>
      <c r="G711" s="113" t="s">
        <v>2481</v>
      </c>
      <c r="H711" s="113" t="s">
        <v>2498</v>
      </c>
      <c r="I711" s="113"/>
      <c r="J711" s="117" t="s">
        <v>2499</v>
      </c>
      <c r="K711" s="118"/>
      <c r="L711" s="109">
        <v>3</v>
      </c>
      <c r="M711" s="109">
        <v>3</v>
      </c>
      <c r="N711" s="109"/>
      <c r="O711" s="119"/>
      <c r="P711" s="2">
        <f t="shared" si="176"/>
        <v>1</v>
      </c>
      <c r="Q711" s="110" t="str">
        <f>IF(AND(Drops!$D$45&gt;1,OR(U711&lt;&gt;U710,AND(ROW()=5,U710=U711))),VLOOKUP(U711,Drops!$D$26:$E$44,2,FALSE),"")</f>
        <v/>
      </c>
      <c r="R711" s="2" t="str">
        <f t="shared" si="177"/>
        <v/>
      </c>
      <c r="S711" s="2">
        <f t="shared" ca="1" si="178"/>
        <v>1</v>
      </c>
      <c r="T711" s="2">
        <f t="shared" si="179"/>
        <v>0</v>
      </c>
      <c r="U711" s="110" t="s">
        <v>2430</v>
      </c>
      <c r="V711" s="110">
        <v>1</v>
      </c>
      <c r="W711" s="110">
        <v>23</v>
      </c>
      <c r="X711" s="110">
        <v>1</v>
      </c>
      <c r="Y711" s="110">
        <v>0</v>
      </c>
      <c r="Z711" s="110">
        <v>0</v>
      </c>
      <c r="AA711" s="2">
        <f t="shared" si="180"/>
        <v>1</v>
      </c>
      <c r="AB711" s="2">
        <f t="shared" si="181"/>
        <v>0</v>
      </c>
      <c r="AC711" s="2">
        <f t="shared" si="182"/>
        <v>1</v>
      </c>
      <c r="AD711" s="2">
        <f t="shared" si="183"/>
        <v>1</v>
      </c>
      <c r="AE711" s="2">
        <f t="shared" si="184"/>
        <v>1</v>
      </c>
      <c r="AF711" s="2">
        <f t="shared" si="185"/>
        <v>2</v>
      </c>
      <c r="AG711" s="2">
        <f t="shared" si="186"/>
        <v>2</v>
      </c>
      <c r="AH711" s="2">
        <f t="shared" si="187"/>
        <v>2</v>
      </c>
      <c r="AI711" s="2">
        <f t="shared" si="188"/>
        <v>2</v>
      </c>
      <c r="AJ711" s="2">
        <f t="shared" si="189"/>
        <v>2</v>
      </c>
      <c r="AK711" s="2">
        <f t="shared" si="190"/>
        <v>0</v>
      </c>
      <c r="AL711" s="2">
        <f t="shared" si="191"/>
        <v>0</v>
      </c>
      <c r="AM711" s="115"/>
      <c r="AN711" s="115"/>
      <c r="AO711" s="63"/>
    </row>
    <row r="712" spans="1:41" ht="43.2" x14ac:dyDescent="0.55000000000000004">
      <c r="A712" s="36">
        <v>3764</v>
      </c>
      <c r="B712" s="113" t="s">
        <v>2502</v>
      </c>
      <c r="C712" s="138" t="s">
        <v>2503</v>
      </c>
      <c r="D712" s="114" t="s">
        <v>55</v>
      </c>
      <c r="E712" s="115"/>
      <c r="F712" s="116"/>
      <c r="G712" s="113" t="s">
        <v>2428</v>
      </c>
      <c r="H712" s="113" t="s">
        <v>2504</v>
      </c>
      <c r="I712" s="113"/>
      <c r="J712" s="117" t="s">
        <v>2499</v>
      </c>
      <c r="K712" s="118"/>
      <c r="L712" s="109">
        <v>2</v>
      </c>
      <c r="M712" s="109">
        <v>3</v>
      </c>
      <c r="N712" s="109"/>
      <c r="O712" s="119"/>
      <c r="P712" s="2">
        <f t="shared" si="176"/>
        <v>2</v>
      </c>
      <c r="Q712" s="110" t="str">
        <f>IF(AND(Drops!$D$45&gt;1,OR(U712&lt;&gt;U711,AND(ROW()=5,U711=U712))),VLOOKUP(U712,Drops!$D$26:$E$44,2,FALSE),"")</f>
        <v/>
      </c>
      <c r="R712" s="2" t="str">
        <f t="shared" si="177"/>
        <v/>
      </c>
      <c r="S712" s="2">
        <f t="shared" ca="1" si="178"/>
        <v>2</v>
      </c>
      <c r="T712" s="2">
        <f t="shared" si="179"/>
        <v>0</v>
      </c>
      <c r="U712" s="110" t="s">
        <v>2430</v>
      </c>
      <c r="V712" s="110">
        <v>1</v>
      </c>
      <c r="W712" s="110">
        <v>24</v>
      </c>
      <c r="X712" s="110">
        <v>0</v>
      </c>
      <c r="Y712" s="110">
        <v>0</v>
      </c>
      <c r="Z712" s="110">
        <v>0</v>
      </c>
      <c r="AA712" s="2">
        <f t="shared" si="180"/>
        <v>1</v>
      </c>
      <c r="AB712" s="2">
        <f t="shared" si="181"/>
        <v>1</v>
      </c>
      <c r="AC712" s="2">
        <f t="shared" si="182"/>
        <v>1</v>
      </c>
      <c r="AD712" s="2">
        <f t="shared" si="183"/>
        <v>2</v>
      </c>
      <c r="AE712" s="2">
        <f t="shared" si="184"/>
        <v>2</v>
      </c>
      <c r="AF712" s="2">
        <f t="shared" si="185"/>
        <v>2</v>
      </c>
      <c r="AG712" s="2">
        <f t="shared" si="186"/>
        <v>2</v>
      </c>
      <c r="AH712" s="2">
        <f t="shared" si="187"/>
        <v>2</v>
      </c>
      <c r="AI712" s="2">
        <f t="shared" si="188"/>
        <v>1</v>
      </c>
      <c r="AJ712" s="2">
        <f t="shared" si="189"/>
        <v>2</v>
      </c>
      <c r="AK712" s="2">
        <f t="shared" si="190"/>
        <v>0</v>
      </c>
      <c r="AL712" s="2">
        <f t="shared" si="191"/>
        <v>0</v>
      </c>
      <c r="AM712" s="115"/>
      <c r="AN712" s="115"/>
      <c r="AO712" s="63"/>
    </row>
    <row r="713" spans="1:41" ht="43.2" x14ac:dyDescent="0.55000000000000004">
      <c r="A713" s="36">
        <v>3765</v>
      </c>
      <c r="B713" s="113" t="s">
        <v>2505</v>
      </c>
      <c r="C713" s="139" t="s">
        <v>2506</v>
      </c>
      <c r="D713" s="114" t="s">
        <v>55</v>
      </c>
      <c r="E713" s="115"/>
      <c r="F713" s="116"/>
      <c r="G713" s="113" t="s">
        <v>2428</v>
      </c>
      <c r="H713" s="113" t="s">
        <v>2504</v>
      </c>
      <c r="I713" s="113"/>
      <c r="J713" s="117" t="s">
        <v>2499</v>
      </c>
      <c r="K713" s="118"/>
      <c r="L713" s="109">
        <v>3</v>
      </c>
      <c r="M713" s="109">
        <v>3</v>
      </c>
      <c r="N713" s="109"/>
      <c r="O713" s="119"/>
      <c r="P713" s="2">
        <f t="shared" si="176"/>
        <v>2</v>
      </c>
      <c r="Q713" s="110" t="str">
        <f>IF(AND(Drops!$D$45&gt;1,OR(U713&lt;&gt;U712,AND(ROW()=5,U712=U713))),VLOOKUP(U713,Drops!$D$26:$E$44,2,FALSE),"")</f>
        <v/>
      </c>
      <c r="R713" s="2" t="str">
        <f t="shared" si="177"/>
        <v/>
      </c>
      <c r="S713" s="2">
        <f t="shared" ca="1" si="178"/>
        <v>2</v>
      </c>
      <c r="T713" s="2">
        <f t="shared" si="179"/>
        <v>0</v>
      </c>
      <c r="U713" s="110" t="s">
        <v>2430</v>
      </c>
      <c r="V713" s="110">
        <v>1</v>
      </c>
      <c r="W713" s="110">
        <v>24</v>
      </c>
      <c r="X713" s="110">
        <v>1</v>
      </c>
      <c r="Y713" s="110">
        <v>0</v>
      </c>
      <c r="Z713" s="110">
        <v>0</v>
      </c>
      <c r="AA713" s="2">
        <f t="shared" si="180"/>
        <v>1</v>
      </c>
      <c r="AB713" s="2">
        <f t="shared" si="181"/>
        <v>0</v>
      </c>
      <c r="AC713" s="2">
        <f t="shared" si="182"/>
        <v>1</v>
      </c>
      <c r="AD713" s="2">
        <f t="shared" si="183"/>
        <v>2</v>
      </c>
      <c r="AE713" s="2">
        <f t="shared" si="184"/>
        <v>2</v>
      </c>
      <c r="AF713" s="2">
        <f t="shared" si="185"/>
        <v>2</v>
      </c>
      <c r="AG713" s="2">
        <f t="shared" si="186"/>
        <v>2</v>
      </c>
      <c r="AH713" s="2">
        <f t="shared" si="187"/>
        <v>2</v>
      </c>
      <c r="AI713" s="2">
        <f t="shared" si="188"/>
        <v>0</v>
      </c>
      <c r="AJ713" s="2">
        <f t="shared" si="189"/>
        <v>1</v>
      </c>
      <c r="AK713" s="2">
        <f t="shared" si="190"/>
        <v>0</v>
      </c>
      <c r="AL713" s="2">
        <f t="shared" si="191"/>
        <v>0</v>
      </c>
      <c r="AM713" s="115"/>
      <c r="AN713" s="115"/>
      <c r="AO713" s="63"/>
    </row>
    <row r="714" spans="1:41" ht="43.2" x14ac:dyDescent="0.55000000000000004">
      <c r="A714" s="36">
        <v>4098</v>
      </c>
      <c r="B714" s="113" t="s">
        <v>2507</v>
      </c>
      <c r="C714" s="138" t="s">
        <v>2508</v>
      </c>
      <c r="D714" s="114" t="s">
        <v>55</v>
      </c>
      <c r="E714" s="115"/>
      <c r="F714" s="116"/>
      <c r="G714" s="113" t="s">
        <v>2481</v>
      </c>
      <c r="H714" s="113" t="s">
        <v>2498</v>
      </c>
      <c r="I714" s="113"/>
      <c r="J714" s="117" t="s">
        <v>2499</v>
      </c>
      <c r="K714" s="118"/>
      <c r="L714" s="109">
        <v>2</v>
      </c>
      <c r="M714" s="109">
        <v>3</v>
      </c>
      <c r="N714" s="109"/>
      <c r="O714" s="119"/>
      <c r="P714" s="2">
        <f t="shared" si="176"/>
        <v>2</v>
      </c>
      <c r="Q714" s="110" t="str">
        <f>IF(AND(Drops!$D$45&gt;1,OR(U714&lt;&gt;U713,AND(ROW()=5,U713=U714))),VLOOKUP(U714,Drops!$D$26:$E$44,2,FALSE),"")</f>
        <v/>
      </c>
      <c r="R714" s="2" t="str">
        <f t="shared" si="177"/>
        <v/>
      </c>
      <c r="S714" s="2">
        <f t="shared" ca="1" si="178"/>
        <v>2</v>
      </c>
      <c r="T714" s="2">
        <f t="shared" si="179"/>
        <v>0</v>
      </c>
      <c r="U714" s="110" t="s">
        <v>2430</v>
      </c>
      <c r="V714" s="110">
        <v>1</v>
      </c>
      <c r="W714" s="110">
        <v>25</v>
      </c>
      <c r="X714" s="110">
        <v>0</v>
      </c>
      <c r="Y714" s="110">
        <v>0</v>
      </c>
      <c r="Z714" s="110">
        <v>0</v>
      </c>
      <c r="AA714" s="2">
        <f t="shared" si="180"/>
        <v>1</v>
      </c>
      <c r="AB714" s="2">
        <f t="shared" si="181"/>
        <v>0</v>
      </c>
      <c r="AC714" s="2">
        <f t="shared" si="182"/>
        <v>1</v>
      </c>
      <c r="AD714" s="2">
        <f t="shared" si="183"/>
        <v>2</v>
      </c>
      <c r="AE714" s="2">
        <f t="shared" si="184"/>
        <v>2</v>
      </c>
      <c r="AF714" s="2">
        <f t="shared" si="185"/>
        <v>2</v>
      </c>
      <c r="AG714" s="2">
        <f t="shared" si="186"/>
        <v>2</v>
      </c>
      <c r="AH714" s="2">
        <f t="shared" si="187"/>
        <v>2</v>
      </c>
      <c r="AI714" s="2">
        <f t="shared" si="188"/>
        <v>1</v>
      </c>
      <c r="AJ714" s="2">
        <f t="shared" si="189"/>
        <v>0</v>
      </c>
      <c r="AK714" s="2">
        <f t="shared" si="190"/>
        <v>0</v>
      </c>
      <c r="AL714" s="2">
        <f t="shared" si="191"/>
        <v>0</v>
      </c>
      <c r="AM714" s="115"/>
      <c r="AN714" s="115"/>
      <c r="AO714" s="63"/>
    </row>
    <row r="715" spans="1:41" ht="43.2" x14ac:dyDescent="0.55000000000000004">
      <c r="A715" s="36">
        <v>3773</v>
      </c>
      <c r="B715" s="113" t="s">
        <v>2509</v>
      </c>
      <c r="C715" s="138" t="s">
        <v>2510</v>
      </c>
      <c r="D715" s="114" t="s">
        <v>52</v>
      </c>
      <c r="E715" s="115"/>
      <c r="F715" s="116"/>
      <c r="G715" s="113" t="s">
        <v>2481</v>
      </c>
      <c r="H715" s="113" t="s">
        <v>2511</v>
      </c>
      <c r="I715" s="113"/>
      <c r="J715" s="117" t="s">
        <v>2512</v>
      </c>
      <c r="K715" s="118"/>
      <c r="L715" s="109">
        <v>2</v>
      </c>
      <c r="M715" s="109">
        <v>3</v>
      </c>
      <c r="N715" s="109"/>
      <c r="O715" s="119"/>
      <c r="P715" s="2">
        <f t="shared" si="176"/>
        <v>1</v>
      </c>
      <c r="Q715" s="110" t="str">
        <f>IF(AND(Drops!$D$45&gt;1,OR(U715&lt;&gt;U714,AND(ROW()=5,U714=U715))),VLOOKUP(U715,Drops!$D$26:$E$44,2,FALSE),"")</f>
        <v/>
      </c>
      <c r="R715" s="2" t="str">
        <f t="shared" si="177"/>
        <v/>
      </c>
      <c r="S715" s="2">
        <f t="shared" ca="1" si="178"/>
        <v>1</v>
      </c>
      <c r="T715" s="2">
        <f t="shared" si="179"/>
        <v>0</v>
      </c>
      <c r="U715" s="110" t="s">
        <v>2430</v>
      </c>
      <c r="V715" s="110">
        <v>1</v>
      </c>
      <c r="W715" s="110">
        <v>26</v>
      </c>
      <c r="X715" s="110">
        <v>0</v>
      </c>
      <c r="Y715" s="110">
        <v>0</v>
      </c>
      <c r="Z715" s="110">
        <v>0</v>
      </c>
      <c r="AA715" s="2">
        <f t="shared" si="180"/>
        <v>1</v>
      </c>
      <c r="AB715" s="2">
        <f t="shared" si="181"/>
        <v>1</v>
      </c>
      <c r="AC715" s="2">
        <f t="shared" si="182"/>
        <v>1</v>
      </c>
      <c r="AD715" s="2">
        <f t="shared" si="183"/>
        <v>1</v>
      </c>
      <c r="AE715" s="2">
        <f t="shared" si="184"/>
        <v>2</v>
      </c>
      <c r="AF715" s="2">
        <f t="shared" si="185"/>
        <v>2</v>
      </c>
      <c r="AG715" s="2">
        <f t="shared" si="186"/>
        <v>2</v>
      </c>
      <c r="AH715" s="2">
        <f t="shared" si="187"/>
        <v>2</v>
      </c>
      <c r="AI715" s="2">
        <f t="shared" si="188"/>
        <v>2</v>
      </c>
      <c r="AJ715" s="2">
        <f t="shared" si="189"/>
        <v>0</v>
      </c>
      <c r="AK715" s="2">
        <f t="shared" si="190"/>
        <v>0</v>
      </c>
      <c r="AL715" s="2">
        <f t="shared" si="191"/>
        <v>0</v>
      </c>
      <c r="AM715" s="115"/>
      <c r="AN715" s="115"/>
      <c r="AO715" s="63"/>
    </row>
    <row r="716" spans="1:41" ht="28.8" x14ac:dyDescent="0.55000000000000004">
      <c r="A716" s="36">
        <v>3774</v>
      </c>
      <c r="B716" s="113" t="s">
        <v>2513</v>
      </c>
      <c r="C716" s="139" t="s">
        <v>2514</v>
      </c>
      <c r="D716" s="114" t="s">
        <v>52</v>
      </c>
      <c r="E716" s="115"/>
      <c r="F716" s="116"/>
      <c r="G716" s="113" t="s">
        <v>2481</v>
      </c>
      <c r="H716" s="113" t="s">
        <v>2511</v>
      </c>
      <c r="I716" s="113"/>
      <c r="J716" s="117" t="s">
        <v>2512</v>
      </c>
      <c r="K716" s="118"/>
      <c r="L716" s="109">
        <v>3</v>
      </c>
      <c r="M716" s="109">
        <v>3</v>
      </c>
      <c r="N716" s="109"/>
      <c r="O716" s="119"/>
      <c r="P716" s="2">
        <f t="shared" si="176"/>
        <v>1</v>
      </c>
      <c r="Q716" s="110" t="str">
        <f>IF(AND(Drops!$D$45&gt;1,OR(U716&lt;&gt;U715,AND(ROW()=5,U715=U716))),VLOOKUP(U716,Drops!$D$26:$E$44,2,FALSE),"")</f>
        <v/>
      </c>
      <c r="R716" s="2" t="str">
        <f t="shared" si="177"/>
        <v/>
      </c>
      <c r="S716" s="2">
        <f t="shared" ca="1" si="178"/>
        <v>1</v>
      </c>
      <c r="T716" s="2">
        <f t="shared" si="179"/>
        <v>0</v>
      </c>
      <c r="U716" s="110" t="s">
        <v>2430</v>
      </c>
      <c r="V716" s="110">
        <v>1</v>
      </c>
      <c r="W716" s="110">
        <v>26</v>
      </c>
      <c r="X716" s="110">
        <v>1</v>
      </c>
      <c r="Y716" s="110">
        <v>0</v>
      </c>
      <c r="Z716" s="110">
        <v>0</v>
      </c>
      <c r="AA716" s="2">
        <f t="shared" si="180"/>
        <v>1</v>
      </c>
      <c r="AB716" s="2">
        <f t="shared" si="181"/>
        <v>0</v>
      </c>
      <c r="AC716" s="2">
        <f t="shared" si="182"/>
        <v>1</v>
      </c>
      <c r="AD716" s="2">
        <f t="shared" si="183"/>
        <v>1</v>
      </c>
      <c r="AE716" s="2">
        <f t="shared" si="184"/>
        <v>1</v>
      </c>
      <c r="AF716" s="2">
        <f t="shared" si="185"/>
        <v>2</v>
      </c>
      <c r="AG716" s="2">
        <f t="shared" si="186"/>
        <v>2</v>
      </c>
      <c r="AH716" s="2">
        <f t="shared" si="187"/>
        <v>2</v>
      </c>
      <c r="AI716" s="2">
        <f t="shared" si="188"/>
        <v>2</v>
      </c>
      <c r="AJ716" s="2">
        <f t="shared" si="189"/>
        <v>2</v>
      </c>
      <c r="AK716" s="2">
        <f t="shared" si="190"/>
        <v>0</v>
      </c>
      <c r="AL716" s="2">
        <f t="shared" si="191"/>
        <v>0</v>
      </c>
      <c r="AM716" s="115"/>
      <c r="AN716" s="115"/>
      <c r="AO716" s="63"/>
    </row>
    <row r="717" spans="1:41" ht="28.8" x14ac:dyDescent="0.55000000000000004">
      <c r="A717" s="36">
        <v>3775</v>
      </c>
      <c r="B717" s="113" t="s">
        <v>2515</v>
      </c>
      <c r="C717" s="139" t="s">
        <v>2516</v>
      </c>
      <c r="D717" s="114" t="s">
        <v>52</v>
      </c>
      <c r="E717" s="115"/>
      <c r="F717" s="116"/>
      <c r="G717" s="113" t="s">
        <v>2481</v>
      </c>
      <c r="H717" s="113" t="s">
        <v>2511</v>
      </c>
      <c r="I717" s="113"/>
      <c r="J717" s="117" t="s">
        <v>2512</v>
      </c>
      <c r="K717" s="118"/>
      <c r="L717" s="109">
        <v>3</v>
      </c>
      <c r="M717" s="109">
        <v>3</v>
      </c>
      <c r="N717" s="109"/>
      <c r="O717" s="119"/>
      <c r="P717" s="2">
        <f t="shared" si="176"/>
        <v>1</v>
      </c>
      <c r="Q717" s="110" t="str">
        <f>IF(AND(Drops!$D$45&gt;1,OR(U717&lt;&gt;U716,AND(ROW()=5,U716=U717))),VLOOKUP(U717,Drops!$D$26:$E$44,2,FALSE),"")</f>
        <v/>
      </c>
      <c r="R717" s="2" t="str">
        <f t="shared" si="177"/>
        <v/>
      </c>
      <c r="S717" s="2">
        <f t="shared" ca="1" si="178"/>
        <v>1</v>
      </c>
      <c r="T717" s="2">
        <f t="shared" si="179"/>
        <v>0</v>
      </c>
      <c r="U717" s="110" t="s">
        <v>2430</v>
      </c>
      <c r="V717" s="110">
        <v>1</v>
      </c>
      <c r="W717" s="110">
        <v>26</v>
      </c>
      <c r="X717" s="110">
        <v>2</v>
      </c>
      <c r="Y717" s="110">
        <v>0</v>
      </c>
      <c r="Z717" s="110">
        <v>0</v>
      </c>
      <c r="AA717" s="2">
        <f t="shared" si="180"/>
        <v>1</v>
      </c>
      <c r="AB717" s="2">
        <f t="shared" si="181"/>
        <v>0</v>
      </c>
      <c r="AC717" s="2">
        <f t="shared" si="182"/>
        <v>1</v>
      </c>
      <c r="AD717" s="2">
        <f t="shared" si="183"/>
        <v>1</v>
      </c>
      <c r="AE717" s="2">
        <f t="shared" si="184"/>
        <v>1</v>
      </c>
      <c r="AF717" s="2">
        <f t="shared" si="185"/>
        <v>2</v>
      </c>
      <c r="AG717" s="2">
        <f t="shared" si="186"/>
        <v>2</v>
      </c>
      <c r="AH717" s="2">
        <f t="shared" si="187"/>
        <v>2</v>
      </c>
      <c r="AI717" s="2">
        <f t="shared" si="188"/>
        <v>2</v>
      </c>
      <c r="AJ717" s="2">
        <f t="shared" si="189"/>
        <v>2</v>
      </c>
      <c r="AK717" s="2">
        <f t="shared" si="190"/>
        <v>0</v>
      </c>
      <c r="AL717" s="2">
        <f t="shared" si="191"/>
        <v>0</v>
      </c>
      <c r="AM717" s="115"/>
      <c r="AN717" s="115"/>
      <c r="AO717" s="63"/>
    </row>
    <row r="718" spans="1:41" ht="28.8" x14ac:dyDescent="0.55000000000000004">
      <c r="A718" s="36">
        <v>4099</v>
      </c>
      <c r="B718" s="113" t="s">
        <v>2517</v>
      </c>
      <c r="C718" s="139" t="s">
        <v>2518</v>
      </c>
      <c r="D718" s="114" t="s">
        <v>52</v>
      </c>
      <c r="E718" s="115"/>
      <c r="F718" s="116"/>
      <c r="G718" s="113" t="s">
        <v>2481</v>
      </c>
      <c r="H718" s="113" t="s">
        <v>2511</v>
      </c>
      <c r="I718" s="113"/>
      <c r="J718" s="117" t="s">
        <v>2512</v>
      </c>
      <c r="K718" s="118"/>
      <c r="L718" s="109">
        <v>3</v>
      </c>
      <c r="M718" s="109">
        <v>3</v>
      </c>
      <c r="N718" s="109"/>
      <c r="O718" s="119"/>
      <c r="P718" s="2">
        <f t="shared" si="176"/>
        <v>1</v>
      </c>
      <c r="Q718" s="110" t="str">
        <f>IF(AND(Drops!$D$45&gt;1,OR(U718&lt;&gt;U717,AND(ROW()=5,U717=U718))),VLOOKUP(U718,Drops!$D$26:$E$44,2,FALSE),"")</f>
        <v/>
      </c>
      <c r="R718" s="2" t="str">
        <f t="shared" si="177"/>
        <v/>
      </c>
      <c r="S718" s="2">
        <f t="shared" ca="1" si="178"/>
        <v>1</v>
      </c>
      <c r="T718" s="2">
        <f t="shared" si="179"/>
        <v>0</v>
      </c>
      <c r="U718" s="110" t="s">
        <v>2430</v>
      </c>
      <c r="V718" s="110">
        <v>1</v>
      </c>
      <c r="W718" s="110">
        <v>26</v>
      </c>
      <c r="X718" s="110">
        <v>3</v>
      </c>
      <c r="Y718" s="110">
        <v>0</v>
      </c>
      <c r="Z718" s="110">
        <v>0</v>
      </c>
      <c r="AA718" s="2">
        <f t="shared" si="180"/>
        <v>1</v>
      </c>
      <c r="AB718" s="2">
        <f t="shared" si="181"/>
        <v>0</v>
      </c>
      <c r="AC718" s="2">
        <f t="shared" si="182"/>
        <v>1</v>
      </c>
      <c r="AD718" s="2">
        <f t="shared" si="183"/>
        <v>1</v>
      </c>
      <c r="AE718" s="2">
        <f t="shared" si="184"/>
        <v>1</v>
      </c>
      <c r="AF718" s="2">
        <f t="shared" si="185"/>
        <v>2</v>
      </c>
      <c r="AG718" s="2">
        <f t="shared" si="186"/>
        <v>2</v>
      </c>
      <c r="AH718" s="2">
        <f t="shared" si="187"/>
        <v>2</v>
      </c>
      <c r="AI718" s="2">
        <f t="shared" si="188"/>
        <v>2</v>
      </c>
      <c r="AJ718" s="2">
        <f t="shared" si="189"/>
        <v>2</v>
      </c>
      <c r="AK718" s="2">
        <f t="shared" si="190"/>
        <v>0</v>
      </c>
      <c r="AL718" s="2">
        <f t="shared" si="191"/>
        <v>0</v>
      </c>
      <c r="AM718" s="115"/>
      <c r="AN718" s="115"/>
      <c r="AO718" s="63"/>
    </row>
    <row r="719" spans="1:41" ht="28.8" x14ac:dyDescent="0.55000000000000004">
      <c r="A719" s="36">
        <v>3782</v>
      </c>
      <c r="B719" s="113" t="s">
        <v>2519</v>
      </c>
      <c r="C719" s="139" t="s">
        <v>2520</v>
      </c>
      <c r="D719" s="114" t="s">
        <v>52</v>
      </c>
      <c r="E719" s="115"/>
      <c r="F719" s="116"/>
      <c r="G719" s="113" t="s">
        <v>2481</v>
      </c>
      <c r="H719" s="113" t="s">
        <v>2511</v>
      </c>
      <c r="I719" s="113"/>
      <c r="J719" s="117" t="s">
        <v>2512</v>
      </c>
      <c r="K719" s="118"/>
      <c r="L719" s="109">
        <v>3</v>
      </c>
      <c r="M719" s="109">
        <v>3</v>
      </c>
      <c r="N719" s="109"/>
      <c r="O719" s="119"/>
      <c r="P719" s="2">
        <f t="shared" si="176"/>
        <v>1</v>
      </c>
      <c r="Q719" s="110" t="str">
        <f>IF(AND(Drops!$D$45&gt;1,OR(U719&lt;&gt;U718,AND(ROW()=5,U718=U719))),VLOOKUP(U719,Drops!$D$26:$E$44,2,FALSE),"")</f>
        <v/>
      </c>
      <c r="R719" s="2" t="str">
        <f t="shared" si="177"/>
        <v/>
      </c>
      <c r="S719" s="2">
        <f t="shared" ca="1" si="178"/>
        <v>1</v>
      </c>
      <c r="T719" s="2">
        <f t="shared" si="179"/>
        <v>0</v>
      </c>
      <c r="U719" s="110" t="s">
        <v>2430</v>
      </c>
      <c r="V719" s="110">
        <v>1</v>
      </c>
      <c r="W719" s="110">
        <v>26</v>
      </c>
      <c r="X719" s="110">
        <v>4</v>
      </c>
      <c r="Y719" s="110">
        <v>0</v>
      </c>
      <c r="Z719" s="110">
        <v>0</v>
      </c>
      <c r="AA719" s="2">
        <f t="shared" si="180"/>
        <v>1</v>
      </c>
      <c r="AB719" s="2">
        <f t="shared" si="181"/>
        <v>0</v>
      </c>
      <c r="AC719" s="2">
        <f t="shared" si="182"/>
        <v>1</v>
      </c>
      <c r="AD719" s="2">
        <f t="shared" si="183"/>
        <v>1</v>
      </c>
      <c r="AE719" s="2">
        <f t="shared" si="184"/>
        <v>1</v>
      </c>
      <c r="AF719" s="2">
        <f t="shared" si="185"/>
        <v>2</v>
      </c>
      <c r="AG719" s="2">
        <f t="shared" si="186"/>
        <v>2</v>
      </c>
      <c r="AH719" s="2">
        <f t="shared" si="187"/>
        <v>2</v>
      </c>
      <c r="AI719" s="2">
        <f t="shared" si="188"/>
        <v>2</v>
      </c>
      <c r="AJ719" s="2">
        <f t="shared" si="189"/>
        <v>2</v>
      </c>
      <c r="AK719" s="2">
        <f t="shared" si="190"/>
        <v>0</v>
      </c>
      <c r="AL719" s="2">
        <f t="shared" si="191"/>
        <v>0</v>
      </c>
      <c r="AM719" s="115"/>
      <c r="AN719" s="115"/>
      <c r="AO719" s="63"/>
    </row>
    <row r="720" spans="1:41" ht="28.8" x14ac:dyDescent="0.55000000000000004">
      <c r="A720" s="36">
        <v>3778</v>
      </c>
      <c r="B720" s="113" t="s">
        <v>2521</v>
      </c>
      <c r="C720" s="138" t="s">
        <v>2522</v>
      </c>
      <c r="D720" s="114" t="s">
        <v>52</v>
      </c>
      <c r="E720" s="115"/>
      <c r="F720" s="116"/>
      <c r="G720" s="113" t="s">
        <v>2481</v>
      </c>
      <c r="H720" s="113" t="s">
        <v>2523</v>
      </c>
      <c r="I720" s="113"/>
      <c r="J720" s="117" t="s">
        <v>2512</v>
      </c>
      <c r="K720" s="118"/>
      <c r="L720" s="109">
        <v>2</v>
      </c>
      <c r="M720" s="109">
        <v>3</v>
      </c>
      <c r="N720" s="109"/>
      <c r="O720" s="119"/>
      <c r="P720" s="2">
        <f t="shared" si="176"/>
        <v>1</v>
      </c>
      <c r="Q720" s="110" t="str">
        <f>IF(AND(Drops!$D$45&gt;1,OR(U720&lt;&gt;U719,AND(ROW()=5,U719=U720))),VLOOKUP(U720,Drops!$D$26:$E$44,2,FALSE),"")</f>
        <v/>
      </c>
      <c r="R720" s="2" t="str">
        <f t="shared" si="177"/>
        <v/>
      </c>
      <c r="S720" s="2">
        <f t="shared" ca="1" si="178"/>
        <v>1</v>
      </c>
      <c r="T720" s="2">
        <f t="shared" si="179"/>
        <v>0</v>
      </c>
      <c r="U720" s="110" t="s">
        <v>2430</v>
      </c>
      <c r="V720" s="110">
        <v>1</v>
      </c>
      <c r="W720" s="110">
        <v>27</v>
      </c>
      <c r="X720" s="110">
        <v>0</v>
      </c>
      <c r="Y720" s="110">
        <v>0</v>
      </c>
      <c r="Z720" s="110">
        <v>0</v>
      </c>
      <c r="AA720" s="2">
        <f t="shared" si="180"/>
        <v>1</v>
      </c>
      <c r="AB720" s="2">
        <f t="shared" si="181"/>
        <v>1</v>
      </c>
      <c r="AC720" s="2">
        <f t="shared" si="182"/>
        <v>1</v>
      </c>
      <c r="AD720" s="2">
        <f t="shared" si="183"/>
        <v>1</v>
      </c>
      <c r="AE720" s="2">
        <f t="shared" si="184"/>
        <v>0</v>
      </c>
      <c r="AF720" s="2">
        <f t="shared" si="185"/>
        <v>2</v>
      </c>
      <c r="AG720" s="2">
        <f t="shared" si="186"/>
        <v>2</v>
      </c>
      <c r="AH720" s="2">
        <f t="shared" si="187"/>
        <v>2</v>
      </c>
      <c r="AI720" s="2">
        <f t="shared" si="188"/>
        <v>2</v>
      </c>
      <c r="AJ720" s="2">
        <f t="shared" si="189"/>
        <v>2</v>
      </c>
      <c r="AK720" s="2">
        <f t="shared" si="190"/>
        <v>0</v>
      </c>
      <c r="AL720" s="2">
        <f t="shared" si="191"/>
        <v>0</v>
      </c>
      <c r="AM720" s="115"/>
      <c r="AN720" s="115"/>
      <c r="AO720" s="63"/>
    </row>
    <row r="721" spans="1:41" ht="28.8" x14ac:dyDescent="0.55000000000000004">
      <c r="A721" s="36">
        <v>3779</v>
      </c>
      <c r="B721" s="113" t="s">
        <v>2524</v>
      </c>
      <c r="C721" s="139" t="s">
        <v>2525</v>
      </c>
      <c r="D721" s="114" t="s">
        <v>52</v>
      </c>
      <c r="E721" s="115"/>
      <c r="F721" s="116"/>
      <c r="G721" s="113" t="s">
        <v>2481</v>
      </c>
      <c r="H721" s="113" t="s">
        <v>2523</v>
      </c>
      <c r="I721" s="113"/>
      <c r="J721" s="117" t="s">
        <v>2512</v>
      </c>
      <c r="K721" s="118"/>
      <c r="L721" s="109">
        <v>3</v>
      </c>
      <c r="M721" s="109">
        <v>3</v>
      </c>
      <c r="N721" s="109"/>
      <c r="O721" s="119"/>
      <c r="P721" s="2">
        <f t="shared" si="176"/>
        <v>1</v>
      </c>
      <c r="Q721" s="110" t="str">
        <f>IF(AND(Drops!$D$45&gt;1,OR(U721&lt;&gt;U720,AND(ROW()=5,U720=U721))),VLOOKUP(U721,Drops!$D$26:$E$44,2,FALSE),"")</f>
        <v/>
      </c>
      <c r="R721" s="2" t="str">
        <f t="shared" si="177"/>
        <v/>
      </c>
      <c r="S721" s="2">
        <f t="shared" ca="1" si="178"/>
        <v>1</v>
      </c>
      <c r="T721" s="2">
        <f t="shared" si="179"/>
        <v>0</v>
      </c>
      <c r="U721" s="110" t="s">
        <v>2430</v>
      </c>
      <c r="V721" s="110">
        <v>1</v>
      </c>
      <c r="W721" s="110">
        <v>27</v>
      </c>
      <c r="X721" s="110">
        <v>1</v>
      </c>
      <c r="Y721" s="110">
        <v>0</v>
      </c>
      <c r="Z721" s="110">
        <v>0</v>
      </c>
      <c r="AA721" s="2">
        <f t="shared" si="180"/>
        <v>1</v>
      </c>
      <c r="AB721" s="2">
        <f t="shared" si="181"/>
        <v>0</v>
      </c>
      <c r="AC721" s="2">
        <f t="shared" si="182"/>
        <v>1</v>
      </c>
      <c r="AD721" s="2">
        <f t="shared" si="183"/>
        <v>1</v>
      </c>
      <c r="AE721" s="2">
        <f t="shared" si="184"/>
        <v>1</v>
      </c>
      <c r="AF721" s="2">
        <f t="shared" si="185"/>
        <v>2</v>
      </c>
      <c r="AG721" s="2">
        <f t="shared" si="186"/>
        <v>2</v>
      </c>
      <c r="AH721" s="2">
        <f t="shared" si="187"/>
        <v>2</v>
      </c>
      <c r="AI721" s="2">
        <f t="shared" si="188"/>
        <v>2</v>
      </c>
      <c r="AJ721" s="2">
        <f t="shared" si="189"/>
        <v>2</v>
      </c>
      <c r="AK721" s="2">
        <f t="shared" si="190"/>
        <v>0</v>
      </c>
      <c r="AL721" s="2">
        <f t="shared" si="191"/>
        <v>0</v>
      </c>
      <c r="AM721" s="115"/>
      <c r="AN721" s="115"/>
      <c r="AO721" s="63"/>
    </row>
    <row r="722" spans="1:41" ht="28.8" x14ac:dyDescent="0.55000000000000004">
      <c r="A722" s="36">
        <v>3783</v>
      </c>
      <c r="B722" s="113" t="s">
        <v>2526</v>
      </c>
      <c r="C722" s="138" t="s">
        <v>2527</v>
      </c>
      <c r="D722" s="114" t="s">
        <v>52</v>
      </c>
      <c r="E722" s="115"/>
      <c r="F722" s="116"/>
      <c r="G722" s="113" t="s">
        <v>2481</v>
      </c>
      <c r="H722" s="113" t="s">
        <v>2498</v>
      </c>
      <c r="I722" s="113"/>
      <c r="J722" s="117" t="s">
        <v>2512</v>
      </c>
      <c r="K722" s="118"/>
      <c r="L722" s="109">
        <v>2</v>
      </c>
      <c r="M722" s="109">
        <v>3</v>
      </c>
      <c r="N722" s="109"/>
      <c r="O722" s="119"/>
      <c r="P722" s="2">
        <f t="shared" si="176"/>
        <v>1</v>
      </c>
      <c r="Q722" s="110" t="str">
        <f>IF(AND(Drops!$D$45&gt;1,OR(U722&lt;&gt;U721,AND(ROW()=5,U721=U722))),VLOOKUP(U722,Drops!$D$26:$E$44,2,FALSE),"")</f>
        <v/>
      </c>
      <c r="R722" s="2" t="str">
        <f t="shared" si="177"/>
        <v/>
      </c>
      <c r="S722" s="2">
        <f t="shared" ca="1" si="178"/>
        <v>1</v>
      </c>
      <c r="T722" s="2">
        <f t="shared" si="179"/>
        <v>0</v>
      </c>
      <c r="U722" s="110" t="s">
        <v>2430</v>
      </c>
      <c r="V722" s="110">
        <v>1</v>
      </c>
      <c r="W722" s="110">
        <v>28</v>
      </c>
      <c r="X722" s="110">
        <v>0</v>
      </c>
      <c r="Y722" s="110">
        <v>0</v>
      </c>
      <c r="Z722" s="110">
        <v>0</v>
      </c>
      <c r="AA722" s="2">
        <f t="shared" si="180"/>
        <v>1</v>
      </c>
      <c r="AB722" s="2">
        <f t="shared" si="181"/>
        <v>0</v>
      </c>
      <c r="AC722" s="2">
        <f t="shared" si="182"/>
        <v>1</v>
      </c>
      <c r="AD722" s="2">
        <f t="shared" si="183"/>
        <v>1</v>
      </c>
      <c r="AE722" s="2">
        <f t="shared" si="184"/>
        <v>0</v>
      </c>
      <c r="AF722" s="2">
        <f t="shared" si="185"/>
        <v>2</v>
      </c>
      <c r="AG722" s="2">
        <f t="shared" si="186"/>
        <v>2</v>
      </c>
      <c r="AH722" s="2">
        <f t="shared" si="187"/>
        <v>2</v>
      </c>
      <c r="AI722" s="2">
        <f t="shared" si="188"/>
        <v>2</v>
      </c>
      <c r="AJ722" s="2">
        <f t="shared" si="189"/>
        <v>2</v>
      </c>
      <c r="AK722" s="2">
        <f t="shared" si="190"/>
        <v>0</v>
      </c>
      <c r="AL722" s="2">
        <f t="shared" si="191"/>
        <v>0</v>
      </c>
      <c r="AM722" s="115"/>
      <c r="AN722" s="115"/>
      <c r="AO722" s="63"/>
    </row>
    <row r="723" spans="1:41" ht="72" x14ac:dyDescent="0.55000000000000004">
      <c r="A723" s="36">
        <v>3787</v>
      </c>
      <c r="B723" s="113" t="s">
        <v>2528</v>
      </c>
      <c r="C723" s="138" t="s">
        <v>2529</v>
      </c>
      <c r="D723" s="114" t="s">
        <v>52</v>
      </c>
      <c r="E723" s="115" t="s">
        <v>2530</v>
      </c>
      <c r="F723" s="116"/>
      <c r="G723" s="113" t="s">
        <v>2481</v>
      </c>
      <c r="H723" s="113" t="s">
        <v>2498</v>
      </c>
      <c r="I723" s="113"/>
      <c r="J723" s="117" t="s">
        <v>2531</v>
      </c>
      <c r="K723" s="118"/>
      <c r="L723" s="109">
        <v>2</v>
      </c>
      <c r="M723" s="109">
        <v>3</v>
      </c>
      <c r="N723" s="109"/>
      <c r="O723" s="119"/>
      <c r="P723" s="2">
        <f t="shared" si="176"/>
        <v>1</v>
      </c>
      <c r="Q723" s="110" t="str">
        <f>IF(AND(Drops!$D$45&gt;1,OR(U723&lt;&gt;U722,AND(ROW()=5,U722=U723))),VLOOKUP(U723,Drops!$D$26:$E$44,2,FALSE),"")</f>
        <v/>
      </c>
      <c r="R723" s="2" t="str">
        <f t="shared" si="177"/>
        <v/>
      </c>
      <c r="S723" s="2">
        <f t="shared" ca="1" si="178"/>
        <v>1</v>
      </c>
      <c r="T723" s="2">
        <f t="shared" si="179"/>
        <v>0</v>
      </c>
      <c r="U723" s="110" t="s">
        <v>2430</v>
      </c>
      <c r="V723" s="110">
        <v>1</v>
      </c>
      <c r="W723" s="110">
        <v>29</v>
      </c>
      <c r="X723" s="110">
        <v>0</v>
      </c>
      <c r="Y723" s="110">
        <v>0</v>
      </c>
      <c r="Z723" s="110">
        <v>0</v>
      </c>
      <c r="AA723" s="2">
        <f t="shared" si="180"/>
        <v>1</v>
      </c>
      <c r="AB723" s="2">
        <f t="shared" si="181"/>
        <v>1</v>
      </c>
      <c r="AC723" s="2">
        <f t="shared" si="182"/>
        <v>1</v>
      </c>
      <c r="AD723" s="2">
        <f t="shared" si="183"/>
        <v>1</v>
      </c>
      <c r="AE723" s="2">
        <f t="shared" si="184"/>
        <v>0</v>
      </c>
      <c r="AF723" s="2">
        <f t="shared" si="185"/>
        <v>2</v>
      </c>
      <c r="AG723" s="2">
        <f t="shared" si="186"/>
        <v>2</v>
      </c>
      <c r="AH723" s="2">
        <f t="shared" si="187"/>
        <v>2</v>
      </c>
      <c r="AI723" s="2">
        <f t="shared" si="188"/>
        <v>2</v>
      </c>
      <c r="AJ723" s="2">
        <f t="shared" si="189"/>
        <v>2</v>
      </c>
      <c r="AK723" s="2">
        <f t="shared" si="190"/>
        <v>0</v>
      </c>
      <c r="AL723" s="2">
        <f t="shared" si="191"/>
        <v>0</v>
      </c>
      <c r="AM723" s="115"/>
      <c r="AN723" s="115"/>
      <c r="AO723" s="63"/>
    </row>
    <row r="724" spans="1:41" ht="28.8" x14ac:dyDescent="0.55000000000000004">
      <c r="A724" s="36">
        <v>3788</v>
      </c>
      <c r="B724" s="113" t="s">
        <v>2532</v>
      </c>
      <c r="C724" s="139" t="s">
        <v>2533</v>
      </c>
      <c r="D724" s="114" t="s">
        <v>2534</v>
      </c>
      <c r="E724" s="115" t="s">
        <v>2535</v>
      </c>
      <c r="F724" s="116"/>
      <c r="G724" s="113" t="s">
        <v>2481</v>
      </c>
      <c r="H724" s="113" t="s">
        <v>2498</v>
      </c>
      <c r="I724" s="113"/>
      <c r="J724" s="117" t="s">
        <v>2531</v>
      </c>
      <c r="K724" s="118"/>
      <c r="L724" s="109">
        <v>3</v>
      </c>
      <c r="M724" s="109">
        <v>3</v>
      </c>
      <c r="N724" s="109"/>
      <c r="O724" s="119"/>
      <c r="P724" s="2">
        <f t="shared" si="176"/>
        <v>3</v>
      </c>
      <c r="Q724" s="110" t="str">
        <f>IF(AND(Drops!$D$45&gt;1,OR(U724&lt;&gt;U723,AND(ROW()=5,U723=U724))),VLOOKUP(U724,Drops!$D$26:$E$44,2,FALSE),"")</f>
        <v/>
      </c>
      <c r="R724" s="2" t="str">
        <f t="shared" si="177"/>
        <v/>
      </c>
      <c r="S724" s="2">
        <f t="shared" ca="1" si="178"/>
        <v>3</v>
      </c>
      <c r="T724" s="2">
        <f t="shared" si="179"/>
        <v>0</v>
      </c>
      <c r="U724" s="110" t="s">
        <v>2430</v>
      </c>
      <c r="V724" s="110">
        <v>1</v>
      </c>
      <c r="W724" s="110">
        <v>29</v>
      </c>
      <c r="X724" s="110">
        <v>1</v>
      </c>
      <c r="Y724" s="110">
        <v>0</v>
      </c>
      <c r="Z724" s="110">
        <v>0</v>
      </c>
      <c r="AA724" s="2">
        <f t="shared" si="180"/>
        <v>1</v>
      </c>
      <c r="AB724" s="2">
        <f t="shared" si="181"/>
        <v>0</v>
      </c>
      <c r="AC724" s="2">
        <f t="shared" si="182"/>
        <v>1</v>
      </c>
      <c r="AD724" s="2">
        <f t="shared" si="183"/>
        <v>1</v>
      </c>
      <c r="AE724" s="2">
        <f t="shared" si="184"/>
        <v>3</v>
      </c>
      <c r="AF724" s="2">
        <f t="shared" si="185"/>
        <v>3</v>
      </c>
      <c r="AG724" s="2">
        <f t="shared" si="186"/>
        <v>3</v>
      </c>
      <c r="AH724" s="2">
        <f t="shared" si="187"/>
        <v>2</v>
      </c>
      <c r="AI724" s="2">
        <f t="shared" si="188"/>
        <v>2</v>
      </c>
      <c r="AJ724" s="2">
        <f t="shared" si="189"/>
        <v>1</v>
      </c>
      <c r="AK724" s="2">
        <f t="shared" si="190"/>
        <v>0</v>
      </c>
      <c r="AL724" s="2">
        <f t="shared" si="191"/>
        <v>0</v>
      </c>
      <c r="AM724" s="115"/>
      <c r="AN724" s="115"/>
      <c r="AO724" s="63"/>
    </row>
    <row r="725" spans="1:41" ht="43.2" x14ac:dyDescent="0.55000000000000004">
      <c r="A725" s="36">
        <v>4100</v>
      </c>
      <c r="B725" s="113" t="s">
        <v>2536</v>
      </c>
      <c r="C725" s="138" t="s">
        <v>2537</v>
      </c>
      <c r="D725" s="114" t="s">
        <v>55</v>
      </c>
      <c r="E725" s="115"/>
      <c r="F725" s="116"/>
      <c r="G725" s="113" t="s">
        <v>2481</v>
      </c>
      <c r="H725" s="113" t="s">
        <v>2498</v>
      </c>
      <c r="I725" s="113" t="s">
        <v>1414</v>
      </c>
      <c r="J725" s="117"/>
      <c r="K725" s="118"/>
      <c r="L725" s="109">
        <v>2</v>
      </c>
      <c r="M725" s="109">
        <v>3</v>
      </c>
      <c r="N725" s="109"/>
      <c r="O725" s="119"/>
      <c r="P725" s="2">
        <f t="shared" si="176"/>
        <v>2</v>
      </c>
      <c r="Q725" s="110" t="str">
        <f>IF(AND(Drops!$D$45&gt;1,OR(U725&lt;&gt;U724,AND(ROW()=5,U724=U725))),VLOOKUP(U725,Drops!$D$26:$E$44,2,FALSE),"")</f>
        <v/>
      </c>
      <c r="R725" s="2" t="str">
        <f t="shared" si="177"/>
        <v/>
      </c>
      <c r="S725" s="2">
        <f t="shared" ca="1" si="178"/>
        <v>2</v>
      </c>
      <c r="T725" s="2">
        <f t="shared" si="179"/>
        <v>0</v>
      </c>
      <c r="U725" s="110" t="s">
        <v>2430</v>
      </c>
      <c r="V725" s="110">
        <v>1</v>
      </c>
      <c r="W725" s="110">
        <v>30</v>
      </c>
      <c r="X725" s="110">
        <v>0</v>
      </c>
      <c r="Y725" s="110">
        <v>0</v>
      </c>
      <c r="Z725" s="110">
        <v>0</v>
      </c>
      <c r="AA725" s="2">
        <f t="shared" si="180"/>
        <v>1</v>
      </c>
      <c r="AB725" s="2">
        <f t="shared" si="181"/>
        <v>0</v>
      </c>
      <c r="AC725" s="2">
        <f t="shared" si="182"/>
        <v>1</v>
      </c>
      <c r="AD725" s="2">
        <f t="shared" si="183"/>
        <v>2</v>
      </c>
      <c r="AE725" s="2">
        <f t="shared" si="184"/>
        <v>2</v>
      </c>
      <c r="AF725" s="2">
        <f t="shared" si="185"/>
        <v>2</v>
      </c>
      <c r="AG725" s="2">
        <f t="shared" si="186"/>
        <v>2</v>
      </c>
      <c r="AH725" s="2">
        <f t="shared" si="187"/>
        <v>2</v>
      </c>
      <c r="AI725" s="2">
        <f t="shared" si="188"/>
        <v>1</v>
      </c>
      <c r="AJ725" s="2">
        <f t="shared" si="189"/>
        <v>0</v>
      </c>
      <c r="AK725" s="2">
        <f t="shared" si="190"/>
        <v>0</v>
      </c>
      <c r="AL725" s="2">
        <f t="shared" si="191"/>
        <v>0</v>
      </c>
      <c r="AM725" s="115"/>
      <c r="AN725" s="115"/>
      <c r="AO725" s="63"/>
    </row>
    <row r="726" spans="1:41" ht="28.8" x14ac:dyDescent="0.55000000000000004">
      <c r="A726" s="36">
        <v>4101</v>
      </c>
      <c r="B726" s="113" t="s">
        <v>2538</v>
      </c>
      <c r="C726" s="138" t="s">
        <v>2539</v>
      </c>
      <c r="D726" s="114" t="s">
        <v>52</v>
      </c>
      <c r="E726" s="115"/>
      <c r="F726" s="116"/>
      <c r="G726" s="113" t="s">
        <v>2481</v>
      </c>
      <c r="H726" s="113" t="s">
        <v>2498</v>
      </c>
      <c r="I726" s="113"/>
      <c r="J726" s="117"/>
      <c r="K726" s="118"/>
      <c r="L726" s="109">
        <v>2</v>
      </c>
      <c r="M726" s="109">
        <v>3</v>
      </c>
      <c r="N726" s="109"/>
      <c r="O726" s="119"/>
      <c r="P726" s="2">
        <f t="shared" si="176"/>
        <v>1</v>
      </c>
      <c r="Q726" s="110" t="str">
        <f>IF(AND(Drops!$D$45&gt;1,OR(U726&lt;&gt;U725,AND(ROW()=5,U725=U726))),VLOOKUP(U726,Drops!$D$26:$E$44,2,FALSE),"")</f>
        <v/>
      </c>
      <c r="R726" s="2" t="str">
        <f t="shared" si="177"/>
        <v/>
      </c>
      <c r="S726" s="2">
        <f t="shared" ca="1" si="178"/>
        <v>1</v>
      </c>
      <c r="T726" s="2">
        <f t="shared" si="179"/>
        <v>0</v>
      </c>
      <c r="U726" s="110" t="s">
        <v>2430</v>
      </c>
      <c r="V726" s="110">
        <v>1</v>
      </c>
      <c r="W726" s="110">
        <v>31</v>
      </c>
      <c r="X726" s="110">
        <v>0</v>
      </c>
      <c r="Y726" s="110">
        <v>0</v>
      </c>
      <c r="Z726" s="110">
        <v>0</v>
      </c>
      <c r="AA726" s="2">
        <f t="shared" si="180"/>
        <v>1</v>
      </c>
      <c r="AB726" s="2">
        <f t="shared" si="181"/>
        <v>0</v>
      </c>
      <c r="AC726" s="2">
        <f t="shared" si="182"/>
        <v>1</v>
      </c>
      <c r="AD726" s="2">
        <f t="shared" si="183"/>
        <v>1</v>
      </c>
      <c r="AE726" s="2">
        <f t="shared" si="184"/>
        <v>2</v>
      </c>
      <c r="AF726" s="2">
        <f t="shared" si="185"/>
        <v>2</v>
      </c>
      <c r="AG726" s="2">
        <f t="shared" si="186"/>
        <v>2</v>
      </c>
      <c r="AH726" s="2">
        <f t="shared" si="187"/>
        <v>2</v>
      </c>
      <c r="AI726" s="2">
        <f t="shared" si="188"/>
        <v>2</v>
      </c>
      <c r="AJ726" s="2">
        <f t="shared" si="189"/>
        <v>0</v>
      </c>
      <c r="AK726" s="2">
        <f t="shared" si="190"/>
        <v>0</v>
      </c>
      <c r="AL726" s="2">
        <f t="shared" si="191"/>
        <v>0</v>
      </c>
      <c r="AM726" s="115"/>
      <c r="AN726" s="115"/>
      <c r="AO726" s="63"/>
    </row>
    <row r="727" spans="1:41" ht="28.8" x14ac:dyDescent="0.55000000000000004">
      <c r="A727" s="36">
        <v>3824</v>
      </c>
      <c r="B727" s="113" t="s">
        <v>2540</v>
      </c>
      <c r="C727" s="138" t="s">
        <v>2541</v>
      </c>
      <c r="D727" s="114" t="s">
        <v>55</v>
      </c>
      <c r="E727" s="115"/>
      <c r="F727" s="116"/>
      <c r="G727" s="113" t="s">
        <v>2481</v>
      </c>
      <c r="H727" s="113" t="s">
        <v>2498</v>
      </c>
      <c r="I727" s="113"/>
      <c r="J727" s="117"/>
      <c r="K727" s="118"/>
      <c r="L727" s="109">
        <v>2</v>
      </c>
      <c r="M727" s="109">
        <v>3</v>
      </c>
      <c r="N727" s="109"/>
      <c r="O727" s="119"/>
      <c r="P727" s="2">
        <f t="shared" si="176"/>
        <v>2</v>
      </c>
      <c r="Q727" s="110" t="str">
        <f>IF(AND(Drops!$D$45&gt;1,OR(U727&lt;&gt;U726,AND(ROW()=5,U726=U727))),VLOOKUP(U727,Drops!$D$26:$E$44,2,FALSE),"")</f>
        <v/>
      </c>
      <c r="R727" s="2" t="str">
        <f t="shared" si="177"/>
        <v/>
      </c>
      <c r="S727" s="2">
        <f t="shared" ca="1" si="178"/>
        <v>2</v>
      </c>
      <c r="T727" s="2">
        <f t="shared" si="179"/>
        <v>0</v>
      </c>
      <c r="U727" s="110" t="s">
        <v>2430</v>
      </c>
      <c r="V727" s="110">
        <v>1</v>
      </c>
      <c r="W727" s="110">
        <v>33</v>
      </c>
      <c r="X727" s="110">
        <v>0</v>
      </c>
      <c r="Y727" s="110">
        <v>0</v>
      </c>
      <c r="Z727" s="110">
        <v>0</v>
      </c>
      <c r="AA727" s="2">
        <f t="shared" si="180"/>
        <v>1</v>
      </c>
      <c r="AB727" s="2">
        <f t="shared" si="181"/>
        <v>0</v>
      </c>
      <c r="AC727" s="2">
        <f t="shared" si="182"/>
        <v>1</v>
      </c>
      <c r="AD727" s="2">
        <f t="shared" si="183"/>
        <v>2</v>
      </c>
      <c r="AE727" s="2">
        <f t="shared" si="184"/>
        <v>2</v>
      </c>
      <c r="AF727" s="2">
        <f t="shared" si="185"/>
        <v>2</v>
      </c>
      <c r="AG727" s="2">
        <f t="shared" si="186"/>
        <v>2</v>
      </c>
      <c r="AH727" s="2">
        <f t="shared" si="187"/>
        <v>2</v>
      </c>
      <c r="AI727" s="2">
        <f t="shared" si="188"/>
        <v>1</v>
      </c>
      <c r="AJ727" s="2">
        <f t="shared" si="189"/>
        <v>0</v>
      </c>
      <c r="AK727" s="2">
        <f t="shared" si="190"/>
        <v>0</v>
      </c>
      <c r="AL727" s="2">
        <f t="shared" si="191"/>
        <v>0</v>
      </c>
      <c r="AM727" s="115"/>
      <c r="AN727" s="115"/>
      <c r="AO727" s="63"/>
    </row>
    <row r="728" spans="1:41" ht="72" x14ac:dyDescent="0.55000000000000004">
      <c r="A728" s="36">
        <v>1791</v>
      </c>
      <c r="B728" s="113" t="s">
        <v>362</v>
      </c>
      <c r="C728" s="113" t="s">
        <v>2542</v>
      </c>
      <c r="D728" s="114" t="s">
        <v>55</v>
      </c>
      <c r="E728" s="115" t="s">
        <v>2543</v>
      </c>
      <c r="F728" s="116"/>
      <c r="G728" s="113" t="s">
        <v>2544</v>
      </c>
      <c r="H728" s="113" t="s">
        <v>910</v>
      </c>
      <c r="I728" s="113"/>
      <c r="J728" s="117"/>
      <c r="K728" s="118"/>
      <c r="L728" s="109">
        <v>1</v>
      </c>
      <c r="M728" s="109">
        <v>1</v>
      </c>
      <c r="N728" s="109"/>
      <c r="O728" s="119"/>
      <c r="P728" s="2">
        <f t="shared" si="176"/>
        <v>2</v>
      </c>
      <c r="Q728" s="110" t="str">
        <f>IF(AND(Drops!$D$45&gt;1,OR(U728&lt;&gt;U727,AND(ROW()=5,U727=U728))),VLOOKUP(U728,Drops!$D$26:$E$44,2,FALSE),"")</f>
        <v/>
      </c>
      <c r="R728" s="2" t="str">
        <f t="shared" si="177"/>
        <v/>
      </c>
      <c r="S728" s="2">
        <f t="shared" ca="1" si="178"/>
        <v>2</v>
      </c>
      <c r="T728" s="2">
        <f t="shared" si="179"/>
        <v>1</v>
      </c>
      <c r="U728" s="110" t="s">
        <v>2430</v>
      </c>
      <c r="V728" s="110">
        <v>2</v>
      </c>
      <c r="W728" s="110">
        <v>0</v>
      </c>
      <c r="X728" s="110">
        <v>0</v>
      </c>
      <c r="Y728" s="110">
        <v>0</v>
      </c>
      <c r="Z728" s="110">
        <v>0</v>
      </c>
      <c r="AA728" s="2">
        <f t="shared" si="180"/>
        <v>1</v>
      </c>
      <c r="AB728" s="2">
        <f t="shared" si="181"/>
        <v>1</v>
      </c>
      <c r="AC728" s="2">
        <f t="shared" si="182"/>
        <v>2</v>
      </c>
      <c r="AD728" s="2">
        <f t="shared" si="183"/>
        <v>2</v>
      </c>
      <c r="AE728" s="2">
        <f t="shared" si="184"/>
        <v>2</v>
      </c>
      <c r="AF728" s="2">
        <f t="shared" si="185"/>
        <v>2</v>
      </c>
      <c r="AG728" s="2">
        <f t="shared" si="186"/>
        <v>2</v>
      </c>
      <c r="AH728" s="2">
        <f t="shared" si="187"/>
        <v>1</v>
      </c>
      <c r="AI728" s="2">
        <f t="shared" si="188"/>
        <v>0</v>
      </c>
      <c r="AJ728" s="2">
        <f t="shared" si="189"/>
        <v>0</v>
      </c>
      <c r="AK728" s="2">
        <f t="shared" si="190"/>
        <v>0</v>
      </c>
      <c r="AL728" s="2">
        <f t="shared" si="191"/>
        <v>0</v>
      </c>
      <c r="AM728" s="115"/>
      <c r="AN728" s="115"/>
      <c r="AO728" s="63"/>
    </row>
    <row r="729" spans="1:41" ht="28.8" x14ac:dyDescent="0.55000000000000004">
      <c r="A729" s="36">
        <v>1793</v>
      </c>
      <c r="B729" s="113" t="s">
        <v>2545</v>
      </c>
      <c r="C729" s="138" t="s">
        <v>2546</v>
      </c>
      <c r="D729" s="114" t="s">
        <v>48</v>
      </c>
      <c r="E729" s="115" t="s">
        <v>2547</v>
      </c>
      <c r="F729" s="116"/>
      <c r="G729" s="113" t="s">
        <v>2544</v>
      </c>
      <c r="H729" s="113" t="s">
        <v>2548</v>
      </c>
      <c r="I729" s="113"/>
      <c r="J729" s="117"/>
      <c r="K729" s="118"/>
      <c r="L729" s="109">
        <v>2</v>
      </c>
      <c r="M729" s="109">
        <v>3</v>
      </c>
      <c r="N729" s="109"/>
      <c r="O729" s="119"/>
      <c r="P729" s="2">
        <f t="shared" si="176"/>
        <v>3</v>
      </c>
      <c r="Q729" s="110" t="str">
        <f>IF(AND(Drops!$D$45&gt;1,OR(U729&lt;&gt;U728,AND(ROW()=5,U728=U729))),VLOOKUP(U729,Drops!$D$26:$E$44,2,FALSE),"")</f>
        <v/>
      </c>
      <c r="R729" s="2" t="str">
        <f t="shared" si="177"/>
        <v/>
      </c>
      <c r="S729" s="2">
        <f t="shared" ca="1" si="178"/>
        <v>2</v>
      </c>
      <c r="T729" s="2">
        <f t="shared" si="179"/>
        <v>0</v>
      </c>
      <c r="U729" s="110" t="s">
        <v>2430</v>
      </c>
      <c r="V729" s="110">
        <v>2</v>
      </c>
      <c r="W729" s="110">
        <v>1</v>
      </c>
      <c r="X729" s="110">
        <v>0</v>
      </c>
      <c r="Y729" s="110">
        <v>0</v>
      </c>
      <c r="Z729" s="110">
        <v>0</v>
      </c>
      <c r="AA729" s="2">
        <f t="shared" si="180"/>
        <v>1</v>
      </c>
      <c r="AB729" s="2">
        <f t="shared" si="181"/>
        <v>0</v>
      </c>
      <c r="AC729" s="2">
        <f t="shared" si="182"/>
        <v>2</v>
      </c>
      <c r="AD729" s="2">
        <f t="shared" si="183"/>
        <v>2</v>
      </c>
      <c r="AE729" s="2">
        <f t="shared" si="184"/>
        <v>2</v>
      </c>
      <c r="AF729" s="2">
        <f t="shared" si="185"/>
        <v>2</v>
      </c>
      <c r="AG729" s="2">
        <f t="shared" si="186"/>
        <v>2</v>
      </c>
      <c r="AH729" s="2">
        <f t="shared" si="187"/>
        <v>0</v>
      </c>
      <c r="AI729" s="2">
        <f t="shared" si="188"/>
        <v>1</v>
      </c>
      <c r="AJ729" s="2">
        <f t="shared" si="189"/>
        <v>0</v>
      </c>
      <c r="AK729" s="2">
        <f t="shared" si="190"/>
        <v>0</v>
      </c>
      <c r="AL729" s="2">
        <f t="shared" si="191"/>
        <v>0</v>
      </c>
      <c r="AM729" s="115"/>
      <c r="AN729" s="115"/>
      <c r="AO729" s="63"/>
    </row>
    <row r="730" spans="1:41" ht="28.8" x14ac:dyDescent="0.55000000000000004">
      <c r="A730" s="36">
        <v>1794</v>
      </c>
      <c r="B730" s="113" t="s">
        <v>2549</v>
      </c>
      <c r="C730" s="138" t="s">
        <v>2550</v>
      </c>
      <c r="D730" s="114" t="s">
        <v>48</v>
      </c>
      <c r="E730" s="115" t="s">
        <v>2547</v>
      </c>
      <c r="F730" s="116"/>
      <c r="G730" s="113" t="s">
        <v>2544</v>
      </c>
      <c r="H730" s="113" t="s">
        <v>2548</v>
      </c>
      <c r="I730" s="113"/>
      <c r="J730" s="117"/>
      <c r="K730" s="118"/>
      <c r="L730" s="109">
        <v>2</v>
      </c>
      <c r="M730" s="109">
        <v>3</v>
      </c>
      <c r="N730" s="109"/>
      <c r="O730" s="119"/>
      <c r="P730" s="2">
        <f t="shared" si="176"/>
        <v>3</v>
      </c>
      <c r="Q730" s="110" t="str">
        <f>IF(AND(Drops!$D$45&gt;1,OR(U730&lt;&gt;U729,AND(ROW()=5,U729=U730))),VLOOKUP(U730,Drops!$D$26:$E$44,2,FALSE),"")</f>
        <v/>
      </c>
      <c r="R730" s="2" t="str">
        <f t="shared" si="177"/>
        <v/>
      </c>
      <c r="S730" s="2">
        <f t="shared" ca="1" si="178"/>
        <v>2</v>
      </c>
      <c r="T730" s="2">
        <f t="shared" si="179"/>
        <v>0</v>
      </c>
      <c r="U730" s="110" t="s">
        <v>2430</v>
      </c>
      <c r="V730" s="110">
        <v>2</v>
      </c>
      <c r="W730" s="110">
        <v>2</v>
      </c>
      <c r="X730" s="110">
        <v>0</v>
      </c>
      <c r="Y730" s="110">
        <v>0</v>
      </c>
      <c r="Z730" s="110">
        <v>0</v>
      </c>
      <c r="AA730" s="2">
        <f t="shared" si="180"/>
        <v>1</v>
      </c>
      <c r="AB730" s="2">
        <f t="shared" si="181"/>
        <v>0</v>
      </c>
      <c r="AC730" s="2">
        <f t="shared" si="182"/>
        <v>2</v>
      </c>
      <c r="AD730" s="2">
        <f t="shared" si="183"/>
        <v>2</v>
      </c>
      <c r="AE730" s="2">
        <f t="shared" si="184"/>
        <v>2</v>
      </c>
      <c r="AF730" s="2">
        <f t="shared" si="185"/>
        <v>2</v>
      </c>
      <c r="AG730" s="2">
        <f t="shared" si="186"/>
        <v>2</v>
      </c>
      <c r="AH730" s="2">
        <f t="shared" si="187"/>
        <v>0</v>
      </c>
      <c r="AI730" s="2">
        <f t="shared" si="188"/>
        <v>1</v>
      </c>
      <c r="AJ730" s="2">
        <f t="shared" si="189"/>
        <v>0</v>
      </c>
      <c r="AK730" s="2">
        <f t="shared" si="190"/>
        <v>0</v>
      </c>
      <c r="AL730" s="2">
        <f t="shared" si="191"/>
        <v>0</v>
      </c>
      <c r="AM730" s="115"/>
      <c r="AN730" s="115"/>
      <c r="AO730" s="63"/>
    </row>
    <row r="731" spans="1:41" ht="28.8" x14ac:dyDescent="0.55000000000000004">
      <c r="A731" s="36">
        <v>1797</v>
      </c>
      <c r="B731" s="113" t="s">
        <v>2551</v>
      </c>
      <c r="C731" s="138" t="s">
        <v>2552</v>
      </c>
      <c r="D731" s="114" t="s">
        <v>48</v>
      </c>
      <c r="E731" s="115" t="s">
        <v>2547</v>
      </c>
      <c r="F731" s="116"/>
      <c r="G731" s="113" t="s">
        <v>2544</v>
      </c>
      <c r="H731" s="113" t="s">
        <v>2504</v>
      </c>
      <c r="I731" s="113"/>
      <c r="J731" s="117"/>
      <c r="K731" s="118"/>
      <c r="L731" s="109">
        <v>2</v>
      </c>
      <c r="M731" s="109">
        <v>2</v>
      </c>
      <c r="N731" s="109"/>
      <c r="O731" s="119"/>
      <c r="P731" s="2">
        <f t="shared" si="176"/>
        <v>3</v>
      </c>
      <c r="Q731" s="110" t="str">
        <f>IF(AND(Drops!$D$45&gt;1,OR(U731&lt;&gt;U730,AND(ROW()=5,U730=U731))),VLOOKUP(U731,Drops!$D$26:$E$44,2,FALSE),"")</f>
        <v/>
      </c>
      <c r="R731" s="2" t="str">
        <f t="shared" si="177"/>
        <v/>
      </c>
      <c r="S731" s="2">
        <f t="shared" ca="1" si="178"/>
        <v>2</v>
      </c>
      <c r="T731" s="2">
        <f t="shared" si="179"/>
        <v>0</v>
      </c>
      <c r="U731" s="110" t="s">
        <v>2430</v>
      </c>
      <c r="V731" s="110">
        <v>2</v>
      </c>
      <c r="W731" s="110">
        <v>3</v>
      </c>
      <c r="X731" s="110">
        <v>0</v>
      </c>
      <c r="Y731" s="110">
        <v>0</v>
      </c>
      <c r="Z731" s="110">
        <v>0</v>
      </c>
      <c r="AA731" s="2">
        <f t="shared" si="180"/>
        <v>1</v>
      </c>
      <c r="AB731" s="2">
        <f t="shared" si="181"/>
        <v>0</v>
      </c>
      <c r="AC731" s="2">
        <f t="shared" si="182"/>
        <v>2</v>
      </c>
      <c r="AD731" s="2">
        <f t="shared" si="183"/>
        <v>2</v>
      </c>
      <c r="AE731" s="2">
        <f t="shared" si="184"/>
        <v>2</v>
      </c>
      <c r="AF731" s="2">
        <f t="shared" si="185"/>
        <v>2</v>
      </c>
      <c r="AG731" s="2">
        <f t="shared" si="186"/>
        <v>2</v>
      </c>
      <c r="AH731" s="2">
        <f t="shared" si="187"/>
        <v>0</v>
      </c>
      <c r="AI731" s="2">
        <f t="shared" si="188"/>
        <v>1</v>
      </c>
      <c r="AJ731" s="2">
        <f t="shared" si="189"/>
        <v>0</v>
      </c>
      <c r="AK731" s="2">
        <f t="shared" si="190"/>
        <v>0</v>
      </c>
      <c r="AL731" s="2">
        <f t="shared" si="191"/>
        <v>0</v>
      </c>
      <c r="AM731" s="115"/>
      <c r="AN731" s="115"/>
      <c r="AO731" s="63"/>
    </row>
    <row r="732" spans="1:41" ht="57.6" x14ac:dyDescent="0.55000000000000004">
      <c r="A732" s="36">
        <v>1803</v>
      </c>
      <c r="B732" s="113" t="s">
        <v>2553</v>
      </c>
      <c r="C732" s="138" t="s">
        <v>2554</v>
      </c>
      <c r="D732" s="114" t="s">
        <v>52</v>
      </c>
      <c r="E732" s="115" t="s">
        <v>2555</v>
      </c>
      <c r="F732" s="116"/>
      <c r="G732" s="113" t="s">
        <v>2544</v>
      </c>
      <c r="H732" s="113" t="s">
        <v>2548</v>
      </c>
      <c r="I732" s="113"/>
      <c r="J732" s="117" t="s">
        <v>2556</v>
      </c>
      <c r="K732" s="118"/>
      <c r="L732" s="109">
        <v>2</v>
      </c>
      <c r="M732" s="109">
        <v>3</v>
      </c>
      <c r="N732" s="109"/>
      <c r="O732" s="119"/>
      <c r="P732" s="2">
        <f t="shared" si="176"/>
        <v>1</v>
      </c>
      <c r="Q732" s="110" t="str">
        <f>IF(AND(Drops!$D$45&gt;1,OR(U732&lt;&gt;U731,AND(ROW()=5,U731=U732))),VLOOKUP(U732,Drops!$D$26:$E$44,2,FALSE),"")</f>
        <v/>
      </c>
      <c r="R732" s="2" t="str">
        <f t="shared" si="177"/>
        <v/>
      </c>
      <c r="S732" s="2">
        <f t="shared" ca="1" si="178"/>
        <v>2</v>
      </c>
      <c r="T732" s="2">
        <f t="shared" si="179"/>
        <v>0</v>
      </c>
      <c r="U732" s="110" t="s">
        <v>2430</v>
      </c>
      <c r="V732" s="110">
        <v>2</v>
      </c>
      <c r="W732" s="110">
        <v>4</v>
      </c>
      <c r="X732" s="110">
        <v>0</v>
      </c>
      <c r="Y732" s="110">
        <v>0</v>
      </c>
      <c r="Z732" s="110">
        <v>0</v>
      </c>
      <c r="AA732" s="2">
        <f t="shared" si="180"/>
        <v>1</v>
      </c>
      <c r="AB732" s="2">
        <f t="shared" si="181"/>
        <v>0</v>
      </c>
      <c r="AC732" s="2">
        <f t="shared" si="182"/>
        <v>2</v>
      </c>
      <c r="AD732" s="2">
        <f t="shared" si="183"/>
        <v>2</v>
      </c>
      <c r="AE732" s="2">
        <f t="shared" si="184"/>
        <v>2</v>
      </c>
      <c r="AF732" s="2">
        <f t="shared" si="185"/>
        <v>2</v>
      </c>
      <c r="AG732" s="2">
        <f t="shared" si="186"/>
        <v>2</v>
      </c>
      <c r="AH732" s="2">
        <f t="shared" si="187"/>
        <v>0</v>
      </c>
      <c r="AI732" s="2">
        <f t="shared" si="188"/>
        <v>2</v>
      </c>
      <c r="AJ732" s="2">
        <f t="shared" si="189"/>
        <v>0</v>
      </c>
      <c r="AK732" s="2">
        <f t="shared" si="190"/>
        <v>0</v>
      </c>
      <c r="AL732" s="2">
        <f t="shared" si="191"/>
        <v>0</v>
      </c>
      <c r="AM732" s="115"/>
      <c r="AN732" s="115"/>
      <c r="AO732" s="63"/>
    </row>
    <row r="733" spans="1:41" ht="43.2" x14ac:dyDescent="0.55000000000000004">
      <c r="A733" s="36">
        <v>4902</v>
      </c>
      <c r="B733" s="113" t="s">
        <v>364</v>
      </c>
      <c r="C733" s="113" t="s">
        <v>2557</v>
      </c>
      <c r="D733" s="114" t="s">
        <v>52</v>
      </c>
      <c r="E733" s="115"/>
      <c r="F733" s="116"/>
      <c r="G733" s="113" t="s">
        <v>2558</v>
      </c>
      <c r="H733" s="113" t="s">
        <v>1742</v>
      </c>
      <c r="I733" s="113" t="s">
        <v>671</v>
      </c>
      <c r="J733" s="117" t="s">
        <v>2559</v>
      </c>
      <c r="K733" s="118"/>
      <c r="L733" s="109">
        <v>1</v>
      </c>
      <c r="M733" s="109">
        <v>2</v>
      </c>
      <c r="N733" s="109"/>
      <c r="O733" s="119"/>
      <c r="P733" s="2">
        <f t="shared" si="176"/>
        <v>1</v>
      </c>
      <c r="Q733" s="110" t="str">
        <f>IF(AND(Drops!$D$45&gt;1,OR(U733&lt;&gt;U732,AND(ROW()=5,U732=U733))),VLOOKUP(U733,Drops!$D$26:$E$44,2,FALSE),"")</f>
        <v>N. Network Security</v>
      </c>
      <c r="R733" s="2">
        <f t="shared" si="177"/>
        <v>733</v>
      </c>
      <c r="S733" s="2">
        <f t="shared" ca="1" si="178"/>
        <v>1</v>
      </c>
      <c r="T733" s="2">
        <f t="shared" si="179"/>
        <v>1</v>
      </c>
      <c r="U733" s="110" t="s">
        <v>2560</v>
      </c>
      <c r="V733" s="110">
        <v>1</v>
      </c>
      <c r="W733" s="110">
        <v>0</v>
      </c>
      <c r="X733" s="110">
        <v>0</v>
      </c>
      <c r="Y733" s="110">
        <v>0</v>
      </c>
      <c r="Z733" s="110">
        <v>0</v>
      </c>
      <c r="AA733" s="2">
        <f t="shared" si="180"/>
        <v>1</v>
      </c>
      <c r="AB733" s="2">
        <f t="shared" si="181"/>
        <v>1</v>
      </c>
      <c r="AC733" s="2">
        <f t="shared" si="182"/>
        <v>1</v>
      </c>
      <c r="AD733" s="2">
        <f t="shared" si="183"/>
        <v>0</v>
      </c>
      <c r="AE733" s="2">
        <f t="shared" si="184"/>
        <v>0</v>
      </c>
      <c r="AF733" s="2">
        <f t="shared" si="185"/>
        <v>0</v>
      </c>
      <c r="AG733" s="2">
        <f t="shared" si="186"/>
        <v>0</v>
      </c>
      <c r="AH733" s="2">
        <f t="shared" si="187"/>
        <v>2</v>
      </c>
      <c r="AI733" s="2">
        <f t="shared" si="188"/>
        <v>0</v>
      </c>
      <c r="AJ733" s="2">
        <f t="shared" si="189"/>
        <v>0</v>
      </c>
      <c r="AK733" s="2">
        <f t="shared" si="190"/>
        <v>0</v>
      </c>
      <c r="AL733" s="2">
        <f t="shared" si="191"/>
        <v>0</v>
      </c>
      <c r="AM733" s="115"/>
      <c r="AN733" s="115"/>
      <c r="AO733" s="63"/>
    </row>
    <row r="734" spans="1:41" ht="14.4" x14ac:dyDescent="0.55000000000000004">
      <c r="A734" s="36">
        <v>995</v>
      </c>
      <c r="B734" s="113" t="s">
        <v>2561</v>
      </c>
      <c r="C734" s="138" t="s">
        <v>2562</v>
      </c>
      <c r="D734" s="114" t="s">
        <v>52</v>
      </c>
      <c r="E734" s="115"/>
      <c r="F734" s="116"/>
      <c r="G734" s="113" t="s">
        <v>2558</v>
      </c>
      <c r="H734" s="113" t="s">
        <v>1742</v>
      </c>
      <c r="I734" s="113"/>
      <c r="J734" s="117"/>
      <c r="K734" s="118"/>
      <c r="L734" s="109">
        <v>2</v>
      </c>
      <c r="M734" s="109">
        <v>2</v>
      </c>
      <c r="N734" s="109"/>
      <c r="O734" s="119"/>
      <c r="P734" s="2">
        <f t="shared" si="176"/>
        <v>1</v>
      </c>
      <c r="Q734" s="110" t="str">
        <f>IF(AND(Drops!$D$45&gt;1,OR(U734&lt;&gt;U733,AND(ROW()=5,U733=U734))),VLOOKUP(U734,Drops!$D$26:$E$44,2,FALSE),"")</f>
        <v/>
      </c>
      <c r="R734" s="2" t="str">
        <f t="shared" si="177"/>
        <v/>
      </c>
      <c r="S734" s="2">
        <f t="shared" ca="1" si="178"/>
        <v>1</v>
      </c>
      <c r="T734" s="2">
        <f t="shared" si="179"/>
        <v>0</v>
      </c>
      <c r="U734" s="110" t="s">
        <v>2560</v>
      </c>
      <c r="V734" s="110">
        <v>1</v>
      </c>
      <c r="W734" s="110">
        <v>1</v>
      </c>
      <c r="X734" s="110">
        <v>0</v>
      </c>
      <c r="Y734" s="110">
        <v>0</v>
      </c>
      <c r="Z734" s="110">
        <v>0</v>
      </c>
      <c r="AA734" s="2">
        <f t="shared" si="180"/>
        <v>1</v>
      </c>
      <c r="AB734" s="2">
        <f t="shared" si="181"/>
        <v>0</v>
      </c>
      <c r="AC734" s="2">
        <f t="shared" si="182"/>
        <v>1</v>
      </c>
      <c r="AD734" s="2">
        <f t="shared" si="183"/>
        <v>1</v>
      </c>
      <c r="AE734" s="2">
        <f t="shared" si="184"/>
        <v>0</v>
      </c>
      <c r="AF734" s="2">
        <f t="shared" si="185"/>
        <v>0</v>
      </c>
      <c r="AG734" s="2">
        <f t="shared" si="186"/>
        <v>0</v>
      </c>
      <c r="AH734" s="2">
        <f t="shared" si="187"/>
        <v>2</v>
      </c>
      <c r="AI734" s="2">
        <f t="shared" si="188"/>
        <v>2</v>
      </c>
      <c r="AJ734" s="2">
        <f t="shared" si="189"/>
        <v>0</v>
      </c>
      <c r="AK734" s="2">
        <f t="shared" si="190"/>
        <v>0</v>
      </c>
      <c r="AL734" s="2">
        <f t="shared" si="191"/>
        <v>0</v>
      </c>
      <c r="AM734" s="115"/>
      <c r="AN734" s="115"/>
      <c r="AO734" s="63"/>
    </row>
    <row r="735" spans="1:41" ht="43.2" x14ac:dyDescent="0.55000000000000004">
      <c r="A735" s="36">
        <v>1015</v>
      </c>
      <c r="B735" s="113" t="s">
        <v>2563</v>
      </c>
      <c r="C735" s="138" t="s">
        <v>2564</v>
      </c>
      <c r="D735" s="114" t="s">
        <v>52</v>
      </c>
      <c r="E735" s="115"/>
      <c r="F735" s="116"/>
      <c r="G735" s="113" t="s">
        <v>2558</v>
      </c>
      <c r="H735" s="113" t="s">
        <v>1742</v>
      </c>
      <c r="I735" s="113"/>
      <c r="J735" s="117" t="s">
        <v>2565</v>
      </c>
      <c r="K735" s="118"/>
      <c r="L735" s="109">
        <v>2</v>
      </c>
      <c r="M735" s="109">
        <v>3</v>
      </c>
      <c r="N735" s="109"/>
      <c r="O735" s="119"/>
      <c r="P735" s="2">
        <f t="shared" si="176"/>
        <v>1</v>
      </c>
      <c r="Q735" s="110" t="str">
        <f>IF(AND(Drops!$D$45&gt;1,OR(U735&lt;&gt;U734,AND(ROW()=5,U734=U735))),VLOOKUP(U735,Drops!$D$26:$E$44,2,FALSE),"")</f>
        <v/>
      </c>
      <c r="R735" s="2" t="str">
        <f t="shared" si="177"/>
        <v/>
      </c>
      <c r="S735" s="2">
        <f t="shared" ca="1" si="178"/>
        <v>1</v>
      </c>
      <c r="T735" s="2">
        <f t="shared" si="179"/>
        <v>0</v>
      </c>
      <c r="U735" s="110" t="s">
        <v>2560</v>
      </c>
      <c r="V735" s="110">
        <v>1</v>
      </c>
      <c r="W735" s="110">
        <v>2</v>
      </c>
      <c r="X735" s="110">
        <v>0</v>
      </c>
      <c r="Y735" s="110">
        <v>0</v>
      </c>
      <c r="Z735" s="110">
        <v>0</v>
      </c>
      <c r="AA735" s="2">
        <f t="shared" si="180"/>
        <v>1</v>
      </c>
      <c r="AB735" s="2">
        <f t="shared" si="181"/>
        <v>0</v>
      </c>
      <c r="AC735" s="2">
        <f t="shared" si="182"/>
        <v>1</v>
      </c>
      <c r="AD735" s="2">
        <f t="shared" si="183"/>
        <v>1</v>
      </c>
      <c r="AE735" s="2">
        <f t="shared" si="184"/>
        <v>0</v>
      </c>
      <c r="AF735" s="2">
        <f t="shared" si="185"/>
        <v>0</v>
      </c>
      <c r="AG735" s="2">
        <f t="shared" si="186"/>
        <v>0</v>
      </c>
      <c r="AH735" s="2">
        <f t="shared" si="187"/>
        <v>2</v>
      </c>
      <c r="AI735" s="2">
        <f t="shared" si="188"/>
        <v>2</v>
      </c>
      <c r="AJ735" s="2">
        <f t="shared" si="189"/>
        <v>0</v>
      </c>
      <c r="AK735" s="2">
        <f t="shared" si="190"/>
        <v>0</v>
      </c>
      <c r="AL735" s="2">
        <f t="shared" si="191"/>
        <v>0</v>
      </c>
      <c r="AM735" s="115"/>
      <c r="AN735" s="115"/>
      <c r="AO735" s="63"/>
    </row>
    <row r="736" spans="1:41" ht="43.2" x14ac:dyDescent="0.55000000000000004">
      <c r="A736" s="36">
        <v>1121</v>
      </c>
      <c r="B736" s="113" t="s">
        <v>2566</v>
      </c>
      <c r="C736" s="138" t="s">
        <v>2567</v>
      </c>
      <c r="D736" s="114" t="s">
        <v>52</v>
      </c>
      <c r="E736" s="115"/>
      <c r="F736" s="116"/>
      <c r="G736" s="113" t="s">
        <v>2558</v>
      </c>
      <c r="H736" s="113" t="s">
        <v>1742</v>
      </c>
      <c r="I736" s="113"/>
      <c r="J736" s="117"/>
      <c r="K736" s="118"/>
      <c r="L736" s="109">
        <v>2</v>
      </c>
      <c r="M736" s="109">
        <v>3</v>
      </c>
      <c r="N736" s="109"/>
      <c r="O736" s="119"/>
      <c r="P736" s="2">
        <f t="shared" si="176"/>
        <v>1</v>
      </c>
      <c r="Q736" s="110" t="str">
        <f>IF(AND(Drops!$D$45&gt;1,OR(U736&lt;&gt;U735,AND(ROW()=5,U735=U736))),VLOOKUP(U736,Drops!$D$26:$E$44,2,FALSE),"")</f>
        <v/>
      </c>
      <c r="R736" s="2" t="str">
        <f t="shared" si="177"/>
        <v/>
      </c>
      <c r="S736" s="2">
        <f t="shared" ca="1" si="178"/>
        <v>1</v>
      </c>
      <c r="T736" s="2">
        <f t="shared" si="179"/>
        <v>0</v>
      </c>
      <c r="U736" s="110" t="s">
        <v>2560</v>
      </c>
      <c r="V736" s="110">
        <v>1</v>
      </c>
      <c r="W736" s="110">
        <v>3</v>
      </c>
      <c r="X736" s="110">
        <v>0</v>
      </c>
      <c r="Y736" s="110">
        <v>0</v>
      </c>
      <c r="Z736" s="110">
        <v>0</v>
      </c>
      <c r="AA736" s="2">
        <f t="shared" si="180"/>
        <v>1</v>
      </c>
      <c r="AB736" s="2">
        <f t="shared" si="181"/>
        <v>0</v>
      </c>
      <c r="AC736" s="2">
        <f t="shared" si="182"/>
        <v>1</v>
      </c>
      <c r="AD736" s="2">
        <f t="shared" si="183"/>
        <v>1</v>
      </c>
      <c r="AE736" s="2">
        <f t="shared" si="184"/>
        <v>0</v>
      </c>
      <c r="AF736" s="2">
        <f t="shared" si="185"/>
        <v>0</v>
      </c>
      <c r="AG736" s="2">
        <f t="shared" si="186"/>
        <v>0</v>
      </c>
      <c r="AH736" s="2">
        <f t="shared" si="187"/>
        <v>2</v>
      </c>
      <c r="AI736" s="2">
        <f t="shared" si="188"/>
        <v>2</v>
      </c>
      <c r="AJ736" s="2">
        <f t="shared" si="189"/>
        <v>0</v>
      </c>
      <c r="AK736" s="2">
        <f t="shared" si="190"/>
        <v>0</v>
      </c>
      <c r="AL736" s="2">
        <f t="shared" si="191"/>
        <v>0</v>
      </c>
      <c r="AM736" s="115"/>
      <c r="AN736" s="115"/>
      <c r="AO736" s="63"/>
    </row>
    <row r="737" spans="1:41" ht="158.4" x14ac:dyDescent="0.55000000000000004">
      <c r="A737" s="36">
        <v>998</v>
      </c>
      <c r="B737" s="113" t="s">
        <v>366</v>
      </c>
      <c r="C737" s="113" t="s">
        <v>2568</v>
      </c>
      <c r="D737" s="114" t="s">
        <v>52</v>
      </c>
      <c r="E737" s="115" t="s">
        <v>2569</v>
      </c>
      <c r="F737" s="116"/>
      <c r="G737" s="113" t="s">
        <v>2558</v>
      </c>
      <c r="H737" s="113" t="s">
        <v>2570</v>
      </c>
      <c r="I737" s="113" t="s">
        <v>2571</v>
      </c>
      <c r="J737" s="117" t="s">
        <v>2572</v>
      </c>
      <c r="K737" s="118"/>
      <c r="L737" s="109">
        <v>1</v>
      </c>
      <c r="M737" s="109">
        <v>2</v>
      </c>
      <c r="N737" s="109"/>
      <c r="O737" s="119"/>
      <c r="P737" s="2">
        <f t="shared" si="176"/>
        <v>1</v>
      </c>
      <c r="Q737" s="110" t="str">
        <f>IF(AND(Drops!$D$45&gt;1,OR(U737&lt;&gt;U736,AND(ROW()=5,U736=U737))),VLOOKUP(U737,Drops!$D$26:$E$44,2,FALSE),"")</f>
        <v/>
      </c>
      <c r="R737" s="2" t="str">
        <f t="shared" si="177"/>
        <v/>
      </c>
      <c r="S737" s="2">
        <f t="shared" ca="1" si="178"/>
        <v>1</v>
      </c>
      <c r="T737" s="2">
        <f t="shared" si="179"/>
        <v>1</v>
      </c>
      <c r="U737" s="110" t="s">
        <v>2560</v>
      </c>
      <c r="V737" s="110">
        <v>2</v>
      </c>
      <c r="W737" s="110">
        <v>0</v>
      </c>
      <c r="X737" s="110">
        <v>0</v>
      </c>
      <c r="Y737" s="110">
        <v>0</v>
      </c>
      <c r="Z737" s="110">
        <v>0</v>
      </c>
      <c r="AA737" s="2">
        <f t="shared" si="180"/>
        <v>1</v>
      </c>
      <c r="AB737" s="2">
        <f t="shared" si="181"/>
        <v>1</v>
      </c>
      <c r="AC737" s="2">
        <f t="shared" si="182"/>
        <v>1</v>
      </c>
      <c r="AD737" s="2">
        <f t="shared" si="183"/>
        <v>0</v>
      </c>
      <c r="AE737" s="2">
        <f t="shared" si="184"/>
        <v>0</v>
      </c>
      <c r="AF737" s="2">
        <f t="shared" si="185"/>
        <v>0</v>
      </c>
      <c r="AG737" s="2">
        <f t="shared" si="186"/>
        <v>0</v>
      </c>
      <c r="AH737" s="2">
        <f t="shared" si="187"/>
        <v>2</v>
      </c>
      <c r="AI737" s="2">
        <f t="shared" si="188"/>
        <v>2</v>
      </c>
      <c r="AJ737" s="2">
        <f t="shared" si="189"/>
        <v>0</v>
      </c>
      <c r="AK737" s="2">
        <f t="shared" si="190"/>
        <v>0</v>
      </c>
      <c r="AL737" s="2">
        <f t="shared" si="191"/>
        <v>0</v>
      </c>
      <c r="AM737" s="115"/>
      <c r="AN737" s="115"/>
      <c r="AO737" s="63"/>
    </row>
    <row r="738" spans="1:41" ht="57.6" x14ac:dyDescent="0.55000000000000004">
      <c r="A738" s="36">
        <v>1016</v>
      </c>
      <c r="B738" s="113" t="s">
        <v>2573</v>
      </c>
      <c r="C738" s="138" t="s">
        <v>2574</v>
      </c>
      <c r="D738" s="114" t="s">
        <v>52</v>
      </c>
      <c r="E738" s="115"/>
      <c r="F738" s="116"/>
      <c r="G738" s="113" t="s">
        <v>2558</v>
      </c>
      <c r="H738" s="113" t="s">
        <v>2570</v>
      </c>
      <c r="I738" s="113" t="s">
        <v>2571</v>
      </c>
      <c r="J738" s="117" t="s">
        <v>2572</v>
      </c>
      <c r="K738" s="118"/>
      <c r="L738" s="109">
        <v>2</v>
      </c>
      <c r="M738" s="109">
        <v>2</v>
      </c>
      <c r="N738" s="109"/>
      <c r="O738" s="119"/>
      <c r="P738" s="2">
        <f t="shared" si="176"/>
        <v>1</v>
      </c>
      <c r="Q738" s="110" t="str">
        <f>IF(AND(Drops!$D$45&gt;1,OR(U738&lt;&gt;U737,AND(ROW()=5,U737=U738))),VLOOKUP(U738,Drops!$D$26:$E$44,2,FALSE),"")</f>
        <v/>
      </c>
      <c r="R738" s="2" t="str">
        <f t="shared" si="177"/>
        <v/>
      </c>
      <c r="S738" s="2">
        <f t="shared" ca="1" si="178"/>
        <v>1</v>
      </c>
      <c r="T738" s="2">
        <f t="shared" si="179"/>
        <v>0</v>
      </c>
      <c r="U738" s="110" t="s">
        <v>2560</v>
      </c>
      <c r="V738" s="110">
        <v>2</v>
      </c>
      <c r="W738" s="110">
        <v>1</v>
      </c>
      <c r="X738" s="110">
        <v>0</v>
      </c>
      <c r="Y738" s="110">
        <v>0</v>
      </c>
      <c r="Z738" s="110">
        <v>0</v>
      </c>
      <c r="AA738" s="2">
        <f t="shared" si="180"/>
        <v>1</v>
      </c>
      <c r="AB738" s="2">
        <f t="shared" si="181"/>
        <v>0</v>
      </c>
      <c r="AC738" s="2">
        <f t="shared" si="182"/>
        <v>1</v>
      </c>
      <c r="AD738" s="2">
        <f t="shared" si="183"/>
        <v>1</v>
      </c>
      <c r="AE738" s="2">
        <f t="shared" si="184"/>
        <v>0</v>
      </c>
      <c r="AF738" s="2">
        <f t="shared" si="185"/>
        <v>0</v>
      </c>
      <c r="AG738" s="2">
        <f t="shared" si="186"/>
        <v>0</v>
      </c>
      <c r="AH738" s="2">
        <f t="shared" si="187"/>
        <v>2</v>
      </c>
      <c r="AI738" s="2">
        <f t="shared" si="188"/>
        <v>2</v>
      </c>
      <c r="AJ738" s="2">
        <f t="shared" si="189"/>
        <v>0</v>
      </c>
      <c r="AK738" s="2">
        <f t="shared" si="190"/>
        <v>0</v>
      </c>
      <c r="AL738" s="2">
        <f t="shared" si="191"/>
        <v>0</v>
      </c>
      <c r="AM738" s="115"/>
      <c r="AN738" s="115"/>
      <c r="AO738" s="63"/>
    </row>
    <row r="739" spans="1:41" ht="28.8" x14ac:dyDescent="0.55000000000000004">
      <c r="A739" s="36">
        <v>4404</v>
      </c>
      <c r="B739" s="113" t="s">
        <v>2575</v>
      </c>
      <c r="C739" s="138" t="s">
        <v>2576</v>
      </c>
      <c r="D739" s="114" t="s">
        <v>52</v>
      </c>
      <c r="E739" s="115"/>
      <c r="F739" s="116"/>
      <c r="G739" s="113" t="s">
        <v>2558</v>
      </c>
      <c r="H739" s="113" t="s">
        <v>2570</v>
      </c>
      <c r="I739" s="113"/>
      <c r="J739" s="117"/>
      <c r="K739" s="118"/>
      <c r="L739" s="109">
        <v>2</v>
      </c>
      <c r="M739" s="109">
        <v>2</v>
      </c>
      <c r="N739" s="109"/>
      <c r="O739" s="119"/>
      <c r="P739" s="2">
        <f t="shared" si="176"/>
        <v>1</v>
      </c>
      <c r="Q739" s="110" t="str">
        <f>IF(AND(Drops!$D$45&gt;1,OR(U739&lt;&gt;U738,AND(ROW()=5,U738=U739))),VLOOKUP(U739,Drops!$D$26:$E$44,2,FALSE),"")</f>
        <v/>
      </c>
      <c r="R739" s="2" t="str">
        <f t="shared" si="177"/>
        <v/>
      </c>
      <c r="S739" s="2">
        <f t="shared" ca="1" si="178"/>
        <v>1</v>
      </c>
      <c r="T739" s="2">
        <f t="shared" si="179"/>
        <v>0</v>
      </c>
      <c r="U739" s="110" t="s">
        <v>2560</v>
      </c>
      <c r="V739" s="110">
        <v>2</v>
      </c>
      <c r="W739" s="110">
        <v>2</v>
      </c>
      <c r="X739" s="110">
        <v>0</v>
      </c>
      <c r="Y739" s="110">
        <v>0</v>
      </c>
      <c r="Z739" s="110">
        <v>0</v>
      </c>
      <c r="AA739" s="2">
        <f t="shared" si="180"/>
        <v>1</v>
      </c>
      <c r="AB739" s="2">
        <f t="shared" si="181"/>
        <v>0</v>
      </c>
      <c r="AC739" s="2">
        <f t="shared" si="182"/>
        <v>1</v>
      </c>
      <c r="AD739" s="2">
        <f t="shared" si="183"/>
        <v>1</v>
      </c>
      <c r="AE739" s="2">
        <f t="shared" si="184"/>
        <v>0</v>
      </c>
      <c r="AF739" s="2">
        <f t="shared" si="185"/>
        <v>0</v>
      </c>
      <c r="AG739" s="2">
        <f t="shared" si="186"/>
        <v>0</v>
      </c>
      <c r="AH739" s="2">
        <f t="shared" si="187"/>
        <v>2</v>
      </c>
      <c r="AI739" s="2">
        <f t="shared" si="188"/>
        <v>2</v>
      </c>
      <c r="AJ739" s="2">
        <f t="shared" si="189"/>
        <v>0</v>
      </c>
      <c r="AK739" s="2">
        <f t="shared" si="190"/>
        <v>0</v>
      </c>
      <c r="AL739" s="2">
        <f t="shared" si="191"/>
        <v>0</v>
      </c>
      <c r="AM739" s="115"/>
      <c r="AN739" s="115"/>
      <c r="AO739" s="63"/>
    </row>
    <row r="740" spans="1:41" ht="57.6" x14ac:dyDescent="0.55000000000000004">
      <c r="A740" s="36">
        <v>4325</v>
      </c>
      <c r="B740" s="113" t="s">
        <v>2577</v>
      </c>
      <c r="C740" s="138" t="s">
        <v>2578</v>
      </c>
      <c r="D740" s="114" t="s">
        <v>48</v>
      </c>
      <c r="E740" s="115" t="s">
        <v>2579</v>
      </c>
      <c r="F740" s="116"/>
      <c r="G740" s="113" t="s">
        <v>2558</v>
      </c>
      <c r="H740" s="113" t="s">
        <v>2570</v>
      </c>
      <c r="I740" s="113"/>
      <c r="J740" s="117"/>
      <c r="K740" s="118"/>
      <c r="L740" s="109">
        <v>2</v>
      </c>
      <c r="M740" s="109">
        <v>3</v>
      </c>
      <c r="N740" s="109"/>
      <c r="O740" s="119"/>
      <c r="P740" s="2">
        <f t="shared" si="176"/>
        <v>3</v>
      </c>
      <c r="Q740" s="110" t="str">
        <f>IF(AND(Drops!$D$45&gt;1,OR(U740&lt;&gt;U739,AND(ROW()=5,U739=U740))),VLOOKUP(U740,Drops!$D$26:$E$44,2,FALSE),"")</f>
        <v/>
      </c>
      <c r="R740" s="2" t="str">
        <f t="shared" si="177"/>
        <v/>
      </c>
      <c r="S740" s="2">
        <f t="shared" ca="1" si="178"/>
        <v>3</v>
      </c>
      <c r="T740" s="2">
        <f t="shared" si="179"/>
        <v>0</v>
      </c>
      <c r="U740" s="110" t="s">
        <v>2560</v>
      </c>
      <c r="V740" s="110">
        <v>2</v>
      </c>
      <c r="W740" s="110">
        <v>3</v>
      </c>
      <c r="X740" s="110">
        <v>0</v>
      </c>
      <c r="Y740" s="110">
        <v>0</v>
      </c>
      <c r="Z740" s="110">
        <v>0</v>
      </c>
      <c r="AA740" s="2">
        <f t="shared" si="180"/>
        <v>1</v>
      </c>
      <c r="AB740" s="2">
        <f t="shared" si="181"/>
        <v>0</v>
      </c>
      <c r="AC740" s="2">
        <f t="shared" si="182"/>
        <v>1</v>
      </c>
      <c r="AD740" s="2">
        <f t="shared" si="183"/>
        <v>3</v>
      </c>
      <c r="AE740" s="2">
        <f t="shared" si="184"/>
        <v>3</v>
      </c>
      <c r="AF740" s="2">
        <f t="shared" si="185"/>
        <v>3</v>
      </c>
      <c r="AG740" s="2">
        <f t="shared" si="186"/>
        <v>3</v>
      </c>
      <c r="AH740" s="2">
        <f t="shared" si="187"/>
        <v>2</v>
      </c>
      <c r="AI740" s="2">
        <f t="shared" si="188"/>
        <v>1</v>
      </c>
      <c r="AJ740" s="2">
        <f t="shared" si="189"/>
        <v>0</v>
      </c>
      <c r="AK740" s="2">
        <f t="shared" si="190"/>
        <v>0</v>
      </c>
      <c r="AL740" s="2">
        <f t="shared" si="191"/>
        <v>0</v>
      </c>
      <c r="AM740" s="115"/>
      <c r="AN740" s="115"/>
      <c r="AO740" s="63"/>
    </row>
    <row r="741" spans="1:41" ht="57.6" x14ac:dyDescent="0.55000000000000004">
      <c r="A741" s="36">
        <v>1008</v>
      </c>
      <c r="B741" s="113" t="s">
        <v>2580</v>
      </c>
      <c r="C741" s="138" t="s">
        <v>2581</v>
      </c>
      <c r="D741" s="114" t="s">
        <v>52</v>
      </c>
      <c r="E741" s="115"/>
      <c r="F741" s="116"/>
      <c r="G741" s="113" t="s">
        <v>2558</v>
      </c>
      <c r="H741" s="113" t="s">
        <v>2570</v>
      </c>
      <c r="I741" s="113" t="s">
        <v>2571</v>
      </c>
      <c r="J741" s="117"/>
      <c r="K741" s="118"/>
      <c r="L741" s="109">
        <v>2</v>
      </c>
      <c r="M741" s="109">
        <v>3</v>
      </c>
      <c r="N741" s="109"/>
      <c r="O741" s="119"/>
      <c r="P741" s="2">
        <f t="shared" si="176"/>
        <v>1</v>
      </c>
      <c r="Q741" s="110" t="str">
        <f>IF(AND(Drops!$D$45&gt;1,OR(U741&lt;&gt;U740,AND(ROW()=5,U740=U741))),VLOOKUP(U741,Drops!$D$26:$E$44,2,FALSE),"")</f>
        <v/>
      </c>
      <c r="R741" s="2" t="str">
        <f t="shared" si="177"/>
        <v/>
      </c>
      <c r="S741" s="2">
        <f t="shared" ca="1" si="178"/>
        <v>1</v>
      </c>
      <c r="T741" s="2">
        <f t="shared" si="179"/>
        <v>0</v>
      </c>
      <c r="U741" s="110" t="s">
        <v>2560</v>
      </c>
      <c r="V741" s="110">
        <v>2</v>
      </c>
      <c r="W741" s="110">
        <v>4</v>
      </c>
      <c r="X741" s="110">
        <v>0</v>
      </c>
      <c r="Y741" s="110">
        <v>0</v>
      </c>
      <c r="Z741" s="110">
        <v>0</v>
      </c>
      <c r="AA741" s="2">
        <f t="shared" si="180"/>
        <v>1</v>
      </c>
      <c r="AB741" s="2">
        <f t="shared" si="181"/>
        <v>0</v>
      </c>
      <c r="AC741" s="2">
        <f t="shared" si="182"/>
        <v>1</v>
      </c>
      <c r="AD741" s="2">
        <f t="shared" si="183"/>
        <v>1</v>
      </c>
      <c r="AE741" s="2">
        <f t="shared" si="184"/>
        <v>3</v>
      </c>
      <c r="AF741" s="2">
        <f t="shared" si="185"/>
        <v>3</v>
      </c>
      <c r="AG741" s="2">
        <f t="shared" si="186"/>
        <v>3</v>
      </c>
      <c r="AH741" s="2">
        <f t="shared" si="187"/>
        <v>2</v>
      </c>
      <c r="AI741" s="2">
        <f t="shared" si="188"/>
        <v>2</v>
      </c>
      <c r="AJ741" s="2">
        <f t="shared" si="189"/>
        <v>0</v>
      </c>
      <c r="AK741" s="2">
        <f t="shared" si="190"/>
        <v>0</v>
      </c>
      <c r="AL741" s="2">
        <f t="shared" si="191"/>
        <v>0</v>
      </c>
      <c r="AM741" s="115"/>
      <c r="AN741" s="115"/>
      <c r="AO741" s="63"/>
    </row>
    <row r="742" spans="1:41" ht="57.6" x14ac:dyDescent="0.55000000000000004">
      <c r="A742" s="36">
        <v>981</v>
      </c>
      <c r="B742" s="113" t="s">
        <v>368</v>
      </c>
      <c r="C742" s="113" t="s">
        <v>2582</v>
      </c>
      <c r="D742" s="114" t="s">
        <v>52</v>
      </c>
      <c r="E742" s="115"/>
      <c r="F742" s="116"/>
      <c r="G742" s="113" t="s">
        <v>2558</v>
      </c>
      <c r="H742" s="113" t="s">
        <v>2583</v>
      </c>
      <c r="I742" s="113" t="s">
        <v>2584</v>
      </c>
      <c r="J742" s="117" t="s">
        <v>2585</v>
      </c>
      <c r="K742" s="118"/>
      <c r="L742" s="109">
        <v>1</v>
      </c>
      <c r="M742" s="109">
        <v>2</v>
      </c>
      <c r="N742" s="109"/>
      <c r="O742" s="119"/>
      <c r="P742" s="2">
        <f t="shared" si="176"/>
        <v>1</v>
      </c>
      <c r="Q742" s="110" t="str">
        <f>IF(AND(Drops!$D$45&gt;1,OR(U742&lt;&gt;U741,AND(ROW()=5,U741=U742))),VLOOKUP(U742,Drops!$D$26:$E$44,2,FALSE),"")</f>
        <v/>
      </c>
      <c r="R742" s="2" t="str">
        <f t="shared" si="177"/>
        <v/>
      </c>
      <c r="S742" s="2">
        <f t="shared" ca="1" si="178"/>
        <v>1</v>
      </c>
      <c r="T742" s="2">
        <f t="shared" si="179"/>
        <v>1</v>
      </c>
      <c r="U742" s="110" t="s">
        <v>2560</v>
      </c>
      <c r="V742" s="110">
        <v>3</v>
      </c>
      <c r="W742" s="110">
        <v>0</v>
      </c>
      <c r="X742" s="110">
        <v>0</v>
      </c>
      <c r="Y742" s="110">
        <v>0</v>
      </c>
      <c r="Z742" s="110">
        <v>0</v>
      </c>
      <c r="AA742" s="2">
        <f t="shared" si="180"/>
        <v>1</v>
      </c>
      <c r="AB742" s="2">
        <f t="shared" si="181"/>
        <v>1</v>
      </c>
      <c r="AC742" s="2">
        <f t="shared" si="182"/>
        <v>1</v>
      </c>
      <c r="AD742" s="2">
        <f t="shared" si="183"/>
        <v>0</v>
      </c>
      <c r="AE742" s="2">
        <f t="shared" si="184"/>
        <v>3</v>
      </c>
      <c r="AF742" s="2">
        <f t="shared" si="185"/>
        <v>3</v>
      </c>
      <c r="AG742" s="2">
        <f t="shared" si="186"/>
        <v>3</v>
      </c>
      <c r="AH742" s="2">
        <f t="shared" si="187"/>
        <v>2</v>
      </c>
      <c r="AI742" s="2">
        <f t="shared" si="188"/>
        <v>2</v>
      </c>
      <c r="AJ742" s="2">
        <f t="shared" si="189"/>
        <v>0</v>
      </c>
      <c r="AK742" s="2">
        <f t="shared" si="190"/>
        <v>0</v>
      </c>
      <c r="AL742" s="2">
        <f t="shared" si="191"/>
        <v>0</v>
      </c>
      <c r="AM742" s="115"/>
      <c r="AN742" s="115"/>
      <c r="AO742" s="63"/>
    </row>
    <row r="743" spans="1:41" ht="100.8" x14ac:dyDescent="0.55000000000000004">
      <c r="A743" s="36">
        <v>4335</v>
      </c>
      <c r="B743" s="113" t="s">
        <v>2586</v>
      </c>
      <c r="C743" s="138" t="s">
        <v>2587</v>
      </c>
      <c r="D743" s="114" t="s">
        <v>52</v>
      </c>
      <c r="E743" s="115"/>
      <c r="F743" s="116"/>
      <c r="G743" s="113" t="s">
        <v>2558</v>
      </c>
      <c r="H743" s="113" t="s">
        <v>2583</v>
      </c>
      <c r="I743" s="113"/>
      <c r="J743" s="117" t="s">
        <v>2588</v>
      </c>
      <c r="K743" s="118"/>
      <c r="L743" s="109">
        <v>2</v>
      </c>
      <c r="M743" s="109">
        <v>3</v>
      </c>
      <c r="N743" s="109"/>
      <c r="O743" s="119"/>
      <c r="P743" s="2">
        <f t="shared" si="176"/>
        <v>1</v>
      </c>
      <c r="Q743" s="110" t="str">
        <f>IF(AND(Drops!$D$45&gt;1,OR(U743&lt;&gt;U742,AND(ROW()=5,U742=U743))),VLOOKUP(U743,Drops!$D$26:$E$44,2,FALSE),"")</f>
        <v/>
      </c>
      <c r="R743" s="2" t="str">
        <f t="shared" si="177"/>
        <v/>
      </c>
      <c r="S743" s="2">
        <f t="shared" ca="1" si="178"/>
        <v>1</v>
      </c>
      <c r="T743" s="2">
        <f t="shared" si="179"/>
        <v>0</v>
      </c>
      <c r="U743" s="110" t="s">
        <v>2560</v>
      </c>
      <c r="V743" s="110">
        <v>3</v>
      </c>
      <c r="W743" s="110">
        <v>1</v>
      </c>
      <c r="X743" s="110">
        <v>0</v>
      </c>
      <c r="Y743" s="110">
        <v>0</v>
      </c>
      <c r="Z743" s="110">
        <v>0</v>
      </c>
      <c r="AA743" s="2">
        <f t="shared" si="180"/>
        <v>1</v>
      </c>
      <c r="AB743" s="2">
        <f t="shared" si="181"/>
        <v>0</v>
      </c>
      <c r="AC743" s="2">
        <f t="shared" si="182"/>
        <v>1</v>
      </c>
      <c r="AD743" s="2">
        <f t="shared" si="183"/>
        <v>1</v>
      </c>
      <c r="AE743" s="2">
        <f t="shared" si="184"/>
        <v>3</v>
      </c>
      <c r="AF743" s="2">
        <f t="shared" si="185"/>
        <v>3</v>
      </c>
      <c r="AG743" s="2">
        <f t="shared" si="186"/>
        <v>3</v>
      </c>
      <c r="AH743" s="2">
        <f t="shared" si="187"/>
        <v>2</v>
      </c>
      <c r="AI743" s="2">
        <f t="shared" si="188"/>
        <v>2</v>
      </c>
      <c r="AJ743" s="2">
        <f t="shared" si="189"/>
        <v>0</v>
      </c>
      <c r="AK743" s="2">
        <f t="shared" si="190"/>
        <v>0</v>
      </c>
      <c r="AL743" s="2">
        <f t="shared" si="191"/>
        <v>0</v>
      </c>
      <c r="AM743" s="115"/>
      <c r="AN743" s="115"/>
      <c r="AO743" s="63"/>
    </row>
    <row r="744" spans="1:41" ht="28.8" x14ac:dyDescent="0.55000000000000004">
      <c r="A744" s="36">
        <v>4336</v>
      </c>
      <c r="B744" s="113" t="s">
        <v>2589</v>
      </c>
      <c r="C744" s="138" t="s">
        <v>2590</v>
      </c>
      <c r="D744" s="114" t="s">
        <v>52</v>
      </c>
      <c r="E744" s="115"/>
      <c r="F744" s="116"/>
      <c r="G744" s="113" t="s">
        <v>2558</v>
      </c>
      <c r="H744" s="113" t="s">
        <v>2583</v>
      </c>
      <c r="I744" s="113"/>
      <c r="J744" s="117" t="s">
        <v>2591</v>
      </c>
      <c r="K744" s="118"/>
      <c r="L744" s="109">
        <v>2</v>
      </c>
      <c r="M744" s="109">
        <v>3</v>
      </c>
      <c r="N744" s="109"/>
      <c r="O744" s="119"/>
      <c r="P744" s="2">
        <f t="shared" si="176"/>
        <v>1</v>
      </c>
      <c r="Q744" s="110" t="str">
        <f>IF(AND(Drops!$D$45&gt;1,OR(U744&lt;&gt;U743,AND(ROW()=5,U743=U744))),VLOOKUP(U744,Drops!$D$26:$E$44,2,FALSE),"")</f>
        <v/>
      </c>
      <c r="R744" s="2" t="str">
        <f t="shared" si="177"/>
        <v/>
      </c>
      <c r="S744" s="2">
        <f t="shared" ca="1" si="178"/>
        <v>1</v>
      </c>
      <c r="T744" s="2">
        <f t="shared" si="179"/>
        <v>0</v>
      </c>
      <c r="U744" s="110" t="s">
        <v>2560</v>
      </c>
      <c r="V744" s="110">
        <v>3</v>
      </c>
      <c r="W744" s="110">
        <v>2</v>
      </c>
      <c r="X744" s="110">
        <v>0</v>
      </c>
      <c r="Y744" s="110">
        <v>0</v>
      </c>
      <c r="Z744" s="110">
        <v>0</v>
      </c>
      <c r="AA744" s="2">
        <f t="shared" si="180"/>
        <v>1</v>
      </c>
      <c r="AB744" s="2">
        <f t="shared" si="181"/>
        <v>0</v>
      </c>
      <c r="AC744" s="2">
        <f t="shared" si="182"/>
        <v>1</v>
      </c>
      <c r="AD744" s="2">
        <f t="shared" si="183"/>
        <v>1</v>
      </c>
      <c r="AE744" s="2">
        <f t="shared" si="184"/>
        <v>3</v>
      </c>
      <c r="AF744" s="2">
        <f t="shared" si="185"/>
        <v>3</v>
      </c>
      <c r="AG744" s="2">
        <f t="shared" si="186"/>
        <v>3</v>
      </c>
      <c r="AH744" s="2">
        <f t="shared" si="187"/>
        <v>2</v>
      </c>
      <c r="AI744" s="2">
        <f t="shared" si="188"/>
        <v>2</v>
      </c>
      <c r="AJ744" s="2">
        <f t="shared" si="189"/>
        <v>0</v>
      </c>
      <c r="AK744" s="2">
        <f t="shared" si="190"/>
        <v>0</v>
      </c>
      <c r="AL744" s="2">
        <f t="shared" si="191"/>
        <v>0</v>
      </c>
      <c r="AM744" s="115"/>
      <c r="AN744" s="115"/>
      <c r="AO744" s="63"/>
    </row>
    <row r="745" spans="1:41" ht="28.8" x14ac:dyDescent="0.55000000000000004">
      <c r="A745" s="36">
        <v>994</v>
      </c>
      <c r="B745" s="113" t="s">
        <v>370</v>
      </c>
      <c r="C745" s="113" t="s">
        <v>2592</v>
      </c>
      <c r="D745" s="114" t="s">
        <v>52</v>
      </c>
      <c r="E745" s="115"/>
      <c r="F745" s="116"/>
      <c r="G745" s="113" t="s">
        <v>2558</v>
      </c>
      <c r="H745" s="113" t="s">
        <v>2593</v>
      </c>
      <c r="I745" s="113"/>
      <c r="J745" s="117" t="s">
        <v>2594</v>
      </c>
      <c r="K745" s="118"/>
      <c r="L745" s="109">
        <v>1</v>
      </c>
      <c r="M745" s="109">
        <v>2</v>
      </c>
      <c r="N745" s="109"/>
      <c r="O745" s="119"/>
      <c r="P745" s="2">
        <f t="shared" si="176"/>
        <v>1</v>
      </c>
      <c r="Q745" s="110" t="str">
        <f>IF(AND(Drops!$D$45&gt;1,OR(U745&lt;&gt;U744,AND(ROW()=5,U744=U745))),VLOOKUP(U745,Drops!$D$26:$E$44,2,FALSE),"")</f>
        <v/>
      </c>
      <c r="R745" s="2" t="str">
        <f t="shared" si="177"/>
        <v/>
      </c>
      <c r="S745" s="2">
        <f t="shared" ca="1" si="178"/>
        <v>1</v>
      </c>
      <c r="T745" s="2">
        <f t="shared" si="179"/>
        <v>1</v>
      </c>
      <c r="U745" s="110" t="s">
        <v>2560</v>
      </c>
      <c r="V745" s="110">
        <v>4</v>
      </c>
      <c r="W745" s="110">
        <v>0</v>
      </c>
      <c r="X745" s="110">
        <v>0</v>
      </c>
      <c r="Y745" s="110">
        <v>0</v>
      </c>
      <c r="Z745" s="110">
        <v>0</v>
      </c>
      <c r="AA745" s="2">
        <f t="shared" si="180"/>
        <v>1</v>
      </c>
      <c r="AB745" s="2">
        <f t="shared" si="181"/>
        <v>0</v>
      </c>
      <c r="AC745" s="2">
        <f t="shared" si="182"/>
        <v>1</v>
      </c>
      <c r="AD745" s="2">
        <f t="shared" si="183"/>
        <v>0</v>
      </c>
      <c r="AE745" s="2">
        <f t="shared" si="184"/>
        <v>3</v>
      </c>
      <c r="AF745" s="2">
        <f t="shared" si="185"/>
        <v>3</v>
      </c>
      <c r="AG745" s="2">
        <f t="shared" si="186"/>
        <v>3</v>
      </c>
      <c r="AH745" s="2">
        <f t="shared" si="187"/>
        <v>2</v>
      </c>
      <c r="AI745" s="2">
        <f t="shared" si="188"/>
        <v>2</v>
      </c>
      <c r="AJ745" s="2">
        <f t="shared" si="189"/>
        <v>0</v>
      </c>
      <c r="AK745" s="2">
        <f t="shared" si="190"/>
        <v>0</v>
      </c>
      <c r="AL745" s="2">
        <f t="shared" si="191"/>
        <v>0</v>
      </c>
      <c r="AM745" s="115"/>
      <c r="AN745" s="115"/>
      <c r="AO745" s="63"/>
    </row>
    <row r="746" spans="1:41" ht="28.8" x14ac:dyDescent="0.55000000000000004">
      <c r="A746" s="36">
        <v>3689</v>
      </c>
      <c r="B746" s="113" t="s">
        <v>372</v>
      </c>
      <c r="C746" s="113" t="s">
        <v>2595</v>
      </c>
      <c r="D746" s="114" t="s">
        <v>52</v>
      </c>
      <c r="E746" s="115" t="s">
        <v>2596</v>
      </c>
      <c r="F746" s="116"/>
      <c r="G746" s="113" t="s">
        <v>2558</v>
      </c>
      <c r="H746" s="113" t="s">
        <v>2597</v>
      </c>
      <c r="I746" s="113"/>
      <c r="J746" s="117" t="s">
        <v>2598</v>
      </c>
      <c r="K746" s="118"/>
      <c r="L746" s="109">
        <v>1</v>
      </c>
      <c r="M746" s="109">
        <v>2</v>
      </c>
      <c r="N746" s="109"/>
      <c r="O746" s="119"/>
      <c r="P746" s="2">
        <f t="shared" si="176"/>
        <v>1</v>
      </c>
      <c r="Q746" s="110" t="str">
        <f>IF(AND(Drops!$D$45&gt;1,OR(U746&lt;&gt;U745,AND(ROW()=5,U745=U746))),VLOOKUP(U746,Drops!$D$26:$E$44,2,FALSE),"")</f>
        <v/>
      </c>
      <c r="R746" s="2" t="str">
        <f t="shared" si="177"/>
        <v/>
      </c>
      <c r="S746" s="2">
        <f t="shared" ca="1" si="178"/>
        <v>1</v>
      </c>
      <c r="T746" s="2">
        <f t="shared" si="179"/>
        <v>1</v>
      </c>
      <c r="U746" s="110" t="s">
        <v>2560</v>
      </c>
      <c r="V746" s="110">
        <v>5</v>
      </c>
      <c r="W746" s="110">
        <v>0</v>
      </c>
      <c r="X746" s="110">
        <v>0</v>
      </c>
      <c r="Y746" s="110">
        <v>0</v>
      </c>
      <c r="Z746" s="110">
        <v>0</v>
      </c>
      <c r="AA746" s="2">
        <f t="shared" si="180"/>
        <v>1</v>
      </c>
      <c r="AB746" s="2">
        <f t="shared" si="181"/>
        <v>1</v>
      </c>
      <c r="AC746" s="2">
        <f t="shared" si="182"/>
        <v>1</v>
      </c>
      <c r="AD746" s="2">
        <f t="shared" si="183"/>
        <v>0</v>
      </c>
      <c r="AE746" s="2">
        <f t="shared" si="184"/>
        <v>3</v>
      </c>
      <c r="AF746" s="2">
        <f t="shared" si="185"/>
        <v>3</v>
      </c>
      <c r="AG746" s="2">
        <f t="shared" si="186"/>
        <v>3</v>
      </c>
      <c r="AH746" s="2">
        <f t="shared" si="187"/>
        <v>2</v>
      </c>
      <c r="AI746" s="2">
        <f t="shared" si="188"/>
        <v>2</v>
      </c>
      <c r="AJ746" s="2">
        <f t="shared" si="189"/>
        <v>0</v>
      </c>
      <c r="AK746" s="2">
        <f t="shared" si="190"/>
        <v>0</v>
      </c>
      <c r="AL746" s="2">
        <f t="shared" si="191"/>
        <v>0</v>
      </c>
      <c r="AM746" s="115"/>
      <c r="AN746" s="115"/>
      <c r="AO746" s="63"/>
    </row>
    <row r="747" spans="1:41" ht="43.2" x14ac:dyDescent="0.55000000000000004">
      <c r="A747" s="36">
        <v>4909</v>
      </c>
      <c r="B747" s="113" t="s">
        <v>2599</v>
      </c>
      <c r="C747" s="138" t="s">
        <v>2600</v>
      </c>
      <c r="D747" s="114" t="s">
        <v>52</v>
      </c>
      <c r="E747" s="115"/>
      <c r="F747" s="116"/>
      <c r="G747" s="113" t="s">
        <v>2558</v>
      </c>
      <c r="H747" s="113" t="s">
        <v>2597</v>
      </c>
      <c r="I747" s="113"/>
      <c r="J747" s="117" t="s">
        <v>2598</v>
      </c>
      <c r="K747" s="118"/>
      <c r="L747" s="109">
        <v>2</v>
      </c>
      <c r="M747" s="109">
        <v>3</v>
      </c>
      <c r="N747" s="109"/>
      <c r="O747" s="119"/>
      <c r="P747" s="2">
        <f t="shared" si="176"/>
        <v>1</v>
      </c>
      <c r="Q747" s="110" t="str">
        <f>IF(AND(Drops!$D$45&gt;1,OR(U747&lt;&gt;U746,AND(ROW()=5,U746=U747))),VLOOKUP(U747,Drops!$D$26:$E$44,2,FALSE),"")</f>
        <v/>
      </c>
      <c r="R747" s="2" t="str">
        <f t="shared" si="177"/>
        <v/>
      </c>
      <c r="S747" s="2">
        <f t="shared" ca="1" si="178"/>
        <v>1</v>
      </c>
      <c r="T747" s="2">
        <f t="shared" si="179"/>
        <v>0</v>
      </c>
      <c r="U747" s="110" t="s">
        <v>2560</v>
      </c>
      <c r="V747" s="110">
        <v>5</v>
      </c>
      <c r="W747" s="110">
        <v>6</v>
      </c>
      <c r="X747" s="110">
        <v>0</v>
      </c>
      <c r="Y747" s="110">
        <v>0</v>
      </c>
      <c r="Z747" s="110">
        <v>0</v>
      </c>
      <c r="AA747" s="2">
        <f t="shared" si="180"/>
        <v>1</v>
      </c>
      <c r="AB747" s="2">
        <f t="shared" si="181"/>
        <v>0</v>
      </c>
      <c r="AC747" s="2">
        <f t="shared" si="182"/>
        <v>1</v>
      </c>
      <c r="AD747" s="2">
        <f t="shared" si="183"/>
        <v>1</v>
      </c>
      <c r="AE747" s="2">
        <f t="shared" si="184"/>
        <v>3</v>
      </c>
      <c r="AF747" s="2">
        <f t="shared" si="185"/>
        <v>3</v>
      </c>
      <c r="AG747" s="2">
        <f t="shared" si="186"/>
        <v>3</v>
      </c>
      <c r="AH747" s="2">
        <f t="shared" si="187"/>
        <v>2</v>
      </c>
      <c r="AI747" s="2">
        <f t="shared" si="188"/>
        <v>2</v>
      </c>
      <c r="AJ747" s="2">
        <f t="shared" si="189"/>
        <v>0</v>
      </c>
      <c r="AK747" s="2">
        <f t="shared" si="190"/>
        <v>0</v>
      </c>
      <c r="AL747" s="2">
        <f t="shared" si="191"/>
        <v>0</v>
      </c>
      <c r="AM747" s="115"/>
      <c r="AN747" s="115"/>
      <c r="AO747" s="63"/>
    </row>
    <row r="748" spans="1:41" ht="28.8" x14ac:dyDescent="0.55000000000000004">
      <c r="A748" s="36">
        <v>4912</v>
      </c>
      <c r="B748" s="113" t="s">
        <v>2601</v>
      </c>
      <c r="C748" s="138" t="s">
        <v>2602</v>
      </c>
      <c r="D748" s="114" t="s">
        <v>52</v>
      </c>
      <c r="E748" s="115"/>
      <c r="F748" s="116"/>
      <c r="G748" s="113" t="s">
        <v>2558</v>
      </c>
      <c r="H748" s="113" t="s">
        <v>2597</v>
      </c>
      <c r="I748" s="113"/>
      <c r="J748" s="117" t="s">
        <v>2598</v>
      </c>
      <c r="K748" s="118"/>
      <c r="L748" s="109">
        <v>2</v>
      </c>
      <c r="M748" s="109">
        <v>3</v>
      </c>
      <c r="N748" s="109"/>
      <c r="O748" s="119"/>
      <c r="P748" s="2">
        <f t="shared" si="176"/>
        <v>1</v>
      </c>
      <c r="Q748" s="110" t="str">
        <f>IF(AND(Drops!$D$45&gt;1,OR(U748&lt;&gt;U747,AND(ROW()=5,U747=U748))),VLOOKUP(U748,Drops!$D$26:$E$44,2,FALSE),"")</f>
        <v/>
      </c>
      <c r="R748" s="2" t="str">
        <f t="shared" si="177"/>
        <v/>
      </c>
      <c r="S748" s="2">
        <f t="shared" ca="1" si="178"/>
        <v>1</v>
      </c>
      <c r="T748" s="2">
        <f t="shared" si="179"/>
        <v>0</v>
      </c>
      <c r="U748" s="110" t="s">
        <v>2560</v>
      </c>
      <c r="V748" s="110">
        <v>5</v>
      </c>
      <c r="W748" s="110">
        <v>9</v>
      </c>
      <c r="X748" s="110">
        <v>0</v>
      </c>
      <c r="Y748" s="110">
        <v>0</v>
      </c>
      <c r="Z748" s="110">
        <v>0</v>
      </c>
      <c r="AA748" s="2">
        <f t="shared" si="180"/>
        <v>1</v>
      </c>
      <c r="AB748" s="2">
        <f t="shared" si="181"/>
        <v>0</v>
      </c>
      <c r="AC748" s="2">
        <f t="shared" si="182"/>
        <v>1</v>
      </c>
      <c r="AD748" s="2">
        <f t="shared" si="183"/>
        <v>1</v>
      </c>
      <c r="AE748" s="2">
        <f t="shared" si="184"/>
        <v>3</v>
      </c>
      <c r="AF748" s="2">
        <f t="shared" si="185"/>
        <v>3</v>
      </c>
      <c r="AG748" s="2">
        <f t="shared" si="186"/>
        <v>3</v>
      </c>
      <c r="AH748" s="2">
        <f t="shared" si="187"/>
        <v>2</v>
      </c>
      <c r="AI748" s="2">
        <f t="shared" si="188"/>
        <v>2</v>
      </c>
      <c r="AJ748" s="2">
        <f t="shared" si="189"/>
        <v>0</v>
      </c>
      <c r="AK748" s="2">
        <f t="shared" si="190"/>
        <v>0</v>
      </c>
      <c r="AL748" s="2">
        <f t="shared" si="191"/>
        <v>0</v>
      </c>
      <c r="AM748" s="115"/>
      <c r="AN748" s="115"/>
      <c r="AO748" s="63"/>
    </row>
    <row r="749" spans="1:41" ht="28.8" x14ac:dyDescent="0.55000000000000004">
      <c r="A749" s="36">
        <v>976</v>
      </c>
      <c r="B749" s="113" t="s">
        <v>2603</v>
      </c>
      <c r="C749" s="138" t="s">
        <v>2604</v>
      </c>
      <c r="D749" s="114" t="s">
        <v>52</v>
      </c>
      <c r="E749" s="115"/>
      <c r="F749" s="116"/>
      <c r="G749" s="113" t="s">
        <v>2558</v>
      </c>
      <c r="H749" s="113" t="s">
        <v>2597</v>
      </c>
      <c r="I749" s="113"/>
      <c r="J749" s="117" t="s">
        <v>2559</v>
      </c>
      <c r="K749" s="118"/>
      <c r="L749" s="109">
        <v>2</v>
      </c>
      <c r="M749" s="109">
        <v>2</v>
      </c>
      <c r="N749" s="109"/>
      <c r="O749" s="119"/>
      <c r="P749" s="2">
        <f t="shared" si="176"/>
        <v>1</v>
      </c>
      <c r="Q749" s="110" t="str">
        <f>IF(AND(Drops!$D$45&gt;1,OR(U749&lt;&gt;U748,AND(ROW()=5,U748=U749))),VLOOKUP(U749,Drops!$D$26:$E$44,2,FALSE),"")</f>
        <v/>
      </c>
      <c r="R749" s="2" t="str">
        <f t="shared" si="177"/>
        <v/>
      </c>
      <c r="S749" s="2">
        <f t="shared" ca="1" si="178"/>
        <v>1</v>
      </c>
      <c r="T749" s="2">
        <f t="shared" si="179"/>
        <v>0</v>
      </c>
      <c r="U749" s="110" t="s">
        <v>2560</v>
      </c>
      <c r="V749" s="110">
        <v>5</v>
      </c>
      <c r="W749" s="110">
        <v>11</v>
      </c>
      <c r="X749" s="110">
        <v>0</v>
      </c>
      <c r="Y749" s="110">
        <v>0</v>
      </c>
      <c r="Z749" s="110">
        <v>0</v>
      </c>
      <c r="AA749" s="2">
        <f t="shared" si="180"/>
        <v>1</v>
      </c>
      <c r="AB749" s="2">
        <f t="shared" si="181"/>
        <v>0</v>
      </c>
      <c r="AC749" s="2">
        <f t="shared" si="182"/>
        <v>1</v>
      </c>
      <c r="AD749" s="2">
        <f t="shared" si="183"/>
        <v>1</v>
      </c>
      <c r="AE749" s="2">
        <f t="shared" si="184"/>
        <v>3</v>
      </c>
      <c r="AF749" s="2">
        <f t="shared" si="185"/>
        <v>3</v>
      </c>
      <c r="AG749" s="2">
        <f t="shared" si="186"/>
        <v>3</v>
      </c>
      <c r="AH749" s="2">
        <f t="shared" si="187"/>
        <v>2</v>
      </c>
      <c r="AI749" s="2">
        <f t="shared" si="188"/>
        <v>2</v>
      </c>
      <c r="AJ749" s="2">
        <f t="shared" si="189"/>
        <v>0</v>
      </c>
      <c r="AK749" s="2">
        <f t="shared" si="190"/>
        <v>0</v>
      </c>
      <c r="AL749" s="2">
        <f t="shared" si="191"/>
        <v>0</v>
      </c>
      <c r="AM749" s="115"/>
      <c r="AN749" s="115"/>
      <c r="AO749" s="63"/>
    </row>
    <row r="750" spans="1:41" ht="28.8" x14ac:dyDescent="0.55000000000000004">
      <c r="A750" s="36">
        <v>1065</v>
      </c>
      <c r="B750" s="113" t="s">
        <v>2605</v>
      </c>
      <c r="C750" s="138" t="s">
        <v>2606</v>
      </c>
      <c r="D750" s="114" t="s">
        <v>52</v>
      </c>
      <c r="E750" s="115"/>
      <c r="F750" s="116"/>
      <c r="G750" s="113" t="s">
        <v>2558</v>
      </c>
      <c r="H750" s="113" t="s">
        <v>2597</v>
      </c>
      <c r="I750" s="113"/>
      <c r="J750" s="117" t="s">
        <v>2559</v>
      </c>
      <c r="K750" s="118"/>
      <c r="L750" s="109">
        <v>2</v>
      </c>
      <c r="M750" s="109">
        <v>3</v>
      </c>
      <c r="N750" s="109"/>
      <c r="O750" s="119"/>
      <c r="P750" s="2">
        <f t="shared" si="176"/>
        <v>1</v>
      </c>
      <c r="Q750" s="110" t="str">
        <f>IF(AND(Drops!$D$45&gt;1,OR(U750&lt;&gt;U749,AND(ROW()=5,U749=U750))),VLOOKUP(U750,Drops!$D$26:$E$44,2,FALSE),"")</f>
        <v/>
      </c>
      <c r="R750" s="2" t="str">
        <f t="shared" si="177"/>
        <v/>
      </c>
      <c r="S750" s="2">
        <f t="shared" ca="1" si="178"/>
        <v>1</v>
      </c>
      <c r="T750" s="2">
        <f t="shared" si="179"/>
        <v>0</v>
      </c>
      <c r="U750" s="110" t="s">
        <v>2560</v>
      </c>
      <c r="V750" s="110">
        <v>5</v>
      </c>
      <c r="W750" s="110">
        <v>12</v>
      </c>
      <c r="X750" s="110">
        <v>0</v>
      </c>
      <c r="Y750" s="110">
        <v>0</v>
      </c>
      <c r="Z750" s="110">
        <v>0</v>
      </c>
      <c r="AA750" s="2">
        <f t="shared" si="180"/>
        <v>1</v>
      </c>
      <c r="AB750" s="2">
        <f t="shared" si="181"/>
        <v>0</v>
      </c>
      <c r="AC750" s="2">
        <f t="shared" si="182"/>
        <v>1</v>
      </c>
      <c r="AD750" s="2">
        <f t="shared" si="183"/>
        <v>1</v>
      </c>
      <c r="AE750" s="2">
        <f t="shared" si="184"/>
        <v>3</v>
      </c>
      <c r="AF750" s="2">
        <f t="shared" si="185"/>
        <v>3</v>
      </c>
      <c r="AG750" s="2">
        <f t="shared" si="186"/>
        <v>3</v>
      </c>
      <c r="AH750" s="2">
        <f t="shared" si="187"/>
        <v>2</v>
      </c>
      <c r="AI750" s="2">
        <f t="shared" si="188"/>
        <v>2</v>
      </c>
      <c r="AJ750" s="2">
        <f t="shared" si="189"/>
        <v>0</v>
      </c>
      <c r="AK750" s="2">
        <f t="shared" si="190"/>
        <v>0</v>
      </c>
      <c r="AL750" s="2">
        <f t="shared" si="191"/>
        <v>0</v>
      </c>
      <c r="AM750" s="115"/>
      <c r="AN750" s="115"/>
      <c r="AO750" s="63"/>
    </row>
    <row r="751" spans="1:41" ht="57.6" x14ac:dyDescent="0.55000000000000004">
      <c r="A751" s="36">
        <v>979</v>
      </c>
      <c r="B751" s="113" t="s">
        <v>2607</v>
      </c>
      <c r="C751" s="138" t="s">
        <v>2608</v>
      </c>
      <c r="D751" s="114" t="s">
        <v>52</v>
      </c>
      <c r="E751" s="115"/>
      <c r="F751" s="116"/>
      <c r="G751" s="113" t="s">
        <v>2558</v>
      </c>
      <c r="H751" s="113" t="s">
        <v>2609</v>
      </c>
      <c r="I751" s="113" t="s">
        <v>2610</v>
      </c>
      <c r="J751" s="117"/>
      <c r="K751" s="118"/>
      <c r="L751" s="109">
        <v>2</v>
      </c>
      <c r="M751" s="109">
        <v>2</v>
      </c>
      <c r="N751" s="109"/>
      <c r="O751" s="119"/>
      <c r="P751" s="2">
        <f t="shared" si="176"/>
        <v>1</v>
      </c>
      <c r="Q751" s="110" t="str">
        <f>IF(AND(Drops!$D$45&gt;1,OR(U751&lt;&gt;U750,AND(ROW()=5,U750=U751))),VLOOKUP(U751,Drops!$D$26:$E$44,2,FALSE),"")</f>
        <v/>
      </c>
      <c r="R751" s="2" t="str">
        <f t="shared" si="177"/>
        <v/>
      </c>
      <c r="S751" s="2">
        <f t="shared" ca="1" si="178"/>
        <v>1</v>
      </c>
      <c r="T751" s="2">
        <f t="shared" si="179"/>
        <v>1</v>
      </c>
      <c r="U751" s="110" t="s">
        <v>2560</v>
      </c>
      <c r="V751" s="110">
        <v>6</v>
      </c>
      <c r="W751" s="110">
        <v>1</v>
      </c>
      <c r="X751" s="110">
        <v>0</v>
      </c>
      <c r="Y751" s="110">
        <v>0</v>
      </c>
      <c r="Z751" s="110">
        <v>0</v>
      </c>
      <c r="AA751" s="2">
        <f t="shared" si="180"/>
        <v>1</v>
      </c>
      <c r="AB751" s="2">
        <f t="shared" si="181"/>
        <v>0</v>
      </c>
      <c r="AC751" s="2">
        <f t="shared" si="182"/>
        <v>0</v>
      </c>
      <c r="AD751" s="2">
        <f t="shared" si="183"/>
        <v>1</v>
      </c>
      <c r="AE751" s="2">
        <f t="shared" si="184"/>
        <v>3</v>
      </c>
      <c r="AF751" s="2">
        <f t="shared" si="185"/>
        <v>3</v>
      </c>
      <c r="AG751" s="2">
        <f t="shared" si="186"/>
        <v>3</v>
      </c>
      <c r="AH751" s="2">
        <f t="shared" si="187"/>
        <v>2</v>
      </c>
      <c r="AI751" s="2">
        <f t="shared" si="188"/>
        <v>2</v>
      </c>
      <c r="AJ751" s="2">
        <f t="shared" si="189"/>
        <v>0</v>
      </c>
      <c r="AK751" s="2">
        <f t="shared" si="190"/>
        <v>0</v>
      </c>
      <c r="AL751" s="2">
        <f t="shared" si="191"/>
        <v>0</v>
      </c>
      <c r="AM751" s="115"/>
      <c r="AN751" s="115"/>
      <c r="AO751" s="63"/>
    </row>
    <row r="752" spans="1:41" ht="43.2" x14ac:dyDescent="0.55000000000000004">
      <c r="A752" s="36">
        <v>3693</v>
      </c>
      <c r="B752" s="113" t="s">
        <v>2611</v>
      </c>
      <c r="C752" s="138" t="s">
        <v>2612</v>
      </c>
      <c r="D752" s="114" t="s">
        <v>52</v>
      </c>
      <c r="E752" s="115" t="s">
        <v>2613</v>
      </c>
      <c r="F752" s="116"/>
      <c r="G752" s="113" t="s">
        <v>2558</v>
      </c>
      <c r="H752" s="113" t="s">
        <v>2609</v>
      </c>
      <c r="I752" s="113"/>
      <c r="J752" s="117"/>
      <c r="K752" s="118"/>
      <c r="L752" s="109">
        <v>2</v>
      </c>
      <c r="M752" s="109">
        <v>2</v>
      </c>
      <c r="N752" s="109"/>
      <c r="O752" s="119"/>
      <c r="P752" s="2">
        <f t="shared" si="176"/>
        <v>1</v>
      </c>
      <c r="Q752" s="110" t="str">
        <f>IF(AND(Drops!$D$45&gt;1,OR(U752&lt;&gt;U751,AND(ROW()=5,U751=U752))),VLOOKUP(U752,Drops!$D$26:$E$44,2,FALSE),"")</f>
        <v/>
      </c>
      <c r="R752" s="2" t="str">
        <f t="shared" si="177"/>
        <v/>
      </c>
      <c r="S752" s="2">
        <f t="shared" ca="1" si="178"/>
        <v>1</v>
      </c>
      <c r="T752" s="2">
        <f t="shared" si="179"/>
        <v>0</v>
      </c>
      <c r="U752" s="110" t="s">
        <v>2560</v>
      </c>
      <c r="V752" s="110">
        <v>6</v>
      </c>
      <c r="W752" s="110">
        <v>2</v>
      </c>
      <c r="X752" s="110">
        <v>0</v>
      </c>
      <c r="Y752" s="110">
        <v>0</v>
      </c>
      <c r="Z752" s="110">
        <v>0</v>
      </c>
      <c r="AA752" s="2">
        <f t="shared" si="180"/>
        <v>1</v>
      </c>
      <c r="AB752" s="2">
        <f t="shared" si="181"/>
        <v>0</v>
      </c>
      <c r="AC752" s="2">
        <f t="shared" si="182"/>
        <v>0</v>
      </c>
      <c r="AD752" s="2">
        <f t="shared" si="183"/>
        <v>1</v>
      </c>
      <c r="AE752" s="2">
        <f t="shared" si="184"/>
        <v>3</v>
      </c>
      <c r="AF752" s="2">
        <f t="shared" si="185"/>
        <v>3</v>
      </c>
      <c r="AG752" s="2">
        <f t="shared" si="186"/>
        <v>3</v>
      </c>
      <c r="AH752" s="2">
        <f t="shared" si="187"/>
        <v>2</v>
      </c>
      <c r="AI752" s="2">
        <f t="shared" si="188"/>
        <v>2</v>
      </c>
      <c r="AJ752" s="2">
        <f t="shared" si="189"/>
        <v>0</v>
      </c>
      <c r="AK752" s="2">
        <f t="shared" si="190"/>
        <v>0</v>
      </c>
      <c r="AL752" s="2">
        <f t="shared" si="191"/>
        <v>0</v>
      </c>
      <c r="AM752" s="115"/>
      <c r="AN752" s="115"/>
      <c r="AO752" s="63"/>
    </row>
    <row r="753" spans="1:41" ht="43.2" x14ac:dyDescent="0.55000000000000004">
      <c r="A753" s="36">
        <v>3215</v>
      </c>
      <c r="B753" s="113" t="s">
        <v>376</v>
      </c>
      <c r="C753" s="113" t="s">
        <v>2614</v>
      </c>
      <c r="D753" s="114" t="s">
        <v>52</v>
      </c>
      <c r="E753" s="115"/>
      <c r="F753" s="116"/>
      <c r="G753" s="113" t="s">
        <v>2615</v>
      </c>
      <c r="H753" s="113" t="s">
        <v>2616</v>
      </c>
      <c r="I753" s="113" t="s">
        <v>2617</v>
      </c>
      <c r="J753" s="117" t="s">
        <v>2559</v>
      </c>
      <c r="K753" s="118"/>
      <c r="L753" s="109">
        <v>1</v>
      </c>
      <c r="M753" s="109">
        <v>2</v>
      </c>
      <c r="N753" s="109"/>
      <c r="O753" s="119"/>
      <c r="P753" s="2">
        <f t="shared" si="176"/>
        <v>1</v>
      </c>
      <c r="Q753" s="110" t="str">
        <f>IF(AND(Drops!$D$45&gt;1,OR(U753&lt;&gt;U752,AND(ROW()=5,U752=U753))),VLOOKUP(U753,Drops!$D$26:$E$44,2,FALSE),"")</f>
        <v/>
      </c>
      <c r="R753" s="2" t="str">
        <f t="shared" si="177"/>
        <v/>
      </c>
      <c r="S753" s="2">
        <f t="shared" ca="1" si="178"/>
        <v>1</v>
      </c>
      <c r="T753" s="2">
        <f t="shared" si="179"/>
        <v>1</v>
      </c>
      <c r="U753" s="110" t="s">
        <v>2560</v>
      </c>
      <c r="V753" s="110">
        <v>7</v>
      </c>
      <c r="W753" s="110">
        <v>0</v>
      </c>
      <c r="X753" s="110">
        <v>0</v>
      </c>
      <c r="Y753" s="110">
        <v>0</v>
      </c>
      <c r="Z753" s="110">
        <v>0</v>
      </c>
      <c r="AA753" s="2">
        <f t="shared" si="180"/>
        <v>1</v>
      </c>
      <c r="AB753" s="2">
        <f t="shared" si="181"/>
        <v>1</v>
      </c>
      <c r="AC753" s="2">
        <f t="shared" si="182"/>
        <v>1</v>
      </c>
      <c r="AD753" s="2">
        <f t="shared" si="183"/>
        <v>0</v>
      </c>
      <c r="AE753" s="2">
        <f t="shared" si="184"/>
        <v>3</v>
      </c>
      <c r="AF753" s="2">
        <f t="shared" si="185"/>
        <v>3</v>
      </c>
      <c r="AG753" s="2">
        <f t="shared" si="186"/>
        <v>3</v>
      </c>
      <c r="AH753" s="2">
        <f t="shared" si="187"/>
        <v>2</v>
      </c>
      <c r="AI753" s="2">
        <f t="shared" si="188"/>
        <v>2</v>
      </c>
      <c r="AJ753" s="2">
        <f t="shared" si="189"/>
        <v>0</v>
      </c>
      <c r="AK753" s="2">
        <f t="shared" si="190"/>
        <v>0</v>
      </c>
      <c r="AL753" s="2">
        <f t="shared" si="191"/>
        <v>0</v>
      </c>
      <c r="AM753" s="115"/>
      <c r="AN753" s="115"/>
      <c r="AO753" s="63"/>
    </row>
    <row r="754" spans="1:41" ht="43.2" x14ac:dyDescent="0.55000000000000004">
      <c r="A754" s="36">
        <v>2972</v>
      </c>
      <c r="B754" s="113" t="s">
        <v>2618</v>
      </c>
      <c r="C754" s="138" t="s">
        <v>2619</v>
      </c>
      <c r="D754" s="114" t="s">
        <v>52</v>
      </c>
      <c r="E754" s="115"/>
      <c r="F754" s="116"/>
      <c r="G754" s="113" t="s">
        <v>2615</v>
      </c>
      <c r="H754" s="113" t="s">
        <v>2616</v>
      </c>
      <c r="I754" s="113"/>
      <c r="J754" s="117"/>
      <c r="K754" s="118"/>
      <c r="L754" s="109">
        <v>2</v>
      </c>
      <c r="M754" s="109">
        <v>3</v>
      </c>
      <c r="N754" s="109"/>
      <c r="O754" s="119"/>
      <c r="P754" s="2">
        <f t="shared" si="176"/>
        <v>1</v>
      </c>
      <c r="Q754" s="110" t="str">
        <f>IF(AND(Drops!$D$45&gt;1,OR(U754&lt;&gt;U753,AND(ROW()=5,U753=U754))),VLOOKUP(U754,Drops!$D$26:$E$44,2,FALSE),"")</f>
        <v/>
      </c>
      <c r="R754" s="2" t="str">
        <f t="shared" si="177"/>
        <v/>
      </c>
      <c r="S754" s="2">
        <f t="shared" ca="1" si="178"/>
        <v>1</v>
      </c>
      <c r="T754" s="2">
        <f t="shared" si="179"/>
        <v>0</v>
      </c>
      <c r="U754" s="110" t="s">
        <v>2560</v>
      </c>
      <c r="V754" s="110">
        <v>7</v>
      </c>
      <c r="W754" s="110">
        <v>1</v>
      </c>
      <c r="X754" s="110">
        <v>0</v>
      </c>
      <c r="Y754" s="110">
        <v>0</v>
      </c>
      <c r="Z754" s="110">
        <v>0</v>
      </c>
      <c r="AA754" s="2">
        <f t="shared" si="180"/>
        <v>1</v>
      </c>
      <c r="AB754" s="2">
        <f t="shared" si="181"/>
        <v>0</v>
      </c>
      <c r="AC754" s="2">
        <f t="shared" si="182"/>
        <v>1</v>
      </c>
      <c r="AD754" s="2">
        <f t="shared" si="183"/>
        <v>1</v>
      </c>
      <c r="AE754" s="2">
        <f t="shared" si="184"/>
        <v>3</v>
      </c>
      <c r="AF754" s="2">
        <f t="shared" si="185"/>
        <v>3</v>
      </c>
      <c r="AG754" s="2">
        <f t="shared" si="186"/>
        <v>3</v>
      </c>
      <c r="AH754" s="2">
        <f t="shared" si="187"/>
        <v>2</v>
      </c>
      <c r="AI754" s="2">
        <f t="shared" si="188"/>
        <v>2</v>
      </c>
      <c r="AJ754" s="2">
        <f t="shared" si="189"/>
        <v>0</v>
      </c>
      <c r="AK754" s="2">
        <f t="shared" si="190"/>
        <v>0</v>
      </c>
      <c r="AL754" s="2">
        <f t="shared" si="191"/>
        <v>0</v>
      </c>
      <c r="AM754" s="115"/>
      <c r="AN754" s="115"/>
      <c r="AO754" s="63"/>
    </row>
    <row r="755" spans="1:41" ht="28.8" x14ac:dyDescent="0.55000000000000004">
      <c r="A755" s="36">
        <v>3216</v>
      </c>
      <c r="B755" s="113" t="s">
        <v>2620</v>
      </c>
      <c r="C755" s="138" t="s">
        <v>2621</v>
      </c>
      <c r="D755" s="114" t="s">
        <v>52</v>
      </c>
      <c r="E755" s="115"/>
      <c r="F755" s="116"/>
      <c r="G755" s="113" t="s">
        <v>2615</v>
      </c>
      <c r="H755" s="113" t="s">
        <v>2616</v>
      </c>
      <c r="I755" s="113"/>
      <c r="J755" s="117"/>
      <c r="K755" s="118"/>
      <c r="L755" s="109">
        <v>2</v>
      </c>
      <c r="M755" s="109">
        <v>3</v>
      </c>
      <c r="N755" s="109"/>
      <c r="O755" s="119"/>
      <c r="P755" s="2">
        <f t="shared" si="176"/>
        <v>1</v>
      </c>
      <c r="Q755" s="110" t="str">
        <f>IF(AND(Drops!$D$45&gt;1,OR(U755&lt;&gt;U754,AND(ROW()=5,U754=U755))),VLOOKUP(U755,Drops!$D$26:$E$44,2,FALSE),"")</f>
        <v/>
      </c>
      <c r="R755" s="2" t="str">
        <f t="shared" si="177"/>
        <v/>
      </c>
      <c r="S755" s="2">
        <f t="shared" ca="1" si="178"/>
        <v>1</v>
      </c>
      <c r="T755" s="2">
        <f t="shared" si="179"/>
        <v>0</v>
      </c>
      <c r="U755" s="110" t="s">
        <v>2560</v>
      </c>
      <c r="V755" s="110">
        <v>7</v>
      </c>
      <c r="W755" s="110">
        <v>2</v>
      </c>
      <c r="X755" s="110">
        <v>0</v>
      </c>
      <c r="Y755" s="110">
        <v>0</v>
      </c>
      <c r="Z755" s="110">
        <v>0</v>
      </c>
      <c r="AA755" s="2">
        <f t="shared" si="180"/>
        <v>1</v>
      </c>
      <c r="AB755" s="2">
        <f t="shared" si="181"/>
        <v>0</v>
      </c>
      <c r="AC755" s="2">
        <f t="shared" si="182"/>
        <v>1</v>
      </c>
      <c r="AD755" s="2">
        <f t="shared" si="183"/>
        <v>1</v>
      </c>
      <c r="AE755" s="2">
        <f t="shared" si="184"/>
        <v>3</v>
      </c>
      <c r="AF755" s="2">
        <f t="shared" si="185"/>
        <v>3</v>
      </c>
      <c r="AG755" s="2">
        <f t="shared" si="186"/>
        <v>3</v>
      </c>
      <c r="AH755" s="2">
        <f t="shared" si="187"/>
        <v>2</v>
      </c>
      <c r="AI755" s="2">
        <f t="shared" si="188"/>
        <v>2</v>
      </c>
      <c r="AJ755" s="2">
        <f t="shared" si="189"/>
        <v>0</v>
      </c>
      <c r="AK755" s="2">
        <f t="shared" si="190"/>
        <v>0</v>
      </c>
      <c r="AL755" s="2">
        <f t="shared" si="191"/>
        <v>0</v>
      </c>
      <c r="AM755" s="115"/>
      <c r="AN755" s="115"/>
      <c r="AO755" s="63"/>
    </row>
    <row r="756" spans="1:41" ht="28.8" x14ac:dyDescent="0.55000000000000004">
      <c r="A756" s="36">
        <v>5656</v>
      </c>
      <c r="B756" s="113" t="s">
        <v>2622</v>
      </c>
      <c r="C756" s="138" t="s">
        <v>2623</v>
      </c>
      <c r="D756" s="114" t="s">
        <v>52</v>
      </c>
      <c r="E756" s="115"/>
      <c r="F756" s="116"/>
      <c r="G756" s="113" t="s">
        <v>2615</v>
      </c>
      <c r="H756" s="113" t="s">
        <v>2616</v>
      </c>
      <c r="I756" s="113"/>
      <c r="J756" s="117"/>
      <c r="K756" s="118"/>
      <c r="L756" s="109">
        <v>2</v>
      </c>
      <c r="M756" s="109">
        <v>2</v>
      </c>
      <c r="N756" s="109"/>
      <c r="O756" s="119"/>
      <c r="P756" s="2">
        <f t="shared" si="176"/>
        <v>1</v>
      </c>
      <c r="Q756" s="110" t="str">
        <f>IF(AND(Drops!$D$45&gt;1,OR(U756&lt;&gt;U755,AND(ROW()=5,U755=U756))),VLOOKUP(U756,Drops!$D$26:$E$44,2,FALSE),"")</f>
        <v/>
      </c>
      <c r="R756" s="2" t="str">
        <f t="shared" si="177"/>
        <v/>
      </c>
      <c r="S756" s="2">
        <f t="shared" ca="1" si="178"/>
        <v>1</v>
      </c>
      <c r="T756" s="2">
        <f t="shared" si="179"/>
        <v>0</v>
      </c>
      <c r="U756" s="110" t="s">
        <v>2560</v>
      </c>
      <c r="V756" s="110">
        <v>7</v>
      </c>
      <c r="W756" s="110">
        <v>3</v>
      </c>
      <c r="X756" s="110">
        <v>0</v>
      </c>
      <c r="Y756" s="110">
        <v>0</v>
      </c>
      <c r="Z756" s="110">
        <v>0</v>
      </c>
      <c r="AA756" s="2">
        <f t="shared" si="180"/>
        <v>1</v>
      </c>
      <c r="AB756" s="2">
        <f t="shared" si="181"/>
        <v>0</v>
      </c>
      <c r="AC756" s="2">
        <f t="shared" si="182"/>
        <v>1</v>
      </c>
      <c r="AD756" s="2">
        <f t="shared" si="183"/>
        <v>1</v>
      </c>
      <c r="AE756" s="2">
        <f t="shared" si="184"/>
        <v>3</v>
      </c>
      <c r="AF756" s="2">
        <f t="shared" si="185"/>
        <v>3</v>
      </c>
      <c r="AG756" s="2">
        <f t="shared" si="186"/>
        <v>3</v>
      </c>
      <c r="AH756" s="2">
        <f t="shared" si="187"/>
        <v>2</v>
      </c>
      <c r="AI756" s="2">
        <f t="shared" si="188"/>
        <v>2</v>
      </c>
      <c r="AJ756" s="2">
        <f t="shared" si="189"/>
        <v>0</v>
      </c>
      <c r="AK756" s="2">
        <f t="shared" si="190"/>
        <v>0</v>
      </c>
      <c r="AL756" s="2">
        <f t="shared" si="191"/>
        <v>0</v>
      </c>
      <c r="AM756" s="115"/>
      <c r="AN756" s="115"/>
      <c r="AO756" s="63"/>
    </row>
    <row r="757" spans="1:41" ht="28.8" x14ac:dyDescent="0.55000000000000004">
      <c r="A757" s="36">
        <v>5657</v>
      </c>
      <c r="B757" s="113" t="s">
        <v>2624</v>
      </c>
      <c r="C757" s="138" t="s">
        <v>2625</v>
      </c>
      <c r="D757" s="114" t="s">
        <v>52</v>
      </c>
      <c r="E757" s="115"/>
      <c r="F757" s="116"/>
      <c r="G757" s="113" t="s">
        <v>2615</v>
      </c>
      <c r="H757" s="113" t="s">
        <v>2616</v>
      </c>
      <c r="I757" s="113"/>
      <c r="J757" s="117"/>
      <c r="K757" s="118"/>
      <c r="L757" s="109">
        <v>2</v>
      </c>
      <c r="M757" s="109">
        <v>3</v>
      </c>
      <c r="N757" s="109"/>
      <c r="O757" s="119"/>
      <c r="P757" s="2">
        <f t="shared" si="176"/>
        <v>1</v>
      </c>
      <c r="Q757" s="110" t="str">
        <f>IF(AND(Drops!$D$45&gt;1,OR(U757&lt;&gt;U756,AND(ROW()=5,U756=U757))),VLOOKUP(U757,Drops!$D$26:$E$44,2,FALSE),"")</f>
        <v/>
      </c>
      <c r="R757" s="2" t="str">
        <f t="shared" si="177"/>
        <v/>
      </c>
      <c r="S757" s="2">
        <f t="shared" ca="1" si="178"/>
        <v>1</v>
      </c>
      <c r="T757" s="2">
        <f t="shared" si="179"/>
        <v>0</v>
      </c>
      <c r="U757" s="110" t="s">
        <v>2560</v>
      </c>
      <c r="V757" s="110">
        <v>7</v>
      </c>
      <c r="W757" s="110">
        <v>4</v>
      </c>
      <c r="X757" s="110">
        <v>0</v>
      </c>
      <c r="Y757" s="110">
        <v>0</v>
      </c>
      <c r="Z757" s="110">
        <v>0</v>
      </c>
      <c r="AA757" s="2">
        <f t="shared" si="180"/>
        <v>1</v>
      </c>
      <c r="AB757" s="2">
        <f t="shared" si="181"/>
        <v>0</v>
      </c>
      <c r="AC757" s="2">
        <f t="shared" si="182"/>
        <v>1</v>
      </c>
      <c r="AD757" s="2">
        <f t="shared" si="183"/>
        <v>1</v>
      </c>
      <c r="AE757" s="2">
        <f t="shared" si="184"/>
        <v>3</v>
      </c>
      <c r="AF757" s="2">
        <f t="shared" si="185"/>
        <v>3</v>
      </c>
      <c r="AG757" s="2">
        <f t="shared" si="186"/>
        <v>3</v>
      </c>
      <c r="AH757" s="2">
        <f t="shared" si="187"/>
        <v>2</v>
      </c>
      <c r="AI757" s="2">
        <f t="shared" si="188"/>
        <v>2</v>
      </c>
      <c r="AJ757" s="2">
        <f t="shared" si="189"/>
        <v>0</v>
      </c>
      <c r="AK757" s="2">
        <f t="shared" si="190"/>
        <v>0</v>
      </c>
      <c r="AL757" s="2">
        <f t="shared" si="191"/>
        <v>0</v>
      </c>
      <c r="AM757" s="115"/>
      <c r="AN757" s="115"/>
      <c r="AO757" s="63"/>
    </row>
    <row r="758" spans="1:41" ht="43.2" x14ac:dyDescent="0.55000000000000004">
      <c r="A758" s="36">
        <v>4327</v>
      </c>
      <c r="B758" s="113" t="s">
        <v>378</v>
      </c>
      <c r="C758" s="113" t="s">
        <v>2626</v>
      </c>
      <c r="D758" s="114" t="s">
        <v>52</v>
      </c>
      <c r="E758" s="115"/>
      <c r="F758" s="116"/>
      <c r="G758" s="113" t="s">
        <v>2615</v>
      </c>
      <c r="H758" s="113" t="s">
        <v>2627</v>
      </c>
      <c r="I758" s="113" t="s">
        <v>2628</v>
      </c>
      <c r="J758" s="117" t="s">
        <v>2565</v>
      </c>
      <c r="K758" s="118"/>
      <c r="L758" s="109">
        <v>1</v>
      </c>
      <c r="M758" s="109">
        <v>3</v>
      </c>
      <c r="N758" s="109"/>
      <c r="O758" s="119"/>
      <c r="P758" s="2">
        <f t="shared" si="176"/>
        <v>1</v>
      </c>
      <c r="Q758" s="110" t="str">
        <f>IF(AND(Drops!$D$45&gt;1,OR(U758&lt;&gt;U757,AND(ROW()=5,U757=U758))),VLOOKUP(U758,Drops!$D$26:$E$44,2,FALSE),"")</f>
        <v/>
      </c>
      <c r="R758" s="2" t="str">
        <f t="shared" si="177"/>
        <v/>
      </c>
      <c r="S758" s="2">
        <f t="shared" ca="1" si="178"/>
        <v>1</v>
      </c>
      <c r="T758" s="2">
        <f t="shared" si="179"/>
        <v>1</v>
      </c>
      <c r="U758" s="110" t="s">
        <v>2560</v>
      </c>
      <c r="V758" s="110">
        <v>8</v>
      </c>
      <c r="W758" s="110">
        <v>0</v>
      </c>
      <c r="X758" s="110">
        <v>0</v>
      </c>
      <c r="Y758" s="110">
        <v>0</v>
      </c>
      <c r="Z758" s="110">
        <v>0</v>
      </c>
      <c r="AA758" s="2">
        <f t="shared" si="180"/>
        <v>1</v>
      </c>
      <c r="AB758" s="2">
        <f t="shared" si="181"/>
        <v>1</v>
      </c>
      <c r="AC758" s="2">
        <f t="shared" si="182"/>
        <v>1</v>
      </c>
      <c r="AD758" s="2">
        <f t="shared" si="183"/>
        <v>0</v>
      </c>
      <c r="AE758" s="2">
        <f t="shared" si="184"/>
        <v>3</v>
      </c>
      <c r="AF758" s="2">
        <f t="shared" si="185"/>
        <v>3</v>
      </c>
      <c r="AG758" s="2">
        <f t="shared" si="186"/>
        <v>3</v>
      </c>
      <c r="AH758" s="2">
        <f t="shared" si="187"/>
        <v>2</v>
      </c>
      <c r="AI758" s="2">
        <f t="shared" si="188"/>
        <v>2</v>
      </c>
      <c r="AJ758" s="2">
        <f t="shared" si="189"/>
        <v>0</v>
      </c>
      <c r="AK758" s="2">
        <f t="shared" si="190"/>
        <v>0</v>
      </c>
      <c r="AL758" s="2">
        <f t="shared" si="191"/>
        <v>0</v>
      </c>
      <c r="AM758" s="115"/>
      <c r="AN758" s="115"/>
      <c r="AO758" s="63"/>
    </row>
    <row r="759" spans="1:41" ht="43.2" x14ac:dyDescent="0.55000000000000004">
      <c r="A759" s="36">
        <v>4328</v>
      </c>
      <c r="B759" s="113" t="s">
        <v>2629</v>
      </c>
      <c r="C759" s="138" t="s">
        <v>2630</v>
      </c>
      <c r="D759" s="114" t="s">
        <v>52</v>
      </c>
      <c r="E759" s="115"/>
      <c r="F759" s="116"/>
      <c r="G759" s="113" t="s">
        <v>2615</v>
      </c>
      <c r="H759" s="113" t="s">
        <v>2627</v>
      </c>
      <c r="I759" s="113"/>
      <c r="J759" s="117" t="s">
        <v>2565</v>
      </c>
      <c r="K759" s="118"/>
      <c r="L759" s="109">
        <v>2</v>
      </c>
      <c r="M759" s="109">
        <v>3</v>
      </c>
      <c r="N759" s="109"/>
      <c r="O759" s="119"/>
      <c r="P759" s="2">
        <f t="shared" si="176"/>
        <v>1</v>
      </c>
      <c r="Q759" s="110" t="str">
        <f>IF(AND(Drops!$D$45&gt;1,OR(U759&lt;&gt;U758,AND(ROW()=5,U758=U759))),VLOOKUP(U759,Drops!$D$26:$E$44,2,FALSE),"")</f>
        <v/>
      </c>
      <c r="R759" s="2" t="str">
        <f t="shared" si="177"/>
        <v/>
      </c>
      <c r="S759" s="2">
        <f t="shared" ca="1" si="178"/>
        <v>1</v>
      </c>
      <c r="T759" s="2">
        <f t="shared" si="179"/>
        <v>0</v>
      </c>
      <c r="U759" s="110" t="s">
        <v>2560</v>
      </c>
      <c r="V759" s="110">
        <v>8</v>
      </c>
      <c r="W759" s="110">
        <v>1</v>
      </c>
      <c r="X759" s="110">
        <v>0</v>
      </c>
      <c r="Y759" s="110">
        <v>0</v>
      </c>
      <c r="Z759" s="110">
        <v>0</v>
      </c>
      <c r="AA759" s="2">
        <f t="shared" si="180"/>
        <v>1</v>
      </c>
      <c r="AB759" s="2">
        <f t="shared" si="181"/>
        <v>0</v>
      </c>
      <c r="AC759" s="2">
        <f t="shared" si="182"/>
        <v>1</v>
      </c>
      <c r="AD759" s="2">
        <f t="shared" si="183"/>
        <v>1</v>
      </c>
      <c r="AE759" s="2">
        <f t="shared" si="184"/>
        <v>3</v>
      </c>
      <c r="AF759" s="2">
        <f t="shared" si="185"/>
        <v>3</v>
      </c>
      <c r="AG759" s="2">
        <f t="shared" si="186"/>
        <v>3</v>
      </c>
      <c r="AH759" s="2">
        <f t="shared" si="187"/>
        <v>2</v>
      </c>
      <c r="AI759" s="2">
        <f t="shared" si="188"/>
        <v>2</v>
      </c>
      <c r="AJ759" s="2">
        <f t="shared" si="189"/>
        <v>0</v>
      </c>
      <c r="AK759" s="2">
        <f t="shared" si="190"/>
        <v>0</v>
      </c>
      <c r="AL759" s="2">
        <f t="shared" si="191"/>
        <v>0</v>
      </c>
      <c r="AM759" s="115"/>
      <c r="AN759" s="115"/>
      <c r="AO759" s="63"/>
    </row>
    <row r="760" spans="1:41" ht="43.2" x14ac:dyDescent="0.55000000000000004">
      <c r="A760" s="36">
        <v>4914</v>
      </c>
      <c r="B760" s="113" t="s">
        <v>380</v>
      </c>
      <c r="C760" s="113" t="s">
        <v>2631</v>
      </c>
      <c r="D760" s="114" t="s">
        <v>52</v>
      </c>
      <c r="E760" s="115"/>
      <c r="F760" s="116"/>
      <c r="G760" s="113" t="s">
        <v>2632</v>
      </c>
      <c r="H760" s="113" t="s">
        <v>2633</v>
      </c>
      <c r="I760" s="113"/>
      <c r="J760" s="117" t="s">
        <v>2634</v>
      </c>
      <c r="K760" s="118"/>
      <c r="L760" s="109">
        <v>1</v>
      </c>
      <c r="M760" s="109">
        <v>2</v>
      </c>
      <c r="N760" s="109"/>
      <c r="O760" s="119"/>
      <c r="P760" s="2">
        <f t="shared" si="176"/>
        <v>1</v>
      </c>
      <c r="Q760" s="110" t="str">
        <f>IF(AND(Drops!$D$45&gt;1,OR(U760&lt;&gt;U759,AND(ROW()=5,U759=U760))),VLOOKUP(U760,Drops!$D$26:$E$44,2,FALSE),"")</f>
        <v/>
      </c>
      <c r="R760" s="2" t="str">
        <f t="shared" si="177"/>
        <v/>
      </c>
      <c r="S760" s="2">
        <f t="shared" ca="1" si="178"/>
        <v>1</v>
      </c>
      <c r="T760" s="2">
        <f t="shared" si="179"/>
        <v>1</v>
      </c>
      <c r="U760" s="110" t="s">
        <v>2560</v>
      </c>
      <c r="V760" s="110">
        <v>9</v>
      </c>
      <c r="W760" s="110">
        <v>0</v>
      </c>
      <c r="X760" s="110">
        <v>0</v>
      </c>
      <c r="Y760" s="110">
        <v>0</v>
      </c>
      <c r="Z760" s="110">
        <v>0</v>
      </c>
      <c r="AA760" s="2">
        <f t="shared" si="180"/>
        <v>1</v>
      </c>
      <c r="AB760" s="2">
        <f t="shared" si="181"/>
        <v>1</v>
      </c>
      <c r="AC760" s="2">
        <f t="shared" si="182"/>
        <v>1</v>
      </c>
      <c r="AD760" s="2">
        <f t="shared" si="183"/>
        <v>0</v>
      </c>
      <c r="AE760" s="2">
        <f t="shared" si="184"/>
        <v>3</v>
      </c>
      <c r="AF760" s="2">
        <f t="shared" si="185"/>
        <v>3</v>
      </c>
      <c r="AG760" s="2">
        <f t="shared" si="186"/>
        <v>3</v>
      </c>
      <c r="AH760" s="2">
        <f t="shared" si="187"/>
        <v>2</v>
      </c>
      <c r="AI760" s="2">
        <f t="shared" si="188"/>
        <v>2</v>
      </c>
      <c r="AJ760" s="2">
        <f t="shared" si="189"/>
        <v>0</v>
      </c>
      <c r="AK760" s="2">
        <f t="shared" si="190"/>
        <v>0</v>
      </c>
      <c r="AL760" s="2">
        <f t="shared" si="191"/>
        <v>0</v>
      </c>
      <c r="AM760" s="115"/>
      <c r="AN760" s="115"/>
      <c r="AO760" s="63"/>
    </row>
    <row r="761" spans="1:41" ht="43.2" x14ac:dyDescent="0.55000000000000004">
      <c r="A761" s="36">
        <v>3541</v>
      </c>
      <c r="B761" s="113" t="s">
        <v>2635</v>
      </c>
      <c r="C761" s="138" t="s">
        <v>2636</v>
      </c>
      <c r="D761" s="114" t="s">
        <v>52</v>
      </c>
      <c r="E761" s="115"/>
      <c r="F761" s="116"/>
      <c r="G761" s="113" t="s">
        <v>2632</v>
      </c>
      <c r="H761" s="113" t="s">
        <v>2633</v>
      </c>
      <c r="I761" s="113" t="s">
        <v>2617</v>
      </c>
      <c r="J761" s="117" t="s">
        <v>2445</v>
      </c>
      <c r="K761" s="118"/>
      <c r="L761" s="109">
        <v>2</v>
      </c>
      <c r="M761" s="109">
        <v>3</v>
      </c>
      <c r="N761" s="109"/>
      <c r="O761" s="119"/>
      <c r="P761" s="2">
        <f t="shared" si="176"/>
        <v>1</v>
      </c>
      <c r="Q761" s="110" t="str">
        <f>IF(AND(Drops!$D$45&gt;1,OR(U761&lt;&gt;U760,AND(ROW()=5,U760=U761))),VLOOKUP(U761,Drops!$D$26:$E$44,2,FALSE),"")</f>
        <v/>
      </c>
      <c r="R761" s="2" t="str">
        <f t="shared" si="177"/>
        <v/>
      </c>
      <c r="S761" s="2">
        <f t="shared" ca="1" si="178"/>
        <v>1</v>
      </c>
      <c r="T761" s="2">
        <f t="shared" si="179"/>
        <v>0</v>
      </c>
      <c r="U761" s="110" t="s">
        <v>2560</v>
      </c>
      <c r="V761" s="110">
        <v>9</v>
      </c>
      <c r="W761" s="110">
        <v>1</v>
      </c>
      <c r="X761" s="110">
        <v>0</v>
      </c>
      <c r="Y761" s="110">
        <v>0</v>
      </c>
      <c r="Z761" s="110">
        <v>0</v>
      </c>
      <c r="AA761" s="2">
        <f t="shared" si="180"/>
        <v>1</v>
      </c>
      <c r="AB761" s="2">
        <f t="shared" si="181"/>
        <v>0</v>
      </c>
      <c r="AC761" s="2">
        <f t="shared" si="182"/>
        <v>1</v>
      </c>
      <c r="AD761" s="2">
        <f t="shared" si="183"/>
        <v>1</v>
      </c>
      <c r="AE761" s="2">
        <f t="shared" si="184"/>
        <v>3</v>
      </c>
      <c r="AF761" s="2">
        <f t="shared" si="185"/>
        <v>3</v>
      </c>
      <c r="AG761" s="2">
        <f t="shared" si="186"/>
        <v>3</v>
      </c>
      <c r="AH761" s="2">
        <f t="shared" si="187"/>
        <v>2</v>
      </c>
      <c r="AI761" s="2">
        <f t="shared" si="188"/>
        <v>2</v>
      </c>
      <c r="AJ761" s="2">
        <f t="shared" si="189"/>
        <v>0</v>
      </c>
      <c r="AK761" s="2">
        <f t="shared" si="190"/>
        <v>0</v>
      </c>
      <c r="AL761" s="2">
        <f t="shared" si="191"/>
        <v>0</v>
      </c>
      <c r="AM761" s="115"/>
      <c r="AN761" s="115"/>
      <c r="AO761" s="63"/>
    </row>
    <row r="762" spans="1:41" ht="43.2" x14ac:dyDescent="0.55000000000000004">
      <c r="A762" s="36">
        <v>4915</v>
      </c>
      <c r="B762" s="113" t="s">
        <v>2637</v>
      </c>
      <c r="C762" s="138" t="s">
        <v>2638</v>
      </c>
      <c r="D762" s="114" t="s">
        <v>52</v>
      </c>
      <c r="E762" s="115"/>
      <c r="F762" s="116"/>
      <c r="G762" s="113" t="s">
        <v>2615</v>
      </c>
      <c r="H762" s="113" t="s">
        <v>2633</v>
      </c>
      <c r="I762" s="113" t="s">
        <v>1399</v>
      </c>
      <c r="J762" s="117" t="s">
        <v>2445</v>
      </c>
      <c r="K762" s="118"/>
      <c r="L762" s="109">
        <v>2</v>
      </c>
      <c r="M762" s="109">
        <v>2</v>
      </c>
      <c r="N762" s="109"/>
      <c r="O762" s="119"/>
      <c r="P762" s="2">
        <f t="shared" si="176"/>
        <v>1</v>
      </c>
      <c r="Q762" s="110" t="str">
        <f>IF(AND(Drops!$D$45&gt;1,OR(U762&lt;&gt;U761,AND(ROW()=5,U761=U762))),VLOOKUP(U762,Drops!$D$26:$E$44,2,FALSE),"")</f>
        <v/>
      </c>
      <c r="R762" s="2" t="str">
        <f t="shared" si="177"/>
        <v/>
      </c>
      <c r="S762" s="2">
        <f t="shared" ca="1" si="178"/>
        <v>1</v>
      </c>
      <c r="T762" s="2">
        <f t="shared" si="179"/>
        <v>0</v>
      </c>
      <c r="U762" s="110" t="s">
        <v>2560</v>
      </c>
      <c r="V762" s="110">
        <v>9</v>
      </c>
      <c r="W762" s="110">
        <v>2</v>
      </c>
      <c r="X762" s="110">
        <v>0</v>
      </c>
      <c r="Y762" s="110">
        <v>0</v>
      </c>
      <c r="Z762" s="110">
        <v>0</v>
      </c>
      <c r="AA762" s="2">
        <f t="shared" si="180"/>
        <v>1</v>
      </c>
      <c r="AB762" s="2">
        <f t="shared" si="181"/>
        <v>0</v>
      </c>
      <c r="AC762" s="2">
        <f t="shared" si="182"/>
        <v>1</v>
      </c>
      <c r="AD762" s="2">
        <f t="shared" si="183"/>
        <v>1</v>
      </c>
      <c r="AE762" s="2">
        <f t="shared" si="184"/>
        <v>3</v>
      </c>
      <c r="AF762" s="2">
        <f t="shared" si="185"/>
        <v>3</v>
      </c>
      <c r="AG762" s="2">
        <f t="shared" si="186"/>
        <v>3</v>
      </c>
      <c r="AH762" s="2">
        <f t="shared" si="187"/>
        <v>2</v>
      </c>
      <c r="AI762" s="2">
        <f t="shared" si="188"/>
        <v>2</v>
      </c>
      <c r="AJ762" s="2">
        <f t="shared" si="189"/>
        <v>0</v>
      </c>
      <c r="AK762" s="2">
        <f t="shared" si="190"/>
        <v>0</v>
      </c>
      <c r="AL762" s="2">
        <f t="shared" si="191"/>
        <v>0</v>
      </c>
      <c r="AM762" s="115"/>
      <c r="AN762" s="115"/>
      <c r="AO762" s="63"/>
    </row>
    <row r="763" spans="1:41" ht="43.2" x14ac:dyDescent="0.55000000000000004">
      <c r="A763" s="36">
        <v>4917</v>
      </c>
      <c r="B763" s="113" t="s">
        <v>382</v>
      </c>
      <c r="C763" s="113" t="s">
        <v>2639</v>
      </c>
      <c r="D763" s="114" t="s">
        <v>48</v>
      </c>
      <c r="E763" s="115" t="s">
        <v>2640</v>
      </c>
      <c r="F763" s="116"/>
      <c r="G763" s="113" t="s">
        <v>2632</v>
      </c>
      <c r="H763" s="113" t="s">
        <v>2641</v>
      </c>
      <c r="I763" s="113"/>
      <c r="J763" s="117" t="s">
        <v>2559</v>
      </c>
      <c r="K763" s="118"/>
      <c r="L763" s="109">
        <v>1</v>
      </c>
      <c r="M763" s="109">
        <v>1</v>
      </c>
      <c r="N763" s="109"/>
      <c r="O763" s="119"/>
      <c r="P763" s="2">
        <f t="shared" si="176"/>
        <v>3</v>
      </c>
      <c r="Q763" s="110" t="str">
        <f>IF(AND(Drops!$D$45&gt;1,OR(U763&lt;&gt;U762,AND(ROW()=5,U762=U763))),VLOOKUP(U763,Drops!$D$26:$E$44,2,FALSE),"")</f>
        <v/>
      </c>
      <c r="R763" s="2" t="str">
        <f t="shared" si="177"/>
        <v/>
      </c>
      <c r="S763" s="2">
        <f t="shared" ca="1" si="178"/>
        <v>3</v>
      </c>
      <c r="T763" s="2">
        <f t="shared" si="179"/>
        <v>1</v>
      </c>
      <c r="U763" s="110" t="s">
        <v>2560</v>
      </c>
      <c r="V763" s="110">
        <v>10</v>
      </c>
      <c r="W763" s="110">
        <v>0</v>
      </c>
      <c r="X763" s="110">
        <v>0</v>
      </c>
      <c r="Y763" s="110">
        <v>0</v>
      </c>
      <c r="Z763" s="110">
        <v>0</v>
      </c>
      <c r="AA763" s="2">
        <f t="shared" si="180"/>
        <v>1</v>
      </c>
      <c r="AB763" s="2">
        <f t="shared" si="181"/>
        <v>1</v>
      </c>
      <c r="AC763" s="2">
        <f t="shared" si="182"/>
        <v>3</v>
      </c>
      <c r="AD763" s="2">
        <f t="shared" si="183"/>
        <v>3</v>
      </c>
      <c r="AE763" s="2">
        <f t="shared" si="184"/>
        <v>3</v>
      </c>
      <c r="AF763" s="2">
        <f t="shared" si="185"/>
        <v>3</v>
      </c>
      <c r="AG763" s="2">
        <f t="shared" si="186"/>
        <v>3</v>
      </c>
      <c r="AH763" s="2">
        <f t="shared" si="187"/>
        <v>1</v>
      </c>
      <c r="AI763" s="2">
        <f t="shared" si="188"/>
        <v>2</v>
      </c>
      <c r="AJ763" s="2">
        <f t="shared" si="189"/>
        <v>0</v>
      </c>
      <c r="AK763" s="2">
        <f t="shared" si="190"/>
        <v>0</v>
      </c>
      <c r="AL763" s="2">
        <f t="shared" si="191"/>
        <v>0</v>
      </c>
      <c r="AM763" s="115"/>
      <c r="AN763" s="115"/>
      <c r="AO763" s="63"/>
    </row>
    <row r="764" spans="1:41" ht="43.2" hidden="1" x14ac:dyDescent="0.55000000000000004">
      <c r="A764" s="36">
        <v>4918</v>
      </c>
      <c r="B764" s="113" t="s">
        <v>2642</v>
      </c>
      <c r="C764" s="138" t="s">
        <v>2643</v>
      </c>
      <c r="D764" s="114"/>
      <c r="E764" s="115"/>
      <c r="F764" s="116"/>
      <c r="G764" s="113" t="s">
        <v>2632</v>
      </c>
      <c r="H764" s="113" t="s">
        <v>2641</v>
      </c>
      <c r="I764" s="113"/>
      <c r="J764" s="117"/>
      <c r="K764" s="118"/>
      <c r="L764" s="109">
        <v>2</v>
      </c>
      <c r="M764" s="109">
        <v>2</v>
      </c>
      <c r="N764" s="109"/>
      <c r="O764" s="119"/>
      <c r="P764" s="2">
        <f t="shared" si="176"/>
        <v>0</v>
      </c>
      <c r="Q764" s="110" t="str">
        <f>IF(AND(Drops!$D$45&gt;1,OR(U764&lt;&gt;U763,AND(ROW()=5,U763=U764))),VLOOKUP(U764,Drops!$D$26:$E$44,2,FALSE),"")</f>
        <v/>
      </c>
      <c r="R764" s="2" t="str">
        <f t="shared" si="177"/>
        <v/>
      </c>
      <c r="S764" s="2">
        <f t="shared" ca="1" si="178"/>
        <v>3</v>
      </c>
      <c r="T764" s="2">
        <f t="shared" si="179"/>
        <v>0</v>
      </c>
      <c r="U764" s="110" t="s">
        <v>2560</v>
      </c>
      <c r="V764" s="110">
        <v>10</v>
      </c>
      <c r="W764" s="110">
        <v>1</v>
      </c>
      <c r="X764" s="110">
        <v>0</v>
      </c>
      <c r="Y764" s="110">
        <v>0</v>
      </c>
      <c r="Z764" s="110">
        <v>0</v>
      </c>
      <c r="AA764" s="2">
        <f t="shared" si="180"/>
        <v>0</v>
      </c>
      <c r="AB764" s="2">
        <f t="shared" si="181"/>
        <v>0</v>
      </c>
      <c r="AC764" s="2">
        <f t="shared" si="182"/>
        <v>3</v>
      </c>
      <c r="AD764" s="2">
        <f t="shared" si="183"/>
        <v>3</v>
      </c>
      <c r="AE764" s="2">
        <f t="shared" si="184"/>
        <v>3</v>
      </c>
      <c r="AF764" s="2">
        <f t="shared" si="185"/>
        <v>3</v>
      </c>
      <c r="AG764" s="2">
        <f t="shared" si="186"/>
        <v>3</v>
      </c>
      <c r="AH764" s="2">
        <f t="shared" si="187"/>
        <v>0</v>
      </c>
      <c r="AI764" s="2">
        <f t="shared" si="188"/>
        <v>1</v>
      </c>
      <c r="AJ764" s="2">
        <f t="shared" si="189"/>
        <v>0</v>
      </c>
      <c r="AK764" s="2">
        <f t="shared" si="190"/>
        <v>0</v>
      </c>
      <c r="AL764" s="2">
        <f t="shared" si="191"/>
        <v>0</v>
      </c>
      <c r="AM764" s="115"/>
      <c r="AN764" s="115"/>
      <c r="AO764" s="63"/>
    </row>
    <row r="765" spans="1:41" ht="43.2" hidden="1" x14ac:dyDescent="0.55000000000000004">
      <c r="A765" s="36">
        <v>4919</v>
      </c>
      <c r="B765" s="113" t="s">
        <v>2644</v>
      </c>
      <c r="C765" s="138" t="s">
        <v>2645</v>
      </c>
      <c r="D765" s="114"/>
      <c r="E765" s="115"/>
      <c r="F765" s="116"/>
      <c r="G765" s="113" t="s">
        <v>2632</v>
      </c>
      <c r="H765" s="113" t="s">
        <v>2641</v>
      </c>
      <c r="I765" s="113"/>
      <c r="J765" s="117"/>
      <c r="K765" s="118"/>
      <c r="L765" s="109">
        <v>2</v>
      </c>
      <c r="M765" s="109">
        <v>2</v>
      </c>
      <c r="N765" s="109"/>
      <c r="O765" s="119"/>
      <c r="P765" s="2">
        <f t="shared" si="176"/>
        <v>0</v>
      </c>
      <c r="Q765" s="110" t="str">
        <f>IF(AND(Drops!$D$45&gt;1,OR(U765&lt;&gt;U764,AND(ROW()=5,U764=U765))),VLOOKUP(U765,Drops!$D$26:$E$44,2,FALSE),"")</f>
        <v/>
      </c>
      <c r="R765" s="2" t="str">
        <f t="shared" si="177"/>
        <v/>
      </c>
      <c r="S765" s="2">
        <f t="shared" ca="1" si="178"/>
        <v>3</v>
      </c>
      <c r="T765" s="2">
        <f t="shared" si="179"/>
        <v>0</v>
      </c>
      <c r="U765" s="110" t="s">
        <v>2560</v>
      </c>
      <c r="V765" s="110">
        <v>10</v>
      </c>
      <c r="W765" s="110">
        <v>2</v>
      </c>
      <c r="X765" s="110">
        <v>0</v>
      </c>
      <c r="Y765" s="110">
        <v>0</v>
      </c>
      <c r="Z765" s="110">
        <v>0</v>
      </c>
      <c r="AA765" s="2">
        <f t="shared" si="180"/>
        <v>0</v>
      </c>
      <c r="AB765" s="2">
        <f t="shared" si="181"/>
        <v>0</v>
      </c>
      <c r="AC765" s="2">
        <f t="shared" si="182"/>
        <v>3</v>
      </c>
      <c r="AD765" s="2">
        <f t="shared" si="183"/>
        <v>3</v>
      </c>
      <c r="AE765" s="2">
        <f t="shared" si="184"/>
        <v>3</v>
      </c>
      <c r="AF765" s="2">
        <f t="shared" si="185"/>
        <v>3</v>
      </c>
      <c r="AG765" s="2">
        <f t="shared" si="186"/>
        <v>3</v>
      </c>
      <c r="AH765" s="2">
        <f t="shared" si="187"/>
        <v>0</v>
      </c>
      <c r="AI765" s="2">
        <f t="shared" si="188"/>
        <v>1</v>
      </c>
      <c r="AJ765" s="2">
        <f t="shared" si="189"/>
        <v>0</v>
      </c>
      <c r="AK765" s="2">
        <f t="shared" si="190"/>
        <v>0</v>
      </c>
      <c r="AL765" s="2">
        <f t="shared" si="191"/>
        <v>0</v>
      </c>
      <c r="AM765" s="115"/>
      <c r="AN765" s="115"/>
      <c r="AO765" s="63"/>
    </row>
    <row r="766" spans="1:41" ht="43.2" hidden="1" x14ac:dyDescent="0.55000000000000004">
      <c r="A766" s="36">
        <v>4920</v>
      </c>
      <c r="B766" s="113" t="s">
        <v>2646</v>
      </c>
      <c r="C766" s="138" t="s">
        <v>2647</v>
      </c>
      <c r="D766" s="114"/>
      <c r="E766" s="115"/>
      <c r="F766" s="116"/>
      <c r="G766" s="113" t="s">
        <v>2632</v>
      </c>
      <c r="H766" s="113" t="s">
        <v>2641</v>
      </c>
      <c r="I766" s="113"/>
      <c r="J766" s="117"/>
      <c r="K766" s="118"/>
      <c r="L766" s="109">
        <v>2</v>
      </c>
      <c r="M766" s="109">
        <v>2</v>
      </c>
      <c r="N766" s="109"/>
      <c r="O766" s="119"/>
      <c r="P766" s="2">
        <f t="shared" si="176"/>
        <v>0</v>
      </c>
      <c r="Q766" s="110" t="str">
        <f>IF(AND(Drops!$D$45&gt;1,OR(U766&lt;&gt;U765,AND(ROW()=5,U765=U766))),VLOOKUP(U766,Drops!$D$26:$E$44,2,FALSE),"")</f>
        <v/>
      </c>
      <c r="R766" s="2" t="str">
        <f t="shared" si="177"/>
        <v/>
      </c>
      <c r="S766" s="2">
        <f t="shared" ca="1" si="178"/>
        <v>3</v>
      </c>
      <c r="T766" s="2">
        <f t="shared" si="179"/>
        <v>0</v>
      </c>
      <c r="U766" s="110" t="s">
        <v>2560</v>
      </c>
      <c r="V766" s="110">
        <v>10</v>
      </c>
      <c r="W766" s="110">
        <v>3</v>
      </c>
      <c r="X766" s="110">
        <v>0</v>
      </c>
      <c r="Y766" s="110">
        <v>0</v>
      </c>
      <c r="Z766" s="110">
        <v>0</v>
      </c>
      <c r="AA766" s="2">
        <f t="shared" si="180"/>
        <v>0</v>
      </c>
      <c r="AB766" s="2">
        <f t="shared" si="181"/>
        <v>0</v>
      </c>
      <c r="AC766" s="2">
        <f t="shared" si="182"/>
        <v>3</v>
      </c>
      <c r="AD766" s="2">
        <f t="shared" si="183"/>
        <v>3</v>
      </c>
      <c r="AE766" s="2">
        <f t="shared" si="184"/>
        <v>3</v>
      </c>
      <c r="AF766" s="2">
        <f t="shared" si="185"/>
        <v>3</v>
      </c>
      <c r="AG766" s="2">
        <f t="shared" si="186"/>
        <v>3</v>
      </c>
      <c r="AH766" s="2">
        <f t="shared" si="187"/>
        <v>0</v>
      </c>
      <c r="AI766" s="2">
        <f t="shared" si="188"/>
        <v>1</v>
      </c>
      <c r="AJ766" s="2">
        <f t="shared" si="189"/>
        <v>0</v>
      </c>
      <c r="AK766" s="2">
        <f t="shared" si="190"/>
        <v>0</v>
      </c>
      <c r="AL766" s="2">
        <f t="shared" si="191"/>
        <v>0</v>
      </c>
      <c r="AM766" s="115"/>
      <c r="AN766" s="115"/>
      <c r="AO766" s="63"/>
    </row>
    <row r="767" spans="1:41" ht="43.2" hidden="1" x14ac:dyDescent="0.55000000000000004">
      <c r="A767" s="36">
        <v>4921</v>
      </c>
      <c r="B767" s="113" t="s">
        <v>2648</v>
      </c>
      <c r="C767" s="138" t="s">
        <v>2649</v>
      </c>
      <c r="D767" s="114"/>
      <c r="E767" s="115"/>
      <c r="F767" s="116"/>
      <c r="G767" s="113" t="s">
        <v>2632</v>
      </c>
      <c r="H767" s="113" t="s">
        <v>2641</v>
      </c>
      <c r="I767" s="113"/>
      <c r="J767" s="117"/>
      <c r="K767" s="118"/>
      <c r="L767" s="109">
        <v>2</v>
      </c>
      <c r="M767" s="109">
        <v>3</v>
      </c>
      <c r="N767" s="109"/>
      <c r="O767" s="119"/>
      <c r="P767" s="2">
        <f t="shared" si="176"/>
        <v>0</v>
      </c>
      <c r="Q767" s="110" t="str">
        <f>IF(AND(Drops!$D$45&gt;1,OR(U767&lt;&gt;U766,AND(ROW()=5,U766=U767))),VLOOKUP(U767,Drops!$D$26:$E$44,2,FALSE),"")</f>
        <v/>
      </c>
      <c r="R767" s="2" t="str">
        <f t="shared" si="177"/>
        <v/>
      </c>
      <c r="S767" s="2">
        <f t="shared" ca="1" si="178"/>
        <v>3</v>
      </c>
      <c r="T767" s="2">
        <f t="shared" si="179"/>
        <v>0</v>
      </c>
      <c r="U767" s="110" t="s">
        <v>2560</v>
      </c>
      <c r="V767" s="110">
        <v>10</v>
      </c>
      <c r="W767" s="110">
        <v>4</v>
      </c>
      <c r="X767" s="110">
        <v>0</v>
      </c>
      <c r="Y767" s="110">
        <v>0</v>
      </c>
      <c r="Z767" s="110">
        <v>0</v>
      </c>
      <c r="AA767" s="2">
        <f t="shared" si="180"/>
        <v>0</v>
      </c>
      <c r="AB767" s="2">
        <f t="shared" si="181"/>
        <v>0</v>
      </c>
      <c r="AC767" s="2">
        <f t="shared" si="182"/>
        <v>3</v>
      </c>
      <c r="AD767" s="2">
        <f t="shared" si="183"/>
        <v>3</v>
      </c>
      <c r="AE767" s="2">
        <f t="shared" si="184"/>
        <v>3</v>
      </c>
      <c r="AF767" s="2">
        <f t="shared" si="185"/>
        <v>3</v>
      </c>
      <c r="AG767" s="2">
        <f t="shared" si="186"/>
        <v>3</v>
      </c>
      <c r="AH767" s="2">
        <f t="shared" si="187"/>
        <v>0</v>
      </c>
      <c r="AI767" s="2">
        <f t="shared" si="188"/>
        <v>1</v>
      </c>
      <c r="AJ767" s="2">
        <f t="shared" si="189"/>
        <v>0</v>
      </c>
      <c r="AK767" s="2">
        <f t="shared" si="190"/>
        <v>0</v>
      </c>
      <c r="AL767" s="2">
        <f t="shared" si="191"/>
        <v>0</v>
      </c>
      <c r="AM767" s="115"/>
      <c r="AN767" s="115"/>
      <c r="AO767" s="63"/>
    </row>
    <row r="768" spans="1:41" ht="43.2" hidden="1" x14ac:dyDescent="0.55000000000000004">
      <c r="A768" s="36">
        <v>4922</v>
      </c>
      <c r="B768" s="113" t="s">
        <v>2650</v>
      </c>
      <c r="C768" s="138" t="s">
        <v>2651</v>
      </c>
      <c r="D768" s="114"/>
      <c r="E768" s="115"/>
      <c r="F768" s="116"/>
      <c r="G768" s="113" t="s">
        <v>2632</v>
      </c>
      <c r="H768" s="113" t="s">
        <v>2641</v>
      </c>
      <c r="I768" s="113"/>
      <c r="J768" s="117"/>
      <c r="K768" s="118"/>
      <c r="L768" s="109">
        <v>2</v>
      </c>
      <c r="M768" s="109">
        <v>3</v>
      </c>
      <c r="N768" s="109"/>
      <c r="O768" s="119"/>
      <c r="P768" s="2">
        <f t="shared" si="176"/>
        <v>0</v>
      </c>
      <c r="Q768" s="110" t="str">
        <f>IF(AND(Drops!$D$45&gt;1,OR(U768&lt;&gt;U767,AND(ROW()=5,U767=U768))),VLOOKUP(U768,Drops!$D$26:$E$44,2,FALSE),"")</f>
        <v/>
      </c>
      <c r="R768" s="2" t="str">
        <f t="shared" si="177"/>
        <v/>
      </c>
      <c r="S768" s="2">
        <f t="shared" ca="1" si="178"/>
        <v>3</v>
      </c>
      <c r="T768" s="2">
        <f t="shared" si="179"/>
        <v>0</v>
      </c>
      <c r="U768" s="110" t="s">
        <v>2560</v>
      </c>
      <c r="V768" s="110">
        <v>10</v>
      </c>
      <c r="W768" s="110">
        <v>5</v>
      </c>
      <c r="X768" s="110">
        <v>0</v>
      </c>
      <c r="Y768" s="110">
        <v>0</v>
      </c>
      <c r="Z768" s="110">
        <v>0</v>
      </c>
      <c r="AA768" s="2">
        <f t="shared" si="180"/>
        <v>0</v>
      </c>
      <c r="AB768" s="2">
        <f t="shared" si="181"/>
        <v>0</v>
      </c>
      <c r="AC768" s="2">
        <f t="shared" si="182"/>
        <v>3</v>
      </c>
      <c r="AD768" s="2">
        <f t="shared" si="183"/>
        <v>3</v>
      </c>
      <c r="AE768" s="2">
        <f t="shared" si="184"/>
        <v>3</v>
      </c>
      <c r="AF768" s="2">
        <f t="shared" si="185"/>
        <v>3</v>
      </c>
      <c r="AG768" s="2">
        <f t="shared" si="186"/>
        <v>3</v>
      </c>
      <c r="AH768" s="2">
        <f t="shared" si="187"/>
        <v>0</v>
      </c>
      <c r="AI768" s="2">
        <f t="shared" si="188"/>
        <v>1</v>
      </c>
      <c r="AJ768" s="2">
        <f t="shared" si="189"/>
        <v>0</v>
      </c>
      <c r="AK768" s="2">
        <f t="shared" si="190"/>
        <v>0</v>
      </c>
      <c r="AL768" s="2">
        <f t="shared" si="191"/>
        <v>0</v>
      </c>
      <c r="AM768" s="115"/>
      <c r="AN768" s="115"/>
      <c r="AO768" s="63"/>
    </row>
    <row r="769" spans="1:41" ht="43.2" x14ac:dyDescent="0.55000000000000004">
      <c r="A769" s="36">
        <v>1068</v>
      </c>
      <c r="B769" s="113" t="s">
        <v>384</v>
      </c>
      <c r="C769" s="113" t="s">
        <v>2652</v>
      </c>
      <c r="D769" s="114" t="s">
        <v>52</v>
      </c>
      <c r="E769" s="115"/>
      <c r="F769" s="116"/>
      <c r="G769" s="113" t="s">
        <v>2653</v>
      </c>
      <c r="H769" s="113" t="s">
        <v>2654</v>
      </c>
      <c r="I769" s="113"/>
      <c r="J769" s="117"/>
      <c r="K769" s="118"/>
      <c r="L769" s="109">
        <v>1</v>
      </c>
      <c r="M769" s="109">
        <v>2</v>
      </c>
      <c r="N769" s="109"/>
      <c r="O769" s="119"/>
      <c r="P769" s="2">
        <f t="shared" si="176"/>
        <v>1</v>
      </c>
      <c r="Q769" s="110" t="str">
        <f>IF(AND(Drops!$D$45&gt;1,OR(U769&lt;&gt;U768,AND(ROW()=5,U768=U769))),VLOOKUP(U769,Drops!$D$26:$E$44,2,FALSE),"")</f>
        <v/>
      </c>
      <c r="R769" s="2" t="str">
        <f t="shared" si="177"/>
        <v/>
      </c>
      <c r="S769" s="2">
        <f t="shared" ca="1" si="178"/>
        <v>1</v>
      </c>
      <c r="T769" s="2">
        <f t="shared" si="179"/>
        <v>1</v>
      </c>
      <c r="U769" s="110" t="s">
        <v>2560</v>
      </c>
      <c r="V769" s="110">
        <v>11</v>
      </c>
      <c r="W769" s="110">
        <v>0</v>
      </c>
      <c r="X769" s="110">
        <v>0</v>
      </c>
      <c r="Y769" s="110">
        <v>0</v>
      </c>
      <c r="Z769" s="110">
        <v>0</v>
      </c>
      <c r="AA769" s="2">
        <f t="shared" si="180"/>
        <v>1</v>
      </c>
      <c r="AB769" s="2">
        <f t="shared" si="181"/>
        <v>1</v>
      </c>
      <c r="AC769" s="2">
        <f t="shared" si="182"/>
        <v>1</v>
      </c>
      <c r="AD769" s="2">
        <f t="shared" si="183"/>
        <v>0</v>
      </c>
      <c r="AE769" s="2">
        <f t="shared" si="184"/>
        <v>3</v>
      </c>
      <c r="AF769" s="2">
        <f t="shared" si="185"/>
        <v>3</v>
      </c>
      <c r="AG769" s="2">
        <f t="shared" si="186"/>
        <v>3</v>
      </c>
      <c r="AH769" s="2">
        <f t="shared" si="187"/>
        <v>2</v>
      </c>
      <c r="AI769" s="2">
        <f t="shared" si="188"/>
        <v>0</v>
      </c>
      <c r="AJ769" s="2">
        <f t="shared" si="189"/>
        <v>0</v>
      </c>
      <c r="AK769" s="2">
        <f t="shared" si="190"/>
        <v>0</v>
      </c>
      <c r="AL769" s="2">
        <f t="shared" si="191"/>
        <v>0</v>
      </c>
      <c r="AM769" s="115"/>
      <c r="AN769" s="115"/>
      <c r="AO769" s="63"/>
    </row>
    <row r="770" spans="1:41" ht="43.2" x14ac:dyDescent="0.55000000000000004">
      <c r="A770" s="36">
        <v>1076</v>
      </c>
      <c r="B770" s="113" t="s">
        <v>2655</v>
      </c>
      <c r="C770" s="138" t="s">
        <v>2656</v>
      </c>
      <c r="D770" s="114" t="s">
        <v>52</v>
      </c>
      <c r="E770" s="115"/>
      <c r="F770" s="116"/>
      <c r="G770" s="113" t="s">
        <v>2653</v>
      </c>
      <c r="H770" s="113" t="s">
        <v>2654</v>
      </c>
      <c r="I770" s="113"/>
      <c r="J770" s="117"/>
      <c r="K770" s="118"/>
      <c r="L770" s="109">
        <v>2</v>
      </c>
      <c r="M770" s="109">
        <v>3</v>
      </c>
      <c r="N770" s="109"/>
      <c r="O770" s="119"/>
      <c r="P770" s="2">
        <f t="shared" si="176"/>
        <v>1</v>
      </c>
      <c r="Q770" s="110" t="str">
        <f>IF(AND(Drops!$D$45&gt;1,OR(U770&lt;&gt;U769,AND(ROW()=5,U769=U770))),VLOOKUP(U770,Drops!$D$26:$E$44,2,FALSE),"")</f>
        <v/>
      </c>
      <c r="R770" s="2" t="str">
        <f t="shared" si="177"/>
        <v/>
      </c>
      <c r="S770" s="2">
        <f t="shared" ca="1" si="178"/>
        <v>1</v>
      </c>
      <c r="T770" s="2">
        <f t="shared" si="179"/>
        <v>0</v>
      </c>
      <c r="U770" s="110" t="s">
        <v>2560</v>
      </c>
      <c r="V770" s="110">
        <v>11</v>
      </c>
      <c r="W770" s="110">
        <v>3</v>
      </c>
      <c r="X770" s="110">
        <v>0</v>
      </c>
      <c r="Y770" s="110">
        <v>0</v>
      </c>
      <c r="Z770" s="110">
        <v>0</v>
      </c>
      <c r="AA770" s="2">
        <f t="shared" si="180"/>
        <v>1</v>
      </c>
      <c r="AB770" s="2">
        <f t="shared" si="181"/>
        <v>0</v>
      </c>
      <c r="AC770" s="2">
        <f t="shared" si="182"/>
        <v>1</v>
      </c>
      <c r="AD770" s="2">
        <f t="shared" si="183"/>
        <v>1</v>
      </c>
      <c r="AE770" s="2">
        <f t="shared" si="184"/>
        <v>3</v>
      </c>
      <c r="AF770" s="2">
        <f t="shared" si="185"/>
        <v>3</v>
      </c>
      <c r="AG770" s="2">
        <f t="shared" si="186"/>
        <v>3</v>
      </c>
      <c r="AH770" s="2">
        <f t="shared" si="187"/>
        <v>2</v>
      </c>
      <c r="AI770" s="2">
        <f t="shared" si="188"/>
        <v>2</v>
      </c>
      <c r="AJ770" s="2">
        <f t="shared" si="189"/>
        <v>0</v>
      </c>
      <c r="AK770" s="2">
        <f t="shared" si="190"/>
        <v>0</v>
      </c>
      <c r="AL770" s="2">
        <f t="shared" si="191"/>
        <v>0</v>
      </c>
      <c r="AM770" s="115"/>
      <c r="AN770" s="115"/>
      <c r="AO770" s="63"/>
    </row>
    <row r="771" spans="1:41" ht="43.2" x14ac:dyDescent="0.55000000000000004">
      <c r="A771" s="36">
        <v>1077</v>
      </c>
      <c r="B771" s="113" t="s">
        <v>2657</v>
      </c>
      <c r="C771" s="138" t="s">
        <v>2658</v>
      </c>
      <c r="D771" s="114" t="s">
        <v>52</v>
      </c>
      <c r="E771" s="115"/>
      <c r="F771" s="116"/>
      <c r="G771" s="113" t="s">
        <v>2653</v>
      </c>
      <c r="H771" s="113" t="s">
        <v>2654</v>
      </c>
      <c r="I771" s="113" t="s">
        <v>2659</v>
      </c>
      <c r="J771" s="117"/>
      <c r="K771" s="118"/>
      <c r="L771" s="109">
        <v>2</v>
      </c>
      <c r="M771" s="109">
        <v>3</v>
      </c>
      <c r="N771" s="109"/>
      <c r="O771" s="119"/>
      <c r="P771" s="2">
        <f t="shared" si="176"/>
        <v>1</v>
      </c>
      <c r="Q771" s="110" t="str">
        <f>IF(AND(Drops!$D$45&gt;1,OR(U771&lt;&gt;U770,AND(ROW()=5,U770=U771))),VLOOKUP(U771,Drops!$D$26:$E$44,2,FALSE),"")</f>
        <v/>
      </c>
      <c r="R771" s="2" t="str">
        <f t="shared" si="177"/>
        <v/>
      </c>
      <c r="S771" s="2">
        <f t="shared" ca="1" si="178"/>
        <v>1</v>
      </c>
      <c r="T771" s="2">
        <f t="shared" si="179"/>
        <v>0</v>
      </c>
      <c r="U771" s="110" t="s">
        <v>2560</v>
      </c>
      <c r="V771" s="110">
        <v>11</v>
      </c>
      <c r="W771" s="110">
        <v>5</v>
      </c>
      <c r="X771" s="110">
        <v>0</v>
      </c>
      <c r="Y771" s="110">
        <v>0</v>
      </c>
      <c r="Z771" s="110">
        <v>0</v>
      </c>
      <c r="AA771" s="2">
        <f t="shared" si="180"/>
        <v>1</v>
      </c>
      <c r="AB771" s="2">
        <f t="shared" si="181"/>
        <v>0</v>
      </c>
      <c r="AC771" s="2">
        <f t="shared" si="182"/>
        <v>1</v>
      </c>
      <c r="AD771" s="2">
        <f t="shared" si="183"/>
        <v>1</v>
      </c>
      <c r="AE771" s="2">
        <f t="shared" si="184"/>
        <v>3</v>
      </c>
      <c r="AF771" s="2">
        <f t="shared" si="185"/>
        <v>3</v>
      </c>
      <c r="AG771" s="2">
        <f t="shared" si="186"/>
        <v>3</v>
      </c>
      <c r="AH771" s="2">
        <f t="shared" si="187"/>
        <v>2</v>
      </c>
      <c r="AI771" s="2">
        <f t="shared" si="188"/>
        <v>2</v>
      </c>
      <c r="AJ771" s="2">
        <f t="shared" si="189"/>
        <v>0</v>
      </c>
      <c r="AK771" s="2">
        <f t="shared" si="190"/>
        <v>0</v>
      </c>
      <c r="AL771" s="2">
        <f t="shared" si="191"/>
        <v>0</v>
      </c>
      <c r="AM771" s="115"/>
      <c r="AN771" s="115"/>
      <c r="AO771" s="63"/>
    </row>
    <row r="772" spans="1:41" ht="28.8" x14ac:dyDescent="0.55000000000000004">
      <c r="A772" s="36">
        <v>2614</v>
      </c>
      <c r="B772" s="113" t="s">
        <v>386</v>
      </c>
      <c r="C772" s="113" t="s">
        <v>2660</v>
      </c>
      <c r="D772" s="114" t="s">
        <v>52</v>
      </c>
      <c r="E772" s="115"/>
      <c r="F772" s="116"/>
      <c r="G772" s="113" t="s">
        <v>2653</v>
      </c>
      <c r="H772" s="113" t="s">
        <v>2661</v>
      </c>
      <c r="I772" s="113"/>
      <c r="J772" s="117"/>
      <c r="K772" s="118"/>
      <c r="L772" s="109">
        <v>1</v>
      </c>
      <c r="M772" s="109">
        <v>1</v>
      </c>
      <c r="N772" s="109"/>
      <c r="O772" s="119"/>
      <c r="P772" s="2">
        <f t="shared" si="176"/>
        <v>1</v>
      </c>
      <c r="Q772" s="110" t="str">
        <f>IF(AND(Drops!$D$45&gt;1,OR(U772&lt;&gt;U771,AND(ROW()=5,U771=U772))),VLOOKUP(U772,Drops!$D$26:$E$44,2,FALSE),"")</f>
        <v/>
      </c>
      <c r="R772" s="2" t="str">
        <f t="shared" si="177"/>
        <v/>
      </c>
      <c r="S772" s="2">
        <f t="shared" ca="1" si="178"/>
        <v>1</v>
      </c>
      <c r="T772" s="2">
        <f t="shared" si="179"/>
        <v>1</v>
      </c>
      <c r="U772" s="110" t="s">
        <v>2560</v>
      </c>
      <c r="V772" s="110">
        <v>12</v>
      </c>
      <c r="W772" s="110">
        <v>0</v>
      </c>
      <c r="X772" s="110">
        <v>0</v>
      </c>
      <c r="Y772" s="110">
        <v>0</v>
      </c>
      <c r="Z772" s="110">
        <v>0</v>
      </c>
      <c r="AA772" s="2">
        <f t="shared" si="180"/>
        <v>1</v>
      </c>
      <c r="AB772" s="2">
        <f t="shared" si="181"/>
        <v>1</v>
      </c>
      <c r="AC772" s="2">
        <f t="shared" si="182"/>
        <v>1</v>
      </c>
      <c r="AD772" s="2">
        <f t="shared" si="183"/>
        <v>0</v>
      </c>
      <c r="AE772" s="2">
        <f t="shared" si="184"/>
        <v>3</v>
      </c>
      <c r="AF772" s="2">
        <f t="shared" si="185"/>
        <v>3</v>
      </c>
      <c r="AG772" s="2">
        <f t="shared" si="186"/>
        <v>3</v>
      </c>
      <c r="AH772" s="2">
        <f t="shared" si="187"/>
        <v>2</v>
      </c>
      <c r="AI772" s="2">
        <f t="shared" si="188"/>
        <v>2</v>
      </c>
      <c r="AJ772" s="2">
        <f t="shared" si="189"/>
        <v>0</v>
      </c>
      <c r="AK772" s="2">
        <f t="shared" si="190"/>
        <v>0</v>
      </c>
      <c r="AL772" s="2">
        <f t="shared" si="191"/>
        <v>0</v>
      </c>
      <c r="AM772" s="115"/>
      <c r="AN772" s="115"/>
      <c r="AO772" s="63"/>
    </row>
    <row r="773" spans="1:41" ht="28.8" x14ac:dyDescent="0.55000000000000004">
      <c r="A773" s="36">
        <v>1049</v>
      </c>
      <c r="B773" s="113" t="s">
        <v>2662</v>
      </c>
      <c r="C773" s="138" t="s">
        <v>2663</v>
      </c>
      <c r="D773" s="114" t="s">
        <v>52</v>
      </c>
      <c r="E773" s="115"/>
      <c r="F773" s="116"/>
      <c r="G773" s="113" t="s">
        <v>2653</v>
      </c>
      <c r="H773" s="113" t="s">
        <v>2661</v>
      </c>
      <c r="I773" s="113"/>
      <c r="J773" s="117"/>
      <c r="K773" s="118"/>
      <c r="L773" s="109">
        <v>2</v>
      </c>
      <c r="M773" s="109">
        <v>3</v>
      </c>
      <c r="N773" s="109"/>
      <c r="O773" s="119"/>
      <c r="P773" s="2">
        <f t="shared" si="176"/>
        <v>1</v>
      </c>
      <c r="Q773" s="110" t="str">
        <f>IF(AND(Drops!$D$45&gt;1,OR(U773&lt;&gt;U772,AND(ROW()=5,U772=U773))),VLOOKUP(U773,Drops!$D$26:$E$44,2,FALSE),"")</f>
        <v/>
      </c>
      <c r="R773" s="2" t="str">
        <f t="shared" si="177"/>
        <v/>
      </c>
      <c r="S773" s="2">
        <f t="shared" ca="1" si="178"/>
        <v>1</v>
      </c>
      <c r="T773" s="2">
        <f t="shared" si="179"/>
        <v>0</v>
      </c>
      <c r="U773" s="110" t="s">
        <v>2560</v>
      </c>
      <c r="V773" s="110">
        <v>12</v>
      </c>
      <c r="W773" s="110">
        <v>1</v>
      </c>
      <c r="X773" s="110">
        <v>0</v>
      </c>
      <c r="Y773" s="110">
        <v>0</v>
      </c>
      <c r="Z773" s="110">
        <v>0</v>
      </c>
      <c r="AA773" s="2">
        <f t="shared" si="180"/>
        <v>1</v>
      </c>
      <c r="AB773" s="2">
        <f t="shared" si="181"/>
        <v>0</v>
      </c>
      <c r="AC773" s="2">
        <f t="shared" si="182"/>
        <v>1</v>
      </c>
      <c r="AD773" s="2">
        <f t="shared" si="183"/>
        <v>1</v>
      </c>
      <c r="AE773" s="2">
        <f t="shared" si="184"/>
        <v>3</v>
      </c>
      <c r="AF773" s="2">
        <f t="shared" si="185"/>
        <v>3</v>
      </c>
      <c r="AG773" s="2">
        <f t="shared" si="186"/>
        <v>3</v>
      </c>
      <c r="AH773" s="2">
        <f t="shared" si="187"/>
        <v>2</v>
      </c>
      <c r="AI773" s="2">
        <f t="shared" si="188"/>
        <v>2</v>
      </c>
      <c r="AJ773" s="2">
        <f t="shared" si="189"/>
        <v>0</v>
      </c>
      <c r="AK773" s="2">
        <f t="shared" si="190"/>
        <v>0</v>
      </c>
      <c r="AL773" s="2">
        <f t="shared" si="191"/>
        <v>0</v>
      </c>
      <c r="AM773" s="115"/>
      <c r="AN773" s="115"/>
      <c r="AO773" s="63"/>
    </row>
    <row r="774" spans="1:41" ht="43.2" x14ac:dyDescent="0.55000000000000004">
      <c r="A774" s="36">
        <v>1056</v>
      </c>
      <c r="B774" s="113" t="s">
        <v>2664</v>
      </c>
      <c r="C774" s="138" t="s">
        <v>2665</v>
      </c>
      <c r="D774" s="114" t="s">
        <v>52</v>
      </c>
      <c r="E774" s="115"/>
      <c r="F774" s="116"/>
      <c r="G774" s="113" t="s">
        <v>2653</v>
      </c>
      <c r="H774" s="113" t="s">
        <v>2661</v>
      </c>
      <c r="I774" s="113"/>
      <c r="J774" s="117"/>
      <c r="K774" s="118"/>
      <c r="L774" s="109">
        <v>2</v>
      </c>
      <c r="M774" s="109">
        <v>3</v>
      </c>
      <c r="N774" s="109"/>
      <c r="O774" s="119"/>
      <c r="P774" s="2">
        <f t="shared" ref="P774:P837" si="192">IF($L774="","",IF($D774="Yes",1,IF($D774="No",2,IF($D774="N/A",3,0))))</f>
        <v>1</v>
      </c>
      <c r="Q774" s="110" t="str">
        <f>IF(AND(Drops!$D$45&gt;1,OR(U774&lt;&gt;U773,AND(ROW()=5,U773=U774))),VLOOKUP(U774,Drops!$D$26:$E$44,2,FALSE),"")</f>
        <v/>
      </c>
      <c r="R774" s="2" t="str">
        <f t="shared" ref="R774:R837" si="193">IF(Q774&lt;&gt;"",ROW(),"")</f>
        <v/>
      </c>
      <c r="S774" s="2">
        <f t="shared" ref="S774:S837" ca="1" si="194">OFFSET(AC774,,L774-1)</f>
        <v>1</v>
      </c>
      <c r="T774" s="2">
        <f t="shared" ref="T774:T837" si="195">IF(OR(V774&lt;&gt;V773,U774&lt;&gt;U773,AND(V774&lt;&gt;V773,W774&lt;&gt;W773),AND(V774&lt;&gt;V773,W774&lt;&gt;W773,X774&lt;&gt;X773),AND(V774&lt;&gt;V773,W774&lt;&gt;W773,X774&lt;&gt;X773,Y774&lt;&gt;Y773),AND(V774&lt;&gt;V773,W774&lt;&gt;W773,X774&lt;&gt;X773,Y774&lt;&gt;Y773,Z774&lt;&gt;Z773),L774-L773&gt;1),1,0)</f>
        <v>0</v>
      </c>
      <c r="U774" s="110" t="s">
        <v>2560</v>
      </c>
      <c r="V774" s="110">
        <v>12</v>
      </c>
      <c r="W774" s="110">
        <v>2</v>
      </c>
      <c r="X774" s="110">
        <v>0</v>
      </c>
      <c r="Y774" s="110">
        <v>0</v>
      </c>
      <c r="Z774" s="110">
        <v>0</v>
      </c>
      <c r="AA774" s="2">
        <f t="shared" ref="AA774:AA837" si="196">IF(ROW()=5,1,IF(OR(AH774=1,P774&gt;0,T774=1),1,IF(OR(AND(AH774=2,AI774=1),AND(AI774=2,AJ774=1),AND(AJ774=2,AK774=1),AND(AK774=2,AL774=1)),1,0)))</f>
        <v>1</v>
      </c>
      <c r="AB774" s="2">
        <f t="shared" ref="AB774:AB837" si="197">IF(L775&gt;L774,1,0)</f>
        <v>0</v>
      </c>
      <c r="AC774" s="2">
        <f t="shared" ref="AC774:AC837" si="198">IF(ROW()=5,P774,IF(AND($P774&gt;1,AC$4=$L774),$P774,IF(AND($U774=$U773,V774=V773),AC773,IF(AND($L774=AC$4,P774=1),P774,0))))</f>
        <v>1</v>
      </c>
      <c r="AD774" s="2">
        <f t="shared" ref="AD774:AD837" si="199">IF(AC774&gt;1,AC774,IF(AND($P774&gt;1,AD$4=$L774),$P774,IF(AND($U774=$U773,W774=W773),AD773,IF(AND($L774=AD$4,P774=1),P774,0))))</f>
        <v>1</v>
      </c>
      <c r="AE774" s="2">
        <f t="shared" ref="AE774:AE837" si="200">IF(AD774&gt;1,AD774,IF(AND($P774&gt;1,AE$4=$L774),$P774,IF(AND($U774=$U773,X774=X773),AE773,IF(AND($L774=AE$4,P774=1),P774,0))))</f>
        <v>3</v>
      </c>
      <c r="AF774" s="2">
        <f t="shared" ref="AF774:AF837" si="201">IF(AE774&gt;1,AE774,IF(AND($P774&gt;1,AF$4=$L774),$P774,IF(AND($U774=$U773,Y774=Y773),AF773,IF(AND($L774=AF$4,P774=1),P774,0))))</f>
        <v>3</v>
      </c>
      <c r="AG774" s="2">
        <f t="shared" ref="AG774:AG837" si="202">IF(AF774&gt;1,AF774,IF(AND($P774&gt;1,AG$4=$L774),$P774,IF(AND($U774=$U773,Z774=Z773),AG773,IF(AND($L774=AG$4,P774=1),P774,0))))</f>
        <v>3</v>
      </c>
      <c r="AH774" s="2">
        <f t="shared" ref="AH774:AH837" si="203">IF(AND($P774=1,$L774=AH$4),2,IF(AND($L774&lt;&gt;AH$4,AH773=2),AH773,IF($L774&lt;&gt;AH$4,0,1)))</f>
        <v>2</v>
      </c>
      <c r="AI774" s="2">
        <f t="shared" ref="AI774:AI837" si="204">IF(OR(ROW()=5,$U773&lt;&gt;$U774),0,IF(AND($P774=1,$L774=AI$4),2,IF(AND($L774&lt;&gt;AI$4,AI773=2),AI773,IF($L774&lt;&gt;AI$4,0,1))))</f>
        <v>2</v>
      </c>
      <c r="AJ774" s="2">
        <f t="shared" ref="AJ774:AJ837" si="205">IF(OR(ROW()=5,$U773&lt;&gt;$U774),0,IF(AND($P774=1,$L774=AJ$4),2,IF(AND($L774&lt;&gt;AJ$4,AJ773=2),AJ773,IF($L774&lt;&gt;AJ$4,0,1))))</f>
        <v>0</v>
      </c>
      <c r="AK774" s="2">
        <f t="shared" ref="AK774:AK837" si="206">IF(OR(ROW()=5,$U773&lt;&gt;$U774),0,IF(AND($P774=1,$L774=AK$4),2,IF(AND($L774&lt;&gt;AK$4,AK773=2),AK773,IF($L774&lt;&gt;AK$4,0,1))))</f>
        <v>0</v>
      </c>
      <c r="AL774" s="2">
        <f t="shared" ref="AL774:AL837" si="207">IF(OR(ROW()=5,$U773&lt;&gt;$U774),0,IF(AND($P774=1,$L774=AL$4),2,IF(AND($L774&lt;&gt;AL$4,AL773=2),AL773,IF($L774&lt;&gt;AL$4,0,1))))</f>
        <v>0</v>
      </c>
      <c r="AM774" s="115"/>
      <c r="AN774" s="115"/>
      <c r="AO774" s="63"/>
    </row>
    <row r="775" spans="1:41" ht="43.2" x14ac:dyDescent="0.55000000000000004">
      <c r="A775" s="36">
        <v>4340</v>
      </c>
      <c r="B775" s="113" t="s">
        <v>2666</v>
      </c>
      <c r="C775" s="138" t="s">
        <v>2667</v>
      </c>
      <c r="D775" s="114" t="s">
        <v>52</v>
      </c>
      <c r="E775" s="115"/>
      <c r="F775" s="116"/>
      <c r="G775" s="113" t="s">
        <v>2653</v>
      </c>
      <c r="H775" s="113" t="s">
        <v>2661</v>
      </c>
      <c r="I775" s="113"/>
      <c r="J775" s="117"/>
      <c r="K775" s="118"/>
      <c r="L775" s="109">
        <v>2</v>
      </c>
      <c r="M775" s="109">
        <v>3</v>
      </c>
      <c r="N775" s="109"/>
      <c r="O775" s="119"/>
      <c r="P775" s="2">
        <f t="shared" si="192"/>
        <v>1</v>
      </c>
      <c r="Q775" s="110" t="str">
        <f>IF(AND(Drops!$D$45&gt;1,OR(U775&lt;&gt;U774,AND(ROW()=5,U774=U775))),VLOOKUP(U775,Drops!$D$26:$E$44,2,FALSE),"")</f>
        <v/>
      </c>
      <c r="R775" s="2" t="str">
        <f t="shared" si="193"/>
        <v/>
      </c>
      <c r="S775" s="2">
        <f t="shared" ca="1" si="194"/>
        <v>1</v>
      </c>
      <c r="T775" s="2">
        <f t="shared" si="195"/>
        <v>0</v>
      </c>
      <c r="U775" s="110" t="s">
        <v>2560</v>
      </c>
      <c r="V775" s="110">
        <v>12</v>
      </c>
      <c r="W775" s="110">
        <v>3</v>
      </c>
      <c r="X775" s="110">
        <v>0</v>
      </c>
      <c r="Y775" s="110">
        <v>0</v>
      </c>
      <c r="Z775" s="110">
        <v>0</v>
      </c>
      <c r="AA775" s="2">
        <f t="shared" si="196"/>
        <v>1</v>
      </c>
      <c r="AB775" s="2">
        <f t="shared" si="197"/>
        <v>0</v>
      </c>
      <c r="AC775" s="2">
        <f t="shared" si="198"/>
        <v>1</v>
      </c>
      <c r="AD775" s="2">
        <f t="shared" si="199"/>
        <v>1</v>
      </c>
      <c r="AE775" s="2">
        <f t="shared" si="200"/>
        <v>3</v>
      </c>
      <c r="AF775" s="2">
        <f t="shared" si="201"/>
        <v>3</v>
      </c>
      <c r="AG775" s="2">
        <f t="shared" si="202"/>
        <v>3</v>
      </c>
      <c r="AH775" s="2">
        <f t="shared" si="203"/>
        <v>2</v>
      </c>
      <c r="AI775" s="2">
        <f t="shared" si="204"/>
        <v>2</v>
      </c>
      <c r="AJ775" s="2">
        <f t="shared" si="205"/>
        <v>0</v>
      </c>
      <c r="AK775" s="2">
        <f t="shared" si="206"/>
        <v>0</v>
      </c>
      <c r="AL775" s="2">
        <f t="shared" si="207"/>
        <v>0</v>
      </c>
      <c r="AM775" s="115"/>
      <c r="AN775" s="115"/>
      <c r="AO775" s="63"/>
    </row>
    <row r="776" spans="1:41" ht="28.8" x14ac:dyDescent="0.55000000000000004">
      <c r="A776" s="36">
        <v>1095</v>
      </c>
      <c r="B776" s="113" t="s">
        <v>388</v>
      </c>
      <c r="C776" s="113" t="s">
        <v>2668</v>
      </c>
      <c r="D776" s="114" t="s">
        <v>55</v>
      </c>
      <c r="E776" s="115" t="s">
        <v>2669</v>
      </c>
      <c r="F776" s="116"/>
      <c r="G776" s="113" t="s">
        <v>2653</v>
      </c>
      <c r="H776" s="113" t="s">
        <v>2670</v>
      </c>
      <c r="I776" s="113"/>
      <c r="J776" s="117"/>
      <c r="K776" s="118"/>
      <c r="L776" s="109">
        <v>1</v>
      </c>
      <c r="M776" s="109">
        <v>1</v>
      </c>
      <c r="N776" s="109"/>
      <c r="O776" s="119"/>
      <c r="P776" s="2">
        <f t="shared" si="192"/>
        <v>2</v>
      </c>
      <c r="Q776" s="110" t="str">
        <f>IF(AND(Drops!$D$45&gt;1,OR(U776&lt;&gt;U775,AND(ROW()=5,U775=U776))),VLOOKUP(U776,Drops!$D$26:$E$44,2,FALSE),"")</f>
        <v/>
      </c>
      <c r="R776" s="2" t="str">
        <f t="shared" si="193"/>
        <v/>
      </c>
      <c r="S776" s="2">
        <f t="shared" ca="1" si="194"/>
        <v>2</v>
      </c>
      <c r="T776" s="2">
        <f t="shared" si="195"/>
        <v>1</v>
      </c>
      <c r="U776" s="110" t="s">
        <v>2560</v>
      </c>
      <c r="V776" s="110">
        <v>13</v>
      </c>
      <c r="W776" s="110">
        <v>0</v>
      </c>
      <c r="X776" s="110">
        <v>0</v>
      </c>
      <c r="Y776" s="110">
        <v>0</v>
      </c>
      <c r="Z776" s="110">
        <v>0</v>
      </c>
      <c r="AA776" s="2">
        <f t="shared" si="196"/>
        <v>1</v>
      </c>
      <c r="AB776" s="2">
        <f t="shared" si="197"/>
        <v>1</v>
      </c>
      <c r="AC776" s="2">
        <f t="shared" si="198"/>
        <v>2</v>
      </c>
      <c r="AD776" s="2">
        <f t="shared" si="199"/>
        <v>2</v>
      </c>
      <c r="AE776" s="2">
        <f t="shared" si="200"/>
        <v>2</v>
      </c>
      <c r="AF776" s="2">
        <f t="shared" si="201"/>
        <v>2</v>
      </c>
      <c r="AG776" s="2">
        <f t="shared" si="202"/>
        <v>2</v>
      </c>
      <c r="AH776" s="2">
        <f t="shared" si="203"/>
        <v>1</v>
      </c>
      <c r="AI776" s="2">
        <f t="shared" si="204"/>
        <v>2</v>
      </c>
      <c r="AJ776" s="2">
        <f t="shared" si="205"/>
        <v>0</v>
      </c>
      <c r="AK776" s="2">
        <f t="shared" si="206"/>
        <v>0</v>
      </c>
      <c r="AL776" s="2">
        <f t="shared" si="207"/>
        <v>0</v>
      </c>
      <c r="AM776" s="115"/>
      <c r="AN776" s="115"/>
      <c r="AO776" s="63"/>
    </row>
    <row r="777" spans="1:41" ht="43.2" x14ac:dyDescent="0.55000000000000004">
      <c r="A777" s="36">
        <v>1096</v>
      </c>
      <c r="B777" s="113" t="s">
        <v>2671</v>
      </c>
      <c r="C777" s="138" t="s">
        <v>2672</v>
      </c>
      <c r="D777" s="114" t="s">
        <v>48</v>
      </c>
      <c r="E777" s="115" t="s">
        <v>2669</v>
      </c>
      <c r="F777" s="116"/>
      <c r="G777" s="113" t="s">
        <v>2653</v>
      </c>
      <c r="H777" s="113" t="s">
        <v>2670</v>
      </c>
      <c r="I777" s="113" t="s">
        <v>2673</v>
      </c>
      <c r="J777" s="117"/>
      <c r="K777" s="118"/>
      <c r="L777" s="109">
        <v>2</v>
      </c>
      <c r="M777" s="109">
        <v>2</v>
      </c>
      <c r="N777" s="109"/>
      <c r="O777" s="119"/>
      <c r="P777" s="2">
        <f t="shared" si="192"/>
        <v>3</v>
      </c>
      <c r="Q777" s="110" t="str">
        <f>IF(AND(Drops!$D$45&gt;1,OR(U777&lt;&gt;U776,AND(ROW()=5,U776=U777))),VLOOKUP(U777,Drops!$D$26:$E$44,2,FALSE),"")</f>
        <v/>
      </c>
      <c r="R777" s="2" t="str">
        <f t="shared" si="193"/>
        <v/>
      </c>
      <c r="S777" s="2">
        <f t="shared" ca="1" si="194"/>
        <v>2</v>
      </c>
      <c r="T777" s="2">
        <f t="shared" si="195"/>
        <v>0</v>
      </c>
      <c r="U777" s="110" t="s">
        <v>2560</v>
      </c>
      <c r="V777" s="110">
        <v>13</v>
      </c>
      <c r="W777" s="110">
        <v>1</v>
      </c>
      <c r="X777" s="110">
        <v>0</v>
      </c>
      <c r="Y777" s="110">
        <v>0</v>
      </c>
      <c r="Z777" s="110">
        <v>0</v>
      </c>
      <c r="AA777" s="2">
        <f t="shared" si="196"/>
        <v>1</v>
      </c>
      <c r="AB777" s="2">
        <f t="shared" si="197"/>
        <v>0</v>
      </c>
      <c r="AC777" s="2">
        <f t="shared" si="198"/>
        <v>2</v>
      </c>
      <c r="AD777" s="2">
        <f t="shared" si="199"/>
        <v>2</v>
      </c>
      <c r="AE777" s="2">
        <f t="shared" si="200"/>
        <v>2</v>
      </c>
      <c r="AF777" s="2">
        <f t="shared" si="201"/>
        <v>2</v>
      </c>
      <c r="AG777" s="2">
        <f t="shared" si="202"/>
        <v>2</v>
      </c>
      <c r="AH777" s="2">
        <f t="shared" si="203"/>
        <v>0</v>
      </c>
      <c r="AI777" s="2">
        <f t="shared" si="204"/>
        <v>1</v>
      </c>
      <c r="AJ777" s="2">
        <f t="shared" si="205"/>
        <v>0</v>
      </c>
      <c r="AK777" s="2">
        <f t="shared" si="206"/>
        <v>0</v>
      </c>
      <c r="AL777" s="2">
        <f t="shared" si="207"/>
        <v>0</v>
      </c>
      <c r="AM777" s="115"/>
      <c r="AN777" s="115"/>
      <c r="AO777" s="63"/>
    </row>
    <row r="778" spans="1:41" ht="28.8" x14ac:dyDescent="0.55000000000000004">
      <c r="A778" s="36">
        <v>4341</v>
      </c>
      <c r="B778" s="113" t="s">
        <v>2674</v>
      </c>
      <c r="C778" s="138" t="s">
        <v>2675</v>
      </c>
      <c r="D778" s="114" t="s">
        <v>48</v>
      </c>
      <c r="E778" s="115" t="s">
        <v>2669</v>
      </c>
      <c r="F778" s="116"/>
      <c r="G778" s="113" t="s">
        <v>2653</v>
      </c>
      <c r="H778" s="113" t="s">
        <v>2670</v>
      </c>
      <c r="I778" s="113"/>
      <c r="J778" s="117"/>
      <c r="K778" s="118"/>
      <c r="L778" s="109">
        <v>2</v>
      </c>
      <c r="M778" s="109">
        <v>3</v>
      </c>
      <c r="N778" s="109"/>
      <c r="O778" s="119"/>
      <c r="P778" s="2">
        <f t="shared" si="192"/>
        <v>3</v>
      </c>
      <c r="Q778" s="110" t="str">
        <f>IF(AND(Drops!$D$45&gt;1,OR(U778&lt;&gt;U777,AND(ROW()=5,U777=U778))),VLOOKUP(U778,Drops!$D$26:$E$44,2,FALSE),"")</f>
        <v/>
      </c>
      <c r="R778" s="2" t="str">
        <f t="shared" si="193"/>
        <v/>
      </c>
      <c r="S778" s="2">
        <f t="shared" ca="1" si="194"/>
        <v>2</v>
      </c>
      <c r="T778" s="2">
        <f t="shared" si="195"/>
        <v>0</v>
      </c>
      <c r="U778" s="110" t="s">
        <v>2560</v>
      </c>
      <c r="V778" s="110">
        <v>13</v>
      </c>
      <c r="W778" s="110">
        <v>2</v>
      </c>
      <c r="X778" s="110">
        <v>0</v>
      </c>
      <c r="Y778" s="110">
        <v>0</v>
      </c>
      <c r="Z778" s="110">
        <v>0</v>
      </c>
      <c r="AA778" s="2">
        <f t="shared" si="196"/>
        <v>1</v>
      </c>
      <c r="AB778" s="2">
        <f t="shared" si="197"/>
        <v>0</v>
      </c>
      <c r="AC778" s="2">
        <f t="shared" si="198"/>
        <v>2</v>
      </c>
      <c r="AD778" s="2">
        <f t="shared" si="199"/>
        <v>2</v>
      </c>
      <c r="AE778" s="2">
        <f t="shared" si="200"/>
        <v>2</v>
      </c>
      <c r="AF778" s="2">
        <f t="shared" si="201"/>
        <v>2</v>
      </c>
      <c r="AG778" s="2">
        <f t="shared" si="202"/>
        <v>2</v>
      </c>
      <c r="AH778" s="2">
        <f t="shared" si="203"/>
        <v>0</v>
      </c>
      <c r="AI778" s="2">
        <f t="shared" si="204"/>
        <v>1</v>
      </c>
      <c r="AJ778" s="2">
        <f t="shared" si="205"/>
        <v>0</v>
      </c>
      <c r="AK778" s="2">
        <f t="shared" si="206"/>
        <v>0</v>
      </c>
      <c r="AL778" s="2">
        <f t="shared" si="207"/>
        <v>0</v>
      </c>
      <c r="AM778" s="115"/>
      <c r="AN778" s="115"/>
      <c r="AO778" s="63"/>
    </row>
    <row r="779" spans="1:41" ht="28.8" x14ac:dyDescent="0.55000000000000004">
      <c r="A779" s="36">
        <v>1107</v>
      </c>
      <c r="B779" s="113" t="s">
        <v>2676</v>
      </c>
      <c r="C779" s="138" t="s">
        <v>2677</v>
      </c>
      <c r="D779" s="114" t="s">
        <v>48</v>
      </c>
      <c r="E779" s="115" t="s">
        <v>2669</v>
      </c>
      <c r="F779" s="116"/>
      <c r="G779" s="113" t="s">
        <v>2653</v>
      </c>
      <c r="H779" s="113" t="s">
        <v>2670</v>
      </c>
      <c r="I779" s="113"/>
      <c r="J779" s="117"/>
      <c r="K779" s="118"/>
      <c r="L779" s="109">
        <v>2</v>
      </c>
      <c r="M779" s="109">
        <v>3</v>
      </c>
      <c r="N779" s="109"/>
      <c r="O779" s="119"/>
      <c r="P779" s="2">
        <f t="shared" si="192"/>
        <v>3</v>
      </c>
      <c r="Q779" s="110" t="str">
        <f>IF(AND(Drops!$D$45&gt;1,OR(U779&lt;&gt;U778,AND(ROW()=5,U778=U779))),VLOOKUP(U779,Drops!$D$26:$E$44,2,FALSE),"")</f>
        <v/>
      </c>
      <c r="R779" s="2" t="str">
        <f t="shared" si="193"/>
        <v/>
      </c>
      <c r="S779" s="2">
        <f t="shared" ca="1" si="194"/>
        <v>2</v>
      </c>
      <c r="T779" s="2">
        <f t="shared" si="195"/>
        <v>0</v>
      </c>
      <c r="U779" s="110" t="s">
        <v>2560</v>
      </c>
      <c r="V779" s="110">
        <v>13</v>
      </c>
      <c r="W779" s="110">
        <v>3</v>
      </c>
      <c r="X779" s="110">
        <v>0</v>
      </c>
      <c r="Y779" s="110">
        <v>0</v>
      </c>
      <c r="Z779" s="110">
        <v>0</v>
      </c>
      <c r="AA779" s="2">
        <f t="shared" si="196"/>
        <v>1</v>
      </c>
      <c r="AB779" s="2">
        <f t="shared" si="197"/>
        <v>0</v>
      </c>
      <c r="AC779" s="2">
        <f t="shared" si="198"/>
        <v>2</v>
      </c>
      <c r="AD779" s="2">
        <f t="shared" si="199"/>
        <v>2</v>
      </c>
      <c r="AE779" s="2">
        <f t="shared" si="200"/>
        <v>2</v>
      </c>
      <c r="AF779" s="2">
        <f t="shared" si="201"/>
        <v>2</v>
      </c>
      <c r="AG779" s="2">
        <f t="shared" si="202"/>
        <v>2</v>
      </c>
      <c r="AH779" s="2">
        <f t="shared" si="203"/>
        <v>0</v>
      </c>
      <c r="AI779" s="2">
        <f t="shared" si="204"/>
        <v>1</v>
      </c>
      <c r="AJ779" s="2">
        <f t="shared" si="205"/>
        <v>0</v>
      </c>
      <c r="AK779" s="2">
        <f t="shared" si="206"/>
        <v>0</v>
      </c>
      <c r="AL779" s="2">
        <f t="shared" si="207"/>
        <v>0</v>
      </c>
      <c r="AM779" s="115"/>
      <c r="AN779" s="115"/>
      <c r="AO779" s="63"/>
    </row>
    <row r="780" spans="1:41" ht="28.8" x14ac:dyDescent="0.55000000000000004">
      <c r="A780" s="36">
        <v>1108</v>
      </c>
      <c r="B780" s="113" t="s">
        <v>2678</v>
      </c>
      <c r="C780" s="138" t="s">
        <v>2679</v>
      </c>
      <c r="D780" s="114" t="s">
        <v>48</v>
      </c>
      <c r="E780" s="115" t="s">
        <v>2669</v>
      </c>
      <c r="F780" s="116"/>
      <c r="G780" s="113" t="s">
        <v>2653</v>
      </c>
      <c r="H780" s="113" t="s">
        <v>2670</v>
      </c>
      <c r="I780" s="113"/>
      <c r="J780" s="117"/>
      <c r="K780" s="118"/>
      <c r="L780" s="109">
        <v>2</v>
      </c>
      <c r="M780" s="109">
        <v>3</v>
      </c>
      <c r="N780" s="109"/>
      <c r="O780" s="119"/>
      <c r="P780" s="2">
        <f t="shared" si="192"/>
        <v>3</v>
      </c>
      <c r="Q780" s="110" t="str">
        <f>IF(AND(Drops!$D$45&gt;1,OR(U780&lt;&gt;U779,AND(ROW()=5,U779=U780))),VLOOKUP(U780,Drops!$D$26:$E$44,2,FALSE),"")</f>
        <v/>
      </c>
      <c r="R780" s="2" t="str">
        <f t="shared" si="193"/>
        <v/>
      </c>
      <c r="S780" s="2">
        <f t="shared" ca="1" si="194"/>
        <v>2</v>
      </c>
      <c r="T780" s="2">
        <f t="shared" si="195"/>
        <v>0</v>
      </c>
      <c r="U780" s="110" t="s">
        <v>2560</v>
      </c>
      <c r="V780" s="110">
        <v>13</v>
      </c>
      <c r="W780" s="110">
        <v>4</v>
      </c>
      <c r="X780" s="110">
        <v>0</v>
      </c>
      <c r="Y780" s="110">
        <v>0</v>
      </c>
      <c r="Z780" s="110">
        <v>0</v>
      </c>
      <c r="AA780" s="2">
        <f t="shared" si="196"/>
        <v>1</v>
      </c>
      <c r="AB780" s="2">
        <f t="shared" si="197"/>
        <v>0</v>
      </c>
      <c r="AC780" s="2">
        <f t="shared" si="198"/>
        <v>2</v>
      </c>
      <c r="AD780" s="2">
        <f t="shared" si="199"/>
        <v>2</v>
      </c>
      <c r="AE780" s="2">
        <f t="shared" si="200"/>
        <v>2</v>
      </c>
      <c r="AF780" s="2">
        <f t="shared" si="201"/>
        <v>2</v>
      </c>
      <c r="AG780" s="2">
        <f t="shared" si="202"/>
        <v>2</v>
      </c>
      <c r="AH780" s="2">
        <f t="shared" si="203"/>
        <v>0</v>
      </c>
      <c r="AI780" s="2">
        <f t="shared" si="204"/>
        <v>1</v>
      </c>
      <c r="AJ780" s="2">
        <f t="shared" si="205"/>
        <v>0</v>
      </c>
      <c r="AK780" s="2">
        <f t="shared" si="206"/>
        <v>0</v>
      </c>
      <c r="AL780" s="2">
        <f t="shared" si="207"/>
        <v>0</v>
      </c>
      <c r="AM780" s="115"/>
      <c r="AN780" s="115"/>
      <c r="AO780" s="63"/>
    </row>
    <row r="781" spans="1:41" ht="28.8" x14ac:dyDescent="0.55000000000000004">
      <c r="A781" s="36">
        <v>1111</v>
      </c>
      <c r="B781" s="113" t="s">
        <v>2680</v>
      </c>
      <c r="C781" s="138" t="s">
        <v>2681</v>
      </c>
      <c r="D781" s="114" t="s">
        <v>48</v>
      </c>
      <c r="E781" s="115" t="s">
        <v>2669</v>
      </c>
      <c r="F781" s="116"/>
      <c r="G781" s="113" t="s">
        <v>2653</v>
      </c>
      <c r="H781" s="113" t="s">
        <v>2670</v>
      </c>
      <c r="I781" s="113"/>
      <c r="J781" s="117"/>
      <c r="K781" s="118"/>
      <c r="L781" s="109">
        <v>2</v>
      </c>
      <c r="M781" s="109">
        <v>2</v>
      </c>
      <c r="N781" s="109"/>
      <c r="O781" s="119"/>
      <c r="P781" s="2">
        <f t="shared" si="192"/>
        <v>3</v>
      </c>
      <c r="Q781" s="110" t="str">
        <f>IF(AND(Drops!$D$45&gt;1,OR(U781&lt;&gt;U780,AND(ROW()=5,U780=U781))),VLOOKUP(U781,Drops!$D$26:$E$44,2,FALSE),"")</f>
        <v/>
      </c>
      <c r="R781" s="2" t="str">
        <f t="shared" si="193"/>
        <v/>
      </c>
      <c r="S781" s="2">
        <f t="shared" ca="1" si="194"/>
        <v>2</v>
      </c>
      <c r="T781" s="2">
        <f t="shared" si="195"/>
        <v>0</v>
      </c>
      <c r="U781" s="110" t="s">
        <v>2560</v>
      </c>
      <c r="V781" s="110">
        <v>13</v>
      </c>
      <c r="W781" s="110">
        <v>5</v>
      </c>
      <c r="X781" s="110">
        <v>0</v>
      </c>
      <c r="Y781" s="110">
        <v>0</v>
      </c>
      <c r="Z781" s="110">
        <v>0</v>
      </c>
      <c r="AA781" s="2">
        <f t="shared" si="196"/>
        <v>1</v>
      </c>
      <c r="AB781" s="2">
        <f t="shared" si="197"/>
        <v>0</v>
      </c>
      <c r="AC781" s="2">
        <f t="shared" si="198"/>
        <v>2</v>
      </c>
      <c r="AD781" s="2">
        <f t="shared" si="199"/>
        <v>2</v>
      </c>
      <c r="AE781" s="2">
        <f t="shared" si="200"/>
        <v>2</v>
      </c>
      <c r="AF781" s="2">
        <f t="shared" si="201"/>
        <v>2</v>
      </c>
      <c r="AG781" s="2">
        <f t="shared" si="202"/>
        <v>2</v>
      </c>
      <c r="AH781" s="2">
        <f t="shared" si="203"/>
        <v>0</v>
      </c>
      <c r="AI781" s="2">
        <f t="shared" si="204"/>
        <v>1</v>
      </c>
      <c r="AJ781" s="2">
        <f t="shared" si="205"/>
        <v>0</v>
      </c>
      <c r="AK781" s="2">
        <f t="shared" si="206"/>
        <v>0</v>
      </c>
      <c r="AL781" s="2">
        <f t="shared" si="207"/>
        <v>0</v>
      </c>
      <c r="AM781" s="115"/>
      <c r="AN781" s="115"/>
      <c r="AO781" s="63"/>
    </row>
    <row r="782" spans="1:41" ht="28.8" x14ac:dyDescent="0.55000000000000004">
      <c r="A782" s="36">
        <v>1118</v>
      </c>
      <c r="B782" s="113" t="s">
        <v>2682</v>
      </c>
      <c r="C782" s="138" t="s">
        <v>2683</v>
      </c>
      <c r="D782" s="114" t="s">
        <v>48</v>
      </c>
      <c r="E782" s="115" t="s">
        <v>2669</v>
      </c>
      <c r="F782" s="116"/>
      <c r="G782" s="113" t="s">
        <v>2653</v>
      </c>
      <c r="H782" s="113" t="s">
        <v>2670</v>
      </c>
      <c r="I782" s="113"/>
      <c r="J782" s="117"/>
      <c r="K782" s="118"/>
      <c r="L782" s="109">
        <v>2</v>
      </c>
      <c r="M782" s="109">
        <v>3</v>
      </c>
      <c r="N782" s="109"/>
      <c r="O782" s="119"/>
      <c r="P782" s="2">
        <f t="shared" si="192"/>
        <v>3</v>
      </c>
      <c r="Q782" s="110" t="str">
        <f>IF(AND(Drops!$D$45&gt;1,OR(U782&lt;&gt;U781,AND(ROW()=5,U781=U782))),VLOOKUP(U782,Drops!$D$26:$E$44,2,FALSE),"")</f>
        <v/>
      </c>
      <c r="R782" s="2" t="str">
        <f t="shared" si="193"/>
        <v/>
      </c>
      <c r="S782" s="2">
        <f t="shared" ca="1" si="194"/>
        <v>2</v>
      </c>
      <c r="T782" s="2">
        <f t="shared" si="195"/>
        <v>0</v>
      </c>
      <c r="U782" s="110" t="s">
        <v>2560</v>
      </c>
      <c r="V782" s="110">
        <v>13</v>
      </c>
      <c r="W782" s="110">
        <v>6</v>
      </c>
      <c r="X782" s="110">
        <v>0</v>
      </c>
      <c r="Y782" s="110">
        <v>0</v>
      </c>
      <c r="Z782" s="110">
        <v>0</v>
      </c>
      <c r="AA782" s="2">
        <f t="shared" si="196"/>
        <v>1</v>
      </c>
      <c r="AB782" s="2">
        <f t="shared" si="197"/>
        <v>0</v>
      </c>
      <c r="AC782" s="2">
        <f t="shared" si="198"/>
        <v>2</v>
      </c>
      <c r="AD782" s="2">
        <f t="shared" si="199"/>
        <v>2</v>
      </c>
      <c r="AE782" s="2">
        <f t="shared" si="200"/>
        <v>2</v>
      </c>
      <c r="AF782" s="2">
        <f t="shared" si="201"/>
        <v>2</v>
      </c>
      <c r="AG782" s="2">
        <f t="shared" si="202"/>
        <v>2</v>
      </c>
      <c r="AH782" s="2">
        <f t="shared" si="203"/>
        <v>0</v>
      </c>
      <c r="AI782" s="2">
        <f t="shared" si="204"/>
        <v>1</v>
      </c>
      <c r="AJ782" s="2">
        <f t="shared" si="205"/>
        <v>0</v>
      </c>
      <c r="AK782" s="2">
        <f t="shared" si="206"/>
        <v>0</v>
      </c>
      <c r="AL782" s="2">
        <f t="shared" si="207"/>
        <v>0</v>
      </c>
      <c r="AM782" s="115"/>
      <c r="AN782" s="115"/>
      <c r="AO782" s="63"/>
    </row>
    <row r="783" spans="1:41" ht="28.8" x14ac:dyDescent="0.55000000000000004">
      <c r="A783" s="36">
        <v>3563</v>
      </c>
      <c r="B783" s="113" t="s">
        <v>390</v>
      </c>
      <c r="C783" s="113" t="s">
        <v>2684</v>
      </c>
      <c r="D783" s="114" t="s">
        <v>52</v>
      </c>
      <c r="E783" s="115"/>
      <c r="F783" s="116"/>
      <c r="G783" s="113" t="s">
        <v>2653</v>
      </c>
      <c r="H783" s="113" t="s">
        <v>2685</v>
      </c>
      <c r="I783" s="113"/>
      <c r="J783" s="117"/>
      <c r="K783" s="118"/>
      <c r="L783" s="109">
        <v>1</v>
      </c>
      <c r="M783" s="109">
        <v>3</v>
      </c>
      <c r="N783" s="109"/>
      <c r="O783" s="119"/>
      <c r="P783" s="2">
        <f t="shared" si="192"/>
        <v>1</v>
      </c>
      <c r="Q783" s="110" t="str">
        <f>IF(AND(Drops!$D$45&gt;1,OR(U783&lt;&gt;U782,AND(ROW()=5,U782=U783))),VLOOKUP(U783,Drops!$D$26:$E$44,2,FALSE),"")</f>
        <v/>
      </c>
      <c r="R783" s="2" t="str">
        <f t="shared" si="193"/>
        <v/>
      </c>
      <c r="S783" s="2">
        <f t="shared" ca="1" si="194"/>
        <v>1</v>
      </c>
      <c r="T783" s="2">
        <f t="shared" si="195"/>
        <v>1</v>
      </c>
      <c r="U783" s="110" t="s">
        <v>2560</v>
      </c>
      <c r="V783" s="110">
        <v>14</v>
      </c>
      <c r="W783" s="110">
        <v>0</v>
      </c>
      <c r="X783" s="110">
        <v>0</v>
      </c>
      <c r="Y783" s="110">
        <v>0</v>
      </c>
      <c r="Z783" s="110">
        <v>0</v>
      </c>
      <c r="AA783" s="2">
        <f t="shared" si="196"/>
        <v>1</v>
      </c>
      <c r="AB783" s="2">
        <f t="shared" si="197"/>
        <v>0</v>
      </c>
      <c r="AC783" s="2">
        <f t="shared" si="198"/>
        <v>1</v>
      </c>
      <c r="AD783" s="2">
        <f t="shared" si="199"/>
        <v>0</v>
      </c>
      <c r="AE783" s="2">
        <f t="shared" si="200"/>
        <v>2</v>
      </c>
      <c r="AF783" s="2">
        <f t="shared" si="201"/>
        <v>2</v>
      </c>
      <c r="AG783" s="2">
        <f t="shared" si="202"/>
        <v>2</v>
      </c>
      <c r="AH783" s="2">
        <f t="shared" si="203"/>
        <v>2</v>
      </c>
      <c r="AI783" s="2">
        <f t="shared" si="204"/>
        <v>0</v>
      </c>
      <c r="AJ783" s="2">
        <f t="shared" si="205"/>
        <v>0</v>
      </c>
      <c r="AK783" s="2">
        <f t="shared" si="206"/>
        <v>0</v>
      </c>
      <c r="AL783" s="2">
        <f t="shared" si="207"/>
        <v>0</v>
      </c>
      <c r="AM783" s="115"/>
      <c r="AN783" s="115"/>
      <c r="AO783" s="63"/>
    </row>
    <row r="784" spans="1:41" ht="28.8" x14ac:dyDescent="0.55000000000000004">
      <c r="A784" s="36">
        <v>4924</v>
      </c>
      <c r="B784" s="113" t="s">
        <v>2686</v>
      </c>
      <c r="C784" s="113" t="s">
        <v>2687</v>
      </c>
      <c r="D784" s="114" t="s">
        <v>52</v>
      </c>
      <c r="E784" s="115"/>
      <c r="F784" s="116"/>
      <c r="G784" s="113" t="s">
        <v>2653</v>
      </c>
      <c r="H784" s="113" t="s">
        <v>2688</v>
      </c>
      <c r="I784" s="113" t="s">
        <v>2689</v>
      </c>
      <c r="J784" s="117"/>
      <c r="K784" s="118"/>
      <c r="L784" s="109">
        <v>1</v>
      </c>
      <c r="M784" s="109">
        <v>3</v>
      </c>
      <c r="N784" s="109"/>
      <c r="O784" s="119"/>
      <c r="P784" s="2">
        <f t="shared" si="192"/>
        <v>1</v>
      </c>
      <c r="Q784" s="110" t="str">
        <f>IF(AND(Drops!$D$45&gt;1,OR(U784&lt;&gt;U783,AND(ROW()=5,U783=U784))),VLOOKUP(U784,Drops!$D$26:$E$44,2,FALSE),"")</f>
        <v/>
      </c>
      <c r="R784" s="2" t="str">
        <f t="shared" si="193"/>
        <v/>
      </c>
      <c r="S784" s="2">
        <f t="shared" ca="1" si="194"/>
        <v>1</v>
      </c>
      <c r="T784" s="2">
        <f t="shared" si="195"/>
        <v>1</v>
      </c>
      <c r="U784" s="110" t="s">
        <v>2560</v>
      </c>
      <c r="V784" s="110">
        <v>15</v>
      </c>
      <c r="W784" s="110">
        <v>0</v>
      </c>
      <c r="X784" s="110">
        <v>0</v>
      </c>
      <c r="Y784" s="110">
        <v>0</v>
      </c>
      <c r="Z784" s="110">
        <v>0</v>
      </c>
      <c r="AA784" s="2">
        <f t="shared" si="196"/>
        <v>1</v>
      </c>
      <c r="AB784" s="2">
        <f t="shared" si="197"/>
        <v>0</v>
      </c>
      <c r="AC784" s="2">
        <f t="shared" si="198"/>
        <v>1</v>
      </c>
      <c r="AD784" s="2">
        <f t="shared" si="199"/>
        <v>0</v>
      </c>
      <c r="AE784" s="2">
        <f t="shared" si="200"/>
        <v>2</v>
      </c>
      <c r="AF784" s="2">
        <f t="shared" si="201"/>
        <v>2</v>
      </c>
      <c r="AG784" s="2">
        <f t="shared" si="202"/>
        <v>2</v>
      </c>
      <c r="AH784" s="2">
        <f t="shared" si="203"/>
        <v>2</v>
      </c>
      <c r="AI784" s="2">
        <f t="shared" si="204"/>
        <v>0</v>
      </c>
      <c r="AJ784" s="2">
        <f t="shared" si="205"/>
        <v>0</v>
      </c>
      <c r="AK784" s="2">
        <f t="shared" si="206"/>
        <v>0</v>
      </c>
      <c r="AL784" s="2">
        <f t="shared" si="207"/>
        <v>0</v>
      </c>
      <c r="AM784" s="115"/>
      <c r="AN784" s="115"/>
      <c r="AO784" s="63"/>
    </row>
    <row r="785" spans="1:41" ht="43.2" x14ac:dyDescent="0.55000000000000004">
      <c r="A785" s="36">
        <v>4533</v>
      </c>
      <c r="B785" s="113" t="s">
        <v>392</v>
      </c>
      <c r="C785" s="113" t="s">
        <v>2690</v>
      </c>
      <c r="D785" s="114" t="s">
        <v>52</v>
      </c>
      <c r="E785" s="115"/>
      <c r="F785" s="116"/>
      <c r="G785" s="113" t="s">
        <v>2691</v>
      </c>
      <c r="H785" s="113" t="s">
        <v>2692</v>
      </c>
      <c r="I785" s="113" t="s">
        <v>2693</v>
      </c>
      <c r="J785" s="117"/>
      <c r="K785" s="118"/>
      <c r="L785" s="109">
        <v>1</v>
      </c>
      <c r="M785" s="109">
        <v>1</v>
      </c>
      <c r="N785" s="109"/>
      <c r="O785" s="119"/>
      <c r="P785" s="2">
        <f t="shared" si="192"/>
        <v>1</v>
      </c>
      <c r="Q785" s="110" t="str">
        <f>IF(AND(Drops!$D$45&gt;1,OR(U785&lt;&gt;U784,AND(ROW()=5,U784=U785))),VLOOKUP(U785,Drops!$D$26:$E$44,2,FALSE),"")</f>
        <v>P. Privacy</v>
      </c>
      <c r="R785" s="2">
        <f t="shared" si="193"/>
        <v>785</v>
      </c>
      <c r="S785" s="2">
        <f t="shared" ca="1" si="194"/>
        <v>1</v>
      </c>
      <c r="T785" s="2">
        <f t="shared" si="195"/>
        <v>1</v>
      </c>
      <c r="U785" s="110" t="s">
        <v>2694</v>
      </c>
      <c r="V785" s="110">
        <v>1</v>
      </c>
      <c r="W785" s="110">
        <v>0</v>
      </c>
      <c r="X785" s="110">
        <v>0</v>
      </c>
      <c r="Y785" s="110">
        <v>0</v>
      </c>
      <c r="Z785" s="110">
        <v>0</v>
      </c>
      <c r="AA785" s="2">
        <f t="shared" si="196"/>
        <v>1</v>
      </c>
      <c r="AB785" s="2">
        <f t="shared" si="197"/>
        <v>1</v>
      </c>
      <c r="AC785" s="2">
        <f t="shared" si="198"/>
        <v>1</v>
      </c>
      <c r="AD785" s="2">
        <f t="shared" si="199"/>
        <v>0</v>
      </c>
      <c r="AE785" s="2">
        <f t="shared" si="200"/>
        <v>0</v>
      </c>
      <c r="AF785" s="2">
        <f t="shared" si="201"/>
        <v>0</v>
      </c>
      <c r="AG785" s="2">
        <f t="shared" si="202"/>
        <v>0</v>
      </c>
      <c r="AH785" s="2">
        <f t="shared" si="203"/>
        <v>2</v>
      </c>
      <c r="AI785" s="2">
        <f t="shared" si="204"/>
        <v>0</v>
      </c>
      <c r="AJ785" s="2">
        <f t="shared" si="205"/>
        <v>0</v>
      </c>
      <c r="AK785" s="2">
        <f t="shared" si="206"/>
        <v>0</v>
      </c>
      <c r="AL785" s="2">
        <f t="shared" si="207"/>
        <v>0</v>
      </c>
      <c r="AM785" s="115"/>
      <c r="AN785" s="115"/>
      <c r="AO785" s="63"/>
    </row>
    <row r="786" spans="1:41" ht="115.2" x14ac:dyDescent="0.55000000000000004">
      <c r="A786" s="36">
        <v>3687</v>
      </c>
      <c r="B786" s="113" t="s">
        <v>2695</v>
      </c>
      <c r="C786" s="138" t="s">
        <v>2696</v>
      </c>
      <c r="D786" s="114" t="s">
        <v>52</v>
      </c>
      <c r="E786" s="115" t="s">
        <v>2697</v>
      </c>
      <c r="F786" s="116"/>
      <c r="G786" s="113" t="s">
        <v>2698</v>
      </c>
      <c r="H786" s="113" t="s">
        <v>2692</v>
      </c>
      <c r="I786" s="113" t="s">
        <v>2693</v>
      </c>
      <c r="J786" s="117"/>
      <c r="K786" s="118"/>
      <c r="L786" s="109">
        <v>2</v>
      </c>
      <c r="M786" s="109">
        <v>1</v>
      </c>
      <c r="N786" s="109"/>
      <c r="O786" s="119"/>
      <c r="P786" s="2">
        <f t="shared" si="192"/>
        <v>1</v>
      </c>
      <c r="Q786" s="110" t="str">
        <f>IF(AND(Drops!$D$45&gt;1,OR(U786&lt;&gt;U785,AND(ROW()=5,U785=U786))),VLOOKUP(U786,Drops!$D$26:$E$44,2,FALSE),"")</f>
        <v/>
      </c>
      <c r="R786" s="2" t="str">
        <f t="shared" si="193"/>
        <v/>
      </c>
      <c r="S786" s="2">
        <f t="shared" ca="1" si="194"/>
        <v>1</v>
      </c>
      <c r="T786" s="2">
        <f t="shared" si="195"/>
        <v>0</v>
      </c>
      <c r="U786" s="110" t="s">
        <v>2694</v>
      </c>
      <c r="V786" s="110">
        <v>1</v>
      </c>
      <c r="W786" s="110">
        <v>1</v>
      </c>
      <c r="X786" s="110">
        <v>0</v>
      </c>
      <c r="Y786" s="110">
        <v>0</v>
      </c>
      <c r="Z786" s="110">
        <v>0</v>
      </c>
      <c r="AA786" s="2">
        <f t="shared" si="196"/>
        <v>1</v>
      </c>
      <c r="AB786" s="2">
        <f t="shared" si="197"/>
        <v>1</v>
      </c>
      <c r="AC786" s="2">
        <f t="shared" si="198"/>
        <v>1</v>
      </c>
      <c r="AD786" s="2">
        <f t="shared" si="199"/>
        <v>1</v>
      </c>
      <c r="AE786" s="2">
        <f t="shared" si="200"/>
        <v>0</v>
      </c>
      <c r="AF786" s="2">
        <f t="shared" si="201"/>
        <v>0</v>
      </c>
      <c r="AG786" s="2">
        <f t="shared" si="202"/>
        <v>0</v>
      </c>
      <c r="AH786" s="2">
        <f t="shared" si="203"/>
        <v>2</v>
      </c>
      <c r="AI786" s="2">
        <f t="shared" si="204"/>
        <v>2</v>
      </c>
      <c r="AJ786" s="2">
        <f t="shared" si="205"/>
        <v>0</v>
      </c>
      <c r="AK786" s="2">
        <f t="shared" si="206"/>
        <v>0</v>
      </c>
      <c r="AL786" s="2">
        <f t="shared" si="207"/>
        <v>0</v>
      </c>
      <c r="AM786" s="115"/>
      <c r="AN786" s="115"/>
      <c r="AO786" s="63"/>
    </row>
    <row r="787" spans="1:41" ht="28.8" x14ac:dyDescent="0.55000000000000004">
      <c r="A787" s="36">
        <v>4925</v>
      </c>
      <c r="B787" s="113" t="s">
        <v>2699</v>
      </c>
      <c r="C787" s="139" t="s">
        <v>2700</v>
      </c>
      <c r="D787" s="114" t="s">
        <v>48</v>
      </c>
      <c r="E787" s="115" t="s">
        <v>2701</v>
      </c>
      <c r="F787" s="116"/>
      <c r="G787" s="113" t="s">
        <v>2698</v>
      </c>
      <c r="H787" s="113" t="s">
        <v>2702</v>
      </c>
      <c r="I787" s="113" t="s">
        <v>2693</v>
      </c>
      <c r="J787" s="117"/>
      <c r="K787" s="118"/>
      <c r="L787" s="109">
        <v>3</v>
      </c>
      <c r="M787" s="109">
        <v>2</v>
      </c>
      <c r="N787" s="109"/>
      <c r="O787" s="119"/>
      <c r="P787" s="2">
        <f t="shared" si="192"/>
        <v>3</v>
      </c>
      <c r="Q787" s="110" t="str">
        <f>IF(AND(Drops!$D$45&gt;1,OR(U787&lt;&gt;U786,AND(ROW()=5,U786=U787))),VLOOKUP(U787,Drops!$D$26:$E$44,2,FALSE),"")</f>
        <v/>
      </c>
      <c r="R787" s="2" t="str">
        <f t="shared" si="193"/>
        <v/>
      </c>
      <c r="S787" s="2">
        <f t="shared" ca="1" si="194"/>
        <v>3</v>
      </c>
      <c r="T787" s="2">
        <f t="shared" si="195"/>
        <v>0</v>
      </c>
      <c r="U787" s="110" t="s">
        <v>2694</v>
      </c>
      <c r="V787" s="110">
        <v>1</v>
      </c>
      <c r="W787" s="110">
        <v>1</v>
      </c>
      <c r="X787" s="110">
        <v>1</v>
      </c>
      <c r="Y787" s="110">
        <v>0</v>
      </c>
      <c r="Z787" s="110">
        <v>0</v>
      </c>
      <c r="AA787" s="2">
        <f t="shared" si="196"/>
        <v>1</v>
      </c>
      <c r="AB787" s="2">
        <f t="shared" si="197"/>
        <v>0</v>
      </c>
      <c r="AC787" s="2">
        <f t="shared" si="198"/>
        <v>1</v>
      </c>
      <c r="AD787" s="2">
        <f t="shared" si="199"/>
        <v>1</v>
      </c>
      <c r="AE787" s="2">
        <f t="shared" si="200"/>
        <v>3</v>
      </c>
      <c r="AF787" s="2">
        <f t="shared" si="201"/>
        <v>3</v>
      </c>
      <c r="AG787" s="2">
        <f t="shared" si="202"/>
        <v>3</v>
      </c>
      <c r="AH787" s="2">
        <f t="shared" si="203"/>
        <v>2</v>
      </c>
      <c r="AI787" s="2">
        <f t="shared" si="204"/>
        <v>2</v>
      </c>
      <c r="AJ787" s="2">
        <f t="shared" si="205"/>
        <v>1</v>
      </c>
      <c r="AK787" s="2">
        <f t="shared" si="206"/>
        <v>0</v>
      </c>
      <c r="AL787" s="2">
        <f t="shared" si="207"/>
        <v>0</v>
      </c>
      <c r="AM787" s="115"/>
      <c r="AN787" s="115"/>
      <c r="AO787" s="63"/>
    </row>
    <row r="788" spans="1:41" ht="28.8" x14ac:dyDescent="0.55000000000000004">
      <c r="A788" s="36">
        <v>4926</v>
      </c>
      <c r="B788" s="113" t="s">
        <v>2703</v>
      </c>
      <c r="C788" s="139" t="s">
        <v>2704</v>
      </c>
      <c r="D788" s="114" t="s">
        <v>48</v>
      </c>
      <c r="E788" s="115" t="s">
        <v>2701</v>
      </c>
      <c r="F788" s="116"/>
      <c r="G788" s="113" t="s">
        <v>2698</v>
      </c>
      <c r="H788" s="113" t="s">
        <v>2702</v>
      </c>
      <c r="I788" s="113" t="s">
        <v>2693</v>
      </c>
      <c r="J788" s="117"/>
      <c r="K788" s="118"/>
      <c r="L788" s="109">
        <v>3</v>
      </c>
      <c r="M788" s="109">
        <v>2</v>
      </c>
      <c r="N788" s="109"/>
      <c r="O788" s="119"/>
      <c r="P788" s="2">
        <f t="shared" si="192"/>
        <v>3</v>
      </c>
      <c r="Q788" s="110" t="str">
        <f>IF(AND(Drops!$D$45&gt;1,OR(U788&lt;&gt;U787,AND(ROW()=5,U787=U788))),VLOOKUP(U788,Drops!$D$26:$E$44,2,FALSE),"")</f>
        <v/>
      </c>
      <c r="R788" s="2" t="str">
        <f t="shared" si="193"/>
        <v/>
      </c>
      <c r="S788" s="2">
        <f t="shared" ca="1" si="194"/>
        <v>3</v>
      </c>
      <c r="T788" s="2">
        <f t="shared" si="195"/>
        <v>0</v>
      </c>
      <c r="U788" s="110" t="s">
        <v>2694</v>
      </c>
      <c r="V788" s="110">
        <v>1</v>
      </c>
      <c r="W788" s="110">
        <v>1</v>
      </c>
      <c r="X788" s="110">
        <v>2</v>
      </c>
      <c r="Y788" s="110">
        <v>0</v>
      </c>
      <c r="Z788" s="110">
        <v>0</v>
      </c>
      <c r="AA788" s="2">
        <f t="shared" si="196"/>
        <v>1</v>
      </c>
      <c r="AB788" s="2">
        <f t="shared" si="197"/>
        <v>0</v>
      </c>
      <c r="AC788" s="2">
        <f t="shared" si="198"/>
        <v>1</v>
      </c>
      <c r="AD788" s="2">
        <f t="shared" si="199"/>
        <v>1</v>
      </c>
      <c r="AE788" s="2">
        <f t="shared" si="200"/>
        <v>3</v>
      </c>
      <c r="AF788" s="2">
        <f t="shared" si="201"/>
        <v>3</v>
      </c>
      <c r="AG788" s="2">
        <f t="shared" si="202"/>
        <v>3</v>
      </c>
      <c r="AH788" s="2">
        <f t="shared" si="203"/>
        <v>2</v>
      </c>
      <c r="AI788" s="2">
        <f t="shared" si="204"/>
        <v>2</v>
      </c>
      <c r="AJ788" s="2">
        <f t="shared" si="205"/>
        <v>1</v>
      </c>
      <c r="AK788" s="2">
        <f t="shared" si="206"/>
        <v>0</v>
      </c>
      <c r="AL788" s="2">
        <f t="shared" si="207"/>
        <v>0</v>
      </c>
      <c r="AM788" s="115"/>
      <c r="AN788" s="115"/>
      <c r="AO788" s="63"/>
    </row>
    <row r="789" spans="1:41" ht="43.2" x14ac:dyDescent="0.55000000000000004">
      <c r="A789" s="36">
        <v>5886</v>
      </c>
      <c r="B789" s="113" t="s">
        <v>2705</v>
      </c>
      <c r="C789" s="139" t="s">
        <v>2706</v>
      </c>
      <c r="D789" s="114" t="s">
        <v>52</v>
      </c>
      <c r="E789" s="115"/>
      <c r="F789" s="116"/>
      <c r="G789" s="113" t="s">
        <v>2698</v>
      </c>
      <c r="H789" s="113" t="s">
        <v>2707</v>
      </c>
      <c r="I789" s="113" t="s">
        <v>2708</v>
      </c>
      <c r="J789" s="117"/>
      <c r="K789" s="118"/>
      <c r="L789" s="109">
        <v>3</v>
      </c>
      <c r="M789" s="109">
        <v>2</v>
      </c>
      <c r="N789" s="109"/>
      <c r="O789" s="119"/>
      <c r="P789" s="2">
        <f t="shared" si="192"/>
        <v>1</v>
      </c>
      <c r="Q789" s="110" t="str">
        <f>IF(AND(Drops!$D$45&gt;1,OR(U789&lt;&gt;U788,AND(ROW()=5,U788=U789))),VLOOKUP(U789,Drops!$D$26:$E$44,2,FALSE),"")</f>
        <v/>
      </c>
      <c r="R789" s="2" t="str">
        <f t="shared" si="193"/>
        <v/>
      </c>
      <c r="S789" s="2">
        <f t="shared" ca="1" si="194"/>
        <v>1</v>
      </c>
      <c r="T789" s="2">
        <f t="shared" si="195"/>
        <v>0</v>
      </c>
      <c r="U789" s="110" t="s">
        <v>2694</v>
      </c>
      <c r="V789" s="110">
        <v>1</v>
      </c>
      <c r="W789" s="110">
        <v>1</v>
      </c>
      <c r="X789" s="110">
        <v>3</v>
      </c>
      <c r="Y789" s="110">
        <v>0</v>
      </c>
      <c r="Z789" s="110">
        <v>0</v>
      </c>
      <c r="AA789" s="2">
        <f t="shared" si="196"/>
        <v>1</v>
      </c>
      <c r="AB789" s="2">
        <f t="shared" si="197"/>
        <v>0</v>
      </c>
      <c r="AC789" s="2">
        <f t="shared" si="198"/>
        <v>1</v>
      </c>
      <c r="AD789" s="2">
        <f t="shared" si="199"/>
        <v>1</v>
      </c>
      <c r="AE789" s="2">
        <f t="shared" si="200"/>
        <v>1</v>
      </c>
      <c r="AF789" s="2">
        <f t="shared" si="201"/>
        <v>3</v>
      </c>
      <c r="AG789" s="2">
        <f t="shared" si="202"/>
        <v>3</v>
      </c>
      <c r="AH789" s="2">
        <f t="shared" si="203"/>
        <v>2</v>
      </c>
      <c r="AI789" s="2">
        <f t="shared" si="204"/>
        <v>2</v>
      </c>
      <c r="AJ789" s="2">
        <f t="shared" si="205"/>
        <v>2</v>
      </c>
      <c r="AK789" s="2">
        <f t="shared" si="206"/>
        <v>0</v>
      </c>
      <c r="AL789" s="2">
        <f t="shared" si="207"/>
        <v>0</v>
      </c>
      <c r="AM789" s="115"/>
      <c r="AN789" s="115"/>
      <c r="AO789" s="63"/>
    </row>
    <row r="790" spans="1:41" ht="43.2" x14ac:dyDescent="0.55000000000000004">
      <c r="A790" s="36">
        <v>5887</v>
      </c>
      <c r="B790" s="113" t="s">
        <v>2709</v>
      </c>
      <c r="C790" s="139" t="s">
        <v>2710</v>
      </c>
      <c r="D790" s="114" t="s">
        <v>52</v>
      </c>
      <c r="E790" s="115"/>
      <c r="F790" s="116"/>
      <c r="G790" s="113" t="s">
        <v>2698</v>
      </c>
      <c r="H790" s="113" t="s">
        <v>2707</v>
      </c>
      <c r="I790" s="113" t="s">
        <v>2708</v>
      </c>
      <c r="J790" s="117"/>
      <c r="K790" s="118"/>
      <c r="L790" s="109">
        <v>3</v>
      </c>
      <c r="M790" s="109">
        <v>2</v>
      </c>
      <c r="N790" s="109"/>
      <c r="O790" s="119"/>
      <c r="P790" s="2">
        <f t="shared" si="192"/>
        <v>1</v>
      </c>
      <c r="Q790" s="110" t="str">
        <f>IF(AND(Drops!$D$45&gt;1,OR(U790&lt;&gt;U789,AND(ROW()=5,U789=U790))),VLOOKUP(U790,Drops!$D$26:$E$44,2,FALSE),"")</f>
        <v/>
      </c>
      <c r="R790" s="2" t="str">
        <f t="shared" si="193"/>
        <v/>
      </c>
      <c r="S790" s="2">
        <f t="shared" ca="1" si="194"/>
        <v>1</v>
      </c>
      <c r="T790" s="2">
        <f t="shared" si="195"/>
        <v>0</v>
      </c>
      <c r="U790" s="110" t="s">
        <v>2694</v>
      </c>
      <c r="V790" s="110">
        <v>1</v>
      </c>
      <c r="W790" s="110">
        <v>1</v>
      </c>
      <c r="X790" s="110">
        <v>4</v>
      </c>
      <c r="Y790" s="110">
        <v>0</v>
      </c>
      <c r="Z790" s="110">
        <v>0</v>
      </c>
      <c r="AA790" s="2">
        <f t="shared" si="196"/>
        <v>1</v>
      </c>
      <c r="AB790" s="2">
        <f t="shared" si="197"/>
        <v>0</v>
      </c>
      <c r="AC790" s="2">
        <f t="shared" si="198"/>
        <v>1</v>
      </c>
      <c r="AD790" s="2">
        <f t="shared" si="199"/>
        <v>1</v>
      </c>
      <c r="AE790" s="2">
        <f t="shared" si="200"/>
        <v>1</v>
      </c>
      <c r="AF790" s="2">
        <f t="shared" si="201"/>
        <v>3</v>
      </c>
      <c r="AG790" s="2">
        <f t="shared" si="202"/>
        <v>3</v>
      </c>
      <c r="AH790" s="2">
        <f t="shared" si="203"/>
        <v>2</v>
      </c>
      <c r="AI790" s="2">
        <f t="shared" si="204"/>
        <v>2</v>
      </c>
      <c r="AJ790" s="2">
        <f t="shared" si="205"/>
        <v>2</v>
      </c>
      <c r="AK790" s="2">
        <f t="shared" si="206"/>
        <v>0</v>
      </c>
      <c r="AL790" s="2">
        <f t="shared" si="207"/>
        <v>0</v>
      </c>
      <c r="AM790" s="115"/>
      <c r="AN790" s="115"/>
      <c r="AO790" s="63"/>
    </row>
    <row r="791" spans="1:41" ht="57.6" x14ac:dyDescent="0.55000000000000004">
      <c r="A791" s="36">
        <v>4927</v>
      </c>
      <c r="B791" s="113" t="s">
        <v>2711</v>
      </c>
      <c r="C791" s="138" t="s">
        <v>2712</v>
      </c>
      <c r="D791" s="114" t="s">
        <v>48</v>
      </c>
      <c r="E791" s="115" t="s">
        <v>2713</v>
      </c>
      <c r="F791" s="116"/>
      <c r="G791" s="113" t="s">
        <v>2698</v>
      </c>
      <c r="H791" s="113" t="s">
        <v>2692</v>
      </c>
      <c r="I791" s="113" t="s">
        <v>2693</v>
      </c>
      <c r="J791" s="117"/>
      <c r="K791" s="118"/>
      <c r="L791" s="109">
        <v>2</v>
      </c>
      <c r="M791" s="109">
        <v>1</v>
      </c>
      <c r="N791" s="109"/>
      <c r="O791" s="119"/>
      <c r="P791" s="2">
        <f t="shared" si="192"/>
        <v>3</v>
      </c>
      <c r="Q791" s="110" t="str">
        <f>IF(AND(Drops!$D$45&gt;1,OR(U791&lt;&gt;U790,AND(ROW()=5,U790=U791))),VLOOKUP(U791,Drops!$D$26:$E$44,2,FALSE),"")</f>
        <v/>
      </c>
      <c r="R791" s="2" t="str">
        <f t="shared" si="193"/>
        <v/>
      </c>
      <c r="S791" s="2">
        <f t="shared" ca="1" si="194"/>
        <v>3</v>
      </c>
      <c r="T791" s="2">
        <f t="shared" si="195"/>
        <v>0</v>
      </c>
      <c r="U791" s="110" t="s">
        <v>2694</v>
      </c>
      <c r="V791" s="110">
        <v>1</v>
      </c>
      <c r="W791" s="110">
        <v>2</v>
      </c>
      <c r="X791" s="110">
        <v>0</v>
      </c>
      <c r="Y791" s="110">
        <v>0</v>
      </c>
      <c r="Z791" s="110">
        <v>0</v>
      </c>
      <c r="AA791" s="2">
        <f t="shared" si="196"/>
        <v>1</v>
      </c>
      <c r="AB791" s="2">
        <f t="shared" si="197"/>
        <v>1</v>
      </c>
      <c r="AC791" s="2">
        <f t="shared" si="198"/>
        <v>1</v>
      </c>
      <c r="AD791" s="2">
        <f t="shared" si="199"/>
        <v>3</v>
      </c>
      <c r="AE791" s="2">
        <f t="shared" si="200"/>
        <v>3</v>
      </c>
      <c r="AF791" s="2">
        <f t="shared" si="201"/>
        <v>3</v>
      </c>
      <c r="AG791" s="2">
        <f t="shared" si="202"/>
        <v>3</v>
      </c>
      <c r="AH791" s="2">
        <f t="shared" si="203"/>
        <v>2</v>
      </c>
      <c r="AI791" s="2">
        <f t="shared" si="204"/>
        <v>1</v>
      </c>
      <c r="AJ791" s="2">
        <f t="shared" si="205"/>
        <v>2</v>
      </c>
      <c r="AK791" s="2">
        <f t="shared" si="206"/>
        <v>0</v>
      </c>
      <c r="AL791" s="2">
        <f t="shared" si="207"/>
        <v>0</v>
      </c>
      <c r="AM791" s="115"/>
      <c r="AN791" s="115"/>
      <c r="AO791" s="63"/>
    </row>
    <row r="792" spans="1:41" ht="43.2" x14ac:dyDescent="0.55000000000000004">
      <c r="A792" s="36">
        <v>4475</v>
      </c>
      <c r="B792" s="113" t="s">
        <v>2714</v>
      </c>
      <c r="C792" s="139" t="s">
        <v>2715</v>
      </c>
      <c r="D792" s="114" t="s">
        <v>48</v>
      </c>
      <c r="E792" s="115" t="s">
        <v>2713</v>
      </c>
      <c r="F792" s="116"/>
      <c r="G792" s="113" t="s">
        <v>2698</v>
      </c>
      <c r="H792" s="113" t="s">
        <v>2716</v>
      </c>
      <c r="I792" s="113" t="s">
        <v>2717</v>
      </c>
      <c r="J792" s="117"/>
      <c r="K792" s="118"/>
      <c r="L792" s="109">
        <v>3</v>
      </c>
      <c r="M792" s="109">
        <v>2</v>
      </c>
      <c r="N792" s="109"/>
      <c r="O792" s="119"/>
      <c r="P792" s="2">
        <f t="shared" si="192"/>
        <v>3</v>
      </c>
      <c r="Q792" s="110" t="str">
        <f>IF(AND(Drops!$D$45&gt;1,OR(U792&lt;&gt;U791,AND(ROW()=5,U791=U792))),VLOOKUP(U792,Drops!$D$26:$E$44,2,FALSE),"")</f>
        <v/>
      </c>
      <c r="R792" s="2" t="str">
        <f t="shared" si="193"/>
        <v/>
      </c>
      <c r="S792" s="2">
        <f t="shared" ca="1" si="194"/>
        <v>3</v>
      </c>
      <c r="T792" s="2">
        <f t="shared" si="195"/>
        <v>0</v>
      </c>
      <c r="U792" s="110" t="s">
        <v>2694</v>
      </c>
      <c r="V792" s="110">
        <v>1</v>
      </c>
      <c r="W792" s="110">
        <v>2</v>
      </c>
      <c r="X792" s="110">
        <v>1</v>
      </c>
      <c r="Y792" s="110">
        <v>0</v>
      </c>
      <c r="Z792" s="110">
        <v>0</v>
      </c>
      <c r="AA792" s="2">
        <f t="shared" si="196"/>
        <v>1</v>
      </c>
      <c r="AB792" s="2">
        <f t="shared" si="197"/>
        <v>0</v>
      </c>
      <c r="AC792" s="2">
        <f t="shared" si="198"/>
        <v>1</v>
      </c>
      <c r="AD792" s="2">
        <f t="shared" si="199"/>
        <v>3</v>
      </c>
      <c r="AE792" s="2">
        <f t="shared" si="200"/>
        <v>3</v>
      </c>
      <c r="AF792" s="2">
        <f t="shared" si="201"/>
        <v>3</v>
      </c>
      <c r="AG792" s="2">
        <f t="shared" si="202"/>
        <v>3</v>
      </c>
      <c r="AH792" s="2">
        <f t="shared" si="203"/>
        <v>2</v>
      </c>
      <c r="AI792" s="2">
        <f t="shared" si="204"/>
        <v>0</v>
      </c>
      <c r="AJ792" s="2">
        <f t="shared" si="205"/>
        <v>1</v>
      </c>
      <c r="AK792" s="2">
        <f t="shared" si="206"/>
        <v>0</v>
      </c>
      <c r="AL792" s="2">
        <f t="shared" si="207"/>
        <v>0</v>
      </c>
      <c r="AM792" s="115"/>
      <c r="AN792" s="115"/>
      <c r="AO792" s="63"/>
    </row>
    <row r="793" spans="1:41" ht="72" x14ac:dyDescent="0.55000000000000004">
      <c r="A793" s="36">
        <v>4474</v>
      </c>
      <c r="B793" s="113" t="s">
        <v>2718</v>
      </c>
      <c r="C793" s="138" t="s">
        <v>2719</v>
      </c>
      <c r="D793" s="114" t="s">
        <v>55</v>
      </c>
      <c r="E793" s="115" t="s">
        <v>2720</v>
      </c>
      <c r="F793" s="116"/>
      <c r="G793" s="113" t="s">
        <v>2721</v>
      </c>
      <c r="H793" s="113" t="s">
        <v>2722</v>
      </c>
      <c r="I793" s="113" t="s">
        <v>2693</v>
      </c>
      <c r="J793" s="117"/>
      <c r="K793" s="118"/>
      <c r="L793" s="109">
        <v>2</v>
      </c>
      <c r="M793" s="109">
        <v>1</v>
      </c>
      <c r="N793" s="109"/>
      <c r="O793" s="119"/>
      <c r="P793" s="2">
        <f t="shared" si="192"/>
        <v>2</v>
      </c>
      <c r="Q793" s="110" t="str">
        <f>IF(AND(Drops!$D$45&gt;1,OR(U793&lt;&gt;U792,AND(ROW()=5,U792=U793))),VLOOKUP(U793,Drops!$D$26:$E$44,2,FALSE),"")</f>
        <v/>
      </c>
      <c r="R793" s="2" t="str">
        <f t="shared" si="193"/>
        <v/>
      </c>
      <c r="S793" s="2">
        <f t="shared" ca="1" si="194"/>
        <v>2</v>
      </c>
      <c r="T793" s="2">
        <f t="shared" si="195"/>
        <v>0</v>
      </c>
      <c r="U793" s="110" t="s">
        <v>2694</v>
      </c>
      <c r="V793" s="110">
        <v>1</v>
      </c>
      <c r="W793" s="110">
        <v>3</v>
      </c>
      <c r="X793" s="110">
        <v>0</v>
      </c>
      <c r="Y793" s="110">
        <v>0</v>
      </c>
      <c r="Z793" s="110">
        <v>0</v>
      </c>
      <c r="AA793" s="2">
        <f t="shared" si="196"/>
        <v>1</v>
      </c>
      <c r="AB793" s="2">
        <f t="shared" si="197"/>
        <v>1</v>
      </c>
      <c r="AC793" s="2">
        <f t="shared" si="198"/>
        <v>1</v>
      </c>
      <c r="AD793" s="2">
        <f t="shared" si="199"/>
        <v>2</v>
      </c>
      <c r="AE793" s="2">
        <f t="shared" si="200"/>
        <v>2</v>
      </c>
      <c r="AF793" s="2">
        <f t="shared" si="201"/>
        <v>2</v>
      </c>
      <c r="AG793" s="2">
        <f t="shared" si="202"/>
        <v>2</v>
      </c>
      <c r="AH793" s="2">
        <f t="shared" si="203"/>
        <v>2</v>
      </c>
      <c r="AI793" s="2">
        <f t="shared" si="204"/>
        <v>1</v>
      </c>
      <c r="AJ793" s="2">
        <f t="shared" si="205"/>
        <v>0</v>
      </c>
      <c r="AK793" s="2">
        <f t="shared" si="206"/>
        <v>0</v>
      </c>
      <c r="AL793" s="2">
        <f t="shared" si="207"/>
        <v>0</v>
      </c>
      <c r="AM793" s="115"/>
      <c r="AN793" s="115"/>
      <c r="AO793" s="63"/>
    </row>
    <row r="794" spans="1:41" ht="28.8" x14ac:dyDescent="0.55000000000000004">
      <c r="A794" s="36">
        <v>3696</v>
      </c>
      <c r="B794" s="113" t="s">
        <v>2723</v>
      </c>
      <c r="C794" s="139" t="s">
        <v>2724</v>
      </c>
      <c r="D794" s="114" t="s">
        <v>48</v>
      </c>
      <c r="E794" s="115" t="s">
        <v>2725</v>
      </c>
      <c r="F794" s="116"/>
      <c r="G794" s="113" t="s">
        <v>2721</v>
      </c>
      <c r="H794" s="113" t="s">
        <v>2726</v>
      </c>
      <c r="I794" s="113" t="s">
        <v>2693</v>
      </c>
      <c r="J794" s="117"/>
      <c r="K794" s="118"/>
      <c r="L794" s="109">
        <v>3</v>
      </c>
      <c r="M794" s="109">
        <v>2</v>
      </c>
      <c r="N794" s="109"/>
      <c r="O794" s="119"/>
      <c r="P794" s="2">
        <f t="shared" si="192"/>
        <v>3</v>
      </c>
      <c r="Q794" s="110" t="str">
        <f>IF(AND(Drops!$D$45&gt;1,OR(U794&lt;&gt;U793,AND(ROW()=5,U793=U794))),VLOOKUP(U794,Drops!$D$26:$E$44,2,FALSE),"")</f>
        <v/>
      </c>
      <c r="R794" s="2" t="str">
        <f t="shared" si="193"/>
        <v/>
      </c>
      <c r="S794" s="2">
        <f t="shared" ca="1" si="194"/>
        <v>2</v>
      </c>
      <c r="T794" s="2">
        <f t="shared" si="195"/>
        <v>0</v>
      </c>
      <c r="U794" s="110" t="s">
        <v>2694</v>
      </c>
      <c r="V794" s="110">
        <v>1</v>
      </c>
      <c r="W794" s="110">
        <v>3</v>
      </c>
      <c r="X794" s="110">
        <v>1</v>
      </c>
      <c r="Y794" s="110">
        <v>0</v>
      </c>
      <c r="Z794" s="110">
        <v>0</v>
      </c>
      <c r="AA794" s="2">
        <f t="shared" si="196"/>
        <v>1</v>
      </c>
      <c r="AB794" s="2">
        <f t="shared" si="197"/>
        <v>0</v>
      </c>
      <c r="AC794" s="2">
        <f t="shared" si="198"/>
        <v>1</v>
      </c>
      <c r="AD794" s="2">
        <f t="shared" si="199"/>
        <v>2</v>
      </c>
      <c r="AE794" s="2">
        <f t="shared" si="200"/>
        <v>2</v>
      </c>
      <c r="AF794" s="2">
        <f t="shared" si="201"/>
        <v>2</v>
      </c>
      <c r="AG794" s="2">
        <f t="shared" si="202"/>
        <v>2</v>
      </c>
      <c r="AH794" s="2">
        <f t="shared" si="203"/>
        <v>2</v>
      </c>
      <c r="AI794" s="2">
        <f t="shared" si="204"/>
        <v>0</v>
      </c>
      <c r="AJ794" s="2">
        <f t="shared" si="205"/>
        <v>1</v>
      </c>
      <c r="AK794" s="2">
        <f t="shared" si="206"/>
        <v>0</v>
      </c>
      <c r="AL794" s="2">
        <f t="shared" si="207"/>
        <v>0</v>
      </c>
      <c r="AM794" s="115"/>
      <c r="AN794" s="115"/>
      <c r="AO794" s="63"/>
    </row>
    <row r="795" spans="1:41" ht="43.2" x14ac:dyDescent="0.55000000000000004">
      <c r="A795" s="36">
        <v>3699</v>
      </c>
      <c r="B795" s="113" t="s">
        <v>2727</v>
      </c>
      <c r="C795" s="139" t="s">
        <v>2728</v>
      </c>
      <c r="D795" s="114" t="s">
        <v>48</v>
      </c>
      <c r="E795" s="115" t="s">
        <v>2725</v>
      </c>
      <c r="F795" s="116"/>
      <c r="G795" s="113" t="s">
        <v>2721</v>
      </c>
      <c r="H795" s="113" t="s">
        <v>2729</v>
      </c>
      <c r="I795" s="113" t="s">
        <v>2693</v>
      </c>
      <c r="J795" s="117"/>
      <c r="K795" s="118"/>
      <c r="L795" s="109">
        <v>3</v>
      </c>
      <c r="M795" s="109">
        <v>3</v>
      </c>
      <c r="N795" s="109"/>
      <c r="O795" s="119"/>
      <c r="P795" s="2">
        <f t="shared" si="192"/>
        <v>3</v>
      </c>
      <c r="Q795" s="110" t="str">
        <f>IF(AND(Drops!$D$45&gt;1,OR(U795&lt;&gt;U794,AND(ROW()=5,U794=U795))),VLOOKUP(U795,Drops!$D$26:$E$44,2,FALSE),"")</f>
        <v/>
      </c>
      <c r="R795" s="2" t="str">
        <f t="shared" si="193"/>
        <v/>
      </c>
      <c r="S795" s="2">
        <f t="shared" ca="1" si="194"/>
        <v>2</v>
      </c>
      <c r="T795" s="2">
        <f t="shared" si="195"/>
        <v>0</v>
      </c>
      <c r="U795" s="110" t="s">
        <v>2694</v>
      </c>
      <c r="V795" s="110">
        <v>1</v>
      </c>
      <c r="W795" s="110">
        <v>3</v>
      </c>
      <c r="X795" s="110">
        <v>2</v>
      </c>
      <c r="Y795" s="110">
        <v>0</v>
      </c>
      <c r="Z795" s="110">
        <v>0</v>
      </c>
      <c r="AA795" s="2">
        <f t="shared" si="196"/>
        <v>1</v>
      </c>
      <c r="AB795" s="2">
        <f t="shared" si="197"/>
        <v>0</v>
      </c>
      <c r="AC795" s="2">
        <f t="shared" si="198"/>
        <v>1</v>
      </c>
      <c r="AD795" s="2">
        <f t="shared" si="199"/>
        <v>2</v>
      </c>
      <c r="AE795" s="2">
        <f t="shared" si="200"/>
        <v>2</v>
      </c>
      <c r="AF795" s="2">
        <f t="shared" si="201"/>
        <v>2</v>
      </c>
      <c r="AG795" s="2">
        <f t="shared" si="202"/>
        <v>2</v>
      </c>
      <c r="AH795" s="2">
        <f t="shared" si="203"/>
        <v>2</v>
      </c>
      <c r="AI795" s="2">
        <f t="shared" si="204"/>
        <v>0</v>
      </c>
      <c r="AJ795" s="2">
        <f t="shared" si="205"/>
        <v>1</v>
      </c>
      <c r="AK795" s="2">
        <f t="shared" si="206"/>
        <v>0</v>
      </c>
      <c r="AL795" s="2">
        <f t="shared" si="207"/>
        <v>0</v>
      </c>
      <c r="AM795" s="115"/>
      <c r="AN795" s="115"/>
      <c r="AO795" s="63"/>
    </row>
    <row r="796" spans="1:41" ht="43.2" x14ac:dyDescent="0.55000000000000004">
      <c r="A796" s="36">
        <v>3702</v>
      </c>
      <c r="B796" s="113" t="s">
        <v>2730</v>
      </c>
      <c r="C796" s="139" t="s">
        <v>2731</v>
      </c>
      <c r="D796" s="114" t="s">
        <v>48</v>
      </c>
      <c r="E796" s="115" t="s">
        <v>2725</v>
      </c>
      <c r="F796" s="116"/>
      <c r="G796" s="113" t="s">
        <v>2721</v>
      </c>
      <c r="H796" s="113" t="s">
        <v>2732</v>
      </c>
      <c r="I796" s="113" t="s">
        <v>2733</v>
      </c>
      <c r="J796" s="117"/>
      <c r="K796" s="118"/>
      <c r="L796" s="109">
        <v>3</v>
      </c>
      <c r="M796" s="109">
        <v>3</v>
      </c>
      <c r="N796" s="109"/>
      <c r="O796" s="119"/>
      <c r="P796" s="2">
        <f t="shared" si="192"/>
        <v>3</v>
      </c>
      <c r="Q796" s="110" t="str">
        <f>IF(AND(Drops!$D$45&gt;1,OR(U796&lt;&gt;U795,AND(ROW()=5,U795=U796))),VLOOKUP(U796,Drops!$D$26:$E$44,2,FALSE),"")</f>
        <v/>
      </c>
      <c r="R796" s="2" t="str">
        <f t="shared" si="193"/>
        <v/>
      </c>
      <c r="S796" s="2">
        <f t="shared" ca="1" si="194"/>
        <v>2</v>
      </c>
      <c r="T796" s="2">
        <f t="shared" si="195"/>
        <v>0</v>
      </c>
      <c r="U796" s="110" t="s">
        <v>2694</v>
      </c>
      <c r="V796" s="110">
        <v>1</v>
      </c>
      <c r="W796" s="110">
        <v>3</v>
      </c>
      <c r="X796" s="110">
        <v>3</v>
      </c>
      <c r="Y796" s="110">
        <v>0</v>
      </c>
      <c r="Z796" s="110">
        <v>0</v>
      </c>
      <c r="AA796" s="2">
        <f t="shared" si="196"/>
        <v>1</v>
      </c>
      <c r="AB796" s="2">
        <f t="shared" si="197"/>
        <v>0</v>
      </c>
      <c r="AC796" s="2">
        <f t="shared" si="198"/>
        <v>1</v>
      </c>
      <c r="AD796" s="2">
        <f t="shared" si="199"/>
        <v>2</v>
      </c>
      <c r="AE796" s="2">
        <f t="shared" si="200"/>
        <v>2</v>
      </c>
      <c r="AF796" s="2">
        <f t="shared" si="201"/>
        <v>2</v>
      </c>
      <c r="AG796" s="2">
        <f t="shared" si="202"/>
        <v>2</v>
      </c>
      <c r="AH796" s="2">
        <f t="shared" si="203"/>
        <v>2</v>
      </c>
      <c r="AI796" s="2">
        <f t="shared" si="204"/>
        <v>0</v>
      </c>
      <c r="AJ796" s="2">
        <f t="shared" si="205"/>
        <v>1</v>
      </c>
      <c r="AK796" s="2">
        <f t="shared" si="206"/>
        <v>0</v>
      </c>
      <c r="AL796" s="2">
        <f t="shared" si="207"/>
        <v>0</v>
      </c>
      <c r="AM796" s="115"/>
      <c r="AN796" s="115"/>
      <c r="AO796" s="63"/>
    </row>
    <row r="797" spans="1:41" ht="43.2" x14ac:dyDescent="0.55000000000000004">
      <c r="A797" s="36">
        <v>3701</v>
      </c>
      <c r="B797" s="113" t="s">
        <v>2734</v>
      </c>
      <c r="C797" s="139" t="s">
        <v>2735</v>
      </c>
      <c r="D797" s="114" t="s">
        <v>48</v>
      </c>
      <c r="E797" s="115" t="s">
        <v>2725</v>
      </c>
      <c r="F797" s="116"/>
      <c r="G797" s="113" t="s">
        <v>2721</v>
      </c>
      <c r="H797" s="113" t="s">
        <v>2707</v>
      </c>
      <c r="I797" s="113" t="s">
        <v>2708</v>
      </c>
      <c r="J797" s="117"/>
      <c r="K797" s="118"/>
      <c r="L797" s="109">
        <v>3</v>
      </c>
      <c r="M797" s="109">
        <v>2</v>
      </c>
      <c r="N797" s="109"/>
      <c r="O797" s="119"/>
      <c r="P797" s="2">
        <f t="shared" si="192"/>
        <v>3</v>
      </c>
      <c r="Q797" s="110" t="str">
        <f>IF(AND(Drops!$D$45&gt;1,OR(U797&lt;&gt;U796,AND(ROW()=5,U796=U797))),VLOOKUP(U797,Drops!$D$26:$E$44,2,FALSE),"")</f>
        <v/>
      </c>
      <c r="R797" s="2" t="str">
        <f t="shared" si="193"/>
        <v/>
      </c>
      <c r="S797" s="2">
        <f t="shared" ca="1" si="194"/>
        <v>2</v>
      </c>
      <c r="T797" s="2">
        <f t="shared" si="195"/>
        <v>0</v>
      </c>
      <c r="U797" s="110" t="s">
        <v>2694</v>
      </c>
      <c r="V797" s="110">
        <v>1</v>
      </c>
      <c r="W797" s="110">
        <v>3</v>
      </c>
      <c r="X797" s="110">
        <v>4</v>
      </c>
      <c r="Y797" s="110">
        <v>0</v>
      </c>
      <c r="Z797" s="110">
        <v>0</v>
      </c>
      <c r="AA797" s="2">
        <f t="shared" si="196"/>
        <v>1</v>
      </c>
      <c r="AB797" s="2">
        <f t="shared" si="197"/>
        <v>0</v>
      </c>
      <c r="AC797" s="2">
        <f t="shared" si="198"/>
        <v>1</v>
      </c>
      <c r="AD797" s="2">
        <f t="shared" si="199"/>
        <v>2</v>
      </c>
      <c r="AE797" s="2">
        <f t="shared" si="200"/>
        <v>2</v>
      </c>
      <c r="AF797" s="2">
        <f t="shared" si="201"/>
        <v>2</v>
      </c>
      <c r="AG797" s="2">
        <f t="shared" si="202"/>
        <v>2</v>
      </c>
      <c r="AH797" s="2">
        <f t="shared" si="203"/>
        <v>2</v>
      </c>
      <c r="AI797" s="2">
        <f t="shared" si="204"/>
        <v>0</v>
      </c>
      <c r="AJ797" s="2">
        <f t="shared" si="205"/>
        <v>1</v>
      </c>
      <c r="AK797" s="2">
        <f t="shared" si="206"/>
        <v>0</v>
      </c>
      <c r="AL797" s="2">
        <f t="shared" si="207"/>
        <v>0</v>
      </c>
      <c r="AM797" s="115"/>
      <c r="AN797" s="115"/>
      <c r="AO797" s="63"/>
    </row>
    <row r="798" spans="1:41" ht="43.2" x14ac:dyDescent="0.55000000000000004">
      <c r="A798" s="36">
        <v>4931</v>
      </c>
      <c r="B798" s="113" t="s">
        <v>2736</v>
      </c>
      <c r="C798" s="138" t="s">
        <v>2737</v>
      </c>
      <c r="D798" s="114" t="s">
        <v>52</v>
      </c>
      <c r="E798" s="115"/>
      <c r="F798" s="116"/>
      <c r="G798" s="113" t="s">
        <v>2738</v>
      </c>
      <c r="H798" s="113" t="s">
        <v>2722</v>
      </c>
      <c r="I798" s="113" t="s">
        <v>2693</v>
      </c>
      <c r="J798" s="117"/>
      <c r="K798" s="118"/>
      <c r="L798" s="109">
        <v>2</v>
      </c>
      <c r="M798" s="109">
        <v>1</v>
      </c>
      <c r="N798" s="109"/>
      <c r="O798" s="119"/>
      <c r="P798" s="2">
        <f t="shared" si="192"/>
        <v>1</v>
      </c>
      <c r="Q798" s="110" t="str">
        <f>IF(AND(Drops!$D$45&gt;1,OR(U798&lt;&gt;U797,AND(ROW()=5,U797=U798))),VLOOKUP(U798,Drops!$D$26:$E$44,2,FALSE),"")</f>
        <v/>
      </c>
      <c r="R798" s="2" t="str">
        <f t="shared" si="193"/>
        <v/>
      </c>
      <c r="S798" s="2">
        <f t="shared" ca="1" si="194"/>
        <v>1</v>
      </c>
      <c r="T798" s="2">
        <f t="shared" si="195"/>
        <v>0</v>
      </c>
      <c r="U798" s="110" t="s">
        <v>2694</v>
      </c>
      <c r="V798" s="110">
        <v>1</v>
      </c>
      <c r="W798" s="110">
        <v>4</v>
      </c>
      <c r="X798" s="110">
        <v>0</v>
      </c>
      <c r="Y798" s="110">
        <v>0</v>
      </c>
      <c r="Z798" s="110">
        <v>0</v>
      </c>
      <c r="AA798" s="2">
        <f t="shared" si="196"/>
        <v>1</v>
      </c>
      <c r="AB798" s="2">
        <f t="shared" si="197"/>
        <v>1</v>
      </c>
      <c r="AC798" s="2">
        <f t="shared" si="198"/>
        <v>1</v>
      </c>
      <c r="AD798" s="2">
        <f t="shared" si="199"/>
        <v>1</v>
      </c>
      <c r="AE798" s="2">
        <f t="shared" si="200"/>
        <v>0</v>
      </c>
      <c r="AF798" s="2">
        <f t="shared" si="201"/>
        <v>2</v>
      </c>
      <c r="AG798" s="2">
        <f t="shared" si="202"/>
        <v>2</v>
      </c>
      <c r="AH798" s="2">
        <f t="shared" si="203"/>
        <v>2</v>
      </c>
      <c r="AI798" s="2">
        <f t="shared" si="204"/>
        <v>2</v>
      </c>
      <c r="AJ798" s="2">
        <f t="shared" si="205"/>
        <v>0</v>
      </c>
      <c r="AK798" s="2">
        <f t="shared" si="206"/>
        <v>0</v>
      </c>
      <c r="AL798" s="2">
        <f t="shared" si="207"/>
        <v>0</v>
      </c>
      <c r="AM798" s="115"/>
      <c r="AN798" s="115"/>
      <c r="AO798" s="63"/>
    </row>
    <row r="799" spans="1:41" ht="57.6" x14ac:dyDescent="0.55000000000000004">
      <c r="A799" s="36">
        <v>4932</v>
      </c>
      <c r="B799" s="113" t="s">
        <v>2739</v>
      </c>
      <c r="C799" s="139" t="s">
        <v>2740</v>
      </c>
      <c r="D799" s="114" t="s">
        <v>52</v>
      </c>
      <c r="E799" s="115"/>
      <c r="F799" s="116"/>
      <c r="G799" s="113" t="s">
        <v>2738</v>
      </c>
      <c r="H799" s="113" t="s">
        <v>2722</v>
      </c>
      <c r="I799" s="113" t="s">
        <v>2693</v>
      </c>
      <c r="J799" s="117"/>
      <c r="K799" s="118"/>
      <c r="L799" s="109">
        <v>3</v>
      </c>
      <c r="M799" s="109">
        <v>2</v>
      </c>
      <c r="N799" s="109"/>
      <c r="O799" s="119"/>
      <c r="P799" s="2">
        <f t="shared" si="192"/>
        <v>1</v>
      </c>
      <c r="Q799" s="110" t="str">
        <f>IF(AND(Drops!$D$45&gt;1,OR(U799&lt;&gt;U798,AND(ROW()=5,U798=U799))),VLOOKUP(U799,Drops!$D$26:$E$44,2,FALSE),"")</f>
        <v/>
      </c>
      <c r="R799" s="2" t="str">
        <f t="shared" si="193"/>
        <v/>
      </c>
      <c r="S799" s="2">
        <f t="shared" ca="1" si="194"/>
        <v>1</v>
      </c>
      <c r="T799" s="2">
        <f t="shared" si="195"/>
        <v>0</v>
      </c>
      <c r="U799" s="110" t="s">
        <v>2694</v>
      </c>
      <c r="V799" s="110">
        <v>1</v>
      </c>
      <c r="W799" s="110">
        <v>4</v>
      </c>
      <c r="X799" s="110">
        <v>1</v>
      </c>
      <c r="Y799" s="110">
        <v>0</v>
      </c>
      <c r="Z799" s="110">
        <v>0</v>
      </c>
      <c r="AA799" s="2">
        <f t="shared" si="196"/>
        <v>1</v>
      </c>
      <c r="AB799" s="2">
        <f t="shared" si="197"/>
        <v>0</v>
      </c>
      <c r="AC799" s="2">
        <f t="shared" si="198"/>
        <v>1</v>
      </c>
      <c r="AD799" s="2">
        <f t="shared" si="199"/>
        <v>1</v>
      </c>
      <c r="AE799" s="2">
        <f t="shared" si="200"/>
        <v>1</v>
      </c>
      <c r="AF799" s="2">
        <f t="shared" si="201"/>
        <v>2</v>
      </c>
      <c r="AG799" s="2">
        <f t="shared" si="202"/>
        <v>2</v>
      </c>
      <c r="AH799" s="2">
        <f t="shared" si="203"/>
        <v>2</v>
      </c>
      <c r="AI799" s="2">
        <f t="shared" si="204"/>
        <v>2</v>
      </c>
      <c r="AJ799" s="2">
        <f t="shared" si="205"/>
        <v>2</v>
      </c>
      <c r="AK799" s="2">
        <f t="shared" si="206"/>
        <v>0</v>
      </c>
      <c r="AL799" s="2">
        <f t="shared" si="207"/>
        <v>0</v>
      </c>
      <c r="AM799" s="115"/>
      <c r="AN799" s="115"/>
      <c r="AO799" s="63"/>
    </row>
    <row r="800" spans="1:41" ht="57.6" x14ac:dyDescent="0.55000000000000004">
      <c r="A800" s="36">
        <v>4477</v>
      </c>
      <c r="B800" s="113" t="s">
        <v>2741</v>
      </c>
      <c r="C800" s="138" t="s">
        <v>2742</v>
      </c>
      <c r="D800" s="114" t="s">
        <v>52</v>
      </c>
      <c r="E800" s="115"/>
      <c r="F800" s="116"/>
      <c r="G800" s="113" t="s">
        <v>2743</v>
      </c>
      <c r="H800" s="113" t="s">
        <v>2722</v>
      </c>
      <c r="I800" s="113" t="s">
        <v>2693</v>
      </c>
      <c r="J800" s="117"/>
      <c r="K800" s="118"/>
      <c r="L800" s="109">
        <v>2</v>
      </c>
      <c r="M800" s="109">
        <v>1</v>
      </c>
      <c r="N800" s="109"/>
      <c r="O800" s="119"/>
      <c r="P800" s="2">
        <f t="shared" si="192"/>
        <v>1</v>
      </c>
      <c r="Q800" s="110" t="str">
        <f>IF(AND(Drops!$D$45&gt;1,OR(U800&lt;&gt;U799,AND(ROW()=5,U799=U800))),VLOOKUP(U800,Drops!$D$26:$E$44,2,FALSE),"")</f>
        <v/>
      </c>
      <c r="R800" s="2" t="str">
        <f t="shared" si="193"/>
        <v/>
      </c>
      <c r="S800" s="2">
        <f t="shared" ca="1" si="194"/>
        <v>1</v>
      </c>
      <c r="T800" s="2">
        <f t="shared" si="195"/>
        <v>0</v>
      </c>
      <c r="U800" s="110" t="s">
        <v>2694</v>
      </c>
      <c r="V800" s="110">
        <v>1</v>
      </c>
      <c r="W800" s="110">
        <v>5</v>
      </c>
      <c r="X800" s="110">
        <v>0</v>
      </c>
      <c r="Y800" s="110">
        <v>0</v>
      </c>
      <c r="Z800" s="110">
        <v>0</v>
      </c>
      <c r="AA800" s="2">
        <f t="shared" si="196"/>
        <v>1</v>
      </c>
      <c r="AB800" s="2">
        <f t="shared" si="197"/>
        <v>1</v>
      </c>
      <c r="AC800" s="2">
        <f t="shared" si="198"/>
        <v>1</v>
      </c>
      <c r="AD800" s="2">
        <f t="shared" si="199"/>
        <v>1</v>
      </c>
      <c r="AE800" s="2">
        <f t="shared" si="200"/>
        <v>0</v>
      </c>
      <c r="AF800" s="2">
        <f t="shared" si="201"/>
        <v>2</v>
      </c>
      <c r="AG800" s="2">
        <f t="shared" si="202"/>
        <v>2</v>
      </c>
      <c r="AH800" s="2">
        <f t="shared" si="203"/>
        <v>2</v>
      </c>
      <c r="AI800" s="2">
        <f t="shared" si="204"/>
        <v>2</v>
      </c>
      <c r="AJ800" s="2">
        <f t="shared" si="205"/>
        <v>2</v>
      </c>
      <c r="AK800" s="2">
        <f t="shared" si="206"/>
        <v>0</v>
      </c>
      <c r="AL800" s="2">
        <f t="shared" si="207"/>
        <v>0</v>
      </c>
      <c r="AM800" s="115"/>
      <c r="AN800" s="115"/>
      <c r="AO800" s="63"/>
    </row>
    <row r="801" spans="1:41" ht="43.2" x14ac:dyDescent="0.55000000000000004">
      <c r="A801" s="36">
        <v>3713</v>
      </c>
      <c r="B801" s="113" t="s">
        <v>2744</v>
      </c>
      <c r="C801" s="139" t="s">
        <v>2745</v>
      </c>
      <c r="D801" s="114" t="s">
        <v>52</v>
      </c>
      <c r="E801" s="115"/>
      <c r="F801" s="116"/>
      <c r="G801" s="113" t="s">
        <v>2743</v>
      </c>
      <c r="H801" s="113" t="s">
        <v>2746</v>
      </c>
      <c r="I801" s="113" t="s">
        <v>2693</v>
      </c>
      <c r="J801" s="117"/>
      <c r="K801" s="118"/>
      <c r="L801" s="109">
        <v>3</v>
      </c>
      <c r="M801" s="109">
        <v>2</v>
      </c>
      <c r="N801" s="109"/>
      <c r="O801" s="119"/>
      <c r="P801" s="2">
        <f t="shared" si="192"/>
        <v>1</v>
      </c>
      <c r="Q801" s="110" t="str">
        <f>IF(AND(Drops!$D$45&gt;1,OR(U801&lt;&gt;U800,AND(ROW()=5,U800=U801))),VLOOKUP(U801,Drops!$D$26:$E$44,2,FALSE),"")</f>
        <v/>
      </c>
      <c r="R801" s="2" t="str">
        <f t="shared" si="193"/>
        <v/>
      </c>
      <c r="S801" s="2">
        <f t="shared" ca="1" si="194"/>
        <v>1</v>
      </c>
      <c r="T801" s="2">
        <f t="shared" si="195"/>
        <v>0</v>
      </c>
      <c r="U801" s="110" t="s">
        <v>2694</v>
      </c>
      <c r="V801" s="110">
        <v>1</v>
      </c>
      <c r="W801" s="110">
        <v>5</v>
      </c>
      <c r="X801" s="110">
        <v>1</v>
      </c>
      <c r="Y801" s="110">
        <v>0</v>
      </c>
      <c r="Z801" s="110">
        <v>0</v>
      </c>
      <c r="AA801" s="2">
        <f t="shared" si="196"/>
        <v>1</v>
      </c>
      <c r="AB801" s="2">
        <f t="shared" si="197"/>
        <v>0</v>
      </c>
      <c r="AC801" s="2">
        <f t="shared" si="198"/>
        <v>1</v>
      </c>
      <c r="AD801" s="2">
        <f t="shared" si="199"/>
        <v>1</v>
      </c>
      <c r="AE801" s="2">
        <f t="shared" si="200"/>
        <v>1</v>
      </c>
      <c r="AF801" s="2">
        <f t="shared" si="201"/>
        <v>2</v>
      </c>
      <c r="AG801" s="2">
        <f t="shared" si="202"/>
        <v>2</v>
      </c>
      <c r="AH801" s="2">
        <f t="shared" si="203"/>
        <v>2</v>
      </c>
      <c r="AI801" s="2">
        <f t="shared" si="204"/>
        <v>2</v>
      </c>
      <c r="AJ801" s="2">
        <f t="shared" si="205"/>
        <v>2</v>
      </c>
      <c r="AK801" s="2">
        <f t="shared" si="206"/>
        <v>0</v>
      </c>
      <c r="AL801" s="2">
        <f t="shared" si="207"/>
        <v>0</v>
      </c>
      <c r="AM801" s="115"/>
      <c r="AN801" s="115"/>
      <c r="AO801" s="63"/>
    </row>
    <row r="802" spans="1:41" ht="28.8" x14ac:dyDescent="0.55000000000000004">
      <c r="A802" s="36">
        <v>5891</v>
      </c>
      <c r="B802" s="113" t="s">
        <v>2747</v>
      </c>
      <c r="C802" s="139" t="s">
        <v>2748</v>
      </c>
      <c r="D802" s="114" t="s">
        <v>52</v>
      </c>
      <c r="E802" s="115"/>
      <c r="F802" s="116"/>
      <c r="G802" s="113" t="s">
        <v>2743</v>
      </c>
      <c r="H802" s="113" t="s">
        <v>2749</v>
      </c>
      <c r="I802" s="113" t="s">
        <v>2708</v>
      </c>
      <c r="J802" s="117"/>
      <c r="K802" s="118"/>
      <c r="L802" s="109">
        <v>3</v>
      </c>
      <c r="M802" s="109">
        <v>2</v>
      </c>
      <c r="N802" s="109"/>
      <c r="O802" s="119"/>
      <c r="P802" s="2">
        <f t="shared" si="192"/>
        <v>1</v>
      </c>
      <c r="Q802" s="110" t="str">
        <f>IF(AND(Drops!$D$45&gt;1,OR(U802&lt;&gt;U801,AND(ROW()=5,U801=U802))),VLOOKUP(U802,Drops!$D$26:$E$44,2,FALSE),"")</f>
        <v/>
      </c>
      <c r="R802" s="2" t="str">
        <f t="shared" si="193"/>
        <v/>
      </c>
      <c r="S802" s="2">
        <f t="shared" ca="1" si="194"/>
        <v>1</v>
      </c>
      <c r="T802" s="2">
        <f t="shared" si="195"/>
        <v>0</v>
      </c>
      <c r="U802" s="110" t="s">
        <v>2694</v>
      </c>
      <c r="V802" s="110">
        <v>1</v>
      </c>
      <c r="W802" s="110">
        <v>5</v>
      </c>
      <c r="X802" s="110">
        <v>2</v>
      </c>
      <c r="Y802" s="110">
        <v>0</v>
      </c>
      <c r="Z802" s="110">
        <v>0</v>
      </c>
      <c r="AA802" s="2">
        <f t="shared" si="196"/>
        <v>1</v>
      </c>
      <c r="AB802" s="2">
        <f t="shared" si="197"/>
        <v>0</v>
      </c>
      <c r="AC802" s="2">
        <f t="shared" si="198"/>
        <v>1</v>
      </c>
      <c r="AD802" s="2">
        <f t="shared" si="199"/>
        <v>1</v>
      </c>
      <c r="AE802" s="2">
        <f t="shared" si="200"/>
        <v>1</v>
      </c>
      <c r="AF802" s="2">
        <f t="shared" si="201"/>
        <v>2</v>
      </c>
      <c r="AG802" s="2">
        <f t="shared" si="202"/>
        <v>2</v>
      </c>
      <c r="AH802" s="2">
        <f t="shared" si="203"/>
        <v>2</v>
      </c>
      <c r="AI802" s="2">
        <f t="shared" si="204"/>
        <v>2</v>
      </c>
      <c r="AJ802" s="2">
        <f t="shared" si="205"/>
        <v>2</v>
      </c>
      <c r="AK802" s="2">
        <f t="shared" si="206"/>
        <v>0</v>
      </c>
      <c r="AL802" s="2">
        <f t="shared" si="207"/>
        <v>0</v>
      </c>
      <c r="AM802" s="115"/>
      <c r="AN802" s="115"/>
      <c r="AO802" s="63"/>
    </row>
    <row r="803" spans="1:41" ht="57.6" x14ac:dyDescent="0.55000000000000004">
      <c r="A803" s="36">
        <v>4479</v>
      </c>
      <c r="B803" s="113" t="s">
        <v>2750</v>
      </c>
      <c r="C803" s="139" t="s">
        <v>2751</v>
      </c>
      <c r="D803" s="114" t="s">
        <v>55</v>
      </c>
      <c r="E803" s="115"/>
      <c r="F803" s="116"/>
      <c r="G803" s="113" t="s">
        <v>2743</v>
      </c>
      <c r="H803" s="113" t="s">
        <v>2752</v>
      </c>
      <c r="I803" s="113" t="s">
        <v>2693</v>
      </c>
      <c r="J803" s="117" t="s">
        <v>2211</v>
      </c>
      <c r="K803" s="118"/>
      <c r="L803" s="109">
        <v>3</v>
      </c>
      <c r="M803" s="109">
        <v>3</v>
      </c>
      <c r="N803" s="109"/>
      <c r="O803" s="119"/>
      <c r="P803" s="2">
        <f t="shared" si="192"/>
        <v>2</v>
      </c>
      <c r="Q803" s="110" t="str">
        <f>IF(AND(Drops!$D$45&gt;1,OR(U803&lt;&gt;U802,AND(ROW()=5,U802=U803))),VLOOKUP(U803,Drops!$D$26:$E$44,2,FALSE),"")</f>
        <v/>
      </c>
      <c r="R803" s="2" t="str">
        <f t="shared" si="193"/>
        <v/>
      </c>
      <c r="S803" s="2">
        <f t="shared" ca="1" si="194"/>
        <v>2</v>
      </c>
      <c r="T803" s="2">
        <f t="shared" si="195"/>
        <v>0</v>
      </c>
      <c r="U803" s="110" t="s">
        <v>2694</v>
      </c>
      <c r="V803" s="110">
        <v>1</v>
      </c>
      <c r="W803" s="110">
        <v>5</v>
      </c>
      <c r="X803" s="110">
        <v>3</v>
      </c>
      <c r="Y803" s="110">
        <v>0</v>
      </c>
      <c r="Z803" s="110">
        <v>0</v>
      </c>
      <c r="AA803" s="2">
        <f t="shared" si="196"/>
        <v>1</v>
      </c>
      <c r="AB803" s="2">
        <f t="shared" si="197"/>
        <v>0</v>
      </c>
      <c r="AC803" s="2">
        <f t="shared" si="198"/>
        <v>1</v>
      </c>
      <c r="AD803" s="2">
        <f t="shared" si="199"/>
        <v>1</v>
      </c>
      <c r="AE803" s="2">
        <f t="shared" si="200"/>
        <v>2</v>
      </c>
      <c r="AF803" s="2">
        <f t="shared" si="201"/>
        <v>2</v>
      </c>
      <c r="AG803" s="2">
        <f t="shared" si="202"/>
        <v>2</v>
      </c>
      <c r="AH803" s="2">
        <f t="shared" si="203"/>
        <v>2</v>
      </c>
      <c r="AI803" s="2">
        <f t="shared" si="204"/>
        <v>2</v>
      </c>
      <c r="AJ803" s="2">
        <f t="shared" si="205"/>
        <v>1</v>
      </c>
      <c r="AK803" s="2">
        <f t="shared" si="206"/>
        <v>0</v>
      </c>
      <c r="AL803" s="2">
        <f t="shared" si="207"/>
        <v>0</v>
      </c>
      <c r="AM803" s="115"/>
      <c r="AN803" s="115"/>
      <c r="AO803" s="63"/>
    </row>
    <row r="804" spans="1:41" ht="43.2" x14ac:dyDescent="0.55000000000000004">
      <c r="A804" s="36">
        <v>4480</v>
      </c>
      <c r="B804" s="113" t="s">
        <v>2753</v>
      </c>
      <c r="C804" s="139" t="s">
        <v>2754</v>
      </c>
      <c r="D804" s="114" t="s">
        <v>48</v>
      </c>
      <c r="E804" s="115" t="s">
        <v>2755</v>
      </c>
      <c r="F804" s="116"/>
      <c r="G804" s="113" t="s">
        <v>2743</v>
      </c>
      <c r="H804" s="113" t="s">
        <v>2752</v>
      </c>
      <c r="I804" s="113" t="s">
        <v>2693</v>
      </c>
      <c r="J804" s="117"/>
      <c r="K804" s="118"/>
      <c r="L804" s="109">
        <v>3</v>
      </c>
      <c r="M804" s="109">
        <v>3</v>
      </c>
      <c r="N804" s="109"/>
      <c r="O804" s="119"/>
      <c r="P804" s="2">
        <f t="shared" si="192"/>
        <v>3</v>
      </c>
      <c r="Q804" s="110" t="str">
        <f>IF(AND(Drops!$D$45&gt;1,OR(U804&lt;&gt;U803,AND(ROW()=5,U803=U804))),VLOOKUP(U804,Drops!$D$26:$E$44,2,FALSE),"")</f>
        <v/>
      </c>
      <c r="R804" s="2" t="str">
        <f t="shared" si="193"/>
        <v/>
      </c>
      <c r="S804" s="2">
        <f t="shared" ca="1" si="194"/>
        <v>3</v>
      </c>
      <c r="T804" s="2">
        <f t="shared" si="195"/>
        <v>0</v>
      </c>
      <c r="U804" s="110" t="s">
        <v>2694</v>
      </c>
      <c r="V804" s="110">
        <v>1</v>
      </c>
      <c r="W804" s="110">
        <v>5</v>
      </c>
      <c r="X804" s="110">
        <v>4</v>
      </c>
      <c r="Y804" s="110">
        <v>0</v>
      </c>
      <c r="Z804" s="110">
        <v>0</v>
      </c>
      <c r="AA804" s="2">
        <f t="shared" si="196"/>
        <v>1</v>
      </c>
      <c r="AB804" s="2">
        <f t="shared" si="197"/>
        <v>0</v>
      </c>
      <c r="AC804" s="2">
        <f t="shared" si="198"/>
        <v>1</v>
      </c>
      <c r="AD804" s="2">
        <f t="shared" si="199"/>
        <v>1</v>
      </c>
      <c r="AE804" s="2">
        <f t="shared" si="200"/>
        <v>3</v>
      </c>
      <c r="AF804" s="2">
        <f t="shared" si="201"/>
        <v>3</v>
      </c>
      <c r="AG804" s="2">
        <f t="shared" si="202"/>
        <v>3</v>
      </c>
      <c r="AH804" s="2">
        <f t="shared" si="203"/>
        <v>2</v>
      </c>
      <c r="AI804" s="2">
        <f t="shared" si="204"/>
        <v>2</v>
      </c>
      <c r="AJ804" s="2">
        <f t="shared" si="205"/>
        <v>1</v>
      </c>
      <c r="AK804" s="2">
        <f t="shared" si="206"/>
        <v>0</v>
      </c>
      <c r="AL804" s="2">
        <f t="shared" si="207"/>
        <v>0</v>
      </c>
      <c r="AM804" s="115"/>
      <c r="AN804" s="115"/>
      <c r="AO804" s="63"/>
    </row>
    <row r="805" spans="1:41" ht="43.2" x14ac:dyDescent="0.55000000000000004">
      <c r="A805" s="36">
        <v>4481</v>
      </c>
      <c r="B805" s="113" t="s">
        <v>2756</v>
      </c>
      <c r="C805" s="139" t="s">
        <v>2757</v>
      </c>
      <c r="D805" s="114" t="s">
        <v>52</v>
      </c>
      <c r="E805" s="115" t="s">
        <v>2758</v>
      </c>
      <c r="F805" s="116"/>
      <c r="G805" s="113" t="s">
        <v>2743</v>
      </c>
      <c r="H805" s="113" t="s">
        <v>2716</v>
      </c>
      <c r="I805" s="113" t="s">
        <v>2759</v>
      </c>
      <c r="J805" s="117"/>
      <c r="K805" s="118"/>
      <c r="L805" s="109">
        <v>3</v>
      </c>
      <c r="M805" s="109">
        <v>3</v>
      </c>
      <c r="N805" s="109"/>
      <c r="O805" s="119"/>
      <c r="P805" s="2">
        <f t="shared" si="192"/>
        <v>1</v>
      </c>
      <c r="Q805" s="110" t="str">
        <f>IF(AND(Drops!$D$45&gt;1,OR(U805&lt;&gt;U804,AND(ROW()=5,U804=U805))),VLOOKUP(U805,Drops!$D$26:$E$44,2,FALSE),"")</f>
        <v/>
      </c>
      <c r="R805" s="2" t="str">
        <f t="shared" si="193"/>
        <v/>
      </c>
      <c r="S805" s="2">
        <f t="shared" ca="1" si="194"/>
        <v>1</v>
      </c>
      <c r="T805" s="2">
        <f t="shared" si="195"/>
        <v>0</v>
      </c>
      <c r="U805" s="110" t="s">
        <v>2694</v>
      </c>
      <c r="V805" s="110">
        <v>1</v>
      </c>
      <c r="W805" s="110">
        <v>5</v>
      </c>
      <c r="X805" s="110">
        <v>5</v>
      </c>
      <c r="Y805" s="110">
        <v>0</v>
      </c>
      <c r="Z805" s="110">
        <v>0</v>
      </c>
      <c r="AA805" s="2">
        <f t="shared" si="196"/>
        <v>1</v>
      </c>
      <c r="AB805" s="2">
        <f t="shared" si="197"/>
        <v>0</v>
      </c>
      <c r="AC805" s="2">
        <f t="shared" si="198"/>
        <v>1</v>
      </c>
      <c r="AD805" s="2">
        <f t="shared" si="199"/>
        <v>1</v>
      </c>
      <c r="AE805" s="2">
        <f t="shared" si="200"/>
        <v>1</v>
      </c>
      <c r="AF805" s="2">
        <f t="shared" si="201"/>
        <v>3</v>
      </c>
      <c r="AG805" s="2">
        <f t="shared" si="202"/>
        <v>3</v>
      </c>
      <c r="AH805" s="2">
        <f t="shared" si="203"/>
        <v>2</v>
      </c>
      <c r="AI805" s="2">
        <f t="shared" si="204"/>
        <v>2</v>
      </c>
      <c r="AJ805" s="2">
        <f t="shared" si="205"/>
        <v>2</v>
      </c>
      <c r="AK805" s="2">
        <f t="shared" si="206"/>
        <v>0</v>
      </c>
      <c r="AL805" s="2">
        <f t="shared" si="207"/>
        <v>0</v>
      </c>
      <c r="AM805" s="115"/>
      <c r="AN805" s="115"/>
      <c r="AO805" s="63"/>
    </row>
    <row r="806" spans="1:41" ht="57.6" x14ac:dyDescent="0.55000000000000004">
      <c r="A806" s="36">
        <v>4933</v>
      </c>
      <c r="B806" s="113" t="s">
        <v>2760</v>
      </c>
      <c r="C806" s="138" t="s">
        <v>2761</v>
      </c>
      <c r="D806" s="114" t="s">
        <v>52</v>
      </c>
      <c r="E806" s="115"/>
      <c r="F806" s="116"/>
      <c r="G806" s="113" t="s">
        <v>2762</v>
      </c>
      <c r="H806" s="113" t="s">
        <v>2722</v>
      </c>
      <c r="I806" s="113" t="s">
        <v>2693</v>
      </c>
      <c r="J806" s="117"/>
      <c r="K806" s="118"/>
      <c r="L806" s="109">
        <v>2</v>
      </c>
      <c r="M806" s="109">
        <v>1</v>
      </c>
      <c r="N806" s="109"/>
      <c r="O806" s="119"/>
      <c r="P806" s="2">
        <f t="shared" si="192"/>
        <v>1</v>
      </c>
      <c r="Q806" s="110" t="str">
        <f>IF(AND(Drops!$D$45&gt;1,OR(U806&lt;&gt;U805,AND(ROW()=5,U805=U806))),VLOOKUP(U806,Drops!$D$26:$E$44,2,FALSE),"")</f>
        <v/>
      </c>
      <c r="R806" s="2" t="str">
        <f t="shared" si="193"/>
        <v/>
      </c>
      <c r="S806" s="2">
        <f t="shared" ca="1" si="194"/>
        <v>1</v>
      </c>
      <c r="T806" s="2">
        <f t="shared" si="195"/>
        <v>0</v>
      </c>
      <c r="U806" s="110" t="s">
        <v>2694</v>
      </c>
      <c r="V806" s="110">
        <v>1</v>
      </c>
      <c r="W806" s="110">
        <v>6</v>
      </c>
      <c r="X806" s="110">
        <v>0</v>
      </c>
      <c r="Y806" s="110">
        <v>0</v>
      </c>
      <c r="Z806" s="110">
        <v>0</v>
      </c>
      <c r="AA806" s="2">
        <f t="shared" si="196"/>
        <v>1</v>
      </c>
      <c r="AB806" s="2">
        <f t="shared" si="197"/>
        <v>1</v>
      </c>
      <c r="AC806" s="2">
        <f t="shared" si="198"/>
        <v>1</v>
      </c>
      <c r="AD806" s="2">
        <f t="shared" si="199"/>
        <v>1</v>
      </c>
      <c r="AE806" s="2">
        <f t="shared" si="200"/>
        <v>0</v>
      </c>
      <c r="AF806" s="2">
        <f t="shared" si="201"/>
        <v>3</v>
      </c>
      <c r="AG806" s="2">
        <f t="shared" si="202"/>
        <v>3</v>
      </c>
      <c r="AH806" s="2">
        <f t="shared" si="203"/>
        <v>2</v>
      </c>
      <c r="AI806" s="2">
        <f t="shared" si="204"/>
        <v>2</v>
      </c>
      <c r="AJ806" s="2">
        <f t="shared" si="205"/>
        <v>2</v>
      </c>
      <c r="AK806" s="2">
        <f t="shared" si="206"/>
        <v>0</v>
      </c>
      <c r="AL806" s="2">
        <f t="shared" si="207"/>
        <v>0</v>
      </c>
      <c r="AM806" s="115"/>
      <c r="AN806" s="115"/>
      <c r="AO806" s="63"/>
    </row>
    <row r="807" spans="1:41" ht="43.2" x14ac:dyDescent="0.55000000000000004">
      <c r="A807" s="36">
        <v>4934</v>
      </c>
      <c r="B807" s="113" t="s">
        <v>2763</v>
      </c>
      <c r="C807" s="139" t="s">
        <v>2764</v>
      </c>
      <c r="D807" s="114" t="s">
        <v>52</v>
      </c>
      <c r="E807" s="115"/>
      <c r="F807" s="116"/>
      <c r="G807" s="113" t="s">
        <v>2762</v>
      </c>
      <c r="H807" s="113" t="s">
        <v>2726</v>
      </c>
      <c r="I807" s="113" t="s">
        <v>2693</v>
      </c>
      <c r="J807" s="117"/>
      <c r="K807" s="118"/>
      <c r="L807" s="109">
        <v>3</v>
      </c>
      <c r="M807" s="109">
        <v>2</v>
      </c>
      <c r="N807" s="109"/>
      <c r="O807" s="119"/>
      <c r="P807" s="2">
        <f t="shared" si="192"/>
        <v>1</v>
      </c>
      <c r="Q807" s="110" t="str">
        <f>IF(AND(Drops!$D$45&gt;1,OR(U807&lt;&gt;U806,AND(ROW()=5,U806=U807))),VLOOKUP(U807,Drops!$D$26:$E$44,2,FALSE),"")</f>
        <v/>
      </c>
      <c r="R807" s="2" t="str">
        <f t="shared" si="193"/>
        <v/>
      </c>
      <c r="S807" s="2">
        <f t="shared" ca="1" si="194"/>
        <v>1</v>
      </c>
      <c r="T807" s="2">
        <f t="shared" si="195"/>
        <v>0</v>
      </c>
      <c r="U807" s="110" t="s">
        <v>2694</v>
      </c>
      <c r="V807" s="110">
        <v>1</v>
      </c>
      <c r="W807" s="110">
        <v>6</v>
      </c>
      <c r="X807" s="110">
        <v>1</v>
      </c>
      <c r="Y807" s="110">
        <v>0</v>
      </c>
      <c r="Z807" s="110">
        <v>0</v>
      </c>
      <c r="AA807" s="2">
        <f t="shared" si="196"/>
        <v>1</v>
      </c>
      <c r="AB807" s="2">
        <f t="shared" si="197"/>
        <v>0</v>
      </c>
      <c r="AC807" s="2">
        <f t="shared" si="198"/>
        <v>1</v>
      </c>
      <c r="AD807" s="2">
        <f t="shared" si="199"/>
        <v>1</v>
      </c>
      <c r="AE807" s="2">
        <f t="shared" si="200"/>
        <v>1</v>
      </c>
      <c r="AF807" s="2">
        <f t="shared" si="201"/>
        <v>3</v>
      </c>
      <c r="AG807" s="2">
        <f t="shared" si="202"/>
        <v>3</v>
      </c>
      <c r="AH807" s="2">
        <f t="shared" si="203"/>
        <v>2</v>
      </c>
      <c r="AI807" s="2">
        <f t="shared" si="204"/>
        <v>2</v>
      </c>
      <c r="AJ807" s="2">
        <f t="shared" si="205"/>
        <v>2</v>
      </c>
      <c r="AK807" s="2">
        <f t="shared" si="206"/>
        <v>0</v>
      </c>
      <c r="AL807" s="2">
        <f t="shared" si="207"/>
        <v>0</v>
      </c>
      <c r="AM807" s="115"/>
      <c r="AN807" s="115"/>
      <c r="AO807" s="63"/>
    </row>
    <row r="808" spans="1:41" ht="57.6" x14ac:dyDescent="0.55000000000000004">
      <c r="A808" s="36">
        <v>4935</v>
      </c>
      <c r="B808" s="113" t="s">
        <v>2765</v>
      </c>
      <c r="C808" s="138" t="s">
        <v>2766</v>
      </c>
      <c r="D808" s="114" t="s">
        <v>55</v>
      </c>
      <c r="E808" s="115"/>
      <c r="F808" s="116"/>
      <c r="G808" s="113" t="s">
        <v>2767</v>
      </c>
      <c r="H808" s="113" t="s">
        <v>2722</v>
      </c>
      <c r="I808" s="113" t="s">
        <v>2693</v>
      </c>
      <c r="J808" s="117"/>
      <c r="K808" s="118"/>
      <c r="L808" s="109">
        <v>2</v>
      </c>
      <c r="M808" s="109">
        <v>1</v>
      </c>
      <c r="N808" s="109"/>
      <c r="O808" s="119"/>
      <c r="P808" s="2">
        <f t="shared" si="192"/>
        <v>2</v>
      </c>
      <c r="Q808" s="110" t="str">
        <f>IF(AND(Drops!$D$45&gt;1,OR(U808&lt;&gt;U807,AND(ROW()=5,U807=U808))),VLOOKUP(U808,Drops!$D$26:$E$44,2,FALSE),"")</f>
        <v/>
      </c>
      <c r="R808" s="2" t="str">
        <f t="shared" si="193"/>
        <v/>
      </c>
      <c r="S808" s="2">
        <f t="shared" ca="1" si="194"/>
        <v>2</v>
      </c>
      <c r="T808" s="2">
        <f t="shared" si="195"/>
        <v>0</v>
      </c>
      <c r="U808" s="110" t="s">
        <v>2694</v>
      </c>
      <c r="V808" s="110">
        <v>1</v>
      </c>
      <c r="W808" s="110">
        <v>7</v>
      </c>
      <c r="X808" s="110">
        <v>0</v>
      </c>
      <c r="Y808" s="110">
        <v>0</v>
      </c>
      <c r="Z808" s="110">
        <v>0</v>
      </c>
      <c r="AA808" s="2">
        <f t="shared" si="196"/>
        <v>1</v>
      </c>
      <c r="AB808" s="2">
        <f t="shared" si="197"/>
        <v>0</v>
      </c>
      <c r="AC808" s="2">
        <f t="shared" si="198"/>
        <v>1</v>
      </c>
      <c r="AD808" s="2">
        <f t="shared" si="199"/>
        <v>2</v>
      </c>
      <c r="AE808" s="2">
        <f t="shared" si="200"/>
        <v>2</v>
      </c>
      <c r="AF808" s="2">
        <f t="shared" si="201"/>
        <v>2</v>
      </c>
      <c r="AG808" s="2">
        <f t="shared" si="202"/>
        <v>2</v>
      </c>
      <c r="AH808" s="2">
        <f t="shared" si="203"/>
        <v>2</v>
      </c>
      <c r="AI808" s="2">
        <f t="shared" si="204"/>
        <v>1</v>
      </c>
      <c r="AJ808" s="2">
        <f t="shared" si="205"/>
        <v>2</v>
      </c>
      <c r="AK808" s="2">
        <f t="shared" si="206"/>
        <v>0</v>
      </c>
      <c r="AL808" s="2">
        <f t="shared" si="207"/>
        <v>0</v>
      </c>
      <c r="AM808" s="115"/>
      <c r="AN808" s="115"/>
      <c r="AO808" s="63"/>
    </row>
    <row r="809" spans="1:41" ht="43.2" x14ac:dyDescent="0.55000000000000004">
      <c r="A809" s="36">
        <v>4937</v>
      </c>
      <c r="B809" s="113" t="s">
        <v>2768</v>
      </c>
      <c r="C809" s="138" t="s">
        <v>2769</v>
      </c>
      <c r="D809" s="114" t="s">
        <v>55</v>
      </c>
      <c r="E809" s="115"/>
      <c r="F809" s="116"/>
      <c r="G809" s="113" t="s">
        <v>2770</v>
      </c>
      <c r="H809" s="113" t="s">
        <v>2692</v>
      </c>
      <c r="I809" s="113" t="s">
        <v>2693</v>
      </c>
      <c r="J809" s="117"/>
      <c r="K809" s="118"/>
      <c r="L809" s="109">
        <v>2</v>
      </c>
      <c r="M809" s="109">
        <v>1</v>
      </c>
      <c r="N809" s="109"/>
      <c r="O809" s="119"/>
      <c r="P809" s="2">
        <f t="shared" si="192"/>
        <v>2</v>
      </c>
      <c r="Q809" s="110" t="str">
        <f>IF(AND(Drops!$D$45&gt;1,OR(U809&lt;&gt;U808,AND(ROW()=5,U808=U809))),VLOOKUP(U809,Drops!$D$26:$E$44,2,FALSE),"")</f>
        <v/>
      </c>
      <c r="R809" s="2" t="str">
        <f t="shared" si="193"/>
        <v/>
      </c>
      <c r="S809" s="2">
        <f t="shared" ca="1" si="194"/>
        <v>2</v>
      </c>
      <c r="T809" s="2">
        <f t="shared" si="195"/>
        <v>0</v>
      </c>
      <c r="U809" s="110" t="s">
        <v>2694</v>
      </c>
      <c r="V809" s="110">
        <v>1</v>
      </c>
      <c r="W809" s="110">
        <v>8</v>
      </c>
      <c r="X809" s="110">
        <v>0</v>
      </c>
      <c r="Y809" s="110">
        <v>0</v>
      </c>
      <c r="Z809" s="110">
        <v>0</v>
      </c>
      <c r="AA809" s="2">
        <f t="shared" si="196"/>
        <v>1</v>
      </c>
      <c r="AB809" s="2">
        <f t="shared" si="197"/>
        <v>1</v>
      </c>
      <c r="AC809" s="2">
        <f t="shared" si="198"/>
        <v>1</v>
      </c>
      <c r="AD809" s="2">
        <f t="shared" si="199"/>
        <v>2</v>
      </c>
      <c r="AE809" s="2">
        <f t="shared" si="200"/>
        <v>2</v>
      </c>
      <c r="AF809" s="2">
        <f t="shared" si="201"/>
        <v>2</v>
      </c>
      <c r="AG809" s="2">
        <f t="shared" si="202"/>
        <v>2</v>
      </c>
      <c r="AH809" s="2">
        <f t="shared" si="203"/>
        <v>2</v>
      </c>
      <c r="AI809" s="2">
        <f t="shared" si="204"/>
        <v>1</v>
      </c>
      <c r="AJ809" s="2">
        <f t="shared" si="205"/>
        <v>2</v>
      </c>
      <c r="AK809" s="2">
        <f t="shared" si="206"/>
        <v>0</v>
      </c>
      <c r="AL809" s="2">
        <f t="shared" si="207"/>
        <v>0</v>
      </c>
      <c r="AM809" s="115"/>
      <c r="AN809" s="115"/>
      <c r="AO809" s="63"/>
    </row>
    <row r="810" spans="1:41" ht="57.6" hidden="1" x14ac:dyDescent="0.55000000000000004">
      <c r="A810" s="36">
        <v>4938</v>
      </c>
      <c r="B810" s="113" t="s">
        <v>2771</v>
      </c>
      <c r="C810" s="139" t="s">
        <v>2772</v>
      </c>
      <c r="D810" s="114"/>
      <c r="E810" s="115"/>
      <c r="F810" s="116"/>
      <c r="G810" s="113" t="s">
        <v>2770</v>
      </c>
      <c r="H810" s="113" t="s">
        <v>2692</v>
      </c>
      <c r="I810" s="113" t="s">
        <v>2693</v>
      </c>
      <c r="J810" s="117"/>
      <c r="K810" s="118"/>
      <c r="L810" s="109">
        <v>3</v>
      </c>
      <c r="M810" s="109">
        <v>3</v>
      </c>
      <c r="N810" s="109"/>
      <c r="O810" s="119"/>
      <c r="P810" s="2">
        <f t="shared" si="192"/>
        <v>0</v>
      </c>
      <c r="Q810" s="110" t="str">
        <f>IF(AND(Drops!$D$45&gt;1,OR(U810&lt;&gt;U809,AND(ROW()=5,U809=U810))),VLOOKUP(U810,Drops!$D$26:$E$44,2,FALSE),"")</f>
        <v/>
      </c>
      <c r="R810" s="2" t="str">
        <f t="shared" si="193"/>
        <v/>
      </c>
      <c r="S810" s="2">
        <f t="shared" ca="1" si="194"/>
        <v>2</v>
      </c>
      <c r="T810" s="2">
        <f t="shared" si="195"/>
        <v>0</v>
      </c>
      <c r="U810" s="110" t="s">
        <v>2694</v>
      </c>
      <c r="V810" s="110">
        <v>1</v>
      </c>
      <c r="W810" s="110">
        <v>8</v>
      </c>
      <c r="X810" s="110">
        <v>1</v>
      </c>
      <c r="Y810" s="110">
        <v>0</v>
      </c>
      <c r="Z810" s="110">
        <v>0</v>
      </c>
      <c r="AA810" s="2">
        <f t="shared" si="196"/>
        <v>0</v>
      </c>
      <c r="AB810" s="2">
        <f t="shared" si="197"/>
        <v>0</v>
      </c>
      <c r="AC810" s="2">
        <f t="shared" si="198"/>
        <v>1</v>
      </c>
      <c r="AD810" s="2">
        <f t="shared" si="199"/>
        <v>2</v>
      </c>
      <c r="AE810" s="2">
        <f t="shared" si="200"/>
        <v>2</v>
      </c>
      <c r="AF810" s="2">
        <f t="shared" si="201"/>
        <v>2</v>
      </c>
      <c r="AG810" s="2">
        <f t="shared" si="202"/>
        <v>2</v>
      </c>
      <c r="AH810" s="2">
        <f t="shared" si="203"/>
        <v>2</v>
      </c>
      <c r="AI810" s="2">
        <f t="shared" si="204"/>
        <v>0</v>
      </c>
      <c r="AJ810" s="2">
        <f t="shared" si="205"/>
        <v>1</v>
      </c>
      <c r="AK810" s="2">
        <f t="shared" si="206"/>
        <v>0</v>
      </c>
      <c r="AL810" s="2">
        <f t="shared" si="207"/>
        <v>0</v>
      </c>
      <c r="AM810" s="115"/>
      <c r="AN810" s="115"/>
      <c r="AO810" s="63"/>
    </row>
    <row r="811" spans="1:41" ht="43.2" x14ac:dyDescent="0.55000000000000004">
      <c r="A811" s="36">
        <v>4939</v>
      </c>
      <c r="B811" s="113" t="s">
        <v>2773</v>
      </c>
      <c r="C811" s="138" t="s">
        <v>2774</v>
      </c>
      <c r="D811" s="114" t="s">
        <v>55</v>
      </c>
      <c r="E811" s="115"/>
      <c r="F811" s="116"/>
      <c r="G811" s="113" t="s">
        <v>2775</v>
      </c>
      <c r="H811" s="113" t="s">
        <v>2692</v>
      </c>
      <c r="I811" s="113" t="s">
        <v>2693</v>
      </c>
      <c r="J811" s="117"/>
      <c r="K811" s="118"/>
      <c r="L811" s="109">
        <v>2</v>
      </c>
      <c r="M811" s="109">
        <v>1</v>
      </c>
      <c r="N811" s="109"/>
      <c r="O811" s="119"/>
      <c r="P811" s="2">
        <f t="shared" si="192"/>
        <v>2</v>
      </c>
      <c r="Q811" s="110" t="str">
        <f>IF(AND(Drops!$D$45&gt;1,OR(U811&lt;&gt;U810,AND(ROW()=5,U810=U811))),VLOOKUP(U811,Drops!$D$26:$E$44,2,FALSE),"")</f>
        <v/>
      </c>
      <c r="R811" s="2" t="str">
        <f t="shared" si="193"/>
        <v/>
      </c>
      <c r="S811" s="2">
        <f t="shared" ca="1" si="194"/>
        <v>2</v>
      </c>
      <c r="T811" s="2">
        <f t="shared" si="195"/>
        <v>0</v>
      </c>
      <c r="U811" s="110" t="s">
        <v>2694</v>
      </c>
      <c r="V811" s="110">
        <v>1</v>
      </c>
      <c r="W811" s="110">
        <v>9</v>
      </c>
      <c r="X811" s="110">
        <v>0</v>
      </c>
      <c r="Y811" s="110">
        <v>0</v>
      </c>
      <c r="Z811" s="110">
        <v>0</v>
      </c>
      <c r="AA811" s="2">
        <f t="shared" si="196"/>
        <v>1</v>
      </c>
      <c r="AB811" s="2">
        <f t="shared" si="197"/>
        <v>1</v>
      </c>
      <c r="AC811" s="2">
        <f t="shared" si="198"/>
        <v>1</v>
      </c>
      <c r="AD811" s="2">
        <f t="shared" si="199"/>
        <v>2</v>
      </c>
      <c r="AE811" s="2">
        <f t="shared" si="200"/>
        <v>2</v>
      </c>
      <c r="AF811" s="2">
        <f t="shared" si="201"/>
        <v>2</v>
      </c>
      <c r="AG811" s="2">
        <f t="shared" si="202"/>
        <v>2</v>
      </c>
      <c r="AH811" s="2">
        <f t="shared" si="203"/>
        <v>2</v>
      </c>
      <c r="AI811" s="2">
        <f t="shared" si="204"/>
        <v>1</v>
      </c>
      <c r="AJ811" s="2">
        <f t="shared" si="205"/>
        <v>0</v>
      </c>
      <c r="AK811" s="2">
        <f t="shared" si="206"/>
        <v>0</v>
      </c>
      <c r="AL811" s="2">
        <f t="shared" si="207"/>
        <v>0</v>
      </c>
      <c r="AM811" s="115"/>
      <c r="AN811" s="115"/>
      <c r="AO811" s="63"/>
    </row>
    <row r="812" spans="1:41" ht="43.2" hidden="1" x14ac:dyDescent="0.55000000000000004">
      <c r="A812" s="36">
        <v>4940</v>
      </c>
      <c r="B812" s="113" t="s">
        <v>2776</v>
      </c>
      <c r="C812" s="139" t="s">
        <v>2777</v>
      </c>
      <c r="D812" s="114"/>
      <c r="E812" s="115"/>
      <c r="F812" s="116"/>
      <c r="G812" s="113" t="s">
        <v>2775</v>
      </c>
      <c r="H812" s="113" t="s">
        <v>2692</v>
      </c>
      <c r="I812" s="113" t="s">
        <v>2693</v>
      </c>
      <c r="J812" s="117"/>
      <c r="K812" s="118"/>
      <c r="L812" s="109">
        <v>3</v>
      </c>
      <c r="M812" s="109">
        <v>2</v>
      </c>
      <c r="N812" s="109"/>
      <c r="O812" s="119"/>
      <c r="P812" s="2">
        <f t="shared" si="192"/>
        <v>0</v>
      </c>
      <c r="Q812" s="110" t="str">
        <f>IF(AND(Drops!$D$45&gt;1,OR(U812&lt;&gt;U811,AND(ROW()=5,U811=U812))),VLOOKUP(U812,Drops!$D$26:$E$44,2,FALSE),"")</f>
        <v/>
      </c>
      <c r="R812" s="2" t="str">
        <f t="shared" si="193"/>
        <v/>
      </c>
      <c r="S812" s="2">
        <f t="shared" ca="1" si="194"/>
        <v>2</v>
      </c>
      <c r="T812" s="2">
        <f t="shared" si="195"/>
        <v>0</v>
      </c>
      <c r="U812" s="110" t="s">
        <v>2694</v>
      </c>
      <c r="V812" s="110">
        <v>1</v>
      </c>
      <c r="W812" s="110">
        <v>9</v>
      </c>
      <c r="X812" s="110">
        <v>1</v>
      </c>
      <c r="Y812" s="110">
        <v>0</v>
      </c>
      <c r="Z812" s="110">
        <v>0</v>
      </c>
      <c r="AA812" s="2">
        <f t="shared" si="196"/>
        <v>0</v>
      </c>
      <c r="AB812" s="2">
        <f t="shared" si="197"/>
        <v>0</v>
      </c>
      <c r="AC812" s="2">
        <f t="shared" si="198"/>
        <v>1</v>
      </c>
      <c r="AD812" s="2">
        <f t="shared" si="199"/>
        <v>2</v>
      </c>
      <c r="AE812" s="2">
        <f t="shared" si="200"/>
        <v>2</v>
      </c>
      <c r="AF812" s="2">
        <f t="shared" si="201"/>
        <v>2</v>
      </c>
      <c r="AG812" s="2">
        <f t="shared" si="202"/>
        <v>2</v>
      </c>
      <c r="AH812" s="2">
        <f t="shared" si="203"/>
        <v>2</v>
      </c>
      <c r="AI812" s="2">
        <f t="shared" si="204"/>
        <v>0</v>
      </c>
      <c r="AJ812" s="2">
        <f t="shared" si="205"/>
        <v>1</v>
      </c>
      <c r="AK812" s="2">
        <f t="shared" si="206"/>
        <v>0</v>
      </c>
      <c r="AL812" s="2">
        <f t="shared" si="207"/>
        <v>0</v>
      </c>
      <c r="AM812" s="115"/>
      <c r="AN812" s="115"/>
      <c r="AO812" s="63"/>
    </row>
    <row r="813" spans="1:41" ht="43.2" x14ac:dyDescent="0.55000000000000004">
      <c r="A813" s="36">
        <v>5893</v>
      </c>
      <c r="B813" s="113" t="s">
        <v>2778</v>
      </c>
      <c r="C813" s="138" t="s">
        <v>2779</v>
      </c>
      <c r="D813" s="114" t="s">
        <v>55</v>
      </c>
      <c r="E813" s="115"/>
      <c r="F813" s="116"/>
      <c r="G813" s="113" t="s">
        <v>2691</v>
      </c>
      <c r="H813" s="113" t="s">
        <v>2692</v>
      </c>
      <c r="I813" s="113" t="s">
        <v>2693</v>
      </c>
      <c r="J813" s="117"/>
      <c r="K813" s="118"/>
      <c r="L813" s="109">
        <v>2</v>
      </c>
      <c r="M813" s="109">
        <v>1</v>
      </c>
      <c r="N813" s="109"/>
      <c r="O813" s="119"/>
      <c r="P813" s="2">
        <f t="shared" si="192"/>
        <v>2</v>
      </c>
      <c r="Q813" s="110" t="str">
        <f>IF(AND(Drops!$D$45&gt;1,OR(U813&lt;&gt;U812,AND(ROW()=5,U812=U813))),VLOOKUP(U813,Drops!$D$26:$E$44,2,FALSE),"")</f>
        <v/>
      </c>
      <c r="R813" s="2" t="str">
        <f t="shared" si="193"/>
        <v/>
      </c>
      <c r="S813" s="2">
        <f t="shared" ca="1" si="194"/>
        <v>2</v>
      </c>
      <c r="T813" s="2">
        <f t="shared" si="195"/>
        <v>0</v>
      </c>
      <c r="U813" s="110" t="s">
        <v>2694</v>
      </c>
      <c r="V813" s="110">
        <v>1</v>
      </c>
      <c r="W813" s="110">
        <v>10</v>
      </c>
      <c r="X813" s="110">
        <v>0</v>
      </c>
      <c r="Y813" s="110">
        <v>0</v>
      </c>
      <c r="Z813" s="110">
        <v>0</v>
      </c>
      <c r="AA813" s="2">
        <f t="shared" si="196"/>
        <v>1</v>
      </c>
      <c r="AB813" s="2">
        <f t="shared" si="197"/>
        <v>1</v>
      </c>
      <c r="AC813" s="2">
        <f t="shared" si="198"/>
        <v>1</v>
      </c>
      <c r="AD813" s="2">
        <f t="shared" si="199"/>
        <v>2</v>
      </c>
      <c r="AE813" s="2">
        <f t="shared" si="200"/>
        <v>2</v>
      </c>
      <c r="AF813" s="2">
        <f t="shared" si="201"/>
        <v>2</v>
      </c>
      <c r="AG813" s="2">
        <f t="shared" si="202"/>
        <v>2</v>
      </c>
      <c r="AH813" s="2">
        <f t="shared" si="203"/>
        <v>2</v>
      </c>
      <c r="AI813" s="2">
        <f t="shared" si="204"/>
        <v>1</v>
      </c>
      <c r="AJ813" s="2">
        <f t="shared" si="205"/>
        <v>0</v>
      </c>
      <c r="AK813" s="2">
        <f t="shared" si="206"/>
        <v>0</v>
      </c>
      <c r="AL813" s="2">
        <f t="shared" si="207"/>
        <v>0</v>
      </c>
      <c r="AM813" s="115"/>
      <c r="AN813" s="115"/>
      <c r="AO813" s="63"/>
    </row>
    <row r="814" spans="1:41" ht="28.8" hidden="1" x14ac:dyDescent="0.55000000000000004">
      <c r="A814" s="36">
        <v>5894</v>
      </c>
      <c r="B814" s="113" t="s">
        <v>2780</v>
      </c>
      <c r="C814" s="139" t="s">
        <v>2781</v>
      </c>
      <c r="D814" s="114"/>
      <c r="E814" s="115"/>
      <c r="F814" s="116"/>
      <c r="G814" s="113" t="s">
        <v>2691</v>
      </c>
      <c r="H814" s="113" t="s">
        <v>2702</v>
      </c>
      <c r="I814" s="113" t="s">
        <v>2693</v>
      </c>
      <c r="J814" s="117"/>
      <c r="K814" s="118"/>
      <c r="L814" s="109">
        <v>3</v>
      </c>
      <c r="M814" s="109">
        <v>3</v>
      </c>
      <c r="N814" s="109"/>
      <c r="O814" s="119"/>
      <c r="P814" s="2">
        <f t="shared" si="192"/>
        <v>0</v>
      </c>
      <c r="Q814" s="110" t="str">
        <f>IF(AND(Drops!$D$45&gt;1,OR(U814&lt;&gt;U813,AND(ROW()=5,U813=U814))),VLOOKUP(U814,Drops!$D$26:$E$44,2,FALSE),"")</f>
        <v/>
      </c>
      <c r="R814" s="2" t="str">
        <f t="shared" si="193"/>
        <v/>
      </c>
      <c r="S814" s="2">
        <f t="shared" ca="1" si="194"/>
        <v>2</v>
      </c>
      <c r="T814" s="2">
        <f t="shared" si="195"/>
        <v>0</v>
      </c>
      <c r="U814" s="110" t="s">
        <v>2694</v>
      </c>
      <c r="V814" s="110">
        <v>1</v>
      </c>
      <c r="W814" s="110">
        <v>10</v>
      </c>
      <c r="X814" s="110">
        <v>1</v>
      </c>
      <c r="Y814" s="110">
        <v>0</v>
      </c>
      <c r="Z814" s="110">
        <v>0</v>
      </c>
      <c r="AA814" s="2">
        <f t="shared" si="196"/>
        <v>0</v>
      </c>
      <c r="AB814" s="2">
        <f t="shared" si="197"/>
        <v>0</v>
      </c>
      <c r="AC814" s="2">
        <f t="shared" si="198"/>
        <v>1</v>
      </c>
      <c r="AD814" s="2">
        <f t="shared" si="199"/>
        <v>2</v>
      </c>
      <c r="AE814" s="2">
        <f t="shared" si="200"/>
        <v>2</v>
      </c>
      <c r="AF814" s="2">
        <f t="shared" si="201"/>
        <v>2</v>
      </c>
      <c r="AG814" s="2">
        <f t="shared" si="202"/>
        <v>2</v>
      </c>
      <c r="AH814" s="2">
        <f t="shared" si="203"/>
        <v>2</v>
      </c>
      <c r="AI814" s="2">
        <f t="shared" si="204"/>
        <v>0</v>
      </c>
      <c r="AJ814" s="2">
        <f t="shared" si="205"/>
        <v>1</v>
      </c>
      <c r="AK814" s="2">
        <f t="shared" si="206"/>
        <v>0</v>
      </c>
      <c r="AL814" s="2">
        <f t="shared" si="207"/>
        <v>0</v>
      </c>
      <c r="AM814" s="115"/>
      <c r="AN814" s="115"/>
      <c r="AO814" s="63"/>
    </row>
    <row r="815" spans="1:41" ht="43.2" hidden="1" x14ac:dyDescent="0.55000000000000004">
      <c r="A815" s="36">
        <v>5895</v>
      </c>
      <c r="B815" s="113" t="s">
        <v>2782</v>
      </c>
      <c r="C815" s="139" t="s">
        <v>2783</v>
      </c>
      <c r="D815" s="114"/>
      <c r="E815" s="115"/>
      <c r="F815" s="116"/>
      <c r="G815" s="113" t="s">
        <v>2691</v>
      </c>
      <c r="H815" s="113" t="s">
        <v>2716</v>
      </c>
      <c r="I815" s="113" t="s">
        <v>2693</v>
      </c>
      <c r="J815" s="117"/>
      <c r="K815" s="118"/>
      <c r="L815" s="109">
        <v>3</v>
      </c>
      <c r="M815" s="109">
        <v>3</v>
      </c>
      <c r="N815" s="109"/>
      <c r="O815" s="119"/>
      <c r="P815" s="2">
        <f t="shared" si="192"/>
        <v>0</v>
      </c>
      <c r="Q815" s="110" t="str">
        <f>IF(AND(Drops!$D$45&gt;1,OR(U815&lt;&gt;U814,AND(ROW()=5,U814=U815))),VLOOKUP(U815,Drops!$D$26:$E$44,2,FALSE),"")</f>
        <v/>
      </c>
      <c r="R815" s="2" t="str">
        <f t="shared" si="193"/>
        <v/>
      </c>
      <c r="S815" s="2">
        <f t="shared" ca="1" si="194"/>
        <v>2</v>
      </c>
      <c r="T815" s="2">
        <f t="shared" si="195"/>
        <v>0</v>
      </c>
      <c r="U815" s="110" t="s">
        <v>2694</v>
      </c>
      <c r="V815" s="110">
        <v>1</v>
      </c>
      <c r="W815" s="110">
        <v>10</v>
      </c>
      <c r="X815" s="110">
        <v>2</v>
      </c>
      <c r="Y815" s="110">
        <v>0</v>
      </c>
      <c r="Z815" s="110">
        <v>0</v>
      </c>
      <c r="AA815" s="2">
        <f t="shared" si="196"/>
        <v>0</v>
      </c>
      <c r="AB815" s="2">
        <f t="shared" si="197"/>
        <v>0</v>
      </c>
      <c r="AC815" s="2">
        <f t="shared" si="198"/>
        <v>1</v>
      </c>
      <c r="AD815" s="2">
        <f t="shared" si="199"/>
        <v>2</v>
      </c>
      <c r="AE815" s="2">
        <f t="shared" si="200"/>
        <v>2</v>
      </c>
      <c r="AF815" s="2">
        <f t="shared" si="201"/>
        <v>2</v>
      </c>
      <c r="AG815" s="2">
        <f t="shared" si="202"/>
        <v>2</v>
      </c>
      <c r="AH815" s="2">
        <f t="shared" si="203"/>
        <v>2</v>
      </c>
      <c r="AI815" s="2">
        <f t="shared" si="204"/>
        <v>0</v>
      </c>
      <c r="AJ815" s="2">
        <f t="shared" si="205"/>
        <v>1</v>
      </c>
      <c r="AK815" s="2">
        <f t="shared" si="206"/>
        <v>0</v>
      </c>
      <c r="AL815" s="2">
        <f t="shared" si="207"/>
        <v>0</v>
      </c>
      <c r="AM815" s="115"/>
      <c r="AN815" s="115"/>
      <c r="AO815" s="63"/>
    </row>
    <row r="816" spans="1:41" ht="43.2" x14ac:dyDescent="0.55000000000000004">
      <c r="A816" s="36">
        <v>4482</v>
      </c>
      <c r="B816" s="113" t="s">
        <v>2784</v>
      </c>
      <c r="C816" s="138" t="s">
        <v>2785</v>
      </c>
      <c r="D816" s="114" t="s">
        <v>52</v>
      </c>
      <c r="E816" s="115" t="s">
        <v>2786</v>
      </c>
      <c r="F816" s="116"/>
      <c r="G816" s="113" t="s">
        <v>2691</v>
      </c>
      <c r="H816" s="113" t="s">
        <v>2787</v>
      </c>
      <c r="I816" s="113" t="s">
        <v>2717</v>
      </c>
      <c r="J816" s="117"/>
      <c r="K816" s="118"/>
      <c r="L816" s="109">
        <v>2</v>
      </c>
      <c r="M816" s="109">
        <v>2</v>
      </c>
      <c r="N816" s="109"/>
      <c r="O816" s="119"/>
      <c r="P816" s="2">
        <f t="shared" si="192"/>
        <v>1</v>
      </c>
      <c r="Q816" s="110" t="str">
        <f>IF(AND(Drops!$D$45&gt;1,OR(U816&lt;&gt;U815,AND(ROW()=5,U815=U816))),VLOOKUP(U816,Drops!$D$26:$E$44,2,FALSE),"")</f>
        <v/>
      </c>
      <c r="R816" s="2" t="str">
        <f t="shared" si="193"/>
        <v/>
      </c>
      <c r="S816" s="2">
        <f t="shared" ca="1" si="194"/>
        <v>1</v>
      </c>
      <c r="T816" s="2">
        <f t="shared" si="195"/>
        <v>0</v>
      </c>
      <c r="U816" s="110" t="s">
        <v>2694</v>
      </c>
      <c r="V816" s="110">
        <v>1</v>
      </c>
      <c r="W816" s="110">
        <v>11</v>
      </c>
      <c r="X816" s="110">
        <v>0</v>
      </c>
      <c r="Y816" s="110">
        <v>0</v>
      </c>
      <c r="Z816" s="110">
        <v>0</v>
      </c>
      <c r="AA816" s="2">
        <f t="shared" si="196"/>
        <v>1</v>
      </c>
      <c r="AB816" s="2">
        <f t="shared" si="197"/>
        <v>0</v>
      </c>
      <c r="AC816" s="2">
        <f t="shared" si="198"/>
        <v>1</v>
      </c>
      <c r="AD816" s="2">
        <f t="shared" si="199"/>
        <v>1</v>
      </c>
      <c r="AE816" s="2">
        <f t="shared" si="200"/>
        <v>0</v>
      </c>
      <c r="AF816" s="2">
        <f t="shared" si="201"/>
        <v>2</v>
      </c>
      <c r="AG816" s="2">
        <f t="shared" si="202"/>
        <v>2</v>
      </c>
      <c r="AH816" s="2">
        <f t="shared" si="203"/>
        <v>2</v>
      </c>
      <c r="AI816" s="2">
        <f t="shared" si="204"/>
        <v>2</v>
      </c>
      <c r="AJ816" s="2">
        <f t="shared" si="205"/>
        <v>0</v>
      </c>
      <c r="AK816" s="2">
        <f t="shared" si="206"/>
        <v>0</v>
      </c>
      <c r="AL816" s="2">
        <f t="shared" si="207"/>
        <v>0</v>
      </c>
      <c r="AM816" s="115"/>
      <c r="AN816" s="115"/>
      <c r="AO816" s="63"/>
    </row>
    <row r="817" spans="1:41" ht="43.2" x14ac:dyDescent="0.55000000000000004">
      <c r="A817" s="36">
        <v>4471</v>
      </c>
      <c r="B817" s="113" t="s">
        <v>2788</v>
      </c>
      <c r="C817" s="138" t="s">
        <v>2789</v>
      </c>
      <c r="D817" s="114" t="s">
        <v>52</v>
      </c>
      <c r="E817" s="115"/>
      <c r="F817" s="116"/>
      <c r="G817" s="113" t="s">
        <v>2691</v>
      </c>
      <c r="H817" s="113" t="s">
        <v>2692</v>
      </c>
      <c r="I817" s="113" t="s">
        <v>2790</v>
      </c>
      <c r="J817" s="117"/>
      <c r="K817" s="118"/>
      <c r="L817" s="109">
        <v>2</v>
      </c>
      <c r="M817" s="109">
        <v>2</v>
      </c>
      <c r="N817" s="109"/>
      <c r="O817" s="119"/>
      <c r="P817" s="2">
        <f t="shared" si="192"/>
        <v>1</v>
      </c>
      <c r="Q817" s="110" t="str">
        <f>IF(AND(Drops!$D$45&gt;1,OR(U817&lt;&gt;U816,AND(ROW()=5,U816=U817))),VLOOKUP(U817,Drops!$D$26:$E$44,2,FALSE),"")</f>
        <v/>
      </c>
      <c r="R817" s="2" t="str">
        <f t="shared" si="193"/>
        <v/>
      </c>
      <c r="S817" s="2">
        <f t="shared" ca="1" si="194"/>
        <v>1</v>
      </c>
      <c r="T817" s="2">
        <f t="shared" si="195"/>
        <v>0</v>
      </c>
      <c r="U817" s="110" t="s">
        <v>2694</v>
      </c>
      <c r="V817" s="110">
        <v>1</v>
      </c>
      <c r="W817" s="110">
        <v>12</v>
      </c>
      <c r="X817" s="110">
        <v>0</v>
      </c>
      <c r="Y817" s="110">
        <v>0</v>
      </c>
      <c r="Z817" s="110">
        <v>0</v>
      </c>
      <c r="AA817" s="2">
        <f t="shared" si="196"/>
        <v>1</v>
      </c>
      <c r="AB817" s="2">
        <f t="shared" si="197"/>
        <v>1</v>
      </c>
      <c r="AC817" s="2">
        <f t="shared" si="198"/>
        <v>1</v>
      </c>
      <c r="AD817" s="2">
        <f t="shared" si="199"/>
        <v>1</v>
      </c>
      <c r="AE817" s="2">
        <f t="shared" si="200"/>
        <v>0</v>
      </c>
      <c r="AF817" s="2">
        <f t="shared" si="201"/>
        <v>2</v>
      </c>
      <c r="AG817" s="2">
        <f t="shared" si="202"/>
        <v>2</v>
      </c>
      <c r="AH817" s="2">
        <f t="shared" si="203"/>
        <v>2</v>
      </c>
      <c r="AI817" s="2">
        <f t="shared" si="204"/>
        <v>2</v>
      </c>
      <c r="AJ817" s="2">
        <f t="shared" si="205"/>
        <v>0</v>
      </c>
      <c r="AK817" s="2">
        <f t="shared" si="206"/>
        <v>0</v>
      </c>
      <c r="AL817" s="2">
        <f t="shared" si="207"/>
        <v>0</v>
      </c>
      <c r="AM817" s="115"/>
      <c r="AN817" s="115"/>
      <c r="AO817" s="63"/>
    </row>
    <row r="818" spans="1:41" ht="43.2" x14ac:dyDescent="0.55000000000000004">
      <c r="A818" s="36">
        <v>4485</v>
      </c>
      <c r="B818" s="113" t="s">
        <v>2791</v>
      </c>
      <c r="C818" s="139" t="s">
        <v>2792</v>
      </c>
      <c r="D818" s="114" t="s">
        <v>52</v>
      </c>
      <c r="E818" s="115"/>
      <c r="F818" s="116"/>
      <c r="G818" s="113" t="s">
        <v>2691</v>
      </c>
      <c r="H818" s="113" t="s">
        <v>2692</v>
      </c>
      <c r="I818" s="113" t="s">
        <v>2717</v>
      </c>
      <c r="J818" s="117"/>
      <c r="K818" s="118"/>
      <c r="L818" s="109">
        <v>3</v>
      </c>
      <c r="M818" s="109">
        <v>3</v>
      </c>
      <c r="N818" s="109"/>
      <c r="O818" s="119"/>
      <c r="P818" s="2">
        <f t="shared" si="192"/>
        <v>1</v>
      </c>
      <c r="Q818" s="110" t="str">
        <f>IF(AND(Drops!$D$45&gt;1,OR(U818&lt;&gt;U817,AND(ROW()=5,U817=U818))),VLOOKUP(U818,Drops!$D$26:$E$44,2,FALSE),"")</f>
        <v/>
      </c>
      <c r="R818" s="2" t="str">
        <f t="shared" si="193"/>
        <v/>
      </c>
      <c r="S818" s="2">
        <f t="shared" ca="1" si="194"/>
        <v>1</v>
      </c>
      <c r="T818" s="2">
        <f t="shared" si="195"/>
        <v>0</v>
      </c>
      <c r="U818" s="110" t="s">
        <v>2694</v>
      </c>
      <c r="V818" s="110">
        <v>1</v>
      </c>
      <c r="W818" s="110">
        <v>12</v>
      </c>
      <c r="X818" s="110">
        <v>1</v>
      </c>
      <c r="Y818" s="110">
        <v>0</v>
      </c>
      <c r="Z818" s="110">
        <v>0</v>
      </c>
      <c r="AA818" s="2">
        <f t="shared" si="196"/>
        <v>1</v>
      </c>
      <c r="AB818" s="2">
        <f t="shared" si="197"/>
        <v>0</v>
      </c>
      <c r="AC818" s="2">
        <f t="shared" si="198"/>
        <v>1</v>
      </c>
      <c r="AD818" s="2">
        <f t="shared" si="199"/>
        <v>1</v>
      </c>
      <c r="AE818" s="2">
        <f t="shared" si="200"/>
        <v>1</v>
      </c>
      <c r="AF818" s="2">
        <f t="shared" si="201"/>
        <v>2</v>
      </c>
      <c r="AG818" s="2">
        <f t="shared" si="202"/>
        <v>2</v>
      </c>
      <c r="AH818" s="2">
        <f t="shared" si="203"/>
        <v>2</v>
      </c>
      <c r="AI818" s="2">
        <f t="shared" si="204"/>
        <v>2</v>
      </c>
      <c r="AJ818" s="2">
        <f t="shared" si="205"/>
        <v>2</v>
      </c>
      <c r="AK818" s="2">
        <f t="shared" si="206"/>
        <v>0</v>
      </c>
      <c r="AL818" s="2">
        <f t="shared" si="207"/>
        <v>0</v>
      </c>
      <c r="AM818" s="115"/>
      <c r="AN818" s="115"/>
      <c r="AO818" s="63"/>
    </row>
    <row r="819" spans="1:41" ht="57.6" x14ac:dyDescent="0.55000000000000004">
      <c r="A819" s="36">
        <v>4941</v>
      </c>
      <c r="B819" s="113" t="s">
        <v>2793</v>
      </c>
      <c r="C819" s="139" t="s">
        <v>2794</v>
      </c>
      <c r="D819" s="114" t="s">
        <v>52</v>
      </c>
      <c r="E819" s="115"/>
      <c r="F819" s="116"/>
      <c r="G819" s="113" t="s">
        <v>2691</v>
      </c>
      <c r="H819" s="113" t="s">
        <v>2692</v>
      </c>
      <c r="I819" s="113" t="s">
        <v>2693</v>
      </c>
      <c r="J819" s="117"/>
      <c r="K819" s="118"/>
      <c r="L819" s="109">
        <v>3</v>
      </c>
      <c r="M819" s="109">
        <v>3</v>
      </c>
      <c r="N819" s="109"/>
      <c r="O819" s="119"/>
      <c r="P819" s="2">
        <f t="shared" si="192"/>
        <v>1</v>
      </c>
      <c r="Q819" s="110" t="str">
        <f>IF(AND(Drops!$D$45&gt;1,OR(U819&lt;&gt;U818,AND(ROW()=5,U818=U819))),VLOOKUP(U819,Drops!$D$26:$E$44,2,FALSE),"")</f>
        <v/>
      </c>
      <c r="R819" s="2" t="str">
        <f t="shared" si="193"/>
        <v/>
      </c>
      <c r="S819" s="2">
        <f t="shared" ca="1" si="194"/>
        <v>1</v>
      </c>
      <c r="T819" s="2">
        <f t="shared" si="195"/>
        <v>0</v>
      </c>
      <c r="U819" s="110" t="s">
        <v>2694</v>
      </c>
      <c r="V819" s="110">
        <v>1</v>
      </c>
      <c r="W819" s="110">
        <v>12</v>
      </c>
      <c r="X819" s="110">
        <v>2</v>
      </c>
      <c r="Y819" s="110">
        <v>0</v>
      </c>
      <c r="Z819" s="110">
        <v>0</v>
      </c>
      <c r="AA819" s="2">
        <f t="shared" si="196"/>
        <v>1</v>
      </c>
      <c r="AB819" s="2">
        <f t="shared" si="197"/>
        <v>0</v>
      </c>
      <c r="AC819" s="2">
        <f t="shared" si="198"/>
        <v>1</v>
      </c>
      <c r="AD819" s="2">
        <f t="shared" si="199"/>
        <v>1</v>
      </c>
      <c r="AE819" s="2">
        <f t="shared" si="200"/>
        <v>1</v>
      </c>
      <c r="AF819" s="2">
        <f t="shared" si="201"/>
        <v>2</v>
      </c>
      <c r="AG819" s="2">
        <f t="shared" si="202"/>
        <v>2</v>
      </c>
      <c r="AH819" s="2">
        <f t="shared" si="203"/>
        <v>2</v>
      </c>
      <c r="AI819" s="2">
        <f t="shared" si="204"/>
        <v>2</v>
      </c>
      <c r="AJ819" s="2">
        <f t="shared" si="205"/>
        <v>2</v>
      </c>
      <c r="AK819" s="2">
        <f t="shared" si="206"/>
        <v>0</v>
      </c>
      <c r="AL819" s="2">
        <f t="shared" si="207"/>
        <v>0</v>
      </c>
      <c r="AM819" s="115"/>
      <c r="AN819" s="115"/>
      <c r="AO819" s="63"/>
    </row>
    <row r="820" spans="1:41" ht="43.2" x14ac:dyDescent="0.55000000000000004">
      <c r="A820" s="36">
        <v>4942</v>
      </c>
      <c r="B820" s="113" t="s">
        <v>2795</v>
      </c>
      <c r="C820" s="139" t="s">
        <v>2796</v>
      </c>
      <c r="D820" s="114" t="s">
        <v>52</v>
      </c>
      <c r="E820" s="115"/>
      <c r="F820" s="116"/>
      <c r="G820" s="113" t="s">
        <v>2691</v>
      </c>
      <c r="H820" s="113" t="s">
        <v>2692</v>
      </c>
      <c r="I820" s="113" t="s">
        <v>2693</v>
      </c>
      <c r="J820" s="117"/>
      <c r="K820" s="118"/>
      <c r="L820" s="109">
        <v>3</v>
      </c>
      <c r="M820" s="109">
        <v>3</v>
      </c>
      <c r="N820" s="109"/>
      <c r="O820" s="119"/>
      <c r="P820" s="2">
        <f t="shared" si="192"/>
        <v>1</v>
      </c>
      <c r="Q820" s="110" t="str">
        <f>IF(AND(Drops!$D$45&gt;1,OR(U820&lt;&gt;U819,AND(ROW()=5,U819=U820))),VLOOKUP(U820,Drops!$D$26:$E$44,2,FALSE),"")</f>
        <v/>
      </c>
      <c r="R820" s="2" t="str">
        <f t="shared" si="193"/>
        <v/>
      </c>
      <c r="S820" s="2">
        <f t="shared" ca="1" si="194"/>
        <v>1</v>
      </c>
      <c r="T820" s="2">
        <f t="shared" si="195"/>
        <v>0</v>
      </c>
      <c r="U820" s="110" t="s">
        <v>2694</v>
      </c>
      <c r="V820" s="110">
        <v>1</v>
      </c>
      <c r="W820" s="110">
        <v>12</v>
      </c>
      <c r="X820" s="110">
        <v>3</v>
      </c>
      <c r="Y820" s="110">
        <v>0</v>
      </c>
      <c r="Z820" s="110">
        <v>0</v>
      </c>
      <c r="AA820" s="2">
        <f t="shared" si="196"/>
        <v>1</v>
      </c>
      <c r="AB820" s="2">
        <f t="shared" si="197"/>
        <v>0</v>
      </c>
      <c r="AC820" s="2">
        <f t="shared" si="198"/>
        <v>1</v>
      </c>
      <c r="AD820" s="2">
        <f t="shared" si="199"/>
        <v>1</v>
      </c>
      <c r="AE820" s="2">
        <f t="shared" si="200"/>
        <v>1</v>
      </c>
      <c r="AF820" s="2">
        <f t="shared" si="201"/>
        <v>2</v>
      </c>
      <c r="AG820" s="2">
        <f t="shared" si="202"/>
        <v>2</v>
      </c>
      <c r="AH820" s="2">
        <f t="shared" si="203"/>
        <v>2</v>
      </c>
      <c r="AI820" s="2">
        <f t="shared" si="204"/>
        <v>2</v>
      </c>
      <c r="AJ820" s="2">
        <f t="shared" si="205"/>
        <v>2</v>
      </c>
      <c r="AK820" s="2">
        <f t="shared" si="206"/>
        <v>0</v>
      </c>
      <c r="AL820" s="2">
        <f t="shared" si="207"/>
        <v>0</v>
      </c>
      <c r="AM820" s="115"/>
      <c r="AN820" s="115"/>
      <c r="AO820" s="63"/>
    </row>
    <row r="821" spans="1:41" ht="43.2" x14ac:dyDescent="0.55000000000000004">
      <c r="A821" s="36">
        <v>5898</v>
      </c>
      <c r="B821" s="113" t="s">
        <v>2797</v>
      </c>
      <c r="C821" s="139" t="s">
        <v>2798</v>
      </c>
      <c r="D821" s="114" t="s">
        <v>52</v>
      </c>
      <c r="E821" s="115"/>
      <c r="F821" s="116"/>
      <c r="G821" s="113" t="s">
        <v>2691</v>
      </c>
      <c r="H821" s="113" t="s">
        <v>2692</v>
      </c>
      <c r="I821" s="113" t="s">
        <v>2693</v>
      </c>
      <c r="J821" s="117"/>
      <c r="K821" s="118"/>
      <c r="L821" s="109">
        <v>3</v>
      </c>
      <c r="M821" s="109">
        <v>3</v>
      </c>
      <c r="N821" s="109"/>
      <c r="O821" s="119"/>
      <c r="P821" s="2">
        <f t="shared" si="192"/>
        <v>1</v>
      </c>
      <c r="Q821" s="110" t="str">
        <f>IF(AND(Drops!$D$45&gt;1,OR(U821&lt;&gt;U820,AND(ROW()=5,U820=U821))),VLOOKUP(U821,Drops!$D$26:$E$44,2,FALSE),"")</f>
        <v/>
      </c>
      <c r="R821" s="2" t="str">
        <f t="shared" si="193"/>
        <v/>
      </c>
      <c r="S821" s="2">
        <f t="shared" ca="1" si="194"/>
        <v>1</v>
      </c>
      <c r="T821" s="2">
        <f t="shared" si="195"/>
        <v>0</v>
      </c>
      <c r="U821" s="110" t="s">
        <v>2694</v>
      </c>
      <c r="V821" s="110">
        <v>1</v>
      </c>
      <c r="W821" s="110">
        <v>12</v>
      </c>
      <c r="X821" s="110">
        <v>6</v>
      </c>
      <c r="Y821" s="110">
        <v>0</v>
      </c>
      <c r="Z821" s="110">
        <v>0</v>
      </c>
      <c r="AA821" s="2">
        <f t="shared" si="196"/>
        <v>1</v>
      </c>
      <c r="AB821" s="2">
        <f t="shared" si="197"/>
        <v>0</v>
      </c>
      <c r="AC821" s="2">
        <f t="shared" si="198"/>
        <v>1</v>
      </c>
      <c r="AD821" s="2">
        <f t="shared" si="199"/>
        <v>1</v>
      </c>
      <c r="AE821" s="2">
        <f t="shared" si="200"/>
        <v>1</v>
      </c>
      <c r="AF821" s="2">
        <f t="shared" si="201"/>
        <v>2</v>
      </c>
      <c r="AG821" s="2">
        <f t="shared" si="202"/>
        <v>2</v>
      </c>
      <c r="AH821" s="2">
        <f t="shared" si="203"/>
        <v>2</v>
      </c>
      <c r="AI821" s="2">
        <f t="shared" si="204"/>
        <v>2</v>
      </c>
      <c r="AJ821" s="2">
        <f t="shared" si="205"/>
        <v>2</v>
      </c>
      <c r="AK821" s="2">
        <f t="shared" si="206"/>
        <v>0</v>
      </c>
      <c r="AL821" s="2">
        <f t="shared" si="207"/>
        <v>0</v>
      </c>
      <c r="AM821" s="115"/>
      <c r="AN821" s="115"/>
      <c r="AO821" s="63"/>
    </row>
    <row r="822" spans="1:41" ht="43.2" x14ac:dyDescent="0.55000000000000004">
      <c r="A822" s="36">
        <v>5899</v>
      </c>
      <c r="B822" s="113" t="s">
        <v>2799</v>
      </c>
      <c r="C822" s="139" t="s">
        <v>2800</v>
      </c>
      <c r="D822" s="114" t="s">
        <v>52</v>
      </c>
      <c r="E822" s="115"/>
      <c r="F822" s="116"/>
      <c r="G822" s="113" t="s">
        <v>2691</v>
      </c>
      <c r="H822" s="113" t="s">
        <v>2801</v>
      </c>
      <c r="I822" s="113" t="s">
        <v>2693</v>
      </c>
      <c r="J822" s="117"/>
      <c r="K822" s="118"/>
      <c r="L822" s="109">
        <v>3</v>
      </c>
      <c r="M822" s="109">
        <v>3</v>
      </c>
      <c r="N822" s="109"/>
      <c r="O822" s="119"/>
      <c r="P822" s="2">
        <f t="shared" si="192"/>
        <v>1</v>
      </c>
      <c r="Q822" s="110" t="str">
        <f>IF(AND(Drops!$D$45&gt;1,OR(U822&lt;&gt;U821,AND(ROW()=5,U821=U822))),VLOOKUP(U822,Drops!$D$26:$E$44,2,FALSE),"")</f>
        <v/>
      </c>
      <c r="R822" s="2" t="str">
        <f t="shared" si="193"/>
        <v/>
      </c>
      <c r="S822" s="2">
        <f t="shared" ca="1" si="194"/>
        <v>1</v>
      </c>
      <c r="T822" s="2">
        <f t="shared" si="195"/>
        <v>0</v>
      </c>
      <c r="U822" s="110" t="s">
        <v>2694</v>
      </c>
      <c r="V822" s="110">
        <v>1</v>
      </c>
      <c r="W822" s="110">
        <v>12</v>
      </c>
      <c r="X822" s="110">
        <v>7</v>
      </c>
      <c r="Y822" s="110">
        <v>0</v>
      </c>
      <c r="Z822" s="110">
        <v>0</v>
      </c>
      <c r="AA822" s="2">
        <f t="shared" si="196"/>
        <v>1</v>
      </c>
      <c r="AB822" s="2">
        <f t="shared" si="197"/>
        <v>0</v>
      </c>
      <c r="AC822" s="2">
        <f t="shared" si="198"/>
        <v>1</v>
      </c>
      <c r="AD822" s="2">
        <f t="shared" si="199"/>
        <v>1</v>
      </c>
      <c r="AE822" s="2">
        <f t="shared" si="200"/>
        <v>1</v>
      </c>
      <c r="AF822" s="2">
        <f t="shared" si="201"/>
        <v>2</v>
      </c>
      <c r="AG822" s="2">
        <f t="shared" si="202"/>
        <v>2</v>
      </c>
      <c r="AH822" s="2">
        <f t="shared" si="203"/>
        <v>2</v>
      </c>
      <c r="AI822" s="2">
        <f t="shared" si="204"/>
        <v>2</v>
      </c>
      <c r="AJ822" s="2">
        <f t="shared" si="205"/>
        <v>2</v>
      </c>
      <c r="AK822" s="2">
        <f t="shared" si="206"/>
        <v>0</v>
      </c>
      <c r="AL822" s="2">
        <f t="shared" si="207"/>
        <v>0</v>
      </c>
      <c r="AM822" s="115"/>
      <c r="AN822" s="115"/>
      <c r="AO822" s="63"/>
    </row>
    <row r="823" spans="1:41" ht="43.2" x14ac:dyDescent="0.55000000000000004">
      <c r="A823" s="36">
        <v>5900</v>
      </c>
      <c r="B823" s="113" t="s">
        <v>2802</v>
      </c>
      <c r="C823" s="139" t="s">
        <v>2803</v>
      </c>
      <c r="D823" s="114" t="s">
        <v>52</v>
      </c>
      <c r="E823" s="115"/>
      <c r="F823" s="116"/>
      <c r="G823" s="113" t="s">
        <v>2691</v>
      </c>
      <c r="H823" s="113" t="s">
        <v>2692</v>
      </c>
      <c r="I823" s="113" t="s">
        <v>2693</v>
      </c>
      <c r="J823" s="117"/>
      <c r="K823" s="118"/>
      <c r="L823" s="109">
        <v>3</v>
      </c>
      <c r="M823" s="109">
        <v>3</v>
      </c>
      <c r="N823" s="109"/>
      <c r="O823" s="119"/>
      <c r="P823" s="2">
        <f t="shared" si="192"/>
        <v>1</v>
      </c>
      <c r="Q823" s="110" t="str">
        <f>IF(AND(Drops!$D$45&gt;1,OR(U823&lt;&gt;U822,AND(ROW()=5,U822=U823))),VLOOKUP(U823,Drops!$D$26:$E$44,2,FALSE),"")</f>
        <v/>
      </c>
      <c r="R823" s="2" t="str">
        <f t="shared" si="193"/>
        <v/>
      </c>
      <c r="S823" s="2">
        <f t="shared" ca="1" si="194"/>
        <v>1</v>
      </c>
      <c r="T823" s="2">
        <f t="shared" si="195"/>
        <v>0</v>
      </c>
      <c r="U823" s="110" t="s">
        <v>2694</v>
      </c>
      <c r="V823" s="110">
        <v>1</v>
      </c>
      <c r="W823" s="110">
        <v>12</v>
      </c>
      <c r="X823" s="110">
        <v>8</v>
      </c>
      <c r="Y823" s="110">
        <v>0</v>
      </c>
      <c r="Z823" s="110">
        <v>0</v>
      </c>
      <c r="AA823" s="2">
        <f t="shared" si="196"/>
        <v>1</v>
      </c>
      <c r="AB823" s="2">
        <f t="shared" si="197"/>
        <v>0</v>
      </c>
      <c r="AC823" s="2">
        <f t="shared" si="198"/>
        <v>1</v>
      </c>
      <c r="AD823" s="2">
        <f t="shared" si="199"/>
        <v>1</v>
      </c>
      <c r="AE823" s="2">
        <f t="shared" si="200"/>
        <v>1</v>
      </c>
      <c r="AF823" s="2">
        <f t="shared" si="201"/>
        <v>2</v>
      </c>
      <c r="AG823" s="2">
        <f t="shared" si="202"/>
        <v>2</v>
      </c>
      <c r="AH823" s="2">
        <f t="shared" si="203"/>
        <v>2</v>
      </c>
      <c r="AI823" s="2">
        <f t="shared" si="204"/>
        <v>2</v>
      </c>
      <c r="AJ823" s="2">
        <f t="shared" si="205"/>
        <v>2</v>
      </c>
      <c r="AK823" s="2">
        <f t="shared" si="206"/>
        <v>0</v>
      </c>
      <c r="AL823" s="2">
        <f t="shared" si="207"/>
        <v>0</v>
      </c>
      <c r="AM823" s="115"/>
      <c r="AN823" s="115"/>
      <c r="AO823" s="63"/>
    </row>
    <row r="824" spans="1:41" ht="57.6" x14ac:dyDescent="0.55000000000000004">
      <c r="A824" s="36">
        <v>4472</v>
      </c>
      <c r="B824" s="113" t="s">
        <v>2804</v>
      </c>
      <c r="C824" s="138" t="s">
        <v>2805</v>
      </c>
      <c r="D824" s="114" t="s">
        <v>52</v>
      </c>
      <c r="E824" s="115" t="s">
        <v>2806</v>
      </c>
      <c r="F824" s="116"/>
      <c r="G824" s="113" t="s">
        <v>2691</v>
      </c>
      <c r="H824" s="113" t="s">
        <v>2746</v>
      </c>
      <c r="I824" s="113" t="s">
        <v>2693</v>
      </c>
      <c r="J824" s="117" t="s">
        <v>2311</v>
      </c>
      <c r="K824" s="118"/>
      <c r="L824" s="109">
        <v>2</v>
      </c>
      <c r="M824" s="109">
        <v>3</v>
      </c>
      <c r="N824" s="109"/>
      <c r="O824" s="119"/>
      <c r="P824" s="2">
        <f t="shared" si="192"/>
        <v>1</v>
      </c>
      <c r="Q824" s="110" t="str">
        <f>IF(AND(Drops!$D$45&gt;1,OR(U824&lt;&gt;U823,AND(ROW()=5,U823=U824))),VLOOKUP(U824,Drops!$D$26:$E$44,2,FALSE),"")</f>
        <v/>
      </c>
      <c r="R824" s="2" t="str">
        <f t="shared" si="193"/>
        <v/>
      </c>
      <c r="S824" s="2">
        <f t="shared" ca="1" si="194"/>
        <v>1</v>
      </c>
      <c r="T824" s="2">
        <f t="shared" si="195"/>
        <v>0</v>
      </c>
      <c r="U824" s="110" t="s">
        <v>2694</v>
      </c>
      <c r="V824" s="110">
        <v>1</v>
      </c>
      <c r="W824" s="110">
        <v>13</v>
      </c>
      <c r="X824" s="110">
        <v>0</v>
      </c>
      <c r="Y824" s="110">
        <v>0</v>
      </c>
      <c r="Z824" s="110">
        <v>0</v>
      </c>
      <c r="AA824" s="2">
        <f t="shared" si="196"/>
        <v>1</v>
      </c>
      <c r="AB824" s="2">
        <f t="shared" si="197"/>
        <v>1</v>
      </c>
      <c r="AC824" s="2">
        <f t="shared" si="198"/>
        <v>1</v>
      </c>
      <c r="AD824" s="2">
        <f t="shared" si="199"/>
        <v>1</v>
      </c>
      <c r="AE824" s="2">
        <f t="shared" si="200"/>
        <v>0</v>
      </c>
      <c r="AF824" s="2">
        <f t="shared" si="201"/>
        <v>2</v>
      </c>
      <c r="AG824" s="2">
        <f t="shared" si="202"/>
        <v>2</v>
      </c>
      <c r="AH824" s="2">
        <f t="shared" si="203"/>
        <v>2</v>
      </c>
      <c r="AI824" s="2">
        <f t="shared" si="204"/>
        <v>2</v>
      </c>
      <c r="AJ824" s="2">
        <f t="shared" si="205"/>
        <v>2</v>
      </c>
      <c r="AK824" s="2">
        <f t="shared" si="206"/>
        <v>0</v>
      </c>
      <c r="AL824" s="2">
        <f t="shared" si="207"/>
        <v>0</v>
      </c>
      <c r="AM824" s="115"/>
      <c r="AN824" s="115"/>
      <c r="AO824" s="63"/>
    </row>
    <row r="825" spans="1:41" ht="43.2" x14ac:dyDescent="0.55000000000000004">
      <c r="A825" s="36">
        <v>3224</v>
      </c>
      <c r="B825" s="113" t="s">
        <v>2807</v>
      </c>
      <c r="C825" s="139" t="s">
        <v>2808</v>
      </c>
      <c r="D825" s="114" t="s">
        <v>52</v>
      </c>
      <c r="E825" s="115"/>
      <c r="F825" s="116"/>
      <c r="G825" s="113" t="s">
        <v>2691</v>
      </c>
      <c r="H825" s="113" t="s">
        <v>2746</v>
      </c>
      <c r="I825" s="113" t="s">
        <v>2717</v>
      </c>
      <c r="J825" s="117" t="s">
        <v>2311</v>
      </c>
      <c r="K825" s="118"/>
      <c r="L825" s="109">
        <v>3</v>
      </c>
      <c r="M825" s="109">
        <v>3</v>
      </c>
      <c r="N825" s="109"/>
      <c r="O825" s="119"/>
      <c r="P825" s="2">
        <f t="shared" si="192"/>
        <v>1</v>
      </c>
      <c r="Q825" s="110" t="str">
        <f>IF(AND(Drops!$D$45&gt;1,OR(U825&lt;&gt;U824,AND(ROW()=5,U824=U825))),VLOOKUP(U825,Drops!$D$26:$E$44,2,FALSE),"")</f>
        <v/>
      </c>
      <c r="R825" s="2" t="str">
        <f t="shared" si="193"/>
        <v/>
      </c>
      <c r="S825" s="2">
        <f t="shared" ca="1" si="194"/>
        <v>1</v>
      </c>
      <c r="T825" s="2">
        <f t="shared" si="195"/>
        <v>0</v>
      </c>
      <c r="U825" s="110" t="s">
        <v>2694</v>
      </c>
      <c r="V825" s="110">
        <v>1</v>
      </c>
      <c r="W825" s="110">
        <v>13</v>
      </c>
      <c r="X825" s="110">
        <v>2</v>
      </c>
      <c r="Y825" s="110">
        <v>0</v>
      </c>
      <c r="Z825" s="110">
        <v>0</v>
      </c>
      <c r="AA825" s="2">
        <f t="shared" si="196"/>
        <v>1</v>
      </c>
      <c r="AB825" s="2">
        <f t="shared" si="197"/>
        <v>0</v>
      </c>
      <c r="AC825" s="2">
        <f t="shared" si="198"/>
        <v>1</v>
      </c>
      <c r="AD825" s="2">
        <f t="shared" si="199"/>
        <v>1</v>
      </c>
      <c r="AE825" s="2">
        <f t="shared" si="200"/>
        <v>1</v>
      </c>
      <c r="AF825" s="2">
        <f t="shared" si="201"/>
        <v>2</v>
      </c>
      <c r="AG825" s="2">
        <f t="shared" si="202"/>
        <v>2</v>
      </c>
      <c r="AH825" s="2">
        <f t="shared" si="203"/>
        <v>2</v>
      </c>
      <c r="AI825" s="2">
        <f t="shared" si="204"/>
        <v>2</v>
      </c>
      <c r="AJ825" s="2">
        <f t="shared" si="205"/>
        <v>2</v>
      </c>
      <c r="AK825" s="2">
        <f t="shared" si="206"/>
        <v>0</v>
      </c>
      <c r="AL825" s="2">
        <f t="shared" si="207"/>
        <v>0</v>
      </c>
      <c r="AM825" s="115"/>
      <c r="AN825" s="115"/>
      <c r="AO825" s="63"/>
    </row>
    <row r="826" spans="1:41" ht="43.2" x14ac:dyDescent="0.55000000000000004">
      <c r="A826" s="36">
        <v>4483</v>
      </c>
      <c r="B826" s="113" t="s">
        <v>2809</v>
      </c>
      <c r="C826" s="139" t="s">
        <v>2810</v>
      </c>
      <c r="D826" s="114" t="s">
        <v>52</v>
      </c>
      <c r="E826" s="115" t="s">
        <v>2811</v>
      </c>
      <c r="F826" s="116"/>
      <c r="G826" s="113" t="s">
        <v>2691</v>
      </c>
      <c r="H826" s="113" t="s">
        <v>2812</v>
      </c>
      <c r="I826" s="113" t="s">
        <v>2717</v>
      </c>
      <c r="J826" s="117" t="s">
        <v>2311</v>
      </c>
      <c r="K826" s="118"/>
      <c r="L826" s="109">
        <v>3</v>
      </c>
      <c r="M826" s="109">
        <v>3</v>
      </c>
      <c r="N826" s="109"/>
      <c r="O826" s="119"/>
      <c r="P826" s="2">
        <f t="shared" si="192"/>
        <v>1</v>
      </c>
      <c r="Q826" s="110" t="str">
        <f>IF(AND(Drops!$D$45&gt;1,OR(U826&lt;&gt;U825,AND(ROW()=5,U825=U826))),VLOOKUP(U826,Drops!$D$26:$E$44,2,FALSE),"")</f>
        <v/>
      </c>
      <c r="R826" s="2" t="str">
        <f t="shared" si="193"/>
        <v/>
      </c>
      <c r="S826" s="2">
        <f t="shared" ca="1" si="194"/>
        <v>1</v>
      </c>
      <c r="T826" s="2">
        <f t="shared" si="195"/>
        <v>0</v>
      </c>
      <c r="U826" s="110" t="s">
        <v>2694</v>
      </c>
      <c r="V826" s="110">
        <v>1</v>
      </c>
      <c r="W826" s="110">
        <v>13</v>
      </c>
      <c r="X826" s="110">
        <v>3</v>
      </c>
      <c r="Y826" s="110">
        <v>0</v>
      </c>
      <c r="Z826" s="110">
        <v>0</v>
      </c>
      <c r="AA826" s="2">
        <f t="shared" si="196"/>
        <v>1</v>
      </c>
      <c r="AB826" s="2">
        <f t="shared" si="197"/>
        <v>0</v>
      </c>
      <c r="AC826" s="2">
        <f t="shared" si="198"/>
        <v>1</v>
      </c>
      <c r="AD826" s="2">
        <f t="shared" si="199"/>
        <v>1</v>
      </c>
      <c r="AE826" s="2">
        <f t="shared" si="200"/>
        <v>1</v>
      </c>
      <c r="AF826" s="2">
        <f t="shared" si="201"/>
        <v>2</v>
      </c>
      <c r="AG826" s="2">
        <f t="shared" si="202"/>
        <v>2</v>
      </c>
      <c r="AH826" s="2">
        <f t="shared" si="203"/>
        <v>2</v>
      </c>
      <c r="AI826" s="2">
        <f t="shared" si="204"/>
        <v>2</v>
      </c>
      <c r="AJ826" s="2">
        <f t="shared" si="205"/>
        <v>2</v>
      </c>
      <c r="AK826" s="2">
        <f t="shared" si="206"/>
        <v>0</v>
      </c>
      <c r="AL826" s="2">
        <f t="shared" si="207"/>
        <v>0</v>
      </c>
      <c r="AM826" s="115"/>
      <c r="AN826" s="115"/>
      <c r="AO826" s="63"/>
    </row>
    <row r="827" spans="1:41" ht="43.2" x14ac:dyDescent="0.55000000000000004">
      <c r="A827" s="36">
        <v>4484</v>
      </c>
      <c r="B827" s="113" t="s">
        <v>2813</v>
      </c>
      <c r="C827" s="139" t="s">
        <v>2814</v>
      </c>
      <c r="D827" s="114" t="s">
        <v>52</v>
      </c>
      <c r="E827" s="115"/>
      <c r="F827" s="116"/>
      <c r="G827" s="113" t="s">
        <v>2691</v>
      </c>
      <c r="H827" s="113" t="s">
        <v>2746</v>
      </c>
      <c r="I827" s="113" t="s">
        <v>2717</v>
      </c>
      <c r="J827" s="117" t="s">
        <v>2311</v>
      </c>
      <c r="K827" s="118"/>
      <c r="L827" s="109">
        <v>3</v>
      </c>
      <c r="M827" s="109">
        <v>2</v>
      </c>
      <c r="N827" s="109"/>
      <c r="O827" s="119"/>
      <c r="P827" s="2">
        <f t="shared" si="192"/>
        <v>1</v>
      </c>
      <c r="Q827" s="110" t="str">
        <f>IF(AND(Drops!$D$45&gt;1,OR(U827&lt;&gt;U826,AND(ROW()=5,U826=U827))),VLOOKUP(U827,Drops!$D$26:$E$44,2,FALSE),"")</f>
        <v/>
      </c>
      <c r="R827" s="2" t="str">
        <f t="shared" si="193"/>
        <v/>
      </c>
      <c r="S827" s="2">
        <f t="shared" ca="1" si="194"/>
        <v>1</v>
      </c>
      <c r="T827" s="2">
        <f t="shared" si="195"/>
        <v>0</v>
      </c>
      <c r="U827" s="110" t="s">
        <v>2694</v>
      </c>
      <c r="V827" s="110">
        <v>1</v>
      </c>
      <c r="W827" s="110">
        <v>13</v>
      </c>
      <c r="X827" s="110">
        <v>4</v>
      </c>
      <c r="Y827" s="110">
        <v>0</v>
      </c>
      <c r="Z827" s="110">
        <v>0</v>
      </c>
      <c r="AA827" s="2">
        <f t="shared" si="196"/>
        <v>1</v>
      </c>
      <c r="AB827" s="2">
        <f t="shared" si="197"/>
        <v>0</v>
      </c>
      <c r="AC827" s="2">
        <f t="shared" si="198"/>
        <v>1</v>
      </c>
      <c r="AD827" s="2">
        <f t="shared" si="199"/>
        <v>1</v>
      </c>
      <c r="AE827" s="2">
        <f t="shared" si="200"/>
        <v>1</v>
      </c>
      <c r="AF827" s="2">
        <f t="shared" si="201"/>
        <v>2</v>
      </c>
      <c r="AG827" s="2">
        <f t="shared" si="202"/>
        <v>2</v>
      </c>
      <c r="AH827" s="2">
        <f t="shared" si="203"/>
        <v>2</v>
      </c>
      <c r="AI827" s="2">
        <f t="shared" si="204"/>
        <v>2</v>
      </c>
      <c r="AJ827" s="2">
        <f t="shared" si="205"/>
        <v>2</v>
      </c>
      <c r="AK827" s="2">
        <f t="shared" si="206"/>
        <v>0</v>
      </c>
      <c r="AL827" s="2">
        <f t="shared" si="207"/>
        <v>0</v>
      </c>
      <c r="AM827" s="115"/>
      <c r="AN827" s="115"/>
      <c r="AO827" s="63"/>
    </row>
    <row r="828" spans="1:41" ht="43.2" x14ac:dyDescent="0.55000000000000004">
      <c r="A828" s="36">
        <v>5902</v>
      </c>
      <c r="B828" s="113" t="s">
        <v>2815</v>
      </c>
      <c r="C828" s="139" t="s">
        <v>2816</v>
      </c>
      <c r="D828" s="114" t="s">
        <v>52</v>
      </c>
      <c r="E828" s="115"/>
      <c r="F828" s="116"/>
      <c r="G828" s="113" t="s">
        <v>2691</v>
      </c>
      <c r="H828" s="113" t="s">
        <v>2746</v>
      </c>
      <c r="I828" s="113" t="s">
        <v>2817</v>
      </c>
      <c r="J828" s="117" t="s">
        <v>2591</v>
      </c>
      <c r="K828" s="118"/>
      <c r="L828" s="109">
        <v>3</v>
      </c>
      <c r="M828" s="109">
        <v>3</v>
      </c>
      <c r="N828" s="109"/>
      <c r="O828" s="119"/>
      <c r="P828" s="2">
        <f t="shared" si="192"/>
        <v>1</v>
      </c>
      <c r="Q828" s="110" t="str">
        <f>IF(AND(Drops!$D$45&gt;1,OR(U828&lt;&gt;U827,AND(ROW()=5,U827=U828))),VLOOKUP(U828,Drops!$D$26:$E$44,2,FALSE),"")</f>
        <v/>
      </c>
      <c r="R828" s="2" t="str">
        <f t="shared" si="193"/>
        <v/>
      </c>
      <c r="S828" s="2">
        <f t="shared" ca="1" si="194"/>
        <v>1</v>
      </c>
      <c r="T828" s="2">
        <f t="shared" si="195"/>
        <v>0</v>
      </c>
      <c r="U828" s="110" t="s">
        <v>2694</v>
      </c>
      <c r="V828" s="110">
        <v>1</v>
      </c>
      <c r="W828" s="110">
        <v>13</v>
      </c>
      <c r="X828" s="110">
        <v>5</v>
      </c>
      <c r="Y828" s="110">
        <v>0</v>
      </c>
      <c r="Z828" s="110">
        <v>0</v>
      </c>
      <c r="AA828" s="2">
        <f t="shared" si="196"/>
        <v>1</v>
      </c>
      <c r="AB828" s="2">
        <f t="shared" si="197"/>
        <v>0</v>
      </c>
      <c r="AC828" s="2">
        <f t="shared" si="198"/>
        <v>1</v>
      </c>
      <c r="AD828" s="2">
        <f t="shared" si="199"/>
        <v>1</v>
      </c>
      <c r="AE828" s="2">
        <f t="shared" si="200"/>
        <v>1</v>
      </c>
      <c r="AF828" s="2">
        <f t="shared" si="201"/>
        <v>2</v>
      </c>
      <c r="AG828" s="2">
        <f t="shared" si="202"/>
        <v>2</v>
      </c>
      <c r="AH828" s="2">
        <f t="shared" si="203"/>
        <v>2</v>
      </c>
      <c r="AI828" s="2">
        <f t="shared" si="204"/>
        <v>2</v>
      </c>
      <c r="AJ828" s="2">
        <f t="shared" si="205"/>
        <v>2</v>
      </c>
      <c r="AK828" s="2">
        <f t="shared" si="206"/>
        <v>0</v>
      </c>
      <c r="AL828" s="2">
        <f t="shared" si="207"/>
        <v>0</v>
      </c>
      <c r="AM828" s="115"/>
      <c r="AN828" s="115"/>
      <c r="AO828" s="63"/>
    </row>
    <row r="829" spans="1:41" ht="28.8" x14ac:dyDescent="0.55000000000000004">
      <c r="A829" s="36">
        <v>5903</v>
      </c>
      <c r="B829" s="113" t="s">
        <v>2818</v>
      </c>
      <c r="C829" s="139" t="s">
        <v>2819</v>
      </c>
      <c r="D829" s="114" t="s">
        <v>52</v>
      </c>
      <c r="E829" s="115"/>
      <c r="F829" s="116"/>
      <c r="G829" s="113" t="s">
        <v>2691</v>
      </c>
      <c r="H829" s="113" t="s">
        <v>2746</v>
      </c>
      <c r="I829" s="113" t="s">
        <v>2817</v>
      </c>
      <c r="J829" s="117" t="s">
        <v>2591</v>
      </c>
      <c r="K829" s="118"/>
      <c r="L829" s="109">
        <v>3</v>
      </c>
      <c r="M829" s="109">
        <v>3</v>
      </c>
      <c r="N829" s="109"/>
      <c r="O829" s="119"/>
      <c r="P829" s="2">
        <f t="shared" si="192"/>
        <v>1</v>
      </c>
      <c r="Q829" s="110" t="str">
        <f>IF(AND(Drops!$D$45&gt;1,OR(U829&lt;&gt;U828,AND(ROW()=5,U828=U829))),VLOOKUP(U829,Drops!$D$26:$E$44,2,FALSE),"")</f>
        <v/>
      </c>
      <c r="R829" s="2" t="str">
        <f t="shared" si="193"/>
        <v/>
      </c>
      <c r="S829" s="2">
        <f t="shared" ca="1" si="194"/>
        <v>1</v>
      </c>
      <c r="T829" s="2">
        <f t="shared" si="195"/>
        <v>0</v>
      </c>
      <c r="U829" s="110" t="s">
        <v>2694</v>
      </c>
      <c r="V829" s="110">
        <v>1</v>
      </c>
      <c r="W829" s="110">
        <v>13</v>
      </c>
      <c r="X829" s="110">
        <v>6</v>
      </c>
      <c r="Y829" s="110">
        <v>0</v>
      </c>
      <c r="Z829" s="110">
        <v>0</v>
      </c>
      <c r="AA829" s="2">
        <f t="shared" si="196"/>
        <v>1</v>
      </c>
      <c r="AB829" s="2">
        <f t="shared" si="197"/>
        <v>0</v>
      </c>
      <c r="AC829" s="2">
        <f t="shared" si="198"/>
        <v>1</v>
      </c>
      <c r="AD829" s="2">
        <f t="shared" si="199"/>
        <v>1</v>
      </c>
      <c r="AE829" s="2">
        <f t="shared" si="200"/>
        <v>1</v>
      </c>
      <c r="AF829" s="2">
        <f t="shared" si="201"/>
        <v>2</v>
      </c>
      <c r="AG829" s="2">
        <f t="shared" si="202"/>
        <v>2</v>
      </c>
      <c r="AH829" s="2">
        <f t="shared" si="203"/>
        <v>2</v>
      </c>
      <c r="AI829" s="2">
        <f t="shared" si="204"/>
        <v>2</v>
      </c>
      <c r="AJ829" s="2">
        <f t="shared" si="205"/>
        <v>2</v>
      </c>
      <c r="AK829" s="2">
        <f t="shared" si="206"/>
        <v>0</v>
      </c>
      <c r="AL829" s="2">
        <f t="shared" si="207"/>
        <v>0</v>
      </c>
      <c r="AM829" s="115"/>
      <c r="AN829" s="115"/>
      <c r="AO829" s="63"/>
    </row>
    <row r="830" spans="1:41" ht="28.8" x14ac:dyDescent="0.55000000000000004">
      <c r="A830" s="36">
        <v>4486</v>
      </c>
      <c r="B830" s="113" t="s">
        <v>2820</v>
      </c>
      <c r="C830" s="138" t="s">
        <v>2821</v>
      </c>
      <c r="D830" s="114" t="s">
        <v>52</v>
      </c>
      <c r="E830" s="115" t="s">
        <v>2822</v>
      </c>
      <c r="F830" s="116"/>
      <c r="G830" s="113" t="s">
        <v>2691</v>
      </c>
      <c r="H830" s="113" t="s">
        <v>517</v>
      </c>
      <c r="I830" s="113" t="s">
        <v>2823</v>
      </c>
      <c r="J830" s="117"/>
      <c r="K830" s="118"/>
      <c r="L830" s="109">
        <v>2</v>
      </c>
      <c r="M830" s="109">
        <v>2</v>
      </c>
      <c r="N830" s="109"/>
      <c r="O830" s="119"/>
      <c r="P830" s="2">
        <f t="shared" si="192"/>
        <v>1</v>
      </c>
      <c r="Q830" s="110" t="str">
        <f>IF(AND(Drops!$D$45&gt;1,OR(U830&lt;&gt;U829,AND(ROW()=5,U829=U830))),VLOOKUP(U830,Drops!$D$26:$E$44,2,FALSE),"")</f>
        <v/>
      </c>
      <c r="R830" s="2" t="str">
        <f t="shared" si="193"/>
        <v/>
      </c>
      <c r="S830" s="2">
        <f t="shared" ca="1" si="194"/>
        <v>1</v>
      </c>
      <c r="T830" s="2">
        <f t="shared" si="195"/>
        <v>0</v>
      </c>
      <c r="U830" s="110" t="s">
        <v>2694</v>
      </c>
      <c r="V830" s="110">
        <v>1</v>
      </c>
      <c r="W830" s="110">
        <v>14</v>
      </c>
      <c r="X830" s="110">
        <v>0</v>
      </c>
      <c r="Y830" s="110">
        <v>0</v>
      </c>
      <c r="Z830" s="110">
        <v>0</v>
      </c>
      <c r="AA830" s="2">
        <f t="shared" si="196"/>
        <v>1</v>
      </c>
      <c r="AB830" s="2">
        <f t="shared" si="197"/>
        <v>1</v>
      </c>
      <c r="AC830" s="2">
        <f t="shared" si="198"/>
        <v>1</v>
      </c>
      <c r="AD830" s="2">
        <f t="shared" si="199"/>
        <v>1</v>
      </c>
      <c r="AE830" s="2">
        <f t="shared" si="200"/>
        <v>0</v>
      </c>
      <c r="AF830" s="2">
        <f t="shared" si="201"/>
        <v>2</v>
      </c>
      <c r="AG830" s="2">
        <f t="shared" si="202"/>
        <v>2</v>
      </c>
      <c r="AH830" s="2">
        <f t="shared" si="203"/>
        <v>2</v>
      </c>
      <c r="AI830" s="2">
        <f t="shared" si="204"/>
        <v>2</v>
      </c>
      <c r="AJ830" s="2">
        <f t="shared" si="205"/>
        <v>2</v>
      </c>
      <c r="AK830" s="2">
        <f t="shared" si="206"/>
        <v>0</v>
      </c>
      <c r="AL830" s="2">
        <f t="shared" si="207"/>
        <v>0</v>
      </c>
      <c r="AM830" s="115"/>
      <c r="AN830" s="115"/>
      <c r="AO830" s="63"/>
    </row>
    <row r="831" spans="1:41" ht="43.2" x14ac:dyDescent="0.55000000000000004">
      <c r="A831" s="36">
        <v>4487</v>
      </c>
      <c r="B831" s="113" t="s">
        <v>2824</v>
      </c>
      <c r="C831" s="139" t="s">
        <v>2825</v>
      </c>
      <c r="D831" s="114" t="s">
        <v>52</v>
      </c>
      <c r="E831" s="115"/>
      <c r="F831" s="116"/>
      <c r="G831" s="113" t="s">
        <v>2691</v>
      </c>
      <c r="H831" s="113" t="s">
        <v>517</v>
      </c>
      <c r="I831" s="113" t="s">
        <v>2823</v>
      </c>
      <c r="J831" s="117"/>
      <c r="K831" s="118"/>
      <c r="L831" s="109">
        <v>3</v>
      </c>
      <c r="M831" s="109">
        <v>3</v>
      </c>
      <c r="N831" s="109"/>
      <c r="O831" s="119"/>
      <c r="P831" s="2">
        <f t="shared" si="192"/>
        <v>1</v>
      </c>
      <c r="Q831" s="110" t="str">
        <f>IF(AND(Drops!$D$45&gt;1,OR(U831&lt;&gt;U830,AND(ROW()=5,U830=U831))),VLOOKUP(U831,Drops!$D$26:$E$44,2,FALSE),"")</f>
        <v/>
      </c>
      <c r="R831" s="2" t="str">
        <f t="shared" si="193"/>
        <v/>
      </c>
      <c r="S831" s="2">
        <f t="shared" ca="1" si="194"/>
        <v>1</v>
      </c>
      <c r="T831" s="2">
        <f t="shared" si="195"/>
        <v>0</v>
      </c>
      <c r="U831" s="110" t="s">
        <v>2694</v>
      </c>
      <c r="V831" s="110">
        <v>1</v>
      </c>
      <c r="W831" s="110">
        <v>14</v>
      </c>
      <c r="X831" s="110">
        <v>1</v>
      </c>
      <c r="Y831" s="110">
        <v>0</v>
      </c>
      <c r="Z831" s="110">
        <v>0</v>
      </c>
      <c r="AA831" s="2">
        <f t="shared" si="196"/>
        <v>1</v>
      </c>
      <c r="AB831" s="2">
        <f t="shared" si="197"/>
        <v>0</v>
      </c>
      <c r="AC831" s="2">
        <f t="shared" si="198"/>
        <v>1</v>
      </c>
      <c r="AD831" s="2">
        <f t="shared" si="199"/>
        <v>1</v>
      </c>
      <c r="AE831" s="2">
        <f t="shared" si="200"/>
        <v>1</v>
      </c>
      <c r="AF831" s="2">
        <f t="shared" si="201"/>
        <v>2</v>
      </c>
      <c r="AG831" s="2">
        <f t="shared" si="202"/>
        <v>2</v>
      </c>
      <c r="AH831" s="2">
        <f t="shared" si="203"/>
        <v>2</v>
      </c>
      <c r="AI831" s="2">
        <f t="shared" si="204"/>
        <v>2</v>
      </c>
      <c r="AJ831" s="2">
        <f t="shared" si="205"/>
        <v>2</v>
      </c>
      <c r="AK831" s="2">
        <f t="shared" si="206"/>
        <v>0</v>
      </c>
      <c r="AL831" s="2">
        <f t="shared" si="207"/>
        <v>0</v>
      </c>
      <c r="AM831" s="115"/>
      <c r="AN831" s="115"/>
      <c r="AO831" s="63"/>
    </row>
    <row r="832" spans="1:41" ht="43.2" x14ac:dyDescent="0.55000000000000004">
      <c r="A832" s="36">
        <v>4489</v>
      </c>
      <c r="B832" s="113" t="s">
        <v>2826</v>
      </c>
      <c r="C832" s="139" t="s">
        <v>2827</v>
      </c>
      <c r="D832" s="114" t="s">
        <v>52</v>
      </c>
      <c r="E832" s="115" t="s">
        <v>2828</v>
      </c>
      <c r="F832" s="116"/>
      <c r="G832" s="113" t="s">
        <v>2691</v>
      </c>
      <c r="H832" s="113" t="s">
        <v>517</v>
      </c>
      <c r="I832" s="113" t="s">
        <v>2823</v>
      </c>
      <c r="J832" s="117"/>
      <c r="K832" s="118"/>
      <c r="L832" s="109">
        <v>3</v>
      </c>
      <c r="M832" s="109">
        <v>3</v>
      </c>
      <c r="N832" s="109"/>
      <c r="O832" s="119"/>
      <c r="P832" s="2">
        <f t="shared" si="192"/>
        <v>1</v>
      </c>
      <c r="Q832" s="110" t="str">
        <f>IF(AND(Drops!$D$45&gt;1,OR(U832&lt;&gt;U831,AND(ROW()=5,U831=U832))),VLOOKUP(U832,Drops!$D$26:$E$44,2,FALSE),"")</f>
        <v/>
      </c>
      <c r="R832" s="2" t="str">
        <f t="shared" si="193"/>
        <v/>
      </c>
      <c r="S832" s="2">
        <f t="shared" ca="1" si="194"/>
        <v>1</v>
      </c>
      <c r="T832" s="2">
        <f t="shared" si="195"/>
        <v>0</v>
      </c>
      <c r="U832" s="110" t="s">
        <v>2694</v>
      </c>
      <c r="V832" s="110">
        <v>1</v>
      </c>
      <c r="W832" s="110">
        <v>14</v>
      </c>
      <c r="X832" s="110">
        <v>3</v>
      </c>
      <c r="Y832" s="110">
        <v>0</v>
      </c>
      <c r="Z832" s="110">
        <v>0</v>
      </c>
      <c r="AA832" s="2">
        <f t="shared" si="196"/>
        <v>1</v>
      </c>
      <c r="AB832" s="2">
        <f t="shared" si="197"/>
        <v>0</v>
      </c>
      <c r="AC832" s="2">
        <f t="shared" si="198"/>
        <v>1</v>
      </c>
      <c r="AD832" s="2">
        <f t="shared" si="199"/>
        <v>1</v>
      </c>
      <c r="AE832" s="2">
        <f t="shared" si="200"/>
        <v>1</v>
      </c>
      <c r="AF832" s="2">
        <f t="shared" si="201"/>
        <v>2</v>
      </c>
      <c r="AG832" s="2">
        <f t="shared" si="202"/>
        <v>2</v>
      </c>
      <c r="AH832" s="2">
        <f t="shared" si="203"/>
        <v>2</v>
      </c>
      <c r="AI832" s="2">
        <f t="shared" si="204"/>
        <v>2</v>
      </c>
      <c r="AJ832" s="2">
        <f t="shared" si="205"/>
        <v>2</v>
      </c>
      <c r="AK832" s="2">
        <f t="shared" si="206"/>
        <v>0</v>
      </c>
      <c r="AL832" s="2">
        <f t="shared" si="207"/>
        <v>0</v>
      </c>
      <c r="AM832" s="115"/>
      <c r="AN832" s="115"/>
      <c r="AO832" s="63"/>
    </row>
    <row r="833" spans="1:41" ht="43.2" x14ac:dyDescent="0.55000000000000004">
      <c r="A833" s="36">
        <v>4490</v>
      </c>
      <c r="B833" s="113" t="s">
        <v>2829</v>
      </c>
      <c r="C833" s="138" t="s">
        <v>2830</v>
      </c>
      <c r="D833" s="114" t="s">
        <v>52</v>
      </c>
      <c r="E833" s="115"/>
      <c r="F833" s="116"/>
      <c r="G833" s="113" t="s">
        <v>2691</v>
      </c>
      <c r="H833" s="113" t="s">
        <v>2732</v>
      </c>
      <c r="I833" s="113" t="s">
        <v>2733</v>
      </c>
      <c r="J833" s="117" t="s">
        <v>1028</v>
      </c>
      <c r="K833" s="118"/>
      <c r="L833" s="109">
        <v>2</v>
      </c>
      <c r="M833" s="109">
        <v>2</v>
      </c>
      <c r="N833" s="109"/>
      <c r="O833" s="119"/>
      <c r="P833" s="2">
        <f t="shared" si="192"/>
        <v>1</v>
      </c>
      <c r="Q833" s="110" t="str">
        <f>IF(AND(Drops!$D$45&gt;1,OR(U833&lt;&gt;U832,AND(ROW()=5,U832=U833))),VLOOKUP(U833,Drops!$D$26:$E$44,2,FALSE),"")</f>
        <v/>
      </c>
      <c r="R833" s="2" t="str">
        <f t="shared" si="193"/>
        <v/>
      </c>
      <c r="S833" s="2">
        <f t="shared" ca="1" si="194"/>
        <v>1</v>
      </c>
      <c r="T833" s="2">
        <f t="shared" si="195"/>
        <v>0</v>
      </c>
      <c r="U833" s="110" t="s">
        <v>2694</v>
      </c>
      <c r="V833" s="110">
        <v>1</v>
      </c>
      <c r="W833" s="110">
        <v>15</v>
      </c>
      <c r="X833" s="110">
        <v>0</v>
      </c>
      <c r="Y833" s="110">
        <v>0</v>
      </c>
      <c r="Z833" s="110">
        <v>0</v>
      </c>
      <c r="AA833" s="2">
        <f t="shared" si="196"/>
        <v>1</v>
      </c>
      <c r="AB833" s="2">
        <f t="shared" si="197"/>
        <v>1</v>
      </c>
      <c r="AC833" s="2">
        <f t="shared" si="198"/>
        <v>1</v>
      </c>
      <c r="AD833" s="2">
        <f t="shared" si="199"/>
        <v>1</v>
      </c>
      <c r="AE833" s="2">
        <f t="shared" si="200"/>
        <v>0</v>
      </c>
      <c r="AF833" s="2">
        <f t="shared" si="201"/>
        <v>2</v>
      </c>
      <c r="AG833" s="2">
        <f t="shared" si="202"/>
        <v>2</v>
      </c>
      <c r="AH833" s="2">
        <f t="shared" si="203"/>
        <v>2</v>
      </c>
      <c r="AI833" s="2">
        <f t="shared" si="204"/>
        <v>2</v>
      </c>
      <c r="AJ833" s="2">
        <f t="shared" si="205"/>
        <v>2</v>
      </c>
      <c r="AK833" s="2">
        <f t="shared" si="206"/>
        <v>0</v>
      </c>
      <c r="AL833" s="2">
        <f t="shared" si="207"/>
        <v>0</v>
      </c>
      <c r="AM833" s="115"/>
      <c r="AN833" s="115"/>
      <c r="AO833" s="63"/>
    </row>
    <row r="834" spans="1:41" ht="43.2" x14ac:dyDescent="0.55000000000000004">
      <c r="A834" s="36">
        <v>4491</v>
      </c>
      <c r="B834" s="113" t="s">
        <v>2831</v>
      </c>
      <c r="C834" s="139" t="s">
        <v>2832</v>
      </c>
      <c r="D834" s="114" t="s">
        <v>52</v>
      </c>
      <c r="E834" s="115"/>
      <c r="F834" s="116"/>
      <c r="G834" s="113" t="s">
        <v>2691</v>
      </c>
      <c r="H834" s="113" t="s">
        <v>2732</v>
      </c>
      <c r="I834" s="113" t="s">
        <v>2733</v>
      </c>
      <c r="J834" s="117" t="s">
        <v>1028</v>
      </c>
      <c r="K834" s="118"/>
      <c r="L834" s="109">
        <v>3</v>
      </c>
      <c r="M834" s="109">
        <v>3</v>
      </c>
      <c r="N834" s="109"/>
      <c r="O834" s="119"/>
      <c r="P834" s="2">
        <f t="shared" si="192"/>
        <v>1</v>
      </c>
      <c r="Q834" s="110" t="str">
        <f>IF(AND(Drops!$D$45&gt;1,OR(U834&lt;&gt;U833,AND(ROW()=5,U833=U834))),VLOOKUP(U834,Drops!$D$26:$E$44,2,FALSE),"")</f>
        <v/>
      </c>
      <c r="R834" s="2" t="str">
        <f t="shared" si="193"/>
        <v/>
      </c>
      <c r="S834" s="2">
        <f t="shared" ca="1" si="194"/>
        <v>1</v>
      </c>
      <c r="T834" s="2">
        <f t="shared" si="195"/>
        <v>0</v>
      </c>
      <c r="U834" s="110" t="s">
        <v>2694</v>
      </c>
      <c r="V834" s="110">
        <v>1</v>
      </c>
      <c r="W834" s="110">
        <v>15</v>
      </c>
      <c r="X834" s="110">
        <v>1</v>
      </c>
      <c r="Y834" s="110">
        <v>0</v>
      </c>
      <c r="Z834" s="110">
        <v>0</v>
      </c>
      <c r="AA834" s="2">
        <f t="shared" si="196"/>
        <v>1</v>
      </c>
      <c r="AB834" s="2">
        <f t="shared" si="197"/>
        <v>0</v>
      </c>
      <c r="AC834" s="2">
        <f t="shared" si="198"/>
        <v>1</v>
      </c>
      <c r="AD834" s="2">
        <f t="shared" si="199"/>
        <v>1</v>
      </c>
      <c r="AE834" s="2">
        <f t="shared" si="200"/>
        <v>1</v>
      </c>
      <c r="AF834" s="2">
        <f t="shared" si="201"/>
        <v>2</v>
      </c>
      <c r="AG834" s="2">
        <f t="shared" si="202"/>
        <v>2</v>
      </c>
      <c r="AH834" s="2">
        <f t="shared" si="203"/>
        <v>2</v>
      </c>
      <c r="AI834" s="2">
        <f t="shared" si="204"/>
        <v>2</v>
      </c>
      <c r="AJ834" s="2">
        <f t="shared" si="205"/>
        <v>2</v>
      </c>
      <c r="AK834" s="2">
        <f t="shared" si="206"/>
        <v>0</v>
      </c>
      <c r="AL834" s="2">
        <f t="shared" si="207"/>
        <v>0</v>
      </c>
      <c r="AM834" s="115"/>
      <c r="AN834" s="115"/>
      <c r="AO834" s="63"/>
    </row>
    <row r="835" spans="1:41" ht="43.2" x14ac:dyDescent="0.55000000000000004">
      <c r="A835" s="36">
        <v>4492</v>
      </c>
      <c r="B835" s="113" t="s">
        <v>2833</v>
      </c>
      <c r="C835" s="139" t="s">
        <v>2834</v>
      </c>
      <c r="D835" s="114" t="s">
        <v>52</v>
      </c>
      <c r="E835" s="115"/>
      <c r="F835" s="116"/>
      <c r="G835" s="113" t="s">
        <v>2691</v>
      </c>
      <c r="H835" s="113" t="s">
        <v>2732</v>
      </c>
      <c r="I835" s="113" t="s">
        <v>2733</v>
      </c>
      <c r="J835" s="117" t="s">
        <v>1028</v>
      </c>
      <c r="K835" s="118"/>
      <c r="L835" s="109">
        <v>3</v>
      </c>
      <c r="M835" s="109">
        <v>3</v>
      </c>
      <c r="N835" s="109"/>
      <c r="O835" s="119"/>
      <c r="P835" s="2">
        <f t="shared" si="192"/>
        <v>1</v>
      </c>
      <c r="Q835" s="110" t="str">
        <f>IF(AND(Drops!$D$45&gt;1,OR(U835&lt;&gt;U834,AND(ROW()=5,U834=U835))),VLOOKUP(U835,Drops!$D$26:$E$44,2,FALSE),"")</f>
        <v/>
      </c>
      <c r="R835" s="2" t="str">
        <f t="shared" si="193"/>
        <v/>
      </c>
      <c r="S835" s="2">
        <f t="shared" ca="1" si="194"/>
        <v>1</v>
      </c>
      <c r="T835" s="2">
        <f t="shared" si="195"/>
        <v>0</v>
      </c>
      <c r="U835" s="110" t="s">
        <v>2694</v>
      </c>
      <c r="V835" s="110">
        <v>1</v>
      </c>
      <c r="W835" s="110">
        <v>15</v>
      </c>
      <c r="X835" s="110">
        <v>2</v>
      </c>
      <c r="Y835" s="110">
        <v>0</v>
      </c>
      <c r="Z835" s="110">
        <v>0</v>
      </c>
      <c r="AA835" s="2">
        <f t="shared" si="196"/>
        <v>1</v>
      </c>
      <c r="AB835" s="2">
        <f t="shared" si="197"/>
        <v>0</v>
      </c>
      <c r="AC835" s="2">
        <f t="shared" si="198"/>
        <v>1</v>
      </c>
      <c r="AD835" s="2">
        <f t="shared" si="199"/>
        <v>1</v>
      </c>
      <c r="AE835" s="2">
        <f t="shared" si="200"/>
        <v>1</v>
      </c>
      <c r="AF835" s="2">
        <f t="shared" si="201"/>
        <v>2</v>
      </c>
      <c r="AG835" s="2">
        <f t="shared" si="202"/>
        <v>2</v>
      </c>
      <c r="AH835" s="2">
        <f t="shared" si="203"/>
        <v>2</v>
      </c>
      <c r="AI835" s="2">
        <f t="shared" si="204"/>
        <v>2</v>
      </c>
      <c r="AJ835" s="2">
        <f t="shared" si="205"/>
        <v>2</v>
      </c>
      <c r="AK835" s="2">
        <f t="shared" si="206"/>
        <v>0</v>
      </c>
      <c r="AL835" s="2">
        <f t="shared" si="207"/>
        <v>0</v>
      </c>
      <c r="AM835" s="115"/>
      <c r="AN835" s="115"/>
      <c r="AO835" s="63"/>
    </row>
    <row r="836" spans="1:41" ht="43.2" x14ac:dyDescent="0.55000000000000004">
      <c r="A836" s="36">
        <v>4493</v>
      </c>
      <c r="B836" s="113" t="s">
        <v>2835</v>
      </c>
      <c r="C836" s="139" t="s">
        <v>2836</v>
      </c>
      <c r="D836" s="114" t="s">
        <v>52</v>
      </c>
      <c r="E836" s="115" t="s">
        <v>2837</v>
      </c>
      <c r="F836" s="116"/>
      <c r="G836" s="113" t="s">
        <v>2691</v>
      </c>
      <c r="H836" s="113" t="s">
        <v>2732</v>
      </c>
      <c r="I836" s="113" t="s">
        <v>2733</v>
      </c>
      <c r="J836" s="117" t="s">
        <v>1028</v>
      </c>
      <c r="K836" s="118"/>
      <c r="L836" s="109">
        <v>3</v>
      </c>
      <c r="M836" s="109">
        <v>3</v>
      </c>
      <c r="N836" s="109"/>
      <c r="O836" s="119"/>
      <c r="P836" s="2">
        <f t="shared" si="192"/>
        <v>1</v>
      </c>
      <c r="Q836" s="110" t="str">
        <f>IF(AND(Drops!$D$45&gt;1,OR(U836&lt;&gt;U835,AND(ROW()=5,U835=U836))),VLOOKUP(U836,Drops!$D$26:$E$44,2,FALSE),"")</f>
        <v/>
      </c>
      <c r="R836" s="2" t="str">
        <f t="shared" si="193"/>
        <v/>
      </c>
      <c r="S836" s="2">
        <f t="shared" ca="1" si="194"/>
        <v>1</v>
      </c>
      <c r="T836" s="2">
        <f t="shared" si="195"/>
        <v>0</v>
      </c>
      <c r="U836" s="110" t="s">
        <v>2694</v>
      </c>
      <c r="V836" s="110">
        <v>1</v>
      </c>
      <c r="W836" s="110">
        <v>15</v>
      </c>
      <c r="X836" s="110">
        <v>3</v>
      </c>
      <c r="Y836" s="110">
        <v>0</v>
      </c>
      <c r="Z836" s="110">
        <v>0</v>
      </c>
      <c r="AA836" s="2">
        <f t="shared" si="196"/>
        <v>1</v>
      </c>
      <c r="AB836" s="2">
        <f t="shared" si="197"/>
        <v>0</v>
      </c>
      <c r="AC836" s="2">
        <f t="shared" si="198"/>
        <v>1</v>
      </c>
      <c r="AD836" s="2">
        <f t="shared" si="199"/>
        <v>1</v>
      </c>
      <c r="AE836" s="2">
        <f t="shared" si="200"/>
        <v>1</v>
      </c>
      <c r="AF836" s="2">
        <f t="shared" si="201"/>
        <v>2</v>
      </c>
      <c r="AG836" s="2">
        <f t="shared" si="202"/>
        <v>2</v>
      </c>
      <c r="AH836" s="2">
        <f t="shared" si="203"/>
        <v>2</v>
      </c>
      <c r="AI836" s="2">
        <f t="shared" si="204"/>
        <v>2</v>
      </c>
      <c r="AJ836" s="2">
        <f t="shared" si="205"/>
        <v>2</v>
      </c>
      <c r="AK836" s="2">
        <f t="shared" si="206"/>
        <v>0</v>
      </c>
      <c r="AL836" s="2">
        <f t="shared" si="207"/>
        <v>0</v>
      </c>
      <c r="AM836" s="115"/>
      <c r="AN836" s="115"/>
      <c r="AO836" s="63"/>
    </row>
    <row r="837" spans="1:41" ht="28.8" x14ac:dyDescent="0.55000000000000004">
      <c r="A837" s="36">
        <v>4494</v>
      </c>
      <c r="B837" s="113" t="s">
        <v>2838</v>
      </c>
      <c r="C837" s="138" t="s">
        <v>2839</v>
      </c>
      <c r="D837" s="114" t="s">
        <v>52</v>
      </c>
      <c r="E837" s="115"/>
      <c r="F837" s="116"/>
      <c r="G837" s="113" t="s">
        <v>2691</v>
      </c>
      <c r="H837" s="113" t="s">
        <v>2726</v>
      </c>
      <c r="I837" s="113" t="s">
        <v>2840</v>
      </c>
      <c r="J837" s="117" t="s">
        <v>2841</v>
      </c>
      <c r="K837" s="118"/>
      <c r="L837" s="109">
        <v>2</v>
      </c>
      <c r="M837" s="109">
        <v>3</v>
      </c>
      <c r="N837" s="109"/>
      <c r="O837" s="119"/>
      <c r="P837" s="2">
        <f t="shared" si="192"/>
        <v>1</v>
      </c>
      <c r="Q837" s="110" t="str">
        <f>IF(AND(Drops!$D$45&gt;1,OR(U837&lt;&gt;U836,AND(ROW()=5,U836=U837))),VLOOKUP(U837,Drops!$D$26:$E$44,2,FALSE),"")</f>
        <v/>
      </c>
      <c r="R837" s="2" t="str">
        <f t="shared" si="193"/>
        <v/>
      </c>
      <c r="S837" s="2">
        <f t="shared" ca="1" si="194"/>
        <v>1</v>
      </c>
      <c r="T837" s="2">
        <f t="shared" si="195"/>
        <v>0</v>
      </c>
      <c r="U837" s="110" t="s">
        <v>2694</v>
      </c>
      <c r="V837" s="110">
        <v>1</v>
      </c>
      <c r="W837" s="110">
        <v>16</v>
      </c>
      <c r="X837" s="110">
        <v>0</v>
      </c>
      <c r="Y837" s="110">
        <v>0</v>
      </c>
      <c r="Z837" s="110">
        <v>0</v>
      </c>
      <c r="AA837" s="2">
        <f t="shared" si="196"/>
        <v>1</v>
      </c>
      <c r="AB837" s="2">
        <f t="shared" si="197"/>
        <v>1</v>
      </c>
      <c r="AC837" s="2">
        <f t="shared" si="198"/>
        <v>1</v>
      </c>
      <c r="AD837" s="2">
        <f t="shared" si="199"/>
        <v>1</v>
      </c>
      <c r="AE837" s="2">
        <f t="shared" si="200"/>
        <v>0</v>
      </c>
      <c r="AF837" s="2">
        <f t="shared" si="201"/>
        <v>2</v>
      </c>
      <c r="AG837" s="2">
        <f t="shared" si="202"/>
        <v>2</v>
      </c>
      <c r="AH837" s="2">
        <f t="shared" si="203"/>
        <v>2</v>
      </c>
      <c r="AI837" s="2">
        <f t="shared" si="204"/>
        <v>2</v>
      </c>
      <c r="AJ837" s="2">
        <f t="shared" si="205"/>
        <v>2</v>
      </c>
      <c r="AK837" s="2">
        <f t="shared" si="206"/>
        <v>0</v>
      </c>
      <c r="AL837" s="2">
        <f t="shared" si="207"/>
        <v>0</v>
      </c>
      <c r="AM837" s="115"/>
      <c r="AN837" s="115"/>
      <c r="AO837" s="63"/>
    </row>
    <row r="838" spans="1:41" ht="28.8" x14ac:dyDescent="0.55000000000000004">
      <c r="A838" s="36">
        <v>4495</v>
      </c>
      <c r="B838" s="113" t="s">
        <v>2842</v>
      </c>
      <c r="C838" s="139" t="s">
        <v>2843</v>
      </c>
      <c r="D838" s="114" t="s">
        <v>52</v>
      </c>
      <c r="E838" s="115"/>
      <c r="F838" s="116"/>
      <c r="G838" s="113" t="s">
        <v>2691</v>
      </c>
      <c r="H838" s="113" t="s">
        <v>2726</v>
      </c>
      <c r="I838" s="113" t="s">
        <v>2840</v>
      </c>
      <c r="J838" s="117" t="s">
        <v>2591</v>
      </c>
      <c r="K838" s="118"/>
      <c r="L838" s="109">
        <v>3</v>
      </c>
      <c r="M838" s="109">
        <v>3</v>
      </c>
      <c r="N838" s="109"/>
      <c r="O838" s="119"/>
      <c r="P838" s="2">
        <f t="shared" ref="P838:P901" si="208">IF($L838="","",IF($D838="Yes",1,IF($D838="No",2,IF($D838="N/A",3,0))))</f>
        <v>1</v>
      </c>
      <c r="Q838" s="110" t="str">
        <f>IF(AND(Drops!$D$45&gt;1,OR(U838&lt;&gt;U837,AND(ROW()=5,U837=U838))),VLOOKUP(U838,Drops!$D$26:$E$44,2,FALSE),"")</f>
        <v/>
      </c>
      <c r="R838" s="2" t="str">
        <f t="shared" ref="R838:R901" si="209">IF(Q838&lt;&gt;"",ROW(),"")</f>
        <v/>
      </c>
      <c r="S838" s="2">
        <f t="shared" ref="S838:S901" ca="1" si="210">OFFSET(AC838,,L838-1)</f>
        <v>1</v>
      </c>
      <c r="T838" s="2">
        <f t="shared" ref="T838:T901" si="211">IF(OR(V838&lt;&gt;V837,U838&lt;&gt;U837,AND(V838&lt;&gt;V837,W838&lt;&gt;W837),AND(V838&lt;&gt;V837,W838&lt;&gt;W837,X838&lt;&gt;X837),AND(V838&lt;&gt;V837,W838&lt;&gt;W837,X838&lt;&gt;X837,Y838&lt;&gt;Y837),AND(V838&lt;&gt;V837,W838&lt;&gt;W837,X838&lt;&gt;X837,Y838&lt;&gt;Y837,Z838&lt;&gt;Z837),L838-L837&gt;1),1,0)</f>
        <v>0</v>
      </c>
      <c r="U838" s="110" t="s">
        <v>2694</v>
      </c>
      <c r="V838" s="110">
        <v>1</v>
      </c>
      <c r="W838" s="110">
        <v>16</v>
      </c>
      <c r="X838" s="110">
        <v>1</v>
      </c>
      <c r="Y838" s="110">
        <v>0</v>
      </c>
      <c r="Z838" s="110">
        <v>0</v>
      </c>
      <c r="AA838" s="2">
        <f t="shared" ref="AA838:AA901" si="212">IF(ROW()=5,1,IF(OR(AH838=1,P838&gt;0,T838=1),1,IF(OR(AND(AH838=2,AI838=1),AND(AI838=2,AJ838=1),AND(AJ838=2,AK838=1),AND(AK838=2,AL838=1)),1,0)))</f>
        <v>1</v>
      </c>
      <c r="AB838" s="2">
        <f t="shared" ref="AB838:AB901" si="213">IF(L839&gt;L838,1,0)</f>
        <v>0</v>
      </c>
      <c r="AC838" s="2">
        <f t="shared" ref="AC838:AC901" si="214">IF(ROW()=5,P838,IF(AND($P838&gt;1,AC$4=$L838),$P838,IF(AND($U838=$U837,V838=V837),AC837,IF(AND($L838=AC$4,P838=1),P838,0))))</f>
        <v>1</v>
      </c>
      <c r="AD838" s="2">
        <f t="shared" ref="AD838:AD901" si="215">IF(AC838&gt;1,AC838,IF(AND($P838&gt;1,AD$4=$L838),$P838,IF(AND($U838=$U837,W838=W837),AD837,IF(AND($L838=AD$4,P838=1),P838,0))))</f>
        <v>1</v>
      </c>
      <c r="AE838" s="2">
        <f t="shared" ref="AE838:AE901" si="216">IF(AD838&gt;1,AD838,IF(AND($P838&gt;1,AE$4=$L838),$P838,IF(AND($U838=$U837,X838=X837),AE837,IF(AND($L838=AE$4,P838=1),P838,0))))</f>
        <v>1</v>
      </c>
      <c r="AF838" s="2">
        <f t="shared" ref="AF838:AF901" si="217">IF(AE838&gt;1,AE838,IF(AND($P838&gt;1,AF$4=$L838),$P838,IF(AND($U838=$U837,Y838=Y837),AF837,IF(AND($L838=AF$4,P838=1),P838,0))))</f>
        <v>2</v>
      </c>
      <c r="AG838" s="2">
        <f t="shared" ref="AG838:AG901" si="218">IF(AF838&gt;1,AF838,IF(AND($P838&gt;1,AG$4=$L838),$P838,IF(AND($U838=$U837,Z838=Z837),AG837,IF(AND($L838=AG$4,P838=1),P838,0))))</f>
        <v>2</v>
      </c>
      <c r="AH838" s="2">
        <f t="shared" ref="AH838:AH901" si="219">IF(AND($P838=1,$L838=AH$4),2,IF(AND($L838&lt;&gt;AH$4,AH837=2),AH837,IF($L838&lt;&gt;AH$4,0,1)))</f>
        <v>2</v>
      </c>
      <c r="AI838" s="2">
        <f t="shared" ref="AI838:AI901" si="220">IF(OR(ROW()=5,$U837&lt;&gt;$U838),0,IF(AND($P838=1,$L838=AI$4),2,IF(AND($L838&lt;&gt;AI$4,AI837=2),AI837,IF($L838&lt;&gt;AI$4,0,1))))</f>
        <v>2</v>
      </c>
      <c r="AJ838" s="2">
        <f t="shared" ref="AJ838:AJ901" si="221">IF(OR(ROW()=5,$U837&lt;&gt;$U838),0,IF(AND($P838=1,$L838=AJ$4),2,IF(AND($L838&lt;&gt;AJ$4,AJ837=2),AJ837,IF($L838&lt;&gt;AJ$4,0,1))))</f>
        <v>2</v>
      </c>
      <c r="AK838" s="2">
        <f t="shared" ref="AK838:AK901" si="222">IF(OR(ROW()=5,$U837&lt;&gt;$U838),0,IF(AND($P838=1,$L838=AK$4),2,IF(AND($L838&lt;&gt;AK$4,AK837=2),AK837,IF($L838&lt;&gt;AK$4,0,1))))</f>
        <v>0</v>
      </c>
      <c r="AL838" s="2">
        <f t="shared" ref="AL838:AL901" si="223">IF(OR(ROW()=5,$U837&lt;&gt;$U838),0,IF(AND($P838=1,$L838=AL$4),2,IF(AND($L838&lt;&gt;AL$4,AL837=2),AL837,IF($L838&lt;&gt;AL$4,0,1))))</f>
        <v>0</v>
      </c>
      <c r="AM838" s="115"/>
      <c r="AN838" s="115"/>
      <c r="AO838" s="63"/>
    </row>
    <row r="839" spans="1:41" ht="43.2" x14ac:dyDescent="0.55000000000000004">
      <c r="A839" s="36">
        <v>4496</v>
      </c>
      <c r="B839" s="113" t="s">
        <v>2844</v>
      </c>
      <c r="C839" s="139" t="s">
        <v>2845</v>
      </c>
      <c r="D839" s="114" t="s">
        <v>52</v>
      </c>
      <c r="E839" s="115"/>
      <c r="F839" s="116"/>
      <c r="G839" s="113" t="s">
        <v>2691</v>
      </c>
      <c r="H839" s="113" t="s">
        <v>2726</v>
      </c>
      <c r="I839" s="113" t="s">
        <v>2840</v>
      </c>
      <c r="J839" s="117"/>
      <c r="K839" s="118"/>
      <c r="L839" s="109">
        <v>3</v>
      </c>
      <c r="M839" s="109">
        <v>3</v>
      </c>
      <c r="N839" s="109"/>
      <c r="O839" s="119"/>
      <c r="P839" s="2">
        <f t="shared" si="208"/>
        <v>1</v>
      </c>
      <c r="Q839" s="110" t="str">
        <f>IF(AND(Drops!$D$45&gt;1,OR(U839&lt;&gt;U838,AND(ROW()=5,U838=U839))),VLOOKUP(U839,Drops!$D$26:$E$44,2,FALSE),"")</f>
        <v/>
      </c>
      <c r="R839" s="2" t="str">
        <f t="shared" si="209"/>
        <v/>
      </c>
      <c r="S839" s="2">
        <f t="shared" ca="1" si="210"/>
        <v>1</v>
      </c>
      <c r="T839" s="2">
        <f t="shared" si="211"/>
        <v>0</v>
      </c>
      <c r="U839" s="110" t="s">
        <v>2694</v>
      </c>
      <c r="V839" s="110">
        <v>1</v>
      </c>
      <c r="W839" s="110">
        <v>16</v>
      </c>
      <c r="X839" s="110">
        <v>2</v>
      </c>
      <c r="Y839" s="110">
        <v>0</v>
      </c>
      <c r="Z839" s="110">
        <v>0</v>
      </c>
      <c r="AA839" s="2">
        <f t="shared" si="212"/>
        <v>1</v>
      </c>
      <c r="AB839" s="2">
        <f t="shared" si="213"/>
        <v>0</v>
      </c>
      <c r="AC839" s="2">
        <f t="shared" si="214"/>
        <v>1</v>
      </c>
      <c r="AD839" s="2">
        <f t="shared" si="215"/>
        <v>1</v>
      </c>
      <c r="AE839" s="2">
        <f t="shared" si="216"/>
        <v>1</v>
      </c>
      <c r="AF839" s="2">
        <f t="shared" si="217"/>
        <v>2</v>
      </c>
      <c r="AG839" s="2">
        <f t="shared" si="218"/>
        <v>2</v>
      </c>
      <c r="AH839" s="2">
        <f t="shared" si="219"/>
        <v>2</v>
      </c>
      <c r="AI839" s="2">
        <f t="shared" si="220"/>
        <v>2</v>
      </c>
      <c r="AJ839" s="2">
        <f t="shared" si="221"/>
        <v>2</v>
      </c>
      <c r="AK839" s="2">
        <f t="shared" si="222"/>
        <v>0</v>
      </c>
      <c r="AL839" s="2">
        <f t="shared" si="223"/>
        <v>0</v>
      </c>
      <c r="AM839" s="115"/>
      <c r="AN839" s="115"/>
      <c r="AO839" s="63"/>
    </row>
    <row r="840" spans="1:41" ht="43.2" x14ac:dyDescent="0.55000000000000004">
      <c r="A840" s="36">
        <v>4943</v>
      </c>
      <c r="B840" s="113" t="s">
        <v>394</v>
      </c>
      <c r="C840" s="113" t="s">
        <v>2846</v>
      </c>
      <c r="D840" s="114" t="s">
        <v>52</v>
      </c>
      <c r="E840" s="115"/>
      <c r="F840" s="116"/>
      <c r="G840" s="113" t="s">
        <v>2847</v>
      </c>
      <c r="H840" s="113" t="s">
        <v>2848</v>
      </c>
      <c r="I840" s="113" t="s">
        <v>2817</v>
      </c>
      <c r="J840" s="117"/>
      <c r="K840" s="118"/>
      <c r="L840" s="109">
        <v>1</v>
      </c>
      <c r="M840" s="109">
        <v>1</v>
      </c>
      <c r="N840" s="109"/>
      <c r="O840" s="119"/>
      <c r="P840" s="2">
        <f t="shared" si="208"/>
        <v>1</v>
      </c>
      <c r="Q840" s="110" t="str">
        <f>IF(AND(Drops!$D$45&gt;1,OR(U840&lt;&gt;U839,AND(ROW()=5,U839=U840))),VLOOKUP(U840,Drops!$D$26:$E$44,2,FALSE),"")</f>
        <v/>
      </c>
      <c r="R840" s="2" t="str">
        <f t="shared" si="209"/>
        <v/>
      </c>
      <c r="S840" s="2">
        <f t="shared" ca="1" si="210"/>
        <v>1</v>
      </c>
      <c r="T840" s="2">
        <f t="shared" si="211"/>
        <v>1</v>
      </c>
      <c r="U840" s="110" t="s">
        <v>2694</v>
      </c>
      <c r="V840" s="110">
        <v>2</v>
      </c>
      <c r="W840" s="110">
        <v>0</v>
      </c>
      <c r="X840" s="110">
        <v>0</v>
      </c>
      <c r="Y840" s="110">
        <v>0</v>
      </c>
      <c r="Z840" s="110">
        <v>0</v>
      </c>
      <c r="AA840" s="2">
        <f t="shared" si="212"/>
        <v>1</v>
      </c>
      <c r="AB840" s="2">
        <f t="shared" si="213"/>
        <v>1</v>
      </c>
      <c r="AC840" s="2">
        <f t="shared" si="214"/>
        <v>1</v>
      </c>
      <c r="AD840" s="2">
        <f t="shared" si="215"/>
        <v>0</v>
      </c>
      <c r="AE840" s="2">
        <f t="shared" si="216"/>
        <v>0</v>
      </c>
      <c r="AF840" s="2">
        <f t="shared" si="217"/>
        <v>2</v>
      </c>
      <c r="AG840" s="2">
        <f t="shared" si="218"/>
        <v>2</v>
      </c>
      <c r="AH840" s="2">
        <f t="shared" si="219"/>
        <v>2</v>
      </c>
      <c r="AI840" s="2">
        <f t="shared" si="220"/>
        <v>2</v>
      </c>
      <c r="AJ840" s="2">
        <f t="shared" si="221"/>
        <v>2</v>
      </c>
      <c r="AK840" s="2">
        <f t="shared" si="222"/>
        <v>0</v>
      </c>
      <c r="AL840" s="2">
        <f t="shared" si="223"/>
        <v>0</v>
      </c>
      <c r="AM840" s="115"/>
      <c r="AN840" s="115"/>
      <c r="AO840" s="63"/>
    </row>
    <row r="841" spans="1:41" ht="43.2" x14ac:dyDescent="0.55000000000000004">
      <c r="A841" s="36">
        <v>4499</v>
      </c>
      <c r="B841" s="113" t="s">
        <v>2849</v>
      </c>
      <c r="C841" s="138" t="s">
        <v>2850</v>
      </c>
      <c r="D841" s="114" t="s">
        <v>52</v>
      </c>
      <c r="E841" s="115"/>
      <c r="F841" s="116"/>
      <c r="G841" s="113" t="s">
        <v>2847</v>
      </c>
      <c r="H841" s="113" t="s">
        <v>2851</v>
      </c>
      <c r="I841" s="113" t="s">
        <v>2759</v>
      </c>
      <c r="J841" s="117"/>
      <c r="K841" s="118"/>
      <c r="L841" s="109">
        <v>2</v>
      </c>
      <c r="M841" s="109">
        <v>3</v>
      </c>
      <c r="N841" s="109"/>
      <c r="O841" s="119"/>
      <c r="P841" s="2">
        <f t="shared" si="208"/>
        <v>1</v>
      </c>
      <c r="Q841" s="110" t="str">
        <f>IF(AND(Drops!$D$45&gt;1,OR(U841&lt;&gt;U840,AND(ROW()=5,U840=U841))),VLOOKUP(U841,Drops!$D$26:$E$44,2,FALSE),"")</f>
        <v/>
      </c>
      <c r="R841" s="2" t="str">
        <f t="shared" si="209"/>
        <v/>
      </c>
      <c r="S841" s="2">
        <f t="shared" ca="1" si="210"/>
        <v>1</v>
      </c>
      <c r="T841" s="2">
        <f t="shared" si="211"/>
        <v>0</v>
      </c>
      <c r="U841" s="110" t="s">
        <v>2694</v>
      </c>
      <c r="V841" s="110">
        <v>2</v>
      </c>
      <c r="W841" s="110">
        <v>1</v>
      </c>
      <c r="X841" s="110">
        <v>0</v>
      </c>
      <c r="Y841" s="110">
        <v>0</v>
      </c>
      <c r="Z841" s="110">
        <v>0</v>
      </c>
      <c r="AA841" s="2">
        <f t="shared" si="212"/>
        <v>1</v>
      </c>
      <c r="AB841" s="2">
        <f t="shared" si="213"/>
        <v>0</v>
      </c>
      <c r="AC841" s="2">
        <f t="shared" si="214"/>
        <v>1</v>
      </c>
      <c r="AD841" s="2">
        <f t="shared" si="215"/>
        <v>1</v>
      </c>
      <c r="AE841" s="2">
        <f t="shared" si="216"/>
        <v>0</v>
      </c>
      <c r="AF841" s="2">
        <f t="shared" si="217"/>
        <v>2</v>
      </c>
      <c r="AG841" s="2">
        <f t="shared" si="218"/>
        <v>2</v>
      </c>
      <c r="AH841" s="2">
        <f t="shared" si="219"/>
        <v>2</v>
      </c>
      <c r="AI841" s="2">
        <f t="shared" si="220"/>
        <v>2</v>
      </c>
      <c r="AJ841" s="2">
        <f t="shared" si="221"/>
        <v>2</v>
      </c>
      <c r="AK841" s="2">
        <f t="shared" si="222"/>
        <v>0</v>
      </c>
      <c r="AL841" s="2">
        <f t="shared" si="223"/>
        <v>0</v>
      </c>
      <c r="AM841" s="115"/>
      <c r="AN841" s="115"/>
      <c r="AO841" s="63"/>
    </row>
    <row r="842" spans="1:41" ht="43.2" x14ac:dyDescent="0.55000000000000004">
      <c r="A842" s="36">
        <v>4563</v>
      </c>
      <c r="B842" s="113" t="s">
        <v>2852</v>
      </c>
      <c r="C842" s="138" t="s">
        <v>2853</v>
      </c>
      <c r="D842" s="114" t="s">
        <v>52</v>
      </c>
      <c r="E842" s="115"/>
      <c r="F842" s="116"/>
      <c r="G842" s="113" t="s">
        <v>2847</v>
      </c>
      <c r="H842" s="113" t="s">
        <v>2851</v>
      </c>
      <c r="I842" s="113" t="s">
        <v>2759</v>
      </c>
      <c r="J842" s="117"/>
      <c r="K842" s="118"/>
      <c r="L842" s="109">
        <v>2</v>
      </c>
      <c r="M842" s="109">
        <v>3</v>
      </c>
      <c r="N842" s="109"/>
      <c r="O842" s="119"/>
      <c r="P842" s="2">
        <f t="shared" si="208"/>
        <v>1</v>
      </c>
      <c r="Q842" s="110" t="str">
        <f>IF(AND(Drops!$D$45&gt;1,OR(U842&lt;&gt;U841,AND(ROW()=5,U841=U842))),VLOOKUP(U842,Drops!$D$26:$E$44,2,FALSE),"")</f>
        <v/>
      </c>
      <c r="R842" s="2" t="str">
        <f t="shared" si="209"/>
        <v/>
      </c>
      <c r="S842" s="2">
        <f t="shared" ca="1" si="210"/>
        <v>1</v>
      </c>
      <c r="T842" s="2">
        <f t="shared" si="211"/>
        <v>0</v>
      </c>
      <c r="U842" s="110" t="s">
        <v>2694</v>
      </c>
      <c r="V842" s="110">
        <v>2</v>
      </c>
      <c r="W842" s="110">
        <v>2</v>
      </c>
      <c r="X842" s="110">
        <v>0</v>
      </c>
      <c r="Y842" s="110">
        <v>0</v>
      </c>
      <c r="Z842" s="110">
        <v>0</v>
      </c>
      <c r="AA842" s="2">
        <f t="shared" si="212"/>
        <v>1</v>
      </c>
      <c r="AB842" s="2">
        <f t="shared" si="213"/>
        <v>0</v>
      </c>
      <c r="AC842" s="2">
        <f t="shared" si="214"/>
        <v>1</v>
      </c>
      <c r="AD842" s="2">
        <f t="shared" si="215"/>
        <v>1</v>
      </c>
      <c r="AE842" s="2">
        <f t="shared" si="216"/>
        <v>0</v>
      </c>
      <c r="AF842" s="2">
        <f t="shared" si="217"/>
        <v>2</v>
      </c>
      <c r="AG842" s="2">
        <f t="shared" si="218"/>
        <v>2</v>
      </c>
      <c r="AH842" s="2">
        <f t="shared" si="219"/>
        <v>2</v>
      </c>
      <c r="AI842" s="2">
        <f t="shared" si="220"/>
        <v>2</v>
      </c>
      <c r="AJ842" s="2">
        <f t="shared" si="221"/>
        <v>2</v>
      </c>
      <c r="AK842" s="2">
        <f t="shared" si="222"/>
        <v>0</v>
      </c>
      <c r="AL842" s="2">
        <f t="shared" si="223"/>
        <v>0</v>
      </c>
      <c r="AM842" s="115"/>
      <c r="AN842" s="115"/>
      <c r="AO842" s="63"/>
    </row>
    <row r="843" spans="1:41" ht="28.8" x14ac:dyDescent="0.55000000000000004">
      <c r="A843" s="36">
        <v>4501</v>
      </c>
      <c r="B843" s="113" t="s">
        <v>2854</v>
      </c>
      <c r="C843" s="138" t="s">
        <v>2855</v>
      </c>
      <c r="D843" s="114" t="s">
        <v>52</v>
      </c>
      <c r="E843" s="115"/>
      <c r="F843" s="116"/>
      <c r="G843" s="113" t="s">
        <v>2847</v>
      </c>
      <c r="H843" s="113" t="s">
        <v>2746</v>
      </c>
      <c r="I843" s="113" t="s">
        <v>2856</v>
      </c>
      <c r="J843" s="117"/>
      <c r="K843" s="118"/>
      <c r="L843" s="109">
        <v>2</v>
      </c>
      <c r="M843" s="109">
        <v>3</v>
      </c>
      <c r="N843" s="109"/>
      <c r="O843" s="119"/>
      <c r="P843" s="2">
        <f t="shared" si="208"/>
        <v>1</v>
      </c>
      <c r="Q843" s="110" t="str">
        <f>IF(AND(Drops!$D$45&gt;1,OR(U843&lt;&gt;U842,AND(ROW()=5,U842=U843))),VLOOKUP(U843,Drops!$D$26:$E$44,2,FALSE),"")</f>
        <v/>
      </c>
      <c r="R843" s="2" t="str">
        <f t="shared" si="209"/>
        <v/>
      </c>
      <c r="S843" s="2">
        <f t="shared" ca="1" si="210"/>
        <v>1</v>
      </c>
      <c r="T843" s="2">
        <f t="shared" si="211"/>
        <v>0</v>
      </c>
      <c r="U843" s="110" t="s">
        <v>2694</v>
      </c>
      <c r="V843" s="110">
        <v>2</v>
      </c>
      <c r="W843" s="110">
        <v>3</v>
      </c>
      <c r="X843" s="110">
        <v>0</v>
      </c>
      <c r="Y843" s="110">
        <v>0</v>
      </c>
      <c r="Z843" s="110">
        <v>0</v>
      </c>
      <c r="AA843" s="2">
        <f t="shared" si="212"/>
        <v>1</v>
      </c>
      <c r="AB843" s="2">
        <f t="shared" si="213"/>
        <v>0</v>
      </c>
      <c r="AC843" s="2">
        <f t="shared" si="214"/>
        <v>1</v>
      </c>
      <c r="AD843" s="2">
        <f t="shared" si="215"/>
        <v>1</v>
      </c>
      <c r="AE843" s="2">
        <f t="shared" si="216"/>
        <v>0</v>
      </c>
      <c r="AF843" s="2">
        <f t="shared" si="217"/>
        <v>2</v>
      </c>
      <c r="AG843" s="2">
        <f t="shared" si="218"/>
        <v>2</v>
      </c>
      <c r="AH843" s="2">
        <f t="shared" si="219"/>
        <v>2</v>
      </c>
      <c r="AI843" s="2">
        <f t="shared" si="220"/>
        <v>2</v>
      </c>
      <c r="AJ843" s="2">
        <f t="shared" si="221"/>
        <v>2</v>
      </c>
      <c r="AK843" s="2">
        <f t="shared" si="222"/>
        <v>0</v>
      </c>
      <c r="AL843" s="2">
        <f t="shared" si="223"/>
        <v>0</v>
      </c>
      <c r="AM843" s="115"/>
      <c r="AN843" s="115"/>
      <c r="AO843" s="63"/>
    </row>
    <row r="844" spans="1:41" ht="28.8" x14ac:dyDescent="0.55000000000000004">
      <c r="A844" s="36">
        <v>4502</v>
      </c>
      <c r="B844" s="113" t="s">
        <v>2857</v>
      </c>
      <c r="C844" s="138" t="s">
        <v>2858</v>
      </c>
      <c r="D844" s="114" t="s">
        <v>48</v>
      </c>
      <c r="E844" s="115" t="s">
        <v>2859</v>
      </c>
      <c r="F844" s="116"/>
      <c r="G844" s="113" t="s">
        <v>2847</v>
      </c>
      <c r="H844" s="113" t="s">
        <v>2851</v>
      </c>
      <c r="I844" s="113" t="s">
        <v>2759</v>
      </c>
      <c r="J844" s="117"/>
      <c r="K844" s="118"/>
      <c r="L844" s="109">
        <v>2</v>
      </c>
      <c r="M844" s="109">
        <v>3</v>
      </c>
      <c r="N844" s="109"/>
      <c r="O844" s="119"/>
      <c r="P844" s="2">
        <f t="shared" si="208"/>
        <v>3</v>
      </c>
      <c r="Q844" s="110" t="str">
        <f>IF(AND(Drops!$D$45&gt;1,OR(U844&lt;&gt;U843,AND(ROW()=5,U843=U844))),VLOOKUP(U844,Drops!$D$26:$E$44,2,FALSE),"")</f>
        <v/>
      </c>
      <c r="R844" s="2" t="str">
        <f t="shared" si="209"/>
        <v/>
      </c>
      <c r="S844" s="2">
        <f t="shared" ca="1" si="210"/>
        <v>3</v>
      </c>
      <c r="T844" s="2">
        <f t="shared" si="211"/>
        <v>0</v>
      </c>
      <c r="U844" s="110" t="s">
        <v>2694</v>
      </c>
      <c r="V844" s="110">
        <v>2</v>
      </c>
      <c r="W844" s="110">
        <v>4</v>
      </c>
      <c r="X844" s="110">
        <v>0</v>
      </c>
      <c r="Y844" s="110">
        <v>0</v>
      </c>
      <c r="Z844" s="110">
        <v>0</v>
      </c>
      <c r="AA844" s="2">
        <f t="shared" si="212"/>
        <v>1</v>
      </c>
      <c r="AB844" s="2">
        <f t="shared" si="213"/>
        <v>0</v>
      </c>
      <c r="AC844" s="2">
        <f t="shared" si="214"/>
        <v>1</v>
      </c>
      <c r="AD844" s="2">
        <f t="shared" si="215"/>
        <v>3</v>
      </c>
      <c r="AE844" s="2">
        <f t="shared" si="216"/>
        <v>3</v>
      </c>
      <c r="AF844" s="2">
        <f t="shared" si="217"/>
        <v>3</v>
      </c>
      <c r="AG844" s="2">
        <f t="shared" si="218"/>
        <v>3</v>
      </c>
      <c r="AH844" s="2">
        <f t="shared" si="219"/>
        <v>2</v>
      </c>
      <c r="AI844" s="2">
        <f t="shared" si="220"/>
        <v>1</v>
      </c>
      <c r="AJ844" s="2">
        <f t="shared" si="221"/>
        <v>2</v>
      </c>
      <c r="AK844" s="2">
        <f t="shared" si="222"/>
        <v>0</v>
      </c>
      <c r="AL844" s="2">
        <f t="shared" si="223"/>
        <v>0</v>
      </c>
      <c r="AM844" s="115"/>
      <c r="AN844" s="115"/>
      <c r="AO844" s="63"/>
    </row>
    <row r="845" spans="1:41" ht="57.6" x14ac:dyDescent="0.55000000000000004">
      <c r="A845" s="36">
        <v>4565</v>
      </c>
      <c r="B845" s="113" t="s">
        <v>2860</v>
      </c>
      <c r="C845" s="138" t="s">
        <v>2861</v>
      </c>
      <c r="D845" s="114" t="s">
        <v>52</v>
      </c>
      <c r="E845" s="115"/>
      <c r="F845" s="116"/>
      <c r="G845" s="113" t="s">
        <v>2847</v>
      </c>
      <c r="H845" s="113" t="s">
        <v>2862</v>
      </c>
      <c r="I845" s="113" t="s">
        <v>2817</v>
      </c>
      <c r="J845" s="117"/>
      <c r="K845" s="118"/>
      <c r="L845" s="109">
        <v>2</v>
      </c>
      <c r="M845" s="109">
        <v>3</v>
      </c>
      <c r="N845" s="109"/>
      <c r="O845" s="119"/>
      <c r="P845" s="2">
        <f t="shared" si="208"/>
        <v>1</v>
      </c>
      <c r="Q845" s="110" t="str">
        <f>IF(AND(Drops!$D$45&gt;1,OR(U845&lt;&gt;U844,AND(ROW()=5,U844=U845))),VLOOKUP(U845,Drops!$D$26:$E$44,2,FALSE),"")</f>
        <v/>
      </c>
      <c r="R845" s="2" t="str">
        <f t="shared" si="209"/>
        <v/>
      </c>
      <c r="S845" s="2">
        <f t="shared" ca="1" si="210"/>
        <v>1</v>
      </c>
      <c r="T845" s="2">
        <f t="shared" si="211"/>
        <v>0</v>
      </c>
      <c r="U845" s="110" t="s">
        <v>2694</v>
      </c>
      <c r="V845" s="110">
        <v>2</v>
      </c>
      <c r="W845" s="110">
        <v>6</v>
      </c>
      <c r="X845" s="110">
        <v>0</v>
      </c>
      <c r="Y845" s="110">
        <v>0</v>
      </c>
      <c r="Z845" s="110">
        <v>0</v>
      </c>
      <c r="AA845" s="2">
        <f t="shared" si="212"/>
        <v>1</v>
      </c>
      <c r="AB845" s="2">
        <f t="shared" si="213"/>
        <v>0</v>
      </c>
      <c r="AC845" s="2">
        <f t="shared" si="214"/>
        <v>1</v>
      </c>
      <c r="AD845" s="2">
        <f t="shared" si="215"/>
        <v>1</v>
      </c>
      <c r="AE845" s="2">
        <f t="shared" si="216"/>
        <v>3</v>
      </c>
      <c r="AF845" s="2">
        <f t="shared" si="217"/>
        <v>3</v>
      </c>
      <c r="AG845" s="2">
        <f t="shared" si="218"/>
        <v>3</v>
      </c>
      <c r="AH845" s="2">
        <f t="shared" si="219"/>
        <v>2</v>
      </c>
      <c r="AI845" s="2">
        <f t="shared" si="220"/>
        <v>2</v>
      </c>
      <c r="AJ845" s="2">
        <f t="shared" si="221"/>
        <v>2</v>
      </c>
      <c r="AK845" s="2">
        <f t="shared" si="222"/>
        <v>0</v>
      </c>
      <c r="AL845" s="2">
        <f t="shared" si="223"/>
        <v>0</v>
      </c>
      <c r="AM845" s="115"/>
      <c r="AN845" s="115"/>
      <c r="AO845" s="63"/>
    </row>
    <row r="846" spans="1:41" ht="28.8" x14ac:dyDescent="0.55000000000000004">
      <c r="A846" s="36">
        <v>5906</v>
      </c>
      <c r="B846" s="113" t="s">
        <v>2863</v>
      </c>
      <c r="C846" s="138" t="s">
        <v>2864</v>
      </c>
      <c r="D846" s="114" t="s">
        <v>52</v>
      </c>
      <c r="E846" s="115"/>
      <c r="F846" s="116"/>
      <c r="G846" s="113" t="s">
        <v>2847</v>
      </c>
      <c r="H846" s="113" t="s">
        <v>2851</v>
      </c>
      <c r="I846" s="113" t="s">
        <v>2817</v>
      </c>
      <c r="J846" s="117"/>
      <c r="K846" s="118"/>
      <c r="L846" s="109">
        <v>2</v>
      </c>
      <c r="M846" s="109">
        <v>3</v>
      </c>
      <c r="N846" s="109"/>
      <c r="O846" s="119"/>
      <c r="P846" s="2">
        <f t="shared" si="208"/>
        <v>1</v>
      </c>
      <c r="Q846" s="110" t="str">
        <f>IF(AND(Drops!$D$45&gt;1,OR(U846&lt;&gt;U845,AND(ROW()=5,U845=U846))),VLOOKUP(U846,Drops!$D$26:$E$44,2,FALSE),"")</f>
        <v/>
      </c>
      <c r="R846" s="2" t="str">
        <f t="shared" si="209"/>
        <v/>
      </c>
      <c r="S846" s="2">
        <f t="shared" ca="1" si="210"/>
        <v>1</v>
      </c>
      <c r="T846" s="2">
        <f t="shared" si="211"/>
        <v>0</v>
      </c>
      <c r="U846" s="110" t="s">
        <v>2694</v>
      </c>
      <c r="V846" s="110">
        <v>2</v>
      </c>
      <c r="W846" s="110">
        <v>7</v>
      </c>
      <c r="X846" s="110">
        <v>0</v>
      </c>
      <c r="Y846" s="110">
        <v>0</v>
      </c>
      <c r="Z846" s="110">
        <v>0</v>
      </c>
      <c r="AA846" s="2">
        <f t="shared" si="212"/>
        <v>1</v>
      </c>
      <c r="AB846" s="2">
        <f t="shared" si="213"/>
        <v>0</v>
      </c>
      <c r="AC846" s="2">
        <f t="shared" si="214"/>
        <v>1</v>
      </c>
      <c r="AD846" s="2">
        <f t="shared" si="215"/>
        <v>1</v>
      </c>
      <c r="AE846" s="2">
        <f t="shared" si="216"/>
        <v>3</v>
      </c>
      <c r="AF846" s="2">
        <f t="shared" si="217"/>
        <v>3</v>
      </c>
      <c r="AG846" s="2">
        <f t="shared" si="218"/>
        <v>3</v>
      </c>
      <c r="AH846" s="2">
        <f t="shared" si="219"/>
        <v>2</v>
      </c>
      <c r="AI846" s="2">
        <f t="shared" si="220"/>
        <v>2</v>
      </c>
      <c r="AJ846" s="2">
        <f t="shared" si="221"/>
        <v>2</v>
      </c>
      <c r="AK846" s="2">
        <f t="shared" si="222"/>
        <v>0</v>
      </c>
      <c r="AL846" s="2">
        <f t="shared" si="223"/>
        <v>0</v>
      </c>
      <c r="AM846" s="115"/>
      <c r="AN846" s="115"/>
      <c r="AO846" s="63"/>
    </row>
    <row r="847" spans="1:41" ht="28.8" x14ac:dyDescent="0.55000000000000004">
      <c r="A847" s="36">
        <v>4944</v>
      </c>
      <c r="B847" s="113" t="s">
        <v>396</v>
      </c>
      <c r="C847" s="113" t="s">
        <v>2865</v>
      </c>
      <c r="D847" s="114" t="s">
        <v>52</v>
      </c>
      <c r="E847" s="115"/>
      <c r="F847" s="116"/>
      <c r="G847" s="113" t="s">
        <v>2866</v>
      </c>
      <c r="H847" s="113" t="s">
        <v>2746</v>
      </c>
      <c r="I847" s="113" t="s">
        <v>2759</v>
      </c>
      <c r="J847" s="117"/>
      <c r="K847" s="118"/>
      <c r="L847" s="109">
        <v>1</v>
      </c>
      <c r="M847" s="109">
        <v>1</v>
      </c>
      <c r="N847" s="109"/>
      <c r="O847" s="119"/>
      <c r="P847" s="2">
        <f t="shared" si="208"/>
        <v>1</v>
      </c>
      <c r="Q847" s="110" t="str">
        <f>IF(AND(Drops!$D$45&gt;1,OR(U847&lt;&gt;U846,AND(ROW()=5,U846=U847))),VLOOKUP(U847,Drops!$D$26:$E$44,2,FALSE),"")</f>
        <v/>
      </c>
      <c r="R847" s="2" t="str">
        <f t="shared" si="209"/>
        <v/>
      </c>
      <c r="S847" s="2">
        <f t="shared" ca="1" si="210"/>
        <v>1</v>
      </c>
      <c r="T847" s="2">
        <f t="shared" si="211"/>
        <v>1</v>
      </c>
      <c r="U847" s="110" t="s">
        <v>2694</v>
      </c>
      <c r="V847" s="110">
        <v>3</v>
      </c>
      <c r="W847" s="110">
        <v>0</v>
      </c>
      <c r="X847" s="110">
        <v>0</v>
      </c>
      <c r="Y847" s="110">
        <v>0</v>
      </c>
      <c r="Z847" s="110">
        <v>0</v>
      </c>
      <c r="AA847" s="2">
        <f t="shared" si="212"/>
        <v>1</v>
      </c>
      <c r="AB847" s="2">
        <f t="shared" si="213"/>
        <v>1</v>
      </c>
      <c r="AC847" s="2">
        <f t="shared" si="214"/>
        <v>1</v>
      </c>
      <c r="AD847" s="2">
        <f t="shared" si="215"/>
        <v>0</v>
      </c>
      <c r="AE847" s="2">
        <f t="shared" si="216"/>
        <v>3</v>
      </c>
      <c r="AF847" s="2">
        <f t="shared" si="217"/>
        <v>3</v>
      </c>
      <c r="AG847" s="2">
        <f t="shared" si="218"/>
        <v>3</v>
      </c>
      <c r="AH847" s="2">
        <f t="shared" si="219"/>
        <v>2</v>
      </c>
      <c r="AI847" s="2">
        <f t="shared" si="220"/>
        <v>2</v>
      </c>
      <c r="AJ847" s="2">
        <f t="shared" si="221"/>
        <v>2</v>
      </c>
      <c r="AK847" s="2">
        <f t="shared" si="222"/>
        <v>0</v>
      </c>
      <c r="AL847" s="2">
        <f t="shared" si="223"/>
        <v>0</v>
      </c>
      <c r="AM847" s="115"/>
      <c r="AN847" s="115"/>
      <c r="AO847" s="63"/>
    </row>
    <row r="848" spans="1:41" ht="43.2" x14ac:dyDescent="0.55000000000000004">
      <c r="A848" s="36">
        <v>4504</v>
      </c>
      <c r="B848" s="113" t="s">
        <v>2867</v>
      </c>
      <c r="C848" s="139" t="s">
        <v>2868</v>
      </c>
      <c r="D848" s="114" t="s">
        <v>52</v>
      </c>
      <c r="E848" s="115"/>
      <c r="F848" s="116"/>
      <c r="G848" s="113" t="s">
        <v>2866</v>
      </c>
      <c r="H848" s="113" t="s">
        <v>2746</v>
      </c>
      <c r="I848" s="113" t="s">
        <v>2759</v>
      </c>
      <c r="J848" s="117"/>
      <c r="K848" s="118"/>
      <c r="L848" s="109">
        <v>3</v>
      </c>
      <c r="M848" s="109">
        <v>3</v>
      </c>
      <c r="N848" s="109"/>
      <c r="O848" s="119"/>
      <c r="P848" s="2">
        <f t="shared" si="208"/>
        <v>1</v>
      </c>
      <c r="Q848" s="110" t="str">
        <f>IF(AND(Drops!$D$45&gt;1,OR(U848&lt;&gt;U847,AND(ROW()=5,U847=U848))),VLOOKUP(U848,Drops!$D$26:$E$44,2,FALSE),"")</f>
        <v/>
      </c>
      <c r="R848" s="2" t="str">
        <f t="shared" si="209"/>
        <v/>
      </c>
      <c r="S848" s="2">
        <f t="shared" ca="1" si="210"/>
        <v>1</v>
      </c>
      <c r="T848" s="2">
        <f t="shared" si="211"/>
        <v>1</v>
      </c>
      <c r="U848" s="110" t="s">
        <v>2694</v>
      </c>
      <c r="V848" s="110">
        <v>3</v>
      </c>
      <c r="W848" s="110">
        <v>0</v>
      </c>
      <c r="X848" s="110">
        <v>1</v>
      </c>
      <c r="Y848" s="110">
        <v>0</v>
      </c>
      <c r="Z848" s="110">
        <v>0</v>
      </c>
      <c r="AA848" s="2">
        <f t="shared" si="212"/>
        <v>1</v>
      </c>
      <c r="AB848" s="2">
        <f t="shared" si="213"/>
        <v>0</v>
      </c>
      <c r="AC848" s="2">
        <f t="shared" si="214"/>
        <v>1</v>
      </c>
      <c r="AD848" s="2">
        <f t="shared" si="215"/>
        <v>0</v>
      </c>
      <c r="AE848" s="2">
        <f t="shared" si="216"/>
        <v>1</v>
      </c>
      <c r="AF848" s="2">
        <f t="shared" si="217"/>
        <v>3</v>
      </c>
      <c r="AG848" s="2">
        <f t="shared" si="218"/>
        <v>3</v>
      </c>
      <c r="AH848" s="2">
        <f t="shared" si="219"/>
        <v>2</v>
      </c>
      <c r="AI848" s="2">
        <f t="shared" si="220"/>
        <v>2</v>
      </c>
      <c r="AJ848" s="2">
        <f t="shared" si="221"/>
        <v>2</v>
      </c>
      <c r="AK848" s="2">
        <f t="shared" si="222"/>
        <v>0</v>
      </c>
      <c r="AL848" s="2">
        <f t="shared" si="223"/>
        <v>0</v>
      </c>
      <c r="AM848" s="115"/>
      <c r="AN848" s="115"/>
      <c r="AO848" s="63"/>
    </row>
    <row r="849" spans="1:41" ht="28.8" x14ac:dyDescent="0.55000000000000004">
      <c r="A849" s="36">
        <v>4506</v>
      </c>
      <c r="B849" s="113" t="s">
        <v>2869</v>
      </c>
      <c r="C849" s="139" t="s">
        <v>2870</v>
      </c>
      <c r="D849" s="114" t="s">
        <v>52</v>
      </c>
      <c r="E849" s="115"/>
      <c r="F849" s="116"/>
      <c r="G849" s="113" t="s">
        <v>2866</v>
      </c>
      <c r="H849" s="113" t="s">
        <v>2851</v>
      </c>
      <c r="I849" s="113" t="s">
        <v>2759</v>
      </c>
      <c r="J849" s="117"/>
      <c r="K849" s="118"/>
      <c r="L849" s="109">
        <v>3</v>
      </c>
      <c r="M849" s="109">
        <v>3</v>
      </c>
      <c r="N849" s="109"/>
      <c r="O849" s="119"/>
      <c r="P849" s="2">
        <f t="shared" si="208"/>
        <v>1</v>
      </c>
      <c r="Q849" s="110" t="str">
        <f>IF(AND(Drops!$D$45&gt;1,OR(U849&lt;&gt;U848,AND(ROW()=5,U848=U849))),VLOOKUP(U849,Drops!$D$26:$E$44,2,FALSE),"")</f>
        <v/>
      </c>
      <c r="R849" s="2" t="str">
        <f t="shared" si="209"/>
        <v/>
      </c>
      <c r="S849" s="2">
        <f t="shared" ca="1" si="210"/>
        <v>1</v>
      </c>
      <c r="T849" s="2">
        <f t="shared" si="211"/>
        <v>0</v>
      </c>
      <c r="U849" s="110" t="s">
        <v>2694</v>
      </c>
      <c r="V849" s="110">
        <v>3</v>
      </c>
      <c r="W849" s="110">
        <v>0</v>
      </c>
      <c r="X849" s="110">
        <v>2</v>
      </c>
      <c r="Y849" s="110">
        <v>0</v>
      </c>
      <c r="Z849" s="110">
        <v>0</v>
      </c>
      <c r="AA849" s="2">
        <f t="shared" si="212"/>
        <v>1</v>
      </c>
      <c r="AB849" s="2">
        <f t="shared" si="213"/>
        <v>0</v>
      </c>
      <c r="AC849" s="2">
        <f t="shared" si="214"/>
        <v>1</v>
      </c>
      <c r="AD849" s="2">
        <f t="shared" si="215"/>
        <v>0</v>
      </c>
      <c r="AE849" s="2">
        <f t="shared" si="216"/>
        <v>1</v>
      </c>
      <c r="AF849" s="2">
        <f t="shared" si="217"/>
        <v>3</v>
      </c>
      <c r="AG849" s="2">
        <f t="shared" si="218"/>
        <v>3</v>
      </c>
      <c r="AH849" s="2">
        <f t="shared" si="219"/>
        <v>2</v>
      </c>
      <c r="AI849" s="2">
        <f t="shared" si="220"/>
        <v>2</v>
      </c>
      <c r="AJ849" s="2">
        <f t="shared" si="221"/>
        <v>2</v>
      </c>
      <c r="AK849" s="2">
        <f t="shared" si="222"/>
        <v>0</v>
      </c>
      <c r="AL849" s="2">
        <f t="shared" si="223"/>
        <v>0</v>
      </c>
      <c r="AM849" s="115"/>
      <c r="AN849" s="115"/>
      <c r="AO849" s="63"/>
    </row>
    <row r="850" spans="1:41" ht="28.8" x14ac:dyDescent="0.55000000000000004">
      <c r="A850" s="36">
        <v>5907</v>
      </c>
      <c r="B850" s="113" t="s">
        <v>2871</v>
      </c>
      <c r="C850" s="139" t="s">
        <v>2872</v>
      </c>
      <c r="D850" s="114" t="s">
        <v>52</v>
      </c>
      <c r="E850" s="115"/>
      <c r="F850" s="116"/>
      <c r="G850" s="113" t="s">
        <v>2866</v>
      </c>
      <c r="H850" s="113" t="s">
        <v>2851</v>
      </c>
      <c r="I850" s="113" t="s">
        <v>2759</v>
      </c>
      <c r="J850" s="117"/>
      <c r="K850" s="118"/>
      <c r="L850" s="109">
        <v>3</v>
      </c>
      <c r="M850" s="109">
        <v>3</v>
      </c>
      <c r="N850" s="109"/>
      <c r="O850" s="119"/>
      <c r="P850" s="2">
        <f t="shared" si="208"/>
        <v>1</v>
      </c>
      <c r="Q850" s="110" t="str">
        <f>IF(AND(Drops!$D$45&gt;1,OR(U850&lt;&gt;U849,AND(ROW()=5,U849=U850))),VLOOKUP(U850,Drops!$D$26:$E$44,2,FALSE),"")</f>
        <v/>
      </c>
      <c r="R850" s="2" t="str">
        <f t="shared" si="209"/>
        <v/>
      </c>
      <c r="S850" s="2">
        <f t="shared" ca="1" si="210"/>
        <v>1</v>
      </c>
      <c r="T850" s="2">
        <f t="shared" si="211"/>
        <v>0</v>
      </c>
      <c r="U850" s="110" t="s">
        <v>2694</v>
      </c>
      <c r="V850" s="110">
        <v>3</v>
      </c>
      <c r="W850" s="110">
        <v>0</v>
      </c>
      <c r="X850" s="110">
        <v>3</v>
      </c>
      <c r="Y850" s="110">
        <v>0</v>
      </c>
      <c r="Z850" s="110">
        <v>0</v>
      </c>
      <c r="AA850" s="2">
        <f t="shared" si="212"/>
        <v>1</v>
      </c>
      <c r="AB850" s="2">
        <f t="shared" si="213"/>
        <v>0</v>
      </c>
      <c r="AC850" s="2">
        <f t="shared" si="214"/>
        <v>1</v>
      </c>
      <c r="AD850" s="2">
        <f t="shared" si="215"/>
        <v>0</v>
      </c>
      <c r="AE850" s="2">
        <f t="shared" si="216"/>
        <v>1</v>
      </c>
      <c r="AF850" s="2">
        <f t="shared" si="217"/>
        <v>3</v>
      </c>
      <c r="AG850" s="2">
        <f t="shared" si="218"/>
        <v>3</v>
      </c>
      <c r="AH850" s="2">
        <f t="shared" si="219"/>
        <v>2</v>
      </c>
      <c r="AI850" s="2">
        <f t="shared" si="220"/>
        <v>2</v>
      </c>
      <c r="AJ850" s="2">
        <f t="shared" si="221"/>
        <v>2</v>
      </c>
      <c r="AK850" s="2">
        <f t="shared" si="222"/>
        <v>0</v>
      </c>
      <c r="AL850" s="2">
        <f t="shared" si="223"/>
        <v>0</v>
      </c>
      <c r="AM850" s="115"/>
      <c r="AN850" s="115"/>
      <c r="AO850" s="63"/>
    </row>
    <row r="851" spans="1:41" ht="28.8" x14ac:dyDescent="0.55000000000000004">
      <c r="A851" s="36">
        <v>5908</v>
      </c>
      <c r="B851" s="113" t="s">
        <v>2873</v>
      </c>
      <c r="C851" s="139" t="s">
        <v>2874</v>
      </c>
      <c r="D851" s="114" t="s">
        <v>52</v>
      </c>
      <c r="E851" s="115"/>
      <c r="F851" s="116"/>
      <c r="G851" s="113" t="s">
        <v>2866</v>
      </c>
      <c r="H851" s="113" t="s">
        <v>2851</v>
      </c>
      <c r="I851" s="113" t="s">
        <v>2759</v>
      </c>
      <c r="J851" s="117"/>
      <c r="K851" s="118"/>
      <c r="L851" s="109">
        <v>3</v>
      </c>
      <c r="M851" s="109">
        <v>3</v>
      </c>
      <c r="N851" s="109"/>
      <c r="O851" s="119"/>
      <c r="P851" s="2">
        <f t="shared" si="208"/>
        <v>1</v>
      </c>
      <c r="Q851" s="110" t="str">
        <f>IF(AND(Drops!$D$45&gt;1,OR(U851&lt;&gt;U850,AND(ROW()=5,U850=U851))),VLOOKUP(U851,Drops!$D$26:$E$44,2,FALSE),"")</f>
        <v/>
      </c>
      <c r="R851" s="2" t="str">
        <f t="shared" si="209"/>
        <v/>
      </c>
      <c r="S851" s="2">
        <f t="shared" ca="1" si="210"/>
        <v>1</v>
      </c>
      <c r="T851" s="2">
        <f t="shared" si="211"/>
        <v>0</v>
      </c>
      <c r="U851" s="110" t="s">
        <v>2694</v>
      </c>
      <c r="V851" s="110">
        <v>3</v>
      </c>
      <c r="W851" s="110">
        <v>0</v>
      </c>
      <c r="X851" s="110">
        <v>4</v>
      </c>
      <c r="Y851" s="110">
        <v>0</v>
      </c>
      <c r="Z851" s="110">
        <v>0</v>
      </c>
      <c r="AA851" s="2">
        <f t="shared" si="212"/>
        <v>1</v>
      </c>
      <c r="AB851" s="2">
        <f t="shared" si="213"/>
        <v>0</v>
      </c>
      <c r="AC851" s="2">
        <f t="shared" si="214"/>
        <v>1</v>
      </c>
      <c r="AD851" s="2">
        <f t="shared" si="215"/>
        <v>0</v>
      </c>
      <c r="AE851" s="2">
        <f t="shared" si="216"/>
        <v>1</v>
      </c>
      <c r="AF851" s="2">
        <f t="shared" si="217"/>
        <v>3</v>
      </c>
      <c r="AG851" s="2">
        <f t="shared" si="218"/>
        <v>3</v>
      </c>
      <c r="AH851" s="2">
        <f t="shared" si="219"/>
        <v>2</v>
      </c>
      <c r="AI851" s="2">
        <f t="shared" si="220"/>
        <v>2</v>
      </c>
      <c r="AJ851" s="2">
        <f t="shared" si="221"/>
        <v>2</v>
      </c>
      <c r="AK851" s="2">
        <f t="shared" si="222"/>
        <v>0</v>
      </c>
      <c r="AL851" s="2">
        <f t="shared" si="223"/>
        <v>0</v>
      </c>
      <c r="AM851" s="115"/>
      <c r="AN851" s="115"/>
      <c r="AO851" s="63"/>
    </row>
    <row r="852" spans="1:41" ht="57.6" x14ac:dyDescent="0.55000000000000004">
      <c r="A852" s="36">
        <v>5658</v>
      </c>
      <c r="B852" s="113" t="s">
        <v>398</v>
      </c>
      <c r="C852" s="113" t="s">
        <v>2875</v>
      </c>
      <c r="D852" s="114" t="s">
        <v>52</v>
      </c>
      <c r="E852" s="115"/>
      <c r="F852" s="116"/>
      <c r="G852" s="113" t="s">
        <v>2876</v>
      </c>
      <c r="H852" s="113" t="s">
        <v>2877</v>
      </c>
      <c r="I852" s="113" t="s">
        <v>2790</v>
      </c>
      <c r="J852" s="117"/>
      <c r="K852" s="118"/>
      <c r="L852" s="109">
        <v>1</v>
      </c>
      <c r="M852" s="109">
        <v>1</v>
      </c>
      <c r="N852" s="109"/>
      <c r="O852" s="119"/>
      <c r="P852" s="2">
        <f t="shared" si="208"/>
        <v>1</v>
      </c>
      <c r="Q852" s="110" t="str">
        <f>IF(AND(Drops!$D$45&gt;1,OR(U852&lt;&gt;U851,AND(ROW()=5,U851=U852))),VLOOKUP(U852,Drops!$D$26:$E$44,2,FALSE),"")</f>
        <v/>
      </c>
      <c r="R852" s="2" t="str">
        <f t="shared" si="209"/>
        <v/>
      </c>
      <c r="S852" s="2">
        <f t="shared" ca="1" si="210"/>
        <v>1</v>
      </c>
      <c r="T852" s="2">
        <f t="shared" si="211"/>
        <v>1</v>
      </c>
      <c r="U852" s="110" t="s">
        <v>2694</v>
      </c>
      <c r="V852" s="110">
        <v>4</v>
      </c>
      <c r="W852" s="110">
        <v>0</v>
      </c>
      <c r="X852" s="110">
        <v>4</v>
      </c>
      <c r="Y852" s="110">
        <v>0</v>
      </c>
      <c r="Z852" s="110">
        <v>0</v>
      </c>
      <c r="AA852" s="2">
        <f t="shared" si="212"/>
        <v>1</v>
      </c>
      <c r="AB852" s="2">
        <f t="shared" si="213"/>
        <v>1</v>
      </c>
      <c r="AC852" s="2">
        <f t="shared" si="214"/>
        <v>1</v>
      </c>
      <c r="AD852" s="2">
        <f t="shared" si="215"/>
        <v>0</v>
      </c>
      <c r="AE852" s="2">
        <f t="shared" si="216"/>
        <v>1</v>
      </c>
      <c r="AF852" s="2">
        <f t="shared" si="217"/>
        <v>3</v>
      </c>
      <c r="AG852" s="2">
        <f t="shared" si="218"/>
        <v>3</v>
      </c>
      <c r="AH852" s="2">
        <f t="shared" si="219"/>
        <v>2</v>
      </c>
      <c r="AI852" s="2">
        <f t="shared" si="220"/>
        <v>2</v>
      </c>
      <c r="AJ852" s="2">
        <f t="shared" si="221"/>
        <v>2</v>
      </c>
      <c r="AK852" s="2">
        <f t="shared" si="222"/>
        <v>0</v>
      </c>
      <c r="AL852" s="2">
        <f t="shared" si="223"/>
        <v>0</v>
      </c>
      <c r="AM852" s="115"/>
      <c r="AN852" s="115"/>
      <c r="AO852" s="63"/>
    </row>
    <row r="853" spans="1:41" ht="28.8" x14ac:dyDescent="0.55000000000000004">
      <c r="A853" s="36">
        <v>3707</v>
      </c>
      <c r="B853" s="113" t="s">
        <v>2878</v>
      </c>
      <c r="C853" s="138" t="s">
        <v>2879</v>
      </c>
      <c r="D853" s="114" t="s">
        <v>52</v>
      </c>
      <c r="E853" s="115"/>
      <c r="F853" s="116"/>
      <c r="G853" s="113" t="s">
        <v>2876</v>
      </c>
      <c r="H853" s="113" t="s">
        <v>2880</v>
      </c>
      <c r="I853" s="113" t="s">
        <v>2717</v>
      </c>
      <c r="J853" s="117"/>
      <c r="K853" s="118"/>
      <c r="L853" s="109">
        <v>2</v>
      </c>
      <c r="M853" s="109">
        <v>2</v>
      </c>
      <c r="N853" s="109"/>
      <c r="O853" s="119"/>
      <c r="P853" s="2">
        <f t="shared" si="208"/>
        <v>1</v>
      </c>
      <c r="Q853" s="110" t="str">
        <f>IF(AND(Drops!$D$45&gt;1,OR(U853&lt;&gt;U852,AND(ROW()=5,U852=U853))),VLOOKUP(U853,Drops!$D$26:$E$44,2,FALSE),"")</f>
        <v/>
      </c>
      <c r="R853" s="2" t="str">
        <f t="shared" si="209"/>
        <v/>
      </c>
      <c r="S853" s="2">
        <f t="shared" ca="1" si="210"/>
        <v>1</v>
      </c>
      <c r="T853" s="2">
        <f t="shared" si="211"/>
        <v>0</v>
      </c>
      <c r="U853" s="110" t="s">
        <v>2694</v>
      </c>
      <c r="V853" s="110">
        <v>4</v>
      </c>
      <c r="W853" s="110">
        <v>1</v>
      </c>
      <c r="X853" s="110">
        <v>0</v>
      </c>
      <c r="Y853" s="110">
        <v>0</v>
      </c>
      <c r="Z853" s="110">
        <v>0</v>
      </c>
      <c r="AA853" s="2">
        <f t="shared" si="212"/>
        <v>1</v>
      </c>
      <c r="AB853" s="2">
        <f t="shared" si="213"/>
        <v>0</v>
      </c>
      <c r="AC853" s="2">
        <f t="shared" si="214"/>
        <v>1</v>
      </c>
      <c r="AD853" s="2">
        <f t="shared" si="215"/>
        <v>1</v>
      </c>
      <c r="AE853" s="2">
        <f t="shared" si="216"/>
        <v>0</v>
      </c>
      <c r="AF853" s="2">
        <f t="shared" si="217"/>
        <v>3</v>
      </c>
      <c r="AG853" s="2">
        <f t="shared" si="218"/>
        <v>3</v>
      </c>
      <c r="AH853" s="2">
        <f t="shared" si="219"/>
        <v>2</v>
      </c>
      <c r="AI853" s="2">
        <f t="shared" si="220"/>
        <v>2</v>
      </c>
      <c r="AJ853" s="2">
        <f t="shared" si="221"/>
        <v>2</v>
      </c>
      <c r="AK853" s="2">
        <f t="shared" si="222"/>
        <v>0</v>
      </c>
      <c r="AL853" s="2">
        <f t="shared" si="223"/>
        <v>0</v>
      </c>
      <c r="AM853" s="115"/>
      <c r="AN853" s="115"/>
      <c r="AO853" s="63"/>
    </row>
    <row r="854" spans="1:41" ht="28.8" x14ac:dyDescent="0.55000000000000004">
      <c r="A854" s="36">
        <v>4509</v>
      </c>
      <c r="B854" s="113" t="s">
        <v>2881</v>
      </c>
      <c r="C854" s="138" t="s">
        <v>2882</v>
      </c>
      <c r="D854" s="114" t="s">
        <v>52</v>
      </c>
      <c r="E854" s="115"/>
      <c r="F854" s="116"/>
      <c r="G854" s="113" t="s">
        <v>2876</v>
      </c>
      <c r="H854" s="113" t="s">
        <v>2883</v>
      </c>
      <c r="I854" s="113" t="s">
        <v>2717</v>
      </c>
      <c r="J854" s="117"/>
      <c r="K854" s="118"/>
      <c r="L854" s="109">
        <v>2</v>
      </c>
      <c r="M854" s="109">
        <v>3</v>
      </c>
      <c r="N854" s="109"/>
      <c r="O854" s="119"/>
      <c r="P854" s="2">
        <f t="shared" si="208"/>
        <v>1</v>
      </c>
      <c r="Q854" s="110" t="str">
        <f>IF(AND(Drops!$D$45&gt;1,OR(U854&lt;&gt;U853,AND(ROW()=5,U853=U854))),VLOOKUP(U854,Drops!$D$26:$E$44,2,FALSE),"")</f>
        <v/>
      </c>
      <c r="R854" s="2" t="str">
        <f t="shared" si="209"/>
        <v/>
      </c>
      <c r="S854" s="2">
        <f t="shared" ca="1" si="210"/>
        <v>1</v>
      </c>
      <c r="T854" s="2">
        <f t="shared" si="211"/>
        <v>0</v>
      </c>
      <c r="U854" s="110" t="s">
        <v>2694</v>
      </c>
      <c r="V854" s="110">
        <v>4</v>
      </c>
      <c r="W854" s="110">
        <v>2</v>
      </c>
      <c r="X854" s="110">
        <v>0</v>
      </c>
      <c r="Y854" s="110">
        <v>0</v>
      </c>
      <c r="Z854" s="110">
        <v>0</v>
      </c>
      <c r="AA854" s="2">
        <f t="shared" si="212"/>
        <v>1</v>
      </c>
      <c r="AB854" s="2">
        <f t="shared" si="213"/>
        <v>0</v>
      </c>
      <c r="AC854" s="2">
        <f t="shared" si="214"/>
        <v>1</v>
      </c>
      <c r="AD854" s="2">
        <f t="shared" si="215"/>
        <v>1</v>
      </c>
      <c r="AE854" s="2">
        <f t="shared" si="216"/>
        <v>0</v>
      </c>
      <c r="AF854" s="2">
        <f t="shared" si="217"/>
        <v>3</v>
      </c>
      <c r="AG854" s="2">
        <f t="shared" si="218"/>
        <v>3</v>
      </c>
      <c r="AH854" s="2">
        <f t="shared" si="219"/>
        <v>2</v>
      </c>
      <c r="AI854" s="2">
        <f t="shared" si="220"/>
        <v>2</v>
      </c>
      <c r="AJ854" s="2">
        <f t="shared" si="221"/>
        <v>2</v>
      </c>
      <c r="AK854" s="2">
        <f t="shared" si="222"/>
        <v>0</v>
      </c>
      <c r="AL854" s="2">
        <f t="shared" si="223"/>
        <v>0</v>
      </c>
      <c r="AM854" s="115"/>
      <c r="AN854" s="115"/>
      <c r="AO854" s="63"/>
    </row>
    <row r="855" spans="1:41" ht="43.2" x14ac:dyDescent="0.55000000000000004">
      <c r="A855" s="36">
        <v>3237</v>
      </c>
      <c r="B855" s="113" t="s">
        <v>400</v>
      </c>
      <c r="C855" s="113" t="s">
        <v>2884</v>
      </c>
      <c r="D855" s="114" t="s">
        <v>52</v>
      </c>
      <c r="E855" s="115"/>
      <c r="F855" s="116"/>
      <c r="G855" s="113" t="s">
        <v>2885</v>
      </c>
      <c r="H855" s="113" t="s">
        <v>2702</v>
      </c>
      <c r="I855" s="113" t="s">
        <v>2717</v>
      </c>
      <c r="J855" s="117"/>
      <c r="K855" s="118"/>
      <c r="L855" s="109">
        <v>1</v>
      </c>
      <c r="M855" s="109">
        <v>2</v>
      </c>
      <c r="N855" s="109"/>
      <c r="O855" s="119"/>
      <c r="P855" s="2">
        <f t="shared" si="208"/>
        <v>1</v>
      </c>
      <c r="Q855" s="110" t="str">
        <f>IF(AND(Drops!$D$45&gt;1,OR(U855&lt;&gt;U854,AND(ROW()=5,U854=U855))),VLOOKUP(U855,Drops!$D$26:$E$44,2,FALSE),"")</f>
        <v/>
      </c>
      <c r="R855" s="2" t="str">
        <f t="shared" si="209"/>
        <v/>
      </c>
      <c r="S855" s="2">
        <f t="shared" ca="1" si="210"/>
        <v>1</v>
      </c>
      <c r="T855" s="2">
        <f t="shared" si="211"/>
        <v>1</v>
      </c>
      <c r="U855" s="110" t="s">
        <v>2694</v>
      </c>
      <c r="V855" s="110">
        <v>5</v>
      </c>
      <c r="W855" s="110">
        <v>0</v>
      </c>
      <c r="X855" s="110">
        <v>0</v>
      </c>
      <c r="Y855" s="110">
        <v>0</v>
      </c>
      <c r="Z855" s="110">
        <v>0</v>
      </c>
      <c r="AA855" s="2">
        <f t="shared" si="212"/>
        <v>1</v>
      </c>
      <c r="AB855" s="2">
        <f t="shared" si="213"/>
        <v>1</v>
      </c>
      <c r="AC855" s="2">
        <f t="shared" si="214"/>
        <v>1</v>
      </c>
      <c r="AD855" s="2">
        <f t="shared" si="215"/>
        <v>0</v>
      </c>
      <c r="AE855" s="2">
        <f t="shared" si="216"/>
        <v>0</v>
      </c>
      <c r="AF855" s="2">
        <f t="shared" si="217"/>
        <v>3</v>
      </c>
      <c r="AG855" s="2">
        <f t="shared" si="218"/>
        <v>3</v>
      </c>
      <c r="AH855" s="2">
        <f t="shared" si="219"/>
        <v>2</v>
      </c>
      <c r="AI855" s="2">
        <f t="shared" si="220"/>
        <v>2</v>
      </c>
      <c r="AJ855" s="2">
        <f t="shared" si="221"/>
        <v>2</v>
      </c>
      <c r="AK855" s="2">
        <f t="shared" si="222"/>
        <v>0</v>
      </c>
      <c r="AL855" s="2">
        <f t="shared" si="223"/>
        <v>0</v>
      </c>
      <c r="AM855" s="115"/>
      <c r="AN855" s="115"/>
      <c r="AO855" s="63"/>
    </row>
    <row r="856" spans="1:41" ht="28.8" x14ac:dyDescent="0.55000000000000004">
      <c r="A856" s="36">
        <v>5914</v>
      </c>
      <c r="B856" s="113" t="s">
        <v>2886</v>
      </c>
      <c r="C856" s="138" t="s">
        <v>2887</v>
      </c>
      <c r="D856" s="114" t="s">
        <v>52</v>
      </c>
      <c r="E856" s="115"/>
      <c r="F856" s="116"/>
      <c r="G856" s="113" t="s">
        <v>2885</v>
      </c>
      <c r="H856" s="113" t="s">
        <v>2702</v>
      </c>
      <c r="I856" s="113" t="s">
        <v>2717</v>
      </c>
      <c r="J856" s="117"/>
      <c r="K856" s="118"/>
      <c r="L856" s="109">
        <v>2</v>
      </c>
      <c r="M856" s="109">
        <v>3</v>
      </c>
      <c r="N856" s="109"/>
      <c r="O856" s="119"/>
      <c r="P856" s="2">
        <f t="shared" si="208"/>
        <v>1</v>
      </c>
      <c r="Q856" s="110" t="str">
        <f>IF(AND(Drops!$D$45&gt;1,OR(U856&lt;&gt;U855,AND(ROW()=5,U855=U856))),VLOOKUP(U856,Drops!$D$26:$E$44,2,FALSE),"")</f>
        <v/>
      </c>
      <c r="R856" s="2" t="str">
        <f t="shared" si="209"/>
        <v/>
      </c>
      <c r="S856" s="2">
        <f t="shared" ca="1" si="210"/>
        <v>1</v>
      </c>
      <c r="T856" s="2">
        <f t="shared" si="211"/>
        <v>0</v>
      </c>
      <c r="U856" s="110" t="s">
        <v>2694</v>
      </c>
      <c r="V856" s="110">
        <v>5</v>
      </c>
      <c r="W856" s="110">
        <v>1</v>
      </c>
      <c r="X856" s="110">
        <v>0</v>
      </c>
      <c r="Y856" s="110">
        <v>0</v>
      </c>
      <c r="Z856" s="110">
        <v>0</v>
      </c>
      <c r="AA856" s="2">
        <f t="shared" si="212"/>
        <v>1</v>
      </c>
      <c r="AB856" s="2">
        <f t="shared" si="213"/>
        <v>0</v>
      </c>
      <c r="AC856" s="2">
        <f t="shared" si="214"/>
        <v>1</v>
      </c>
      <c r="AD856" s="2">
        <f t="shared" si="215"/>
        <v>1</v>
      </c>
      <c r="AE856" s="2">
        <f t="shared" si="216"/>
        <v>0</v>
      </c>
      <c r="AF856" s="2">
        <f t="shared" si="217"/>
        <v>3</v>
      </c>
      <c r="AG856" s="2">
        <f t="shared" si="218"/>
        <v>3</v>
      </c>
      <c r="AH856" s="2">
        <f t="shared" si="219"/>
        <v>2</v>
      </c>
      <c r="AI856" s="2">
        <f t="shared" si="220"/>
        <v>2</v>
      </c>
      <c r="AJ856" s="2">
        <f t="shared" si="221"/>
        <v>2</v>
      </c>
      <c r="AK856" s="2">
        <f t="shared" si="222"/>
        <v>0</v>
      </c>
      <c r="AL856" s="2">
        <f t="shared" si="223"/>
        <v>0</v>
      </c>
      <c r="AM856" s="115"/>
      <c r="AN856" s="115"/>
      <c r="AO856" s="63"/>
    </row>
    <row r="857" spans="1:41" ht="28.8" x14ac:dyDescent="0.55000000000000004">
      <c r="A857" s="36">
        <v>5915</v>
      </c>
      <c r="B857" s="113" t="s">
        <v>2888</v>
      </c>
      <c r="C857" s="138" t="s">
        <v>2889</v>
      </c>
      <c r="D857" s="114" t="s">
        <v>52</v>
      </c>
      <c r="E857" s="115"/>
      <c r="F857" s="116"/>
      <c r="G857" s="113" t="s">
        <v>2885</v>
      </c>
      <c r="H857" s="113" t="s">
        <v>2702</v>
      </c>
      <c r="I857" s="113" t="s">
        <v>2717</v>
      </c>
      <c r="J857" s="117"/>
      <c r="K857" s="118"/>
      <c r="L857" s="109">
        <v>2</v>
      </c>
      <c r="M857" s="109">
        <v>3</v>
      </c>
      <c r="N857" s="109"/>
      <c r="O857" s="119"/>
      <c r="P857" s="2">
        <f t="shared" si="208"/>
        <v>1</v>
      </c>
      <c r="Q857" s="110" t="str">
        <f>IF(AND(Drops!$D$45&gt;1,OR(U857&lt;&gt;U856,AND(ROW()=5,U856=U857))),VLOOKUP(U857,Drops!$D$26:$E$44,2,FALSE),"")</f>
        <v/>
      </c>
      <c r="R857" s="2" t="str">
        <f t="shared" si="209"/>
        <v/>
      </c>
      <c r="S857" s="2">
        <f t="shared" ca="1" si="210"/>
        <v>1</v>
      </c>
      <c r="T857" s="2">
        <f t="shared" si="211"/>
        <v>0</v>
      </c>
      <c r="U857" s="110" t="s">
        <v>2694</v>
      </c>
      <c r="V857" s="110">
        <v>5</v>
      </c>
      <c r="W857" s="110">
        <v>2</v>
      </c>
      <c r="X857" s="110">
        <v>0</v>
      </c>
      <c r="Y857" s="110">
        <v>0</v>
      </c>
      <c r="Z857" s="110">
        <v>0</v>
      </c>
      <c r="AA857" s="2">
        <f t="shared" si="212"/>
        <v>1</v>
      </c>
      <c r="AB857" s="2">
        <f t="shared" si="213"/>
        <v>0</v>
      </c>
      <c r="AC857" s="2">
        <f t="shared" si="214"/>
        <v>1</v>
      </c>
      <c r="AD857" s="2">
        <f t="shared" si="215"/>
        <v>1</v>
      </c>
      <c r="AE857" s="2">
        <f t="shared" si="216"/>
        <v>0</v>
      </c>
      <c r="AF857" s="2">
        <f t="shared" si="217"/>
        <v>3</v>
      </c>
      <c r="AG857" s="2">
        <f t="shared" si="218"/>
        <v>3</v>
      </c>
      <c r="AH857" s="2">
        <f t="shared" si="219"/>
        <v>2</v>
      </c>
      <c r="AI857" s="2">
        <f t="shared" si="220"/>
        <v>2</v>
      </c>
      <c r="AJ857" s="2">
        <f t="shared" si="221"/>
        <v>2</v>
      </c>
      <c r="AK857" s="2">
        <f t="shared" si="222"/>
        <v>0</v>
      </c>
      <c r="AL857" s="2">
        <f t="shared" si="223"/>
        <v>0</v>
      </c>
      <c r="AM857" s="115"/>
      <c r="AN857" s="115"/>
      <c r="AO857" s="63"/>
    </row>
    <row r="858" spans="1:41" ht="43.2" x14ac:dyDescent="0.55000000000000004">
      <c r="A858" s="36">
        <v>4510</v>
      </c>
      <c r="B858" s="113" t="s">
        <v>2890</v>
      </c>
      <c r="C858" s="138" t="s">
        <v>2891</v>
      </c>
      <c r="D858" s="114" t="s">
        <v>52</v>
      </c>
      <c r="E858" s="115"/>
      <c r="F858" s="116"/>
      <c r="G858" s="113" t="s">
        <v>2885</v>
      </c>
      <c r="H858" s="113" t="s">
        <v>2892</v>
      </c>
      <c r="I858" s="113" t="s">
        <v>2717</v>
      </c>
      <c r="J858" s="117"/>
      <c r="K858" s="118"/>
      <c r="L858" s="109">
        <v>2</v>
      </c>
      <c r="M858" s="109">
        <v>2</v>
      </c>
      <c r="N858" s="109"/>
      <c r="O858" s="119"/>
      <c r="P858" s="2">
        <f t="shared" si="208"/>
        <v>1</v>
      </c>
      <c r="Q858" s="110" t="str">
        <f>IF(AND(Drops!$D$45&gt;1,OR(U858&lt;&gt;U857,AND(ROW()=5,U857=U858))),VLOOKUP(U858,Drops!$D$26:$E$44,2,FALSE),"")</f>
        <v/>
      </c>
      <c r="R858" s="2" t="str">
        <f t="shared" si="209"/>
        <v/>
      </c>
      <c r="S858" s="2">
        <f t="shared" ca="1" si="210"/>
        <v>1</v>
      </c>
      <c r="T858" s="2">
        <f t="shared" si="211"/>
        <v>0</v>
      </c>
      <c r="U858" s="110" t="s">
        <v>2694</v>
      </c>
      <c r="V858" s="110">
        <v>5</v>
      </c>
      <c r="W858" s="110">
        <v>4</v>
      </c>
      <c r="X858" s="110">
        <v>0</v>
      </c>
      <c r="Y858" s="110">
        <v>0</v>
      </c>
      <c r="Z858" s="110">
        <v>0</v>
      </c>
      <c r="AA858" s="2">
        <f t="shared" si="212"/>
        <v>1</v>
      </c>
      <c r="AB858" s="2">
        <f t="shared" si="213"/>
        <v>1</v>
      </c>
      <c r="AC858" s="2">
        <f t="shared" si="214"/>
        <v>1</v>
      </c>
      <c r="AD858" s="2">
        <f t="shared" si="215"/>
        <v>1</v>
      </c>
      <c r="AE858" s="2">
        <f t="shared" si="216"/>
        <v>0</v>
      </c>
      <c r="AF858" s="2">
        <f t="shared" si="217"/>
        <v>3</v>
      </c>
      <c r="AG858" s="2">
        <f t="shared" si="218"/>
        <v>3</v>
      </c>
      <c r="AH858" s="2">
        <f t="shared" si="219"/>
        <v>2</v>
      </c>
      <c r="AI858" s="2">
        <f t="shared" si="220"/>
        <v>2</v>
      </c>
      <c r="AJ858" s="2">
        <f t="shared" si="221"/>
        <v>2</v>
      </c>
      <c r="AK858" s="2">
        <f t="shared" si="222"/>
        <v>0</v>
      </c>
      <c r="AL858" s="2">
        <f t="shared" si="223"/>
        <v>0</v>
      </c>
      <c r="AM858" s="115"/>
      <c r="AN858" s="115"/>
      <c r="AO858" s="63"/>
    </row>
    <row r="859" spans="1:41" ht="28.8" x14ac:dyDescent="0.55000000000000004">
      <c r="A859" s="36">
        <v>5948</v>
      </c>
      <c r="B859" s="113" t="s">
        <v>2893</v>
      </c>
      <c r="C859" s="139" t="s">
        <v>2894</v>
      </c>
      <c r="D859" s="114" t="s">
        <v>52</v>
      </c>
      <c r="E859" s="115"/>
      <c r="F859" s="116"/>
      <c r="G859" s="113" t="s">
        <v>2885</v>
      </c>
      <c r="H859" s="113" t="s">
        <v>2892</v>
      </c>
      <c r="I859" s="113" t="s">
        <v>2717</v>
      </c>
      <c r="J859" s="117"/>
      <c r="K859" s="118"/>
      <c r="L859" s="109">
        <v>3</v>
      </c>
      <c r="M859" s="109">
        <v>2</v>
      </c>
      <c r="N859" s="109"/>
      <c r="O859" s="119"/>
      <c r="P859" s="2">
        <f t="shared" si="208"/>
        <v>1</v>
      </c>
      <c r="Q859" s="110" t="str">
        <f>IF(AND(Drops!$D$45&gt;1,OR(U859&lt;&gt;U858,AND(ROW()=5,U858=U859))),VLOOKUP(U859,Drops!$D$26:$E$44,2,FALSE),"")</f>
        <v/>
      </c>
      <c r="R859" s="2" t="str">
        <f t="shared" si="209"/>
        <v/>
      </c>
      <c r="S859" s="2">
        <f t="shared" ca="1" si="210"/>
        <v>1</v>
      </c>
      <c r="T859" s="2">
        <f t="shared" si="211"/>
        <v>0</v>
      </c>
      <c r="U859" s="110" t="s">
        <v>2694</v>
      </c>
      <c r="V859" s="110">
        <v>5</v>
      </c>
      <c r="W859" s="110">
        <v>4</v>
      </c>
      <c r="X859" s="110">
        <v>1</v>
      </c>
      <c r="Y859" s="110">
        <v>0</v>
      </c>
      <c r="Z859" s="110">
        <v>0</v>
      </c>
      <c r="AA859" s="2">
        <f t="shared" si="212"/>
        <v>1</v>
      </c>
      <c r="AB859" s="2">
        <f t="shared" si="213"/>
        <v>0</v>
      </c>
      <c r="AC859" s="2">
        <f t="shared" si="214"/>
        <v>1</v>
      </c>
      <c r="AD859" s="2">
        <f t="shared" si="215"/>
        <v>1</v>
      </c>
      <c r="AE859" s="2">
        <f t="shared" si="216"/>
        <v>1</v>
      </c>
      <c r="AF859" s="2">
        <f t="shared" si="217"/>
        <v>3</v>
      </c>
      <c r="AG859" s="2">
        <f t="shared" si="218"/>
        <v>3</v>
      </c>
      <c r="AH859" s="2">
        <f t="shared" si="219"/>
        <v>2</v>
      </c>
      <c r="AI859" s="2">
        <f t="shared" si="220"/>
        <v>2</v>
      </c>
      <c r="AJ859" s="2">
        <f t="shared" si="221"/>
        <v>2</v>
      </c>
      <c r="AK859" s="2">
        <f t="shared" si="222"/>
        <v>0</v>
      </c>
      <c r="AL859" s="2">
        <f t="shared" si="223"/>
        <v>0</v>
      </c>
      <c r="AM859" s="115"/>
      <c r="AN859" s="115"/>
      <c r="AO859" s="63"/>
    </row>
    <row r="860" spans="1:41" ht="28.8" x14ac:dyDescent="0.55000000000000004">
      <c r="A860" s="36">
        <v>4511</v>
      </c>
      <c r="B860" s="113" t="s">
        <v>2895</v>
      </c>
      <c r="C860" s="138" t="s">
        <v>2896</v>
      </c>
      <c r="D860" s="114" t="s">
        <v>52</v>
      </c>
      <c r="E860" s="115"/>
      <c r="F860" s="116"/>
      <c r="G860" s="113" t="s">
        <v>2885</v>
      </c>
      <c r="H860" s="113" t="s">
        <v>2702</v>
      </c>
      <c r="I860" s="113" t="s">
        <v>2717</v>
      </c>
      <c r="J860" s="117"/>
      <c r="K860" s="118"/>
      <c r="L860" s="109">
        <v>2</v>
      </c>
      <c r="M860" s="109">
        <v>3</v>
      </c>
      <c r="N860" s="109"/>
      <c r="O860" s="119"/>
      <c r="P860" s="2">
        <f t="shared" si="208"/>
        <v>1</v>
      </c>
      <c r="Q860" s="110" t="str">
        <f>IF(AND(Drops!$D$45&gt;1,OR(U860&lt;&gt;U859,AND(ROW()=5,U859=U860))),VLOOKUP(U860,Drops!$D$26:$E$44,2,FALSE),"")</f>
        <v/>
      </c>
      <c r="R860" s="2" t="str">
        <f t="shared" si="209"/>
        <v/>
      </c>
      <c r="S860" s="2">
        <f t="shared" ca="1" si="210"/>
        <v>1</v>
      </c>
      <c r="T860" s="2">
        <f t="shared" si="211"/>
        <v>0</v>
      </c>
      <c r="U860" s="110" t="s">
        <v>2694</v>
      </c>
      <c r="V860" s="110">
        <v>5</v>
      </c>
      <c r="W860" s="110">
        <v>5</v>
      </c>
      <c r="X860" s="110">
        <v>0</v>
      </c>
      <c r="Y860" s="110">
        <v>0</v>
      </c>
      <c r="Z860" s="110">
        <v>0</v>
      </c>
      <c r="AA860" s="2">
        <f t="shared" si="212"/>
        <v>1</v>
      </c>
      <c r="AB860" s="2">
        <f t="shared" si="213"/>
        <v>0</v>
      </c>
      <c r="AC860" s="2">
        <f t="shared" si="214"/>
        <v>1</v>
      </c>
      <c r="AD860" s="2">
        <f t="shared" si="215"/>
        <v>1</v>
      </c>
      <c r="AE860" s="2">
        <f t="shared" si="216"/>
        <v>0</v>
      </c>
      <c r="AF860" s="2">
        <f t="shared" si="217"/>
        <v>3</v>
      </c>
      <c r="AG860" s="2">
        <f t="shared" si="218"/>
        <v>3</v>
      </c>
      <c r="AH860" s="2">
        <f t="shared" si="219"/>
        <v>2</v>
      </c>
      <c r="AI860" s="2">
        <f t="shared" si="220"/>
        <v>2</v>
      </c>
      <c r="AJ860" s="2">
        <f t="shared" si="221"/>
        <v>2</v>
      </c>
      <c r="AK860" s="2">
        <f t="shared" si="222"/>
        <v>0</v>
      </c>
      <c r="AL860" s="2">
        <f t="shared" si="223"/>
        <v>0</v>
      </c>
      <c r="AM860" s="115"/>
      <c r="AN860" s="115"/>
      <c r="AO860" s="63"/>
    </row>
    <row r="861" spans="1:41" ht="43.2" x14ac:dyDescent="0.55000000000000004">
      <c r="A861" s="36">
        <v>4512</v>
      </c>
      <c r="B861" s="113" t="s">
        <v>2897</v>
      </c>
      <c r="C861" s="138" t="s">
        <v>2898</v>
      </c>
      <c r="D861" s="114" t="s">
        <v>52</v>
      </c>
      <c r="E861" s="115"/>
      <c r="F861" s="116"/>
      <c r="G861" s="113" t="s">
        <v>2885</v>
      </c>
      <c r="H861" s="113" t="s">
        <v>2716</v>
      </c>
      <c r="I861" s="113" t="s">
        <v>2717</v>
      </c>
      <c r="J861" s="117"/>
      <c r="K861" s="118"/>
      <c r="L861" s="109">
        <v>2</v>
      </c>
      <c r="M861" s="109">
        <v>3</v>
      </c>
      <c r="N861" s="109"/>
      <c r="O861" s="119"/>
      <c r="P861" s="2">
        <f t="shared" si="208"/>
        <v>1</v>
      </c>
      <c r="Q861" s="110" t="str">
        <f>IF(AND(Drops!$D$45&gt;1,OR(U861&lt;&gt;U860,AND(ROW()=5,U860=U861))),VLOOKUP(U861,Drops!$D$26:$E$44,2,FALSE),"")</f>
        <v/>
      </c>
      <c r="R861" s="2" t="str">
        <f t="shared" si="209"/>
        <v/>
      </c>
      <c r="S861" s="2">
        <f t="shared" ca="1" si="210"/>
        <v>1</v>
      </c>
      <c r="T861" s="2">
        <f t="shared" si="211"/>
        <v>0</v>
      </c>
      <c r="U861" s="110" t="s">
        <v>2694</v>
      </c>
      <c r="V861" s="110">
        <v>5</v>
      </c>
      <c r="W861" s="110">
        <v>6</v>
      </c>
      <c r="X861" s="110">
        <v>0</v>
      </c>
      <c r="Y861" s="110">
        <v>0</v>
      </c>
      <c r="Z861" s="110">
        <v>0</v>
      </c>
      <c r="AA861" s="2">
        <f t="shared" si="212"/>
        <v>1</v>
      </c>
      <c r="AB861" s="2">
        <f t="shared" si="213"/>
        <v>0</v>
      </c>
      <c r="AC861" s="2">
        <f t="shared" si="214"/>
        <v>1</v>
      </c>
      <c r="AD861" s="2">
        <f t="shared" si="215"/>
        <v>1</v>
      </c>
      <c r="AE861" s="2">
        <f t="shared" si="216"/>
        <v>0</v>
      </c>
      <c r="AF861" s="2">
        <f t="shared" si="217"/>
        <v>3</v>
      </c>
      <c r="AG861" s="2">
        <f t="shared" si="218"/>
        <v>3</v>
      </c>
      <c r="AH861" s="2">
        <f t="shared" si="219"/>
        <v>2</v>
      </c>
      <c r="AI861" s="2">
        <f t="shared" si="220"/>
        <v>2</v>
      </c>
      <c r="AJ861" s="2">
        <f t="shared" si="221"/>
        <v>2</v>
      </c>
      <c r="AK861" s="2">
        <f t="shared" si="222"/>
        <v>0</v>
      </c>
      <c r="AL861" s="2">
        <f t="shared" si="223"/>
        <v>0</v>
      </c>
      <c r="AM861" s="115"/>
      <c r="AN861" s="115"/>
      <c r="AO861" s="63"/>
    </row>
    <row r="862" spans="1:41" ht="28.8" x14ac:dyDescent="0.55000000000000004">
      <c r="A862" s="36">
        <v>3692</v>
      </c>
      <c r="B862" s="113" t="s">
        <v>2899</v>
      </c>
      <c r="C862" s="138" t="s">
        <v>2900</v>
      </c>
      <c r="D862" s="114" t="s">
        <v>52</v>
      </c>
      <c r="E862" s="115"/>
      <c r="F862" s="116"/>
      <c r="G862" s="113" t="s">
        <v>2885</v>
      </c>
      <c r="H862" s="113" t="s">
        <v>2702</v>
      </c>
      <c r="I862" s="113" t="s">
        <v>2717</v>
      </c>
      <c r="J862" s="117"/>
      <c r="K862" s="118"/>
      <c r="L862" s="109">
        <v>2</v>
      </c>
      <c r="M862" s="109">
        <v>3</v>
      </c>
      <c r="N862" s="109"/>
      <c r="O862" s="119"/>
      <c r="P862" s="2">
        <f t="shared" si="208"/>
        <v>1</v>
      </c>
      <c r="Q862" s="110" t="str">
        <f>IF(AND(Drops!$D$45&gt;1,OR(U862&lt;&gt;U861,AND(ROW()=5,U861=U862))),VLOOKUP(U862,Drops!$D$26:$E$44,2,FALSE),"")</f>
        <v/>
      </c>
      <c r="R862" s="2" t="str">
        <f t="shared" si="209"/>
        <v/>
      </c>
      <c r="S862" s="2">
        <f t="shared" ca="1" si="210"/>
        <v>1</v>
      </c>
      <c r="T862" s="2">
        <f t="shared" si="211"/>
        <v>0</v>
      </c>
      <c r="U862" s="110" t="s">
        <v>2694</v>
      </c>
      <c r="V862" s="110">
        <v>5</v>
      </c>
      <c r="W862" s="110">
        <v>7</v>
      </c>
      <c r="X862" s="110">
        <v>0</v>
      </c>
      <c r="Y862" s="110">
        <v>0</v>
      </c>
      <c r="Z862" s="110">
        <v>0</v>
      </c>
      <c r="AA862" s="2">
        <f t="shared" si="212"/>
        <v>1</v>
      </c>
      <c r="AB862" s="2">
        <f t="shared" si="213"/>
        <v>0</v>
      </c>
      <c r="AC862" s="2">
        <f t="shared" si="214"/>
        <v>1</v>
      </c>
      <c r="AD862" s="2">
        <f t="shared" si="215"/>
        <v>1</v>
      </c>
      <c r="AE862" s="2">
        <f t="shared" si="216"/>
        <v>0</v>
      </c>
      <c r="AF862" s="2">
        <f t="shared" si="217"/>
        <v>3</v>
      </c>
      <c r="AG862" s="2">
        <f t="shared" si="218"/>
        <v>3</v>
      </c>
      <c r="AH862" s="2">
        <f t="shared" si="219"/>
        <v>2</v>
      </c>
      <c r="AI862" s="2">
        <f t="shared" si="220"/>
        <v>2</v>
      </c>
      <c r="AJ862" s="2">
        <f t="shared" si="221"/>
        <v>2</v>
      </c>
      <c r="AK862" s="2">
        <f t="shared" si="222"/>
        <v>0</v>
      </c>
      <c r="AL862" s="2">
        <f t="shared" si="223"/>
        <v>0</v>
      </c>
      <c r="AM862" s="115"/>
      <c r="AN862" s="115"/>
      <c r="AO862" s="63"/>
    </row>
    <row r="863" spans="1:41" ht="28.8" x14ac:dyDescent="0.55000000000000004">
      <c r="A863" s="36">
        <v>4513</v>
      </c>
      <c r="B863" s="113" t="s">
        <v>2901</v>
      </c>
      <c r="C863" s="138" t="s">
        <v>2902</v>
      </c>
      <c r="D863" s="114" t="s">
        <v>52</v>
      </c>
      <c r="E863" s="115"/>
      <c r="F863" s="116"/>
      <c r="G863" s="113" t="s">
        <v>2885</v>
      </c>
      <c r="H863" s="113" t="s">
        <v>2702</v>
      </c>
      <c r="I863" s="113" t="s">
        <v>2717</v>
      </c>
      <c r="J863" s="117"/>
      <c r="K863" s="118"/>
      <c r="L863" s="109">
        <v>2</v>
      </c>
      <c r="M863" s="109">
        <v>1</v>
      </c>
      <c r="N863" s="109"/>
      <c r="O863" s="119"/>
      <c r="P863" s="2">
        <f t="shared" si="208"/>
        <v>1</v>
      </c>
      <c r="Q863" s="110" t="str">
        <f>IF(AND(Drops!$D$45&gt;1,OR(U863&lt;&gt;U862,AND(ROW()=5,U862=U863))),VLOOKUP(U863,Drops!$D$26:$E$44,2,FALSE),"")</f>
        <v/>
      </c>
      <c r="R863" s="2" t="str">
        <f t="shared" si="209"/>
        <v/>
      </c>
      <c r="S863" s="2">
        <f t="shared" ca="1" si="210"/>
        <v>1</v>
      </c>
      <c r="T863" s="2">
        <f t="shared" si="211"/>
        <v>0</v>
      </c>
      <c r="U863" s="110" t="s">
        <v>2694</v>
      </c>
      <c r="V863" s="110">
        <v>5</v>
      </c>
      <c r="W863" s="110">
        <v>8</v>
      </c>
      <c r="X863" s="110">
        <v>0</v>
      </c>
      <c r="Y863" s="110">
        <v>0</v>
      </c>
      <c r="Z863" s="110">
        <v>0</v>
      </c>
      <c r="AA863" s="2">
        <f t="shared" si="212"/>
        <v>1</v>
      </c>
      <c r="AB863" s="2">
        <f t="shared" si="213"/>
        <v>0</v>
      </c>
      <c r="AC863" s="2">
        <f t="shared" si="214"/>
        <v>1</v>
      </c>
      <c r="AD863" s="2">
        <f t="shared" si="215"/>
        <v>1</v>
      </c>
      <c r="AE863" s="2">
        <f t="shared" si="216"/>
        <v>0</v>
      </c>
      <c r="AF863" s="2">
        <f t="shared" si="217"/>
        <v>3</v>
      </c>
      <c r="AG863" s="2">
        <f t="shared" si="218"/>
        <v>3</v>
      </c>
      <c r="AH863" s="2">
        <f t="shared" si="219"/>
        <v>2</v>
      </c>
      <c r="AI863" s="2">
        <f t="shared" si="220"/>
        <v>2</v>
      </c>
      <c r="AJ863" s="2">
        <f t="shared" si="221"/>
        <v>2</v>
      </c>
      <c r="AK863" s="2">
        <f t="shared" si="222"/>
        <v>0</v>
      </c>
      <c r="AL863" s="2">
        <f t="shared" si="223"/>
        <v>0</v>
      </c>
      <c r="AM863" s="115"/>
      <c r="AN863" s="115"/>
      <c r="AO863" s="63"/>
    </row>
    <row r="864" spans="1:41" ht="43.2" x14ac:dyDescent="0.55000000000000004">
      <c r="A864" s="36">
        <v>4945</v>
      </c>
      <c r="B864" s="113" t="s">
        <v>402</v>
      </c>
      <c r="C864" s="113" t="s">
        <v>2903</v>
      </c>
      <c r="D864" s="114" t="s">
        <v>52</v>
      </c>
      <c r="E864" s="115"/>
      <c r="F864" s="116"/>
      <c r="G864" s="113" t="s">
        <v>2904</v>
      </c>
      <c r="H864" s="113" t="s">
        <v>2905</v>
      </c>
      <c r="I864" s="113" t="s">
        <v>2717</v>
      </c>
      <c r="J864" s="117"/>
      <c r="K864" s="118"/>
      <c r="L864" s="109">
        <v>1</v>
      </c>
      <c r="M864" s="109">
        <v>2</v>
      </c>
      <c r="N864" s="109"/>
      <c r="O864" s="119"/>
      <c r="P864" s="2">
        <f t="shared" si="208"/>
        <v>1</v>
      </c>
      <c r="Q864" s="110" t="str">
        <f>IF(AND(Drops!$D$45&gt;1,OR(U864&lt;&gt;U863,AND(ROW()=5,U863=U864))),VLOOKUP(U864,Drops!$D$26:$E$44,2,FALSE),"")</f>
        <v/>
      </c>
      <c r="R864" s="2" t="str">
        <f t="shared" si="209"/>
        <v/>
      </c>
      <c r="S864" s="2">
        <f t="shared" ca="1" si="210"/>
        <v>1</v>
      </c>
      <c r="T864" s="2">
        <f t="shared" si="211"/>
        <v>1</v>
      </c>
      <c r="U864" s="110" t="s">
        <v>2694</v>
      </c>
      <c r="V864" s="110">
        <v>6</v>
      </c>
      <c r="W864" s="110">
        <v>0</v>
      </c>
      <c r="X864" s="110">
        <v>0</v>
      </c>
      <c r="Y864" s="110">
        <v>0</v>
      </c>
      <c r="Z864" s="110">
        <v>0</v>
      </c>
      <c r="AA864" s="2">
        <f t="shared" si="212"/>
        <v>1</v>
      </c>
      <c r="AB864" s="2">
        <f t="shared" si="213"/>
        <v>1</v>
      </c>
      <c r="AC864" s="2">
        <f t="shared" si="214"/>
        <v>1</v>
      </c>
      <c r="AD864" s="2">
        <f t="shared" si="215"/>
        <v>0</v>
      </c>
      <c r="AE864" s="2">
        <f t="shared" si="216"/>
        <v>0</v>
      </c>
      <c r="AF864" s="2">
        <f t="shared" si="217"/>
        <v>3</v>
      </c>
      <c r="AG864" s="2">
        <f t="shared" si="218"/>
        <v>3</v>
      </c>
      <c r="AH864" s="2">
        <f t="shared" si="219"/>
        <v>2</v>
      </c>
      <c r="AI864" s="2">
        <f t="shared" si="220"/>
        <v>2</v>
      </c>
      <c r="AJ864" s="2">
        <f t="shared" si="221"/>
        <v>2</v>
      </c>
      <c r="AK864" s="2">
        <f t="shared" si="222"/>
        <v>0</v>
      </c>
      <c r="AL864" s="2">
        <f t="shared" si="223"/>
        <v>0</v>
      </c>
      <c r="AM864" s="115"/>
      <c r="AN864" s="115"/>
      <c r="AO864" s="63"/>
    </row>
    <row r="865" spans="1:41" ht="43.2" x14ac:dyDescent="0.55000000000000004">
      <c r="A865" s="36">
        <v>4515</v>
      </c>
      <c r="B865" s="113" t="s">
        <v>2906</v>
      </c>
      <c r="C865" s="138" t="s">
        <v>2907</v>
      </c>
      <c r="D865" s="114" t="s">
        <v>52</v>
      </c>
      <c r="E865" s="115"/>
      <c r="F865" s="116"/>
      <c r="G865" s="113" t="s">
        <v>2904</v>
      </c>
      <c r="H865" s="113" t="s">
        <v>2908</v>
      </c>
      <c r="I865" s="113" t="s">
        <v>2759</v>
      </c>
      <c r="J865" s="117"/>
      <c r="K865" s="118"/>
      <c r="L865" s="109">
        <v>2</v>
      </c>
      <c r="M865" s="109">
        <v>3</v>
      </c>
      <c r="N865" s="109"/>
      <c r="O865" s="119"/>
      <c r="P865" s="2">
        <f t="shared" si="208"/>
        <v>1</v>
      </c>
      <c r="Q865" s="110" t="str">
        <f>IF(AND(Drops!$D$45&gt;1,OR(U865&lt;&gt;U864,AND(ROW()=5,U864=U865))),VLOOKUP(U865,Drops!$D$26:$E$44,2,FALSE),"")</f>
        <v/>
      </c>
      <c r="R865" s="2" t="str">
        <f t="shared" si="209"/>
        <v/>
      </c>
      <c r="S865" s="2">
        <f t="shared" ca="1" si="210"/>
        <v>1</v>
      </c>
      <c r="T865" s="2">
        <f t="shared" si="211"/>
        <v>0</v>
      </c>
      <c r="U865" s="110" t="s">
        <v>2694</v>
      </c>
      <c r="V865" s="110">
        <v>6</v>
      </c>
      <c r="W865" s="110">
        <v>1</v>
      </c>
      <c r="X865" s="110">
        <v>0</v>
      </c>
      <c r="Y865" s="110">
        <v>0</v>
      </c>
      <c r="Z865" s="110">
        <v>0</v>
      </c>
      <c r="AA865" s="2">
        <f t="shared" si="212"/>
        <v>1</v>
      </c>
      <c r="AB865" s="2">
        <f t="shared" si="213"/>
        <v>1</v>
      </c>
      <c r="AC865" s="2">
        <f t="shared" si="214"/>
        <v>1</v>
      </c>
      <c r="AD865" s="2">
        <f t="shared" si="215"/>
        <v>1</v>
      </c>
      <c r="AE865" s="2">
        <f t="shared" si="216"/>
        <v>0</v>
      </c>
      <c r="AF865" s="2">
        <f t="shared" si="217"/>
        <v>3</v>
      </c>
      <c r="AG865" s="2">
        <f t="shared" si="218"/>
        <v>3</v>
      </c>
      <c r="AH865" s="2">
        <f t="shared" si="219"/>
        <v>2</v>
      </c>
      <c r="AI865" s="2">
        <f t="shared" si="220"/>
        <v>2</v>
      </c>
      <c r="AJ865" s="2">
        <f t="shared" si="221"/>
        <v>2</v>
      </c>
      <c r="AK865" s="2">
        <f t="shared" si="222"/>
        <v>0</v>
      </c>
      <c r="AL865" s="2">
        <f t="shared" si="223"/>
        <v>0</v>
      </c>
      <c r="AM865" s="115"/>
      <c r="AN865" s="115"/>
      <c r="AO865" s="63"/>
    </row>
    <row r="866" spans="1:41" ht="57.6" x14ac:dyDescent="0.55000000000000004">
      <c r="A866" s="36">
        <v>4516</v>
      </c>
      <c r="B866" s="113" t="s">
        <v>2909</v>
      </c>
      <c r="C866" s="139" t="s">
        <v>2910</v>
      </c>
      <c r="D866" s="114" t="s">
        <v>52</v>
      </c>
      <c r="E866" s="115"/>
      <c r="F866" s="116"/>
      <c r="G866" s="113" t="s">
        <v>2904</v>
      </c>
      <c r="H866" s="113" t="s">
        <v>2911</v>
      </c>
      <c r="I866" s="113" t="s">
        <v>2717</v>
      </c>
      <c r="J866" s="117"/>
      <c r="K866" s="118"/>
      <c r="L866" s="109">
        <v>3</v>
      </c>
      <c r="M866" s="109">
        <v>3</v>
      </c>
      <c r="N866" s="109"/>
      <c r="O866" s="119"/>
      <c r="P866" s="2">
        <f t="shared" si="208"/>
        <v>1</v>
      </c>
      <c r="Q866" s="110" t="str">
        <f>IF(AND(Drops!$D$45&gt;1,OR(U866&lt;&gt;U865,AND(ROW()=5,U865=U866))),VLOOKUP(U866,Drops!$D$26:$E$44,2,FALSE),"")</f>
        <v/>
      </c>
      <c r="R866" s="2" t="str">
        <f t="shared" si="209"/>
        <v/>
      </c>
      <c r="S866" s="2">
        <f t="shared" ca="1" si="210"/>
        <v>1</v>
      </c>
      <c r="T866" s="2">
        <f t="shared" si="211"/>
        <v>0</v>
      </c>
      <c r="U866" s="110" t="s">
        <v>2694</v>
      </c>
      <c r="V866" s="110">
        <v>6</v>
      </c>
      <c r="W866" s="110">
        <v>1</v>
      </c>
      <c r="X866" s="110">
        <v>1</v>
      </c>
      <c r="Y866" s="110">
        <v>0</v>
      </c>
      <c r="Z866" s="110">
        <v>0</v>
      </c>
      <c r="AA866" s="2">
        <f t="shared" si="212"/>
        <v>1</v>
      </c>
      <c r="AB866" s="2">
        <f t="shared" si="213"/>
        <v>0</v>
      </c>
      <c r="AC866" s="2">
        <f t="shared" si="214"/>
        <v>1</v>
      </c>
      <c r="AD866" s="2">
        <f t="shared" si="215"/>
        <v>1</v>
      </c>
      <c r="AE866" s="2">
        <f t="shared" si="216"/>
        <v>1</v>
      </c>
      <c r="AF866" s="2">
        <f t="shared" si="217"/>
        <v>3</v>
      </c>
      <c r="AG866" s="2">
        <f t="shared" si="218"/>
        <v>3</v>
      </c>
      <c r="AH866" s="2">
        <f t="shared" si="219"/>
        <v>2</v>
      </c>
      <c r="AI866" s="2">
        <f t="shared" si="220"/>
        <v>2</v>
      </c>
      <c r="AJ866" s="2">
        <f t="shared" si="221"/>
        <v>2</v>
      </c>
      <c r="AK866" s="2">
        <f t="shared" si="222"/>
        <v>0</v>
      </c>
      <c r="AL866" s="2">
        <f t="shared" si="223"/>
        <v>0</v>
      </c>
      <c r="AM866" s="115"/>
      <c r="AN866" s="115"/>
      <c r="AO866" s="63"/>
    </row>
    <row r="867" spans="1:41" ht="43.2" x14ac:dyDescent="0.55000000000000004">
      <c r="A867" s="36">
        <v>4946</v>
      </c>
      <c r="B867" s="113" t="s">
        <v>2912</v>
      </c>
      <c r="C867" s="139" t="s">
        <v>2913</v>
      </c>
      <c r="D867" s="114" t="s">
        <v>52</v>
      </c>
      <c r="E867" s="115"/>
      <c r="F867" s="116"/>
      <c r="G867" s="113" t="s">
        <v>2904</v>
      </c>
      <c r="H867" s="113" t="s">
        <v>2914</v>
      </c>
      <c r="I867" s="113" t="s">
        <v>2759</v>
      </c>
      <c r="J867" s="117"/>
      <c r="K867" s="118"/>
      <c r="L867" s="109">
        <v>3</v>
      </c>
      <c r="M867" s="109">
        <v>3</v>
      </c>
      <c r="N867" s="109"/>
      <c r="O867" s="119"/>
      <c r="P867" s="2">
        <f t="shared" si="208"/>
        <v>1</v>
      </c>
      <c r="Q867" s="110" t="str">
        <f>IF(AND(Drops!$D$45&gt;1,OR(U867&lt;&gt;U866,AND(ROW()=5,U866=U867))),VLOOKUP(U867,Drops!$D$26:$E$44,2,FALSE),"")</f>
        <v/>
      </c>
      <c r="R867" s="2" t="str">
        <f t="shared" si="209"/>
        <v/>
      </c>
      <c r="S867" s="2">
        <f t="shared" ca="1" si="210"/>
        <v>1</v>
      </c>
      <c r="T867" s="2">
        <f t="shared" si="211"/>
        <v>0</v>
      </c>
      <c r="U867" s="110" t="s">
        <v>2694</v>
      </c>
      <c r="V867" s="110">
        <v>6</v>
      </c>
      <c r="W867" s="110">
        <v>1</v>
      </c>
      <c r="X867" s="110">
        <v>2</v>
      </c>
      <c r="Y867" s="110">
        <v>0</v>
      </c>
      <c r="Z867" s="110">
        <v>0</v>
      </c>
      <c r="AA867" s="2">
        <f t="shared" si="212"/>
        <v>1</v>
      </c>
      <c r="AB867" s="2">
        <f t="shared" si="213"/>
        <v>0</v>
      </c>
      <c r="AC867" s="2">
        <f t="shared" si="214"/>
        <v>1</v>
      </c>
      <c r="AD867" s="2">
        <f t="shared" si="215"/>
        <v>1</v>
      </c>
      <c r="AE867" s="2">
        <f t="shared" si="216"/>
        <v>1</v>
      </c>
      <c r="AF867" s="2">
        <f t="shared" si="217"/>
        <v>3</v>
      </c>
      <c r="AG867" s="2">
        <f t="shared" si="218"/>
        <v>3</v>
      </c>
      <c r="AH867" s="2">
        <f t="shared" si="219"/>
        <v>2</v>
      </c>
      <c r="AI867" s="2">
        <f t="shared" si="220"/>
        <v>2</v>
      </c>
      <c r="AJ867" s="2">
        <f t="shared" si="221"/>
        <v>2</v>
      </c>
      <c r="AK867" s="2">
        <f t="shared" si="222"/>
        <v>0</v>
      </c>
      <c r="AL867" s="2">
        <f t="shared" si="223"/>
        <v>0</v>
      </c>
      <c r="AM867" s="115"/>
      <c r="AN867" s="115"/>
      <c r="AO867" s="63"/>
    </row>
    <row r="868" spans="1:41" ht="43.2" x14ac:dyDescent="0.55000000000000004">
      <c r="A868" s="36">
        <v>4947</v>
      </c>
      <c r="B868" s="113" t="s">
        <v>2915</v>
      </c>
      <c r="C868" s="138" t="s">
        <v>2916</v>
      </c>
      <c r="D868" s="114" t="s">
        <v>52</v>
      </c>
      <c r="E868" s="115" t="s">
        <v>2917</v>
      </c>
      <c r="F868" s="116"/>
      <c r="G868" s="113" t="s">
        <v>2904</v>
      </c>
      <c r="H868" s="113" t="s">
        <v>2905</v>
      </c>
      <c r="I868" s="113" t="s">
        <v>2717</v>
      </c>
      <c r="J868" s="117"/>
      <c r="K868" s="118"/>
      <c r="L868" s="109">
        <v>2</v>
      </c>
      <c r="M868" s="109">
        <v>3</v>
      </c>
      <c r="N868" s="109"/>
      <c r="O868" s="119"/>
      <c r="P868" s="2">
        <f t="shared" si="208"/>
        <v>1</v>
      </c>
      <c r="Q868" s="110" t="str">
        <f>IF(AND(Drops!$D$45&gt;1,OR(U868&lt;&gt;U867,AND(ROW()=5,U867=U868))),VLOOKUP(U868,Drops!$D$26:$E$44,2,FALSE),"")</f>
        <v/>
      </c>
      <c r="R868" s="2" t="str">
        <f t="shared" si="209"/>
        <v/>
      </c>
      <c r="S868" s="2">
        <f t="shared" ca="1" si="210"/>
        <v>1</v>
      </c>
      <c r="T868" s="2">
        <f t="shared" si="211"/>
        <v>0</v>
      </c>
      <c r="U868" s="110" t="s">
        <v>2694</v>
      </c>
      <c r="V868" s="110">
        <v>6</v>
      </c>
      <c r="W868" s="110">
        <v>2</v>
      </c>
      <c r="X868" s="110">
        <v>0</v>
      </c>
      <c r="Y868" s="110">
        <v>0</v>
      </c>
      <c r="Z868" s="110">
        <v>0</v>
      </c>
      <c r="AA868" s="2">
        <f t="shared" si="212"/>
        <v>1</v>
      </c>
      <c r="AB868" s="2">
        <f t="shared" si="213"/>
        <v>1</v>
      </c>
      <c r="AC868" s="2">
        <f t="shared" si="214"/>
        <v>1</v>
      </c>
      <c r="AD868" s="2">
        <f t="shared" si="215"/>
        <v>1</v>
      </c>
      <c r="AE868" s="2">
        <f t="shared" si="216"/>
        <v>0</v>
      </c>
      <c r="AF868" s="2">
        <f t="shared" si="217"/>
        <v>3</v>
      </c>
      <c r="AG868" s="2">
        <f t="shared" si="218"/>
        <v>3</v>
      </c>
      <c r="AH868" s="2">
        <f t="shared" si="219"/>
        <v>2</v>
      </c>
      <c r="AI868" s="2">
        <f t="shared" si="220"/>
        <v>2</v>
      </c>
      <c r="AJ868" s="2">
        <f t="shared" si="221"/>
        <v>2</v>
      </c>
      <c r="AK868" s="2">
        <f t="shared" si="222"/>
        <v>0</v>
      </c>
      <c r="AL868" s="2">
        <f t="shared" si="223"/>
        <v>0</v>
      </c>
      <c r="AM868" s="115"/>
      <c r="AN868" s="115"/>
      <c r="AO868" s="63"/>
    </row>
    <row r="869" spans="1:41" ht="43.2" x14ac:dyDescent="0.55000000000000004">
      <c r="A869" s="36">
        <v>4948</v>
      </c>
      <c r="B869" s="113" t="s">
        <v>2918</v>
      </c>
      <c r="C869" s="139" t="s">
        <v>2919</v>
      </c>
      <c r="D869" s="114" t="s">
        <v>52</v>
      </c>
      <c r="E869" s="115"/>
      <c r="F869" s="116"/>
      <c r="G869" s="113" t="s">
        <v>2904</v>
      </c>
      <c r="H869" s="113" t="s">
        <v>2905</v>
      </c>
      <c r="I869" s="113" t="s">
        <v>2717</v>
      </c>
      <c r="J869" s="117"/>
      <c r="K869" s="118"/>
      <c r="L869" s="109">
        <v>3</v>
      </c>
      <c r="M869" s="109">
        <v>3</v>
      </c>
      <c r="N869" s="109"/>
      <c r="O869" s="119"/>
      <c r="P869" s="2">
        <f t="shared" si="208"/>
        <v>1</v>
      </c>
      <c r="Q869" s="110" t="str">
        <f>IF(AND(Drops!$D$45&gt;1,OR(U869&lt;&gt;U868,AND(ROW()=5,U868=U869))),VLOOKUP(U869,Drops!$D$26:$E$44,2,FALSE),"")</f>
        <v/>
      </c>
      <c r="R869" s="2" t="str">
        <f t="shared" si="209"/>
        <v/>
      </c>
      <c r="S869" s="2">
        <f t="shared" ca="1" si="210"/>
        <v>1</v>
      </c>
      <c r="T869" s="2">
        <f t="shared" si="211"/>
        <v>0</v>
      </c>
      <c r="U869" s="110" t="s">
        <v>2694</v>
      </c>
      <c r="V869" s="110">
        <v>6</v>
      </c>
      <c r="W869" s="110">
        <v>2</v>
      </c>
      <c r="X869" s="110">
        <v>1</v>
      </c>
      <c r="Y869" s="110">
        <v>0</v>
      </c>
      <c r="Z869" s="110">
        <v>0</v>
      </c>
      <c r="AA869" s="2">
        <f t="shared" si="212"/>
        <v>1</v>
      </c>
      <c r="AB869" s="2">
        <f t="shared" si="213"/>
        <v>0</v>
      </c>
      <c r="AC869" s="2">
        <f t="shared" si="214"/>
        <v>1</v>
      </c>
      <c r="AD869" s="2">
        <f t="shared" si="215"/>
        <v>1</v>
      </c>
      <c r="AE869" s="2">
        <f t="shared" si="216"/>
        <v>1</v>
      </c>
      <c r="AF869" s="2">
        <f t="shared" si="217"/>
        <v>3</v>
      </c>
      <c r="AG869" s="2">
        <f t="shared" si="218"/>
        <v>3</v>
      </c>
      <c r="AH869" s="2">
        <f t="shared" si="219"/>
        <v>2</v>
      </c>
      <c r="AI869" s="2">
        <f t="shared" si="220"/>
        <v>2</v>
      </c>
      <c r="AJ869" s="2">
        <f t="shared" si="221"/>
        <v>2</v>
      </c>
      <c r="AK869" s="2">
        <f t="shared" si="222"/>
        <v>0</v>
      </c>
      <c r="AL869" s="2">
        <f t="shared" si="223"/>
        <v>0</v>
      </c>
      <c r="AM869" s="115"/>
      <c r="AN869" s="115"/>
      <c r="AO869" s="63"/>
    </row>
    <row r="870" spans="1:41" ht="43.2" x14ac:dyDescent="0.55000000000000004">
      <c r="A870" s="36">
        <v>4949</v>
      </c>
      <c r="B870" s="113" t="s">
        <v>2920</v>
      </c>
      <c r="C870" s="139" t="s">
        <v>2921</v>
      </c>
      <c r="D870" s="114" t="s">
        <v>52</v>
      </c>
      <c r="E870" s="115"/>
      <c r="F870" s="116"/>
      <c r="G870" s="113" t="s">
        <v>2904</v>
      </c>
      <c r="H870" s="113" t="s">
        <v>2905</v>
      </c>
      <c r="I870" s="113" t="s">
        <v>2717</v>
      </c>
      <c r="J870" s="117"/>
      <c r="K870" s="118"/>
      <c r="L870" s="109">
        <v>3</v>
      </c>
      <c r="M870" s="109">
        <v>3</v>
      </c>
      <c r="N870" s="109"/>
      <c r="O870" s="119"/>
      <c r="P870" s="2">
        <f t="shared" si="208"/>
        <v>1</v>
      </c>
      <c r="Q870" s="110" t="str">
        <f>IF(AND(Drops!$D$45&gt;1,OR(U870&lt;&gt;U869,AND(ROW()=5,U869=U870))),VLOOKUP(U870,Drops!$D$26:$E$44,2,FALSE),"")</f>
        <v/>
      </c>
      <c r="R870" s="2" t="str">
        <f t="shared" si="209"/>
        <v/>
      </c>
      <c r="S870" s="2">
        <f t="shared" ca="1" si="210"/>
        <v>1</v>
      </c>
      <c r="T870" s="2">
        <f t="shared" si="211"/>
        <v>0</v>
      </c>
      <c r="U870" s="110" t="s">
        <v>2694</v>
      </c>
      <c r="V870" s="110">
        <v>6</v>
      </c>
      <c r="W870" s="110">
        <v>2</v>
      </c>
      <c r="X870" s="110">
        <v>2</v>
      </c>
      <c r="Y870" s="110">
        <v>0</v>
      </c>
      <c r="Z870" s="110">
        <v>0</v>
      </c>
      <c r="AA870" s="2">
        <f t="shared" si="212"/>
        <v>1</v>
      </c>
      <c r="AB870" s="2">
        <f t="shared" si="213"/>
        <v>0</v>
      </c>
      <c r="AC870" s="2">
        <f t="shared" si="214"/>
        <v>1</v>
      </c>
      <c r="AD870" s="2">
        <f t="shared" si="215"/>
        <v>1</v>
      </c>
      <c r="AE870" s="2">
        <f t="shared" si="216"/>
        <v>1</v>
      </c>
      <c r="AF870" s="2">
        <f t="shared" si="217"/>
        <v>3</v>
      </c>
      <c r="AG870" s="2">
        <f t="shared" si="218"/>
        <v>3</v>
      </c>
      <c r="AH870" s="2">
        <f t="shared" si="219"/>
        <v>2</v>
      </c>
      <c r="AI870" s="2">
        <f t="shared" si="220"/>
        <v>2</v>
      </c>
      <c r="AJ870" s="2">
        <f t="shared" si="221"/>
        <v>2</v>
      </c>
      <c r="AK870" s="2">
        <f t="shared" si="222"/>
        <v>0</v>
      </c>
      <c r="AL870" s="2">
        <f t="shared" si="223"/>
        <v>0</v>
      </c>
      <c r="AM870" s="115"/>
      <c r="AN870" s="115"/>
      <c r="AO870" s="63"/>
    </row>
    <row r="871" spans="1:41" ht="43.2" x14ac:dyDescent="0.55000000000000004">
      <c r="A871" s="36">
        <v>4950</v>
      </c>
      <c r="B871" s="113" t="s">
        <v>2922</v>
      </c>
      <c r="C871" s="139" t="s">
        <v>2923</v>
      </c>
      <c r="D871" s="114" t="s">
        <v>52</v>
      </c>
      <c r="E871" s="115"/>
      <c r="F871" s="116"/>
      <c r="G871" s="113" t="s">
        <v>2904</v>
      </c>
      <c r="H871" s="113" t="s">
        <v>2905</v>
      </c>
      <c r="I871" s="113" t="s">
        <v>2717</v>
      </c>
      <c r="J871" s="117"/>
      <c r="K871" s="118"/>
      <c r="L871" s="109">
        <v>3</v>
      </c>
      <c r="M871" s="109">
        <v>3</v>
      </c>
      <c r="N871" s="109"/>
      <c r="O871" s="119"/>
      <c r="P871" s="2">
        <f t="shared" si="208"/>
        <v>1</v>
      </c>
      <c r="Q871" s="110" t="str">
        <f>IF(AND(Drops!$D$45&gt;1,OR(U871&lt;&gt;U870,AND(ROW()=5,U870=U871))),VLOOKUP(U871,Drops!$D$26:$E$44,2,FALSE),"")</f>
        <v/>
      </c>
      <c r="R871" s="2" t="str">
        <f t="shared" si="209"/>
        <v/>
      </c>
      <c r="S871" s="2">
        <f t="shared" ca="1" si="210"/>
        <v>1</v>
      </c>
      <c r="T871" s="2">
        <f t="shared" si="211"/>
        <v>0</v>
      </c>
      <c r="U871" s="110" t="s">
        <v>2694</v>
      </c>
      <c r="V871" s="110">
        <v>6</v>
      </c>
      <c r="W871" s="110">
        <v>2</v>
      </c>
      <c r="X871" s="110">
        <v>3</v>
      </c>
      <c r="Y871" s="110">
        <v>0</v>
      </c>
      <c r="Z871" s="110">
        <v>0</v>
      </c>
      <c r="AA871" s="2">
        <f t="shared" si="212"/>
        <v>1</v>
      </c>
      <c r="AB871" s="2">
        <f t="shared" si="213"/>
        <v>0</v>
      </c>
      <c r="AC871" s="2">
        <f t="shared" si="214"/>
        <v>1</v>
      </c>
      <c r="AD871" s="2">
        <f t="shared" si="215"/>
        <v>1</v>
      </c>
      <c r="AE871" s="2">
        <f t="shared" si="216"/>
        <v>1</v>
      </c>
      <c r="AF871" s="2">
        <f t="shared" si="217"/>
        <v>3</v>
      </c>
      <c r="AG871" s="2">
        <f t="shared" si="218"/>
        <v>3</v>
      </c>
      <c r="AH871" s="2">
        <f t="shared" si="219"/>
        <v>2</v>
      </c>
      <c r="AI871" s="2">
        <f t="shared" si="220"/>
        <v>2</v>
      </c>
      <c r="AJ871" s="2">
        <f t="shared" si="221"/>
        <v>2</v>
      </c>
      <c r="AK871" s="2">
        <f t="shared" si="222"/>
        <v>0</v>
      </c>
      <c r="AL871" s="2">
        <f t="shared" si="223"/>
        <v>0</v>
      </c>
      <c r="AM871" s="115"/>
      <c r="AN871" s="115"/>
      <c r="AO871" s="63"/>
    </row>
    <row r="872" spans="1:41" ht="43.2" x14ac:dyDescent="0.55000000000000004">
      <c r="A872" s="36">
        <v>4951</v>
      </c>
      <c r="B872" s="113" t="s">
        <v>2924</v>
      </c>
      <c r="C872" s="139" t="s">
        <v>2925</v>
      </c>
      <c r="D872" s="114" t="s">
        <v>52</v>
      </c>
      <c r="E872" s="115"/>
      <c r="F872" s="116"/>
      <c r="G872" s="113" t="s">
        <v>2904</v>
      </c>
      <c r="H872" s="113" t="s">
        <v>2905</v>
      </c>
      <c r="I872" s="113" t="s">
        <v>2717</v>
      </c>
      <c r="J872" s="117"/>
      <c r="K872" s="118"/>
      <c r="L872" s="109">
        <v>3</v>
      </c>
      <c r="M872" s="109">
        <v>3</v>
      </c>
      <c r="N872" s="109"/>
      <c r="O872" s="119"/>
      <c r="P872" s="2">
        <f t="shared" si="208"/>
        <v>1</v>
      </c>
      <c r="Q872" s="110" t="str">
        <f>IF(AND(Drops!$D$45&gt;1,OR(U872&lt;&gt;U871,AND(ROW()=5,U871=U872))),VLOOKUP(U872,Drops!$D$26:$E$44,2,FALSE),"")</f>
        <v/>
      </c>
      <c r="R872" s="2" t="str">
        <f t="shared" si="209"/>
        <v/>
      </c>
      <c r="S872" s="2">
        <f t="shared" ca="1" si="210"/>
        <v>1</v>
      </c>
      <c r="T872" s="2">
        <f t="shared" si="211"/>
        <v>0</v>
      </c>
      <c r="U872" s="110" t="s">
        <v>2694</v>
      </c>
      <c r="V872" s="110">
        <v>6</v>
      </c>
      <c r="W872" s="110">
        <v>2</v>
      </c>
      <c r="X872" s="110">
        <v>4</v>
      </c>
      <c r="Y872" s="110">
        <v>0</v>
      </c>
      <c r="Z872" s="110">
        <v>0</v>
      </c>
      <c r="AA872" s="2">
        <f t="shared" si="212"/>
        <v>1</v>
      </c>
      <c r="AB872" s="2">
        <f t="shared" si="213"/>
        <v>0</v>
      </c>
      <c r="AC872" s="2">
        <f t="shared" si="214"/>
        <v>1</v>
      </c>
      <c r="AD872" s="2">
        <f t="shared" si="215"/>
        <v>1</v>
      </c>
      <c r="AE872" s="2">
        <f t="shared" si="216"/>
        <v>1</v>
      </c>
      <c r="AF872" s="2">
        <f t="shared" si="217"/>
        <v>3</v>
      </c>
      <c r="AG872" s="2">
        <f t="shared" si="218"/>
        <v>3</v>
      </c>
      <c r="AH872" s="2">
        <f t="shared" si="219"/>
        <v>2</v>
      </c>
      <c r="AI872" s="2">
        <f t="shared" si="220"/>
        <v>2</v>
      </c>
      <c r="AJ872" s="2">
        <f t="shared" si="221"/>
        <v>2</v>
      </c>
      <c r="AK872" s="2">
        <f t="shared" si="222"/>
        <v>0</v>
      </c>
      <c r="AL872" s="2">
        <f t="shared" si="223"/>
        <v>0</v>
      </c>
      <c r="AM872" s="115"/>
      <c r="AN872" s="115"/>
      <c r="AO872" s="63"/>
    </row>
    <row r="873" spans="1:41" ht="43.2" x14ac:dyDescent="0.55000000000000004">
      <c r="A873" s="36">
        <v>5917</v>
      </c>
      <c r="B873" s="113" t="s">
        <v>2926</v>
      </c>
      <c r="C873" s="139" t="s">
        <v>2927</v>
      </c>
      <c r="D873" s="114" t="s">
        <v>52</v>
      </c>
      <c r="E873" s="115"/>
      <c r="F873" s="116"/>
      <c r="G873" s="113" t="s">
        <v>2904</v>
      </c>
      <c r="H873" s="113" t="s">
        <v>2905</v>
      </c>
      <c r="I873" s="113" t="s">
        <v>2708</v>
      </c>
      <c r="J873" s="117"/>
      <c r="K873" s="118"/>
      <c r="L873" s="109">
        <v>3</v>
      </c>
      <c r="M873" s="109">
        <v>3</v>
      </c>
      <c r="N873" s="109"/>
      <c r="O873" s="119"/>
      <c r="P873" s="2">
        <f t="shared" si="208"/>
        <v>1</v>
      </c>
      <c r="Q873" s="110" t="str">
        <f>IF(AND(Drops!$D$45&gt;1,OR(U873&lt;&gt;U872,AND(ROW()=5,U872=U873))),VLOOKUP(U873,Drops!$D$26:$E$44,2,FALSE),"")</f>
        <v/>
      </c>
      <c r="R873" s="2" t="str">
        <f t="shared" si="209"/>
        <v/>
      </c>
      <c r="S873" s="2">
        <f t="shared" ca="1" si="210"/>
        <v>1</v>
      </c>
      <c r="T873" s="2">
        <f t="shared" si="211"/>
        <v>0</v>
      </c>
      <c r="U873" s="110" t="s">
        <v>2694</v>
      </c>
      <c r="V873" s="110">
        <v>6</v>
      </c>
      <c r="W873" s="110">
        <v>2</v>
      </c>
      <c r="X873" s="110">
        <v>5</v>
      </c>
      <c r="Y873" s="110">
        <v>0</v>
      </c>
      <c r="Z873" s="110">
        <v>0</v>
      </c>
      <c r="AA873" s="2">
        <f t="shared" si="212"/>
        <v>1</v>
      </c>
      <c r="AB873" s="2">
        <f t="shared" si="213"/>
        <v>0</v>
      </c>
      <c r="AC873" s="2">
        <f t="shared" si="214"/>
        <v>1</v>
      </c>
      <c r="AD873" s="2">
        <f t="shared" si="215"/>
        <v>1</v>
      </c>
      <c r="AE873" s="2">
        <f t="shared" si="216"/>
        <v>1</v>
      </c>
      <c r="AF873" s="2">
        <f t="shared" si="217"/>
        <v>3</v>
      </c>
      <c r="AG873" s="2">
        <f t="shared" si="218"/>
        <v>3</v>
      </c>
      <c r="AH873" s="2">
        <f t="shared" si="219"/>
        <v>2</v>
      </c>
      <c r="AI873" s="2">
        <f t="shared" si="220"/>
        <v>2</v>
      </c>
      <c r="AJ873" s="2">
        <f t="shared" si="221"/>
        <v>2</v>
      </c>
      <c r="AK873" s="2">
        <f t="shared" si="222"/>
        <v>0</v>
      </c>
      <c r="AL873" s="2">
        <f t="shared" si="223"/>
        <v>0</v>
      </c>
      <c r="AM873" s="115"/>
      <c r="AN873" s="115"/>
      <c r="AO873" s="63"/>
    </row>
    <row r="874" spans="1:41" ht="43.2" x14ac:dyDescent="0.55000000000000004">
      <c r="A874" s="36">
        <v>5918</v>
      </c>
      <c r="B874" s="113" t="s">
        <v>2928</v>
      </c>
      <c r="C874" s="139" t="s">
        <v>2929</v>
      </c>
      <c r="D874" s="114" t="s">
        <v>52</v>
      </c>
      <c r="E874" s="115"/>
      <c r="F874" s="116"/>
      <c r="G874" s="113" t="s">
        <v>2904</v>
      </c>
      <c r="H874" s="113" t="s">
        <v>2905</v>
      </c>
      <c r="I874" s="113" t="s">
        <v>2708</v>
      </c>
      <c r="J874" s="117"/>
      <c r="K874" s="118"/>
      <c r="L874" s="109">
        <v>3</v>
      </c>
      <c r="M874" s="109">
        <v>3</v>
      </c>
      <c r="N874" s="109"/>
      <c r="O874" s="119"/>
      <c r="P874" s="2">
        <f t="shared" si="208"/>
        <v>1</v>
      </c>
      <c r="Q874" s="110" t="str">
        <f>IF(AND(Drops!$D$45&gt;1,OR(U874&lt;&gt;U873,AND(ROW()=5,U873=U874))),VLOOKUP(U874,Drops!$D$26:$E$44,2,FALSE),"")</f>
        <v/>
      </c>
      <c r="R874" s="2" t="str">
        <f t="shared" si="209"/>
        <v/>
      </c>
      <c r="S874" s="2">
        <f t="shared" ca="1" si="210"/>
        <v>1</v>
      </c>
      <c r="T874" s="2">
        <f t="shared" si="211"/>
        <v>0</v>
      </c>
      <c r="U874" s="110" t="s">
        <v>2694</v>
      </c>
      <c r="V874" s="110">
        <v>6</v>
      </c>
      <c r="W874" s="110">
        <v>2</v>
      </c>
      <c r="X874" s="110">
        <v>6</v>
      </c>
      <c r="Y874" s="110">
        <v>0</v>
      </c>
      <c r="Z874" s="110">
        <v>0</v>
      </c>
      <c r="AA874" s="2">
        <f t="shared" si="212"/>
        <v>1</v>
      </c>
      <c r="AB874" s="2">
        <f t="shared" si="213"/>
        <v>0</v>
      </c>
      <c r="AC874" s="2">
        <f t="shared" si="214"/>
        <v>1</v>
      </c>
      <c r="AD874" s="2">
        <f t="shared" si="215"/>
        <v>1</v>
      </c>
      <c r="AE874" s="2">
        <f t="shared" si="216"/>
        <v>1</v>
      </c>
      <c r="AF874" s="2">
        <f t="shared" si="217"/>
        <v>3</v>
      </c>
      <c r="AG874" s="2">
        <f t="shared" si="218"/>
        <v>3</v>
      </c>
      <c r="AH874" s="2">
        <f t="shared" si="219"/>
        <v>2</v>
      </c>
      <c r="AI874" s="2">
        <f t="shared" si="220"/>
        <v>2</v>
      </c>
      <c r="AJ874" s="2">
        <f t="shared" si="221"/>
        <v>2</v>
      </c>
      <c r="AK874" s="2">
        <f t="shared" si="222"/>
        <v>0</v>
      </c>
      <c r="AL874" s="2">
        <f t="shared" si="223"/>
        <v>0</v>
      </c>
      <c r="AM874" s="115"/>
      <c r="AN874" s="115"/>
      <c r="AO874" s="63"/>
    </row>
    <row r="875" spans="1:41" ht="28.8" x14ac:dyDescent="0.55000000000000004">
      <c r="A875" s="36">
        <v>4952</v>
      </c>
      <c r="B875" s="113" t="s">
        <v>404</v>
      </c>
      <c r="C875" s="113" t="s">
        <v>2930</v>
      </c>
      <c r="D875" s="114" t="s">
        <v>52</v>
      </c>
      <c r="E875" s="115" t="s">
        <v>2917</v>
      </c>
      <c r="F875" s="116"/>
      <c r="G875" s="113" t="s">
        <v>2931</v>
      </c>
      <c r="H875" s="113" t="s">
        <v>2749</v>
      </c>
      <c r="I875" s="113" t="s">
        <v>2759</v>
      </c>
      <c r="J875" s="117"/>
      <c r="K875" s="118"/>
      <c r="L875" s="109">
        <v>1</v>
      </c>
      <c r="M875" s="109">
        <v>2</v>
      </c>
      <c r="N875" s="109"/>
      <c r="O875" s="119"/>
      <c r="P875" s="2">
        <f t="shared" si="208"/>
        <v>1</v>
      </c>
      <c r="Q875" s="110" t="str">
        <f>IF(AND(Drops!$D$45&gt;1,OR(U875&lt;&gt;U874,AND(ROW()=5,U874=U875))),VLOOKUP(U875,Drops!$D$26:$E$44,2,FALSE),"")</f>
        <v/>
      </c>
      <c r="R875" s="2" t="str">
        <f t="shared" si="209"/>
        <v/>
      </c>
      <c r="S875" s="2">
        <f t="shared" ca="1" si="210"/>
        <v>1</v>
      </c>
      <c r="T875" s="2">
        <f t="shared" si="211"/>
        <v>1</v>
      </c>
      <c r="U875" s="110" t="s">
        <v>2694</v>
      </c>
      <c r="V875" s="110">
        <v>7</v>
      </c>
      <c r="W875" s="110">
        <v>0</v>
      </c>
      <c r="X875" s="110">
        <v>0</v>
      </c>
      <c r="Y875" s="110">
        <v>0</v>
      </c>
      <c r="Z875" s="110">
        <v>0</v>
      </c>
      <c r="AA875" s="2">
        <f t="shared" si="212"/>
        <v>1</v>
      </c>
      <c r="AB875" s="2">
        <f t="shared" si="213"/>
        <v>1</v>
      </c>
      <c r="AC875" s="2">
        <f t="shared" si="214"/>
        <v>1</v>
      </c>
      <c r="AD875" s="2">
        <f t="shared" si="215"/>
        <v>0</v>
      </c>
      <c r="AE875" s="2">
        <f t="shared" si="216"/>
        <v>0</v>
      </c>
      <c r="AF875" s="2">
        <f t="shared" si="217"/>
        <v>3</v>
      </c>
      <c r="AG875" s="2">
        <f t="shared" si="218"/>
        <v>3</v>
      </c>
      <c r="AH875" s="2">
        <f t="shared" si="219"/>
        <v>2</v>
      </c>
      <c r="AI875" s="2">
        <f t="shared" si="220"/>
        <v>2</v>
      </c>
      <c r="AJ875" s="2">
        <f t="shared" si="221"/>
        <v>2</v>
      </c>
      <c r="AK875" s="2">
        <f t="shared" si="222"/>
        <v>0</v>
      </c>
      <c r="AL875" s="2">
        <f t="shared" si="223"/>
        <v>0</v>
      </c>
      <c r="AM875" s="115"/>
      <c r="AN875" s="115"/>
      <c r="AO875" s="63"/>
    </row>
    <row r="876" spans="1:41" ht="57.6" x14ac:dyDescent="0.55000000000000004">
      <c r="A876" s="36">
        <v>4953</v>
      </c>
      <c r="B876" s="113" t="s">
        <v>2932</v>
      </c>
      <c r="C876" s="138" t="s">
        <v>2933</v>
      </c>
      <c r="D876" s="114" t="s">
        <v>52</v>
      </c>
      <c r="E876" s="115"/>
      <c r="F876" s="116"/>
      <c r="G876" s="113" t="s">
        <v>2931</v>
      </c>
      <c r="H876" s="113" t="s">
        <v>2749</v>
      </c>
      <c r="I876" s="113" t="s">
        <v>2708</v>
      </c>
      <c r="J876" s="117"/>
      <c r="K876" s="118"/>
      <c r="L876" s="109">
        <v>2</v>
      </c>
      <c r="M876" s="109">
        <v>3</v>
      </c>
      <c r="N876" s="109"/>
      <c r="O876" s="119"/>
      <c r="P876" s="2">
        <f t="shared" si="208"/>
        <v>1</v>
      </c>
      <c r="Q876" s="110" t="str">
        <f>IF(AND(Drops!$D$45&gt;1,OR(U876&lt;&gt;U875,AND(ROW()=5,U875=U876))),VLOOKUP(U876,Drops!$D$26:$E$44,2,FALSE),"")</f>
        <v/>
      </c>
      <c r="R876" s="2" t="str">
        <f t="shared" si="209"/>
        <v/>
      </c>
      <c r="S876" s="2">
        <f t="shared" ca="1" si="210"/>
        <v>1</v>
      </c>
      <c r="T876" s="2">
        <f t="shared" si="211"/>
        <v>0</v>
      </c>
      <c r="U876" s="110" t="s">
        <v>2694</v>
      </c>
      <c r="V876" s="110">
        <v>7</v>
      </c>
      <c r="W876" s="110">
        <v>1</v>
      </c>
      <c r="X876" s="110">
        <v>0</v>
      </c>
      <c r="Y876" s="110">
        <v>0</v>
      </c>
      <c r="Z876" s="110">
        <v>0</v>
      </c>
      <c r="AA876" s="2">
        <f t="shared" si="212"/>
        <v>1</v>
      </c>
      <c r="AB876" s="2">
        <f t="shared" si="213"/>
        <v>0</v>
      </c>
      <c r="AC876" s="2">
        <f t="shared" si="214"/>
        <v>1</v>
      </c>
      <c r="AD876" s="2">
        <f t="shared" si="215"/>
        <v>1</v>
      </c>
      <c r="AE876" s="2">
        <f t="shared" si="216"/>
        <v>0</v>
      </c>
      <c r="AF876" s="2">
        <f t="shared" si="217"/>
        <v>3</v>
      </c>
      <c r="AG876" s="2">
        <f t="shared" si="218"/>
        <v>3</v>
      </c>
      <c r="AH876" s="2">
        <f t="shared" si="219"/>
        <v>2</v>
      </c>
      <c r="AI876" s="2">
        <f t="shared" si="220"/>
        <v>2</v>
      </c>
      <c r="AJ876" s="2">
        <f t="shared" si="221"/>
        <v>2</v>
      </c>
      <c r="AK876" s="2">
        <f t="shared" si="222"/>
        <v>0</v>
      </c>
      <c r="AL876" s="2">
        <f t="shared" si="223"/>
        <v>0</v>
      </c>
      <c r="AM876" s="115"/>
      <c r="AN876" s="115"/>
      <c r="AO876" s="63"/>
    </row>
    <row r="877" spans="1:41" ht="43.2" x14ac:dyDescent="0.55000000000000004">
      <c r="A877" s="36">
        <v>5659</v>
      </c>
      <c r="B877" s="113" t="s">
        <v>2934</v>
      </c>
      <c r="C877" s="138" t="s">
        <v>2935</v>
      </c>
      <c r="D877" s="114" t="s">
        <v>52</v>
      </c>
      <c r="E877" s="115"/>
      <c r="F877" s="116"/>
      <c r="G877" s="113" t="s">
        <v>2931</v>
      </c>
      <c r="H877" s="113" t="s">
        <v>2707</v>
      </c>
      <c r="I877" s="113" t="s">
        <v>2708</v>
      </c>
      <c r="J877" s="117"/>
      <c r="K877" s="118"/>
      <c r="L877" s="109">
        <v>2</v>
      </c>
      <c r="M877" s="109">
        <v>3</v>
      </c>
      <c r="N877" s="109"/>
      <c r="O877" s="119"/>
      <c r="P877" s="2">
        <f t="shared" si="208"/>
        <v>1</v>
      </c>
      <c r="Q877" s="110" t="str">
        <f>IF(AND(Drops!$D$45&gt;1,OR(U877&lt;&gt;U876,AND(ROW()=5,U876=U877))),VLOOKUP(U877,Drops!$D$26:$E$44,2,FALSE),"")</f>
        <v/>
      </c>
      <c r="R877" s="2" t="str">
        <f t="shared" si="209"/>
        <v/>
      </c>
      <c r="S877" s="2">
        <f t="shared" ca="1" si="210"/>
        <v>1</v>
      </c>
      <c r="T877" s="2">
        <f t="shared" si="211"/>
        <v>0</v>
      </c>
      <c r="U877" s="110" t="s">
        <v>2694</v>
      </c>
      <c r="V877" s="110">
        <v>7</v>
      </c>
      <c r="W877" s="110">
        <v>2</v>
      </c>
      <c r="X877" s="110">
        <v>0</v>
      </c>
      <c r="Y877" s="110">
        <v>0</v>
      </c>
      <c r="Z877" s="110">
        <v>0</v>
      </c>
      <c r="AA877" s="2">
        <f t="shared" si="212"/>
        <v>1</v>
      </c>
      <c r="AB877" s="2">
        <f t="shared" si="213"/>
        <v>0</v>
      </c>
      <c r="AC877" s="2">
        <f t="shared" si="214"/>
        <v>1</v>
      </c>
      <c r="AD877" s="2">
        <f t="shared" si="215"/>
        <v>1</v>
      </c>
      <c r="AE877" s="2">
        <f t="shared" si="216"/>
        <v>0</v>
      </c>
      <c r="AF877" s="2">
        <f t="shared" si="217"/>
        <v>3</v>
      </c>
      <c r="AG877" s="2">
        <f t="shared" si="218"/>
        <v>3</v>
      </c>
      <c r="AH877" s="2">
        <f t="shared" si="219"/>
        <v>2</v>
      </c>
      <c r="AI877" s="2">
        <f t="shared" si="220"/>
        <v>2</v>
      </c>
      <c r="AJ877" s="2">
        <f t="shared" si="221"/>
        <v>2</v>
      </c>
      <c r="AK877" s="2">
        <f t="shared" si="222"/>
        <v>0</v>
      </c>
      <c r="AL877" s="2">
        <f t="shared" si="223"/>
        <v>0</v>
      </c>
      <c r="AM877" s="115"/>
      <c r="AN877" s="115"/>
      <c r="AO877" s="63"/>
    </row>
    <row r="878" spans="1:41" ht="43.2" x14ac:dyDescent="0.55000000000000004">
      <c r="A878" s="36">
        <v>4567</v>
      </c>
      <c r="B878" s="113" t="s">
        <v>2936</v>
      </c>
      <c r="C878" s="138" t="s">
        <v>2937</v>
      </c>
      <c r="D878" s="114" t="s">
        <v>52</v>
      </c>
      <c r="E878" s="115"/>
      <c r="F878" s="116"/>
      <c r="G878" s="113" t="s">
        <v>2931</v>
      </c>
      <c r="H878" s="113" t="s">
        <v>2707</v>
      </c>
      <c r="I878" s="113" t="s">
        <v>2708</v>
      </c>
      <c r="J878" s="117"/>
      <c r="K878" s="118"/>
      <c r="L878" s="109">
        <v>2</v>
      </c>
      <c r="M878" s="109">
        <v>3</v>
      </c>
      <c r="N878" s="109"/>
      <c r="O878" s="119"/>
      <c r="P878" s="2">
        <f t="shared" si="208"/>
        <v>1</v>
      </c>
      <c r="Q878" s="110" t="str">
        <f>IF(AND(Drops!$D$45&gt;1,OR(U878&lt;&gt;U877,AND(ROW()=5,U877=U878))),VLOOKUP(U878,Drops!$D$26:$E$44,2,FALSE),"")</f>
        <v/>
      </c>
      <c r="R878" s="2" t="str">
        <f t="shared" si="209"/>
        <v/>
      </c>
      <c r="S878" s="2">
        <f t="shared" ca="1" si="210"/>
        <v>1</v>
      </c>
      <c r="T878" s="2">
        <f t="shared" si="211"/>
        <v>0</v>
      </c>
      <c r="U878" s="110" t="s">
        <v>2694</v>
      </c>
      <c r="V878" s="110">
        <v>7</v>
      </c>
      <c r="W878" s="110">
        <v>3</v>
      </c>
      <c r="X878" s="110">
        <v>0</v>
      </c>
      <c r="Y878" s="110">
        <v>0</v>
      </c>
      <c r="Z878" s="110">
        <v>0</v>
      </c>
      <c r="AA878" s="2">
        <f t="shared" si="212"/>
        <v>1</v>
      </c>
      <c r="AB878" s="2">
        <f t="shared" si="213"/>
        <v>0</v>
      </c>
      <c r="AC878" s="2">
        <f t="shared" si="214"/>
        <v>1</v>
      </c>
      <c r="AD878" s="2">
        <f t="shared" si="215"/>
        <v>1</v>
      </c>
      <c r="AE878" s="2">
        <f t="shared" si="216"/>
        <v>0</v>
      </c>
      <c r="AF878" s="2">
        <f t="shared" si="217"/>
        <v>3</v>
      </c>
      <c r="AG878" s="2">
        <f t="shared" si="218"/>
        <v>3</v>
      </c>
      <c r="AH878" s="2">
        <f t="shared" si="219"/>
        <v>2</v>
      </c>
      <c r="AI878" s="2">
        <f t="shared" si="220"/>
        <v>2</v>
      </c>
      <c r="AJ878" s="2">
        <f t="shared" si="221"/>
        <v>2</v>
      </c>
      <c r="AK878" s="2">
        <f t="shared" si="222"/>
        <v>0</v>
      </c>
      <c r="AL878" s="2">
        <f t="shared" si="223"/>
        <v>0</v>
      </c>
      <c r="AM878" s="115"/>
      <c r="AN878" s="115"/>
      <c r="AO878" s="63"/>
    </row>
    <row r="879" spans="1:41" ht="43.2" x14ac:dyDescent="0.55000000000000004">
      <c r="A879" s="36">
        <v>4568</v>
      </c>
      <c r="B879" s="113" t="s">
        <v>2938</v>
      </c>
      <c r="C879" s="138" t="s">
        <v>2939</v>
      </c>
      <c r="D879" s="114" t="s">
        <v>52</v>
      </c>
      <c r="E879" s="115" t="s">
        <v>2917</v>
      </c>
      <c r="F879" s="116"/>
      <c r="G879" s="113" t="s">
        <v>2931</v>
      </c>
      <c r="H879" s="113" t="s">
        <v>2905</v>
      </c>
      <c r="I879" s="113" t="s">
        <v>2708</v>
      </c>
      <c r="J879" s="117"/>
      <c r="K879" s="118"/>
      <c r="L879" s="109">
        <v>2</v>
      </c>
      <c r="M879" s="109">
        <v>3</v>
      </c>
      <c r="N879" s="109"/>
      <c r="O879" s="119"/>
      <c r="P879" s="2">
        <f t="shared" si="208"/>
        <v>1</v>
      </c>
      <c r="Q879" s="110" t="str">
        <f>IF(AND(Drops!$D$45&gt;1,OR(U879&lt;&gt;U878,AND(ROW()=5,U878=U879))),VLOOKUP(U879,Drops!$D$26:$E$44,2,FALSE),"")</f>
        <v/>
      </c>
      <c r="R879" s="2" t="str">
        <f t="shared" si="209"/>
        <v/>
      </c>
      <c r="S879" s="2">
        <f t="shared" ca="1" si="210"/>
        <v>1</v>
      </c>
      <c r="T879" s="2">
        <f t="shared" si="211"/>
        <v>0</v>
      </c>
      <c r="U879" s="110" t="s">
        <v>2694</v>
      </c>
      <c r="V879" s="110">
        <v>7</v>
      </c>
      <c r="W879" s="110">
        <v>4</v>
      </c>
      <c r="X879" s="110">
        <v>0</v>
      </c>
      <c r="Y879" s="110">
        <v>0</v>
      </c>
      <c r="Z879" s="110">
        <v>0</v>
      </c>
      <c r="AA879" s="2">
        <f t="shared" si="212"/>
        <v>1</v>
      </c>
      <c r="AB879" s="2">
        <f t="shared" si="213"/>
        <v>0</v>
      </c>
      <c r="AC879" s="2">
        <f t="shared" si="214"/>
        <v>1</v>
      </c>
      <c r="AD879" s="2">
        <f t="shared" si="215"/>
        <v>1</v>
      </c>
      <c r="AE879" s="2">
        <f t="shared" si="216"/>
        <v>0</v>
      </c>
      <c r="AF879" s="2">
        <f t="shared" si="217"/>
        <v>3</v>
      </c>
      <c r="AG879" s="2">
        <f t="shared" si="218"/>
        <v>3</v>
      </c>
      <c r="AH879" s="2">
        <f t="shared" si="219"/>
        <v>2</v>
      </c>
      <c r="AI879" s="2">
        <f t="shared" si="220"/>
        <v>2</v>
      </c>
      <c r="AJ879" s="2">
        <f t="shared" si="221"/>
        <v>2</v>
      </c>
      <c r="AK879" s="2">
        <f t="shared" si="222"/>
        <v>0</v>
      </c>
      <c r="AL879" s="2">
        <f t="shared" si="223"/>
        <v>0</v>
      </c>
      <c r="AM879" s="115"/>
      <c r="AN879" s="115"/>
      <c r="AO879" s="63"/>
    </row>
    <row r="880" spans="1:41" ht="57.6" x14ac:dyDescent="0.55000000000000004">
      <c r="A880" s="36">
        <v>4954</v>
      </c>
      <c r="B880" s="113" t="s">
        <v>2940</v>
      </c>
      <c r="C880" s="138" t="s">
        <v>2941</v>
      </c>
      <c r="D880" s="114" t="s">
        <v>52</v>
      </c>
      <c r="E880" s="115"/>
      <c r="F880" s="116"/>
      <c r="G880" s="113" t="s">
        <v>2931</v>
      </c>
      <c r="H880" s="113" t="s">
        <v>2942</v>
      </c>
      <c r="I880" s="113" t="s">
        <v>2708</v>
      </c>
      <c r="J880" s="117"/>
      <c r="K880" s="118"/>
      <c r="L880" s="109">
        <v>2</v>
      </c>
      <c r="M880" s="109">
        <v>3</v>
      </c>
      <c r="N880" s="109"/>
      <c r="O880" s="119"/>
      <c r="P880" s="2">
        <f t="shared" si="208"/>
        <v>1</v>
      </c>
      <c r="Q880" s="110" t="str">
        <f>IF(AND(Drops!$D$45&gt;1,OR(U880&lt;&gt;U879,AND(ROW()=5,U879=U880))),VLOOKUP(U880,Drops!$D$26:$E$44,2,FALSE),"")</f>
        <v/>
      </c>
      <c r="R880" s="2" t="str">
        <f t="shared" si="209"/>
        <v/>
      </c>
      <c r="S880" s="2">
        <f t="shared" ca="1" si="210"/>
        <v>1</v>
      </c>
      <c r="T880" s="2">
        <f t="shared" si="211"/>
        <v>0</v>
      </c>
      <c r="U880" s="110" t="s">
        <v>2694</v>
      </c>
      <c r="V880" s="110">
        <v>7</v>
      </c>
      <c r="W880" s="110">
        <v>5</v>
      </c>
      <c r="X880" s="110">
        <v>0</v>
      </c>
      <c r="Y880" s="110">
        <v>0</v>
      </c>
      <c r="Z880" s="110">
        <v>0</v>
      </c>
      <c r="AA880" s="2">
        <f t="shared" si="212"/>
        <v>1</v>
      </c>
      <c r="AB880" s="2">
        <f t="shared" si="213"/>
        <v>0</v>
      </c>
      <c r="AC880" s="2">
        <f t="shared" si="214"/>
        <v>1</v>
      </c>
      <c r="AD880" s="2">
        <f t="shared" si="215"/>
        <v>1</v>
      </c>
      <c r="AE880" s="2">
        <f t="shared" si="216"/>
        <v>0</v>
      </c>
      <c r="AF880" s="2">
        <f t="shared" si="217"/>
        <v>3</v>
      </c>
      <c r="AG880" s="2">
        <f t="shared" si="218"/>
        <v>3</v>
      </c>
      <c r="AH880" s="2">
        <f t="shared" si="219"/>
        <v>2</v>
      </c>
      <c r="AI880" s="2">
        <f t="shared" si="220"/>
        <v>2</v>
      </c>
      <c r="AJ880" s="2">
        <f t="shared" si="221"/>
        <v>2</v>
      </c>
      <c r="AK880" s="2">
        <f t="shared" si="222"/>
        <v>0</v>
      </c>
      <c r="AL880" s="2">
        <f t="shared" si="223"/>
        <v>0</v>
      </c>
      <c r="AM880" s="115"/>
      <c r="AN880" s="115"/>
      <c r="AO880" s="63"/>
    </row>
    <row r="881" spans="1:41" ht="28.8" x14ac:dyDescent="0.55000000000000004">
      <c r="A881" s="36">
        <v>4569</v>
      </c>
      <c r="B881" s="113" t="s">
        <v>2943</v>
      </c>
      <c r="C881" s="138" t="s">
        <v>2944</v>
      </c>
      <c r="D881" s="114" t="s">
        <v>52</v>
      </c>
      <c r="E881" s="115"/>
      <c r="F881" s="116"/>
      <c r="G881" s="113" t="s">
        <v>2931</v>
      </c>
      <c r="H881" s="113" t="s">
        <v>2749</v>
      </c>
      <c r="I881" s="113" t="s">
        <v>2708</v>
      </c>
      <c r="J881" s="117"/>
      <c r="K881" s="118"/>
      <c r="L881" s="109">
        <v>2</v>
      </c>
      <c r="M881" s="109">
        <v>1</v>
      </c>
      <c r="N881" s="109"/>
      <c r="O881" s="119"/>
      <c r="P881" s="2">
        <f t="shared" si="208"/>
        <v>1</v>
      </c>
      <c r="Q881" s="110" t="str">
        <f>IF(AND(Drops!$D$45&gt;1,OR(U881&lt;&gt;U880,AND(ROW()=5,U880=U881))),VLOOKUP(U881,Drops!$D$26:$E$44,2,FALSE),"")</f>
        <v/>
      </c>
      <c r="R881" s="2" t="str">
        <f t="shared" si="209"/>
        <v/>
      </c>
      <c r="S881" s="2">
        <f t="shared" ca="1" si="210"/>
        <v>1</v>
      </c>
      <c r="T881" s="2">
        <f t="shared" si="211"/>
        <v>0</v>
      </c>
      <c r="U881" s="110" t="s">
        <v>2694</v>
      </c>
      <c r="V881" s="110">
        <v>7</v>
      </c>
      <c r="W881" s="110">
        <v>6</v>
      </c>
      <c r="X881" s="110">
        <v>0</v>
      </c>
      <c r="Y881" s="110">
        <v>0</v>
      </c>
      <c r="Z881" s="110">
        <v>0</v>
      </c>
      <c r="AA881" s="2">
        <f t="shared" si="212"/>
        <v>1</v>
      </c>
      <c r="AB881" s="2">
        <f t="shared" si="213"/>
        <v>1</v>
      </c>
      <c r="AC881" s="2">
        <f t="shared" si="214"/>
        <v>1</v>
      </c>
      <c r="AD881" s="2">
        <f t="shared" si="215"/>
        <v>1</v>
      </c>
      <c r="AE881" s="2">
        <f t="shared" si="216"/>
        <v>0</v>
      </c>
      <c r="AF881" s="2">
        <f t="shared" si="217"/>
        <v>3</v>
      </c>
      <c r="AG881" s="2">
        <f t="shared" si="218"/>
        <v>3</v>
      </c>
      <c r="AH881" s="2">
        <f t="shared" si="219"/>
        <v>2</v>
      </c>
      <c r="AI881" s="2">
        <f t="shared" si="220"/>
        <v>2</v>
      </c>
      <c r="AJ881" s="2">
        <f t="shared" si="221"/>
        <v>2</v>
      </c>
      <c r="AK881" s="2">
        <f t="shared" si="222"/>
        <v>0</v>
      </c>
      <c r="AL881" s="2">
        <f t="shared" si="223"/>
        <v>0</v>
      </c>
      <c r="AM881" s="115"/>
      <c r="AN881" s="115"/>
      <c r="AO881" s="63"/>
    </row>
    <row r="882" spans="1:41" ht="28.8" x14ac:dyDescent="0.55000000000000004">
      <c r="A882" s="36">
        <v>4570</v>
      </c>
      <c r="B882" s="113" t="s">
        <v>2945</v>
      </c>
      <c r="C882" s="139" t="s">
        <v>2946</v>
      </c>
      <c r="D882" s="114" t="s">
        <v>52</v>
      </c>
      <c r="E882" s="115" t="s">
        <v>2947</v>
      </c>
      <c r="F882" s="116"/>
      <c r="G882" s="113" t="s">
        <v>2931</v>
      </c>
      <c r="H882" s="113" t="s">
        <v>2707</v>
      </c>
      <c r="I882" s="113" t="s">
        <v>2708</v>
      </c>
      <c r="J882" s="117"/>
      <c r="K882" s="118"/>
      <c r="L882" s="109">
        <v>3</v>
      </c>
      <c r="M882" s="109">
        <v>3</v>
      </c>
      <c r="N882" s="109"/>
      <c r="O882" s="119"/>
      <c r="P882" s="2">
        <f t="shared" si="208"/>
        <v>1</v>
      </c>
      <c r="Q882" s="110" t="str">
        <f>IF(AND(Drops!$D$45&gt;1,OR(U882&lt;&gt;U881,AND(ROW()=5,U881=U882))),VLOOKUP(U882,Drops!$D$26:$E$44,2,FALSE),"")</f>
        <v/>
      </c>
      <c r="R882" s="2" t="str">
        <f t="shared" si="209"/>
        <v/>
      </c>
      <c r="S882" s="2">
        <f t="shared" ca="1" si="210"/>
        <v>1</v>
      </c>
      <c r="T882" s="2">
        <f t="shared" si="211"/>
        <v>0</v>
      </c>
      <c r="U882" s="110" t="s">
        <v>2694</v>
      </c>
      <c r="V882" s="110">
        <v>7</v>
      </c>
      <c r="W882" s="110">
        <v>6</v>
      </c>
      <c r="X882" s="110">
        <v>1</v>
      </c>
      <c r="Y882" s="110">
        <v>0</v>
      </c>
      <c r="Z882" s="110">
        <v>0</v>
      </c>
      <c r="AA882" s="2">
        <f t="shared" si="212"/>
        <v>1</v>
      </c>
      <c r="AB882" s="2">
        <f t="shared" si="213"/>
        <v>0</v>
      </c>
      <c r="AC882" s="2">
        <f t="shared" si="214"/>
        <v>1</v>
      </c>
      <c r="AD882" s="2">
        <f t="shared" si="215"/>
        <v>1</v>
      </c>
      <c r="AE882" s="2">
        <f t="shared" si="216"/>
        <v>1</v>
      </c>
      <c r="AF882" s="2">
        <f t="shared" si="217"/>
        <v>3</v>
      </c>
      <c r="AG882" s="2">
        <f t="shared" si="218"/>
        <v>3</v>
      </c>
      <c r="AH882" s="2">
        <f t="shared" si="219"/>
        <v>2</v>
      </c>
      <c r="AI882" s="2">
        <f t="shared" si="220"/>
        <v>2</v>
      </c>
      <c r="AJ882" s="2">
        <f t="shared" si="221"/>
        <v>2</v>
      </c>
      <c r="AK882" s="2">
        <f t="shared" si="222"/>
        <v>0</v>
      </c>
      <c r="AL882" s="2">
        <f t="shared" si="223"/>
        <v>0</v>
      </c>
      <c r="AM882" s="115"/>
      <c r="AN882" s="115"/>
      <c r="AO882" s="63"/>
    </row>
    <row r="883" spans="1:41" ht="57.6" x14ac:dyDescent="0.55000000000000004">
      <c r="A883" s="36">
        <v>4571</v>
      </c>
      <c r="B883" s="113" t="s">
        <v>2948</v>
      </c>
      <c r="C883" s="139" t="s">
        <v>2949</v>
      </c>
      <c r="D883" s="114" t="s">
        <v>52</v>
      </c>
      <c r="E883" s="115"/>
      <c r="F883" s="116"/>
      <c r="G883" s="113" t="s">
        <v>2931</v>
      </c>
      <c r="H883" s="113" t="s">
        <v>2707</v>
      </c>
      <c r="I883" s="113" t="s">
        <v>2708</v>
      </c>
      <c r="J883" s="117"/>
      <c r="K883" s="118"/>
      <c r="L883" s="109">
        <v>3</v>
      </c>
      <c r="M883" s="109">
        <v>3</v>
      </c>
      <c r="N883" s="109"/>
      <c r="O883" s="119"/>
      <c r="P883" s="2">
        <f t="shared" si="208"/>
        <v>1</v>
      </c>
      <c r="Q883" s="110" t="str">
        <f>IF(AND(Drops!$D$45&gt;1,OR(U883&lt;&gt;U882,AND(ROW()=5,U882=U883))),VLOOKUP(U883,Drops!$D$26:$E$44,2,FALSE),"")</f>
        <v/>
      </c>
      <c r="R883" s="2" t="str">
        <f t="shared" si="209"/>
        <v/>
      </c>
      <c r="S883" s="2">
        <f t="shared" ca="1" si="210"/>
        <v>1</v>
      </c>
      <c r="T883" s="2">
        <f t="shared" si="211"/>
        <v>0</v>
      </c>
      <c r="U883" s="110" t="s">
        <v>2694</v>
      </c>
      <c r="V883" s="110">
        <v>7</v>
      </c>
      <c r="W883" s="110">
        <v>6</v>
      </c>
      <c r="X883" s="110">
        <v>2</v>
      </c>
      <c r="Y883" s="110">
        <v>0</v>
      </c>
      <c r="Z883" s="110">
        <v>0</v>
      </c>
      <c r="AA883" s="2">
        <f t="shared" si="212"/>
        <v>1</v>
      </c>
      <c r="AB883" s="2">
        <f t="shared" si="213"/>
        <v>0</v>
      </c>
      <c r="AC883" s="2">
        <f t="shared" si="214"/>
        <v>1</v>
      </c>
      <c r="AD883" s="2">
        <f t="shared" si="215"/>
        <v>1</v>
      </c>
      <c r="AE883" s="2">
        <f t="shared" si="216"/>
        <v>1</v>
      </c>
      <c r="AF883" s="2">
        <f t="shared" si="217"/>
        <v>3</v>
      </c>
      <c r="AG883" s="2">
        <f t="shared" si="218"/>
        <v>3</v>
      </c>
      <c r="AH883" s="2">
        <f t="shared" si="219"/>
        <v>2</v>
      </c>
      <c r="AI883" s="2">
        <f t="shared" si="220"/>
        <v>2</v>
      </c>
      <c r="AJ883" s="2">
        <f t="shared" si="221"/>
        <v>2</v>
      </c>
      <c r="AK883" s="2">
        <f t="shared" si="222"/>
        <v>0</v>
      </c>
      <c r="AL883" s="2">
        <f t="shared" si="223"/>
        <v>0</v>
      </c>
      <c r="AM883" s="115"/>
      <c r="AN883" s="115"/>
      <c r="AO883" s="63"/>
    </row>
    <row r="884" spans="1:41" ht="43.2" x14ac:dyDescent="0.55000000000000004">
      <c r="A884" s="36">
        <v>4520</v>
      </c>
      <c r="B884" s="113" t="s">
        <v>2950</v>
      </c>
      <c r="C884" s="138" t="s">
        <v>2951</v>
      </c>
      <c r="D884" s="114" t="s">
        <v>52</v>
      </c>
      <c r="E884" s="115" t="s">
        <v>2947</v>
      </c>
      <c r="F884" s="116"/>
      <c r="G884" s="113" t="s">
        <v>2931</v>
      </c>
      <c r="H884" s="113" t="s">
        <v>2707</v>
      </c>
      <c r="I884" s="113" t="s">
        <v>2759</v>
      </c>
      <c r="J884" s="117"/>
      <c r="K884" s="118"/>
      <c r="L884" s="109">
        <v>2</v>
      </c>
      <c r="M884" s="109">
        <v>3</v>
      </c>
      <c r="N884" s="109"/>
      <c r="O884" s="119"/>
      <c r="P884" s="2">
        <f t="shared" si="208"/>
        <v>1</v>
      </c>
      <c r="Q884" s="110" t="str">
        <f>IF(AND(Drops!$D$45&gt;1,OR(U884&lt;&gt;U883,AND(ROW()=5,U883=U884))),VLOOKUP(U884,Drops!$D$26:$E$44,2,FALSE),"")</f>
        <v/>
      </c>
      <c r="R884" s="2" t="str">
        <f t="shared" si="209"/>
        <v/>
      </c>
      <c r="S884" s="2">
        <f t="shared" ca="1" si="210"/>
        <v>1</v>
      </c>
      <c r="T884" s="2">
        <f t="shared" si="211"/>
        <v>0</v>
      </c>
      <c r="U884" s="110" t="s">
        <v>2694</v>
      </c>
      <c r="V884" s="110">
        <v>7</v>
      </c>
      <c r="W884" s="110">
        <v>7</v>
      </c>
      <c r="X884" s="110">
        <v>0</v>
      </c>
      <c r="Y884" s="110">
        <v>0</v>
      </c>
      <c r="Z884" s="110">
        <v>0</v>
      </c>
      <c r="AA884" s="2">
        <f t="shared" si="212"/>
        <v>1</v>
      </c>
      <c r="AB884" s="2">
        <f t="shared" si="213"/>
        <v>0</v>
      </c>
      <c r="AC884" s="2">
        <f t="shared" si="214"/>
        <v>1</v>
      </c>
      <c r="AD884" s="2">
        <f t="shared" si="215"/>
        <v>1</v>
      </c>
      <c r="AE884" s="2">
        <f t="shared" si="216"/>
        <v>0</v>
      </c>
      <c r="AF884" s="2">
        <f t="shared" si="217"/>
        <v>3</v>
      </c>
      <c r="AG884" s="2">
        <f t="shared" si="218"/>
        <v>3</v>
      </c>
      <c r="AH884" s="2">
        <f t="shared" si="219"/>
        <v>2</v>
      </c>
      <c r="AI884" s="2">
        <f t="shared" si="220"/>
        <v>2</v>
      </c>
      <c r="AJ884" s="2">
        <f t="shared" si="221"/>
        <v>2</v>
      </c>
      <c r="AK884" s="2">
        <f t="shared" si="222"/>
        <v>0</v>
      </c>
      <c r="AL884" s="2">
        <f t="shared" si="223"/>
        <v>0</v>
      </c>
      <c r="AM884" s="115"/>
      <c r="AN884" s="115"/>
      <c r="AO884" s="63"/>
    </row>
    <row r="885" spans="1:41" ht="43.2" x14ac:dyDescent="0.55000000000000004">
      <c r="A885" s="36">
        <v>4573</v>
      </c>
      <c r="B885" s="113" t="s">
        <v>2952</v>
      </c>
      <c r="C885" s="138" t="s">
        <v>2953</v>
      </c>
      <c r="D885" s="114" t="s">
        <v>52</v>
      </c>
      <c r="E885" s="115"/>
      <c r="F885" s="116"/>
      <c r="G885" s="113" t="s">
        <v>2931</v>
      </c>
      <c r="H885" s="113" t="s">
        <v>2954</v>
      </c>
      <c r="I885" s="113" t="s">
        <v>2708</v>
      </c>
      <c r="J885" s="117"/>
      <c r="K885" s="118"/>
      <c r="L885" s="109">
        <v>2</v>
      </c>
      <c r="M885" s="109">
        <v>3</v>
      </c>
      <c r="N885" s="109"/>
      <c r="O885" s="119"/>
      <c r="P885" s="2">
        <f t="shared" si="208"/>
        <v>1</v>
      </c>
      <c r="Q885" s="110" t="str">
        <f>IF(AND(Drops!$D$45&gt;1,OR(U885&lt;&gt;U884,AND(ROW()=5,U884=U885))),VLOOKUP(U885,Drops!$D$26:$E$44,2,FALSE),"")</f>
        <v/>
      </c>
      <c r="R885" s="2" t="str">
        <f t="shared" si="209"/>
        <v/>
      </c>
      <c r="S885" s="2">
        <f t="shared" ca="1" si="210"/>
        <v>1</v>
      </c>
      <c r="T885" s="2">
        <f t="shared" si="211"/>
        <v>0</v>
      </c>
      <c r="U885" s="110" t="s">
        <v>2694</v>
      </c>
      <c r="V885" s="110">
        <v>7</v>
      </c>
      <c r="W885" s="110">
        <v>8</v>
      </c>
      <c r="X885" s="110">
        <v>0</v>
      </c>
      <c r="Y885" s="110">
        <v>0</v>
      </c>
      <c r="Z885" s="110">
        <v>0</v>
      </c>
      <c r="AA885" s="2">
        <f t="shared" si="212"/>
        <v>1</v>
      </c>
      <c r="AB885" s="2">
        <f t="shared" si="213"/>
        <v>0</v>
      </c>
      <c r="AC885" s="2">
        <f t="shared" si="214"/>
        <v>1</v>
      </c>
      <c r="AD885" s="2">
        <f t="shared" si="215"/>
        <v>1</v>
      </c>
      <c r="AE885" s="2">
        <f t="shared" si="216"/>
        <v>0</v>
      </c>
      <c r="AF885" s="2">
        <f t="shared" si="217"/>
        <v>3</v>
      </c>
      <c r="AG885" s="2">
        <f t="shared" si="218"/>
        <v>3</v>
      </c>
      <c r="AH885" s="2">
        <f t="shared" si="219"/>
        <v>2</v>
      </c>
      <c r="AI885" s="2">
        <f t="shared" si="220"/>
        <v>2</v>
      </c>
      <c r="AJ885" s="2">
        <f t="shared" si="221"/>
        <v>2</v>
      </c>
      <c r="AK885" s="2">
        <f t="shared" si="222"/>
        <v>0</v>
      </c>
      <c r="AL885" s="2">
        <f t="shared" si="223"/>
        <v>0</v>
      </c>
      <c r="AM885" s="115"/>
      <c r="AN885" s="115"/>
      <c r="AO885" s="63"/>
    </row>
    <row r="886" spans="1:41" ht="43.2" x14ac:dyDescent="0.55000000000000004">
      <c r="A886" s="36">
        <v>3221</v>
      </c>
      <c r="B886" s="113" t="s">
        <v>405</v>
      </c>
      <c r="C886" s="113" t="s">
        <v>2955</v>
      </c>
      <c r="D886" s="114" t="s">
        <v>52</v>
      </c>
      <c r="E886" s="115"/>
      <c r="F886" s="116"/>
      <c r="G886" s="113" t="s">
        <v>2956</v>
      </c>
      <c r="H886" s="113" t="s">
        <v>2957</v>
      </c>
      <c r="I886" s="113" t="s">
        <v>2840</v>
      </c>
      <c r="J886" s="117"/>
      <c r="K886" s="118"/>
      <c r="L886" s="109">
        <v>1</v>
      </c>
      <c r="M886" s="109">
        <v>2</v>
      </c>
      <c r="N886" s="109"/>
      <c r="O886" s="119"/>
      <c r="P886" s="2">
        <f t="shared" si="208"/>
        <v>1</v>
      </c>
      <c r="Q886" s="110" t="str">
        <f>IF(AND(Drops!$D$45&gt;1,OR(U886&lt;&gt;U885,AND(ROW()=5,U885=U886))),VLOOKUP(U886,Drops!$D$26:$E$44,2,FALSE),"")</f>
        <v/>
      </c>
      <c r="R886" s="2" t="str">
        <f t="shared" si="209"/>
        <v/>
      </c>
      <c r="S886" s="2">
        <f t="shared" ca="1" si="210"/>
        <v>1</v>
      </c>
      <c r="T886" s="2">
        <f t="shared" si="211"/>
        <v>1</v>
      </c>
      <c r="U886" s="110" t="s">
        <v>2694</v>
      </c>
      <c r="V886" s="110">
        <v>8</v>
      </c>
      <c r="W886" s="110">
        <v>0</v>
      </c>
      <c r="X886" s="110">
        <v>0</v>
      </c>
      <c r="Y886" s="110">
        <v>0</v>
      </c>
      <c r="Z886" s="110">
        <v>0</v>
      </c>
      <c r="AA886" s="2">
        <f t="shared" si="212"/>
        <v>1</v>
      </c>
      <c r="AB886" s="2">
        <f t="shared" si="213"/>
        <v>1</v>
      </c>
      <c r="AC886" s="2">
        <f t="shared" si="214"/>
        <v>1</v>
      </c>
      <c r="AD886" s="2">
        <f t="shared" si="215"/>
        <v>0</v>
      </c>
      <c r="AE886" s="2">
        <f t="shared" si="216"/>
        <v>0</v>
      </c>
      <c r="AF886" s="2">
        <f t="shared" si="217"/>
        <v>3</v>
      </c>
      <c r="AG886" s="2">
        <f t="shared" si="218"/>
        <v>3</v>
      </c>
      <c r="AH886" s="2">
        <f t="shared" si="219"/>
        <v>2</v>
      </c>
      <c r="AI886" s="2">
        <f t="shared" si="220"/>
        <v>2</v>
      </c>
      <c r="AJ886" s="2">
        <f t="shared" si="221"/>
        <v>2</v>
      </c>
      <c r="AK886" s="2">
        <f t="shared" si="222"/>
        <v>0</v>
      </c>
      <c r="AL886" s="2">
        <f t="shared" si="223"/>
        <v>0</v>
      </c>
      <c r="AM886" s="115"/>
      <c r="AN886" s="115"/>
      <c r="AO886" s="63"/>
    </row>
    <row r="887" spans="1:41" ht="43.2" x14ac:dyDescent="0.55000000000000004">
      <c r="A887" s="36">
        <v>4521</v>
      </c>
      <c r="B887" s="113" t="s">
        <v>2958</v>
      </c>
      <c r="C887" s="138" t="s">
        <v>2959</v>
      </c>
      <c r="D887" s="114" t="s">
        <v>52</v>
      </c>
      <c r="E887" s="115"/>
      <c r="F887" s="116"/>
      <c r="G887" s="113" t="s">
        <v>2956</v>
      </c>
      <c r="H887" s="113" t="s">
        <v>2960</v>
      </c>
      <c r="I887" s="113" t="s">
        <v>2840</v>
      </c>
      <c r="J887" s="117"/>
      <c r="K887" s="118"/>
      <c r="L887" s="109">
        <v>2</v>
      </c>
      <c r="M887" s="109">
        <v>3</v>
      </c>
      <c r="N887" s="109"/>
      <c r="O887" s="119"/>
      <c r="P887" s="2">
        <f t="shared" si="208"/>
        <v>1</v>
      </c>
      <c r="Q887" s="110" t="str">
        <f>IF(AND(Drops!$D$45&gt;1,OR(U887&lt;&gt;U886,AND(ROW()=5,U886=U887))),VLOOKUP(U887,Drops!$D$26:$E$44,2,FALSE),"")</f>
        <v/>
      </c>
      <c r="R887" s="2" t="str">
        <f t="shared" si="209"/>
        <v/>
      </c>
      <c r="S887" s="2">
        <f t="shared" ca="1" si="210"/>
        <v>1</v>
      </c>
      <c r="T887" s="2">
        <f t="shared" si="211"/>
        <v>0</v>
      </c>
      <c r="U887" s="110" t="s">
        <v>2694</v>
      </c>
      <c r="V887" s="110">
        <v>8</v>
      </c>
      <c r="W887" s="110">
        <v>1</v>
      </c>
      <c r="X887" s="110">
        <v>0</v>
      </c>
      <c r="Y887" s="110">
        <v>0</v>
      </c>
      <c r="Z887" s="110">
        <v>0</v>
      </c>
      <c r="AA887" s="2">
        <f t="shared" si="212"/>
        <v>1</v>
      </c>
      <c r="AB887" s="2">
        <f t="shared" si="213"/>
        <v>0</v>
      </c>
      <c r="AC887" s="2">
        <f t="shared" si="214"/>
        <v>1</v>
      </c>
      <c r="AD887" s="2">
        <f t="shared" si="215"/>
        <v>1</v>
      </c>
      <c r="AE887" s="2">
        <f t="shared" si="216"/>
        <v>0</v>
      </c>
      <c r="AF887" s="2">
        <f t="shared" si="217"/>
        <v>3</v>
      </c>
      <c r="AG887" s="2">
        <f t="shared" si="218"/>
        <v>3</v>
      </c>
      <c r="AH887" s="2">
        <f t="shared" si="219"/>
        <v>2</v>
      </c>
      <c r="AI887" s="2">
        <f t="shared" si="220"/>
        <v>2</v>
      </c>
      <c r="AJ887" s="2">
        <f t="shared" si="221"/>
        <v>2</v>
      </c>
      <c r="AK887" s="2">
        <f t="shared" si="222"/>
        <v>0</v>
      </c>
      <c r="AL887" s="2">
        <f t="shared" si="223"/>
        <v>0</v>
      </c>
      <c r="AM887" s="115"/>
      <c r="AN887" s="115"/>
      <c r="AO887" s="63"/>
    </row>
    <row r="888" spans="1:41" ht="28.8" x14ac:dyDescent="0.55000000000000004">
      <c r="A888" s="36">
        <v>4522</v>
      </c>
      <c r="B888" s="113" t="s">
        <v>2961</v>
      </c>
      <c r="C888" s="138" t="s">
        <v>2962</v>
      </c>
      <c r="D888" s="114" t="s">
        <v>52</v>
      </c>
      <c r="E888" s="115"/>
      <c r="F888" s="116"/>
      <c r="G888" s="113" t="s">
        <v>2956</v>
      </c>
      <c r="H888" s="113" t="s">
        <v>2963</v>
      </c>
      <c r="I888" s="113" t="s">
        <v>2856</v>
      </c>
      <c r="J888" s="117"/>
      <c r="K888" s="118"/>
      <c r="L888" s="109">
        <v>2</v>
      </c>
      <c r="M888" s="109">
        <v>3</v>
      </c>
      <c r="N888" s="109"/>
      <c r="O888" s="119"/>
      <c r="P888" s="2">
        <f t="shared" si="208"/>
        <v>1</v>
      </c>
      <c r="Q888" s="110" t="str">
        <f>IF(AND(Drops!$D$45&gt;1,OR(U888&lt;&gt;U887,AND(ROW()=5,U887=U888))),VLOOKUP(U888,Drops!$D$26:$E$44,2,FALSE),"")</f>
        <v/>
      </c>
      <c r="R888" s="2" t="str">
        <f t="shared" si="209"/>
        <v/>
      </c>
      <c r="S888" s="2">
        <f t="shared" ca="1" si="210"/>
        <v>1</v>
      </c>
      <c r="T888" s="2">
        <f t="shared" si="211"/>
        <v>0</v>
      </c>
      <c r="U888" s="110" t="s">
        <v>2694</v>
      </c>
      <c r="V888" s="110">
        <v>8</v>
      </c>
      <c r="W888" s="110">
        <v>2</v>
      </c>
      <c r="X888" s="110">
        <v>0</v>
      </c>
      <c r="Y888" s="110">
        <v>0</v>
      </c>
      <c r="Z888" s="110">
        <v>0</v>
      </c>
      <c r="AA888" s="2">
        <f t="shared" si="212"/>
        <v>1</v>
      </c>
      <c r="AB888" s="2">
        <f t="shared" si="213"/>
        <v>0</v>
      </c>
      <c r="AC888" s="2">
        <f t="shared" si="214"/>
        <v>1</v>
      </c>
      <c r="AD888" s="2">
        <f t="shared" si="215"/>
        <v>1</v>
      </c>
      <c r="AE888" s="2">
        <f t="shared" si="216"/>
        <v>0</v>
      </c>
      <c r="AF888" s="2">
        <f t="shared" si="217"/>
        <v>3</v>
      </c>
      <c r="AG888" s="2">
        <f t="shared" si="218"/>
        <v>3</v>
      </c>
      <c r="AH888" s="2">
        <f t="shared" si="219"/>
        <v>2</v>
      </c>
      <c r="AI888" s="2">
        <f t="shared" si="220"/>
        <v>2</v>
      </c>
      <c r="AJ888" s="2">
        <f t="shared" si="221"/>
        <v>2</v>
      </c>
      <c r="AK888" s="2">
        <f t="shared" si="222"/>
        <v>0</v>
      </c>
      <c r="AL888" s="2">
        <f t="shared" si="223"/>
        <v>0</v>
      </c>
      <c r="AM888" s="115"/>
      <c r="AN888" s="115"/>
      <c r="AO888" s="63"/>
    </row>
    <row r="889" spans="1:41" ht="28.8" x14ac:dyDescent="0.55000000000000004">
      <c r="A889" s="36">
        <v>4523</v>
      </c>
      <c r="B889" s="113" t="s">
        <v>2964</v>
      </c>
      <c r="C889" s="138" t="s">
        <v>2965</v>
      </c>
      <c r="D889" s="114" t="s">
        <v>52</v>
      </c>
      <c r="E889" s="115"/>
      <c r="F889" s="116"/>
      <c r="G889" s="113" t="s">
        <v>2956</v>
      </c>
      <c r="H889" s="113" t="s">
        <v>2851</v>
      </c>
      <c r="I889" s="113" t="s">
        <v>2759</v>
      </c>
      <c r="J889" s="117"/>
      <c r="K889" s="118"/>
      <c r="L889" s="109">
        <v>2</v>
      </c>
      <c r="M889" s="109">
        <v>3</v>
      </c>
      <c r="N889" s="109"/>
      <c r="O889" s="119"/>
      <c r="P889" s="2">
        <f t="shared" si="208"/>
        <v>1</v>
      </c>
      <c r="Q889" s="110" t="str">
        <f>IF(AND(Drops!$D$45&gt;1,OR(U889&lt;&gt;U888,AND(ROW()=5,U888=U889))),VLOOKUP(U889,Drops!$D$26:$E$44,2,FALSE),"")</f>
        <v/>
      </c>
      <c r="R889" s="2" t="str">
        <f t="shared" si="209"/>
        <v/>
      </c>
      <c r="S889" s="2">
        <f t="shared" ca="1" si="210"/>
        <v>1</v>
      </c>
      <c r="T889" s="2">
        <f t="shared" si="211"/>
        <v>0</v>
      </c>
      <c r="U889" s="110" t="s">
        <v>2694</v>
      </c>
      <c r="V889" s="110">
        <v>8</v>
      </c>
      <c r="W889" s="110">
        <v>3</v>
      </c>
      <c r="X889" s="110">
        <v>0</v>
      </c>
      <c r="Y889" s="110">
        <v>0</v>
      </c>
      <c r="Z889" s="110">
        <v>0</v>
      </c>
      <c r="AA889" s="2">
        <f t="shared" si="212"/>
        <v>1</v>
      </c>
      <c r="AB889" s="2">
        <f t="shared" si="213"/>
        <v>0</v>
      </c>
      <c r="AC889" s="2">
        <f t="shared" si="214"/>
        <v>1</v>
      </c>
      <c r="AD889" s="2">
        <f t="shared" si="215"/>
        <v>1</v>
      </c>
      <c r="AE889" s="2">
        <f t="shared" si="216"/>
        <v>0</v>
      </c>
      <c r="AF889" s="2">
        <f t="shared" si="217"/>
        <v>3</v>
      </c>
      <c r="AG889" s="2">
        <f t="shared" si="218"/>
        <v>3</v>
      </c>
      <c r="AH889" s="2">
        <f t="shared" si="219"/>
        <v>2</v>
      </c>
      <c r="AI889" s="2">
        <f t="shared" si="220"/>
        <v>2</v>
      </c>
      <c r="AJ889" s="2">
        <f t="shared" si="221"/>
        <v>2</v>
      </c>
      <c r="AK889" s="2">
        <f t="shared" si="222"/>
        <v>0</v>
      </c>
      <c r="AL889" s="2">
        <f t="shared" si="223"/>
        <v>0</v>
      </c>
      <c r="AM889" s="115"/>
      <c r="AN889" s="115"/>
      <c r="AO889" s="63"/>
    </row>
    <row r="890" spans="1:41" ht="43.2" x14ac:dyDescent="0.55000000000000004">
      <c r="A890" s="36">
        <v>4524</v>
      </c>
      <c r="B890" s="113" t="s">
        <v>2966</v>
      </c>
      <c r="C890" s="138" t="s">
        <v>2967</v>
      </c>
      <c r="D890" s="114" t="s">
        <v>52</v>
      </c>
      <c r="E890" s="115"/>
      <c r="F890" s="116"/>
      <c r="G890" s="113" t="s">
        <v>2956</v>
      </c>
      <c r="H890" s="113" t="s">
        <v>2957</v>
      </c>
      <c r="I890" s="113" t="s">
        <v>2856</v>
      </c>
      <c r="J890" s="117" t="s">
        <v>583</v>
      </c>
      <c r="K890" s="118"/>
      <c r="L890" s="109">
        <v>2</v>
      </c>
      <c r="M890" s="109">
        <v>3</v>
      </c>
      <c r="N890" s="109"/>
      <c r="O890" s="119"/>
      <c r="P890" s="2">
        <f t="shared" si="208"/>
        <v>1</v>
      </c>
      <c r="Q890" s="110" t="str">
        <f>IF(AND(Drops!$D$45&gt;1,OR(U890&lt;&gt;U889,AND(ROW()=5,U889=U890))),VLOOKUP(U890,Drops!$D$26:$E$44,2,FALSE),"")</f>
        <v/>
      </c>
      <c r="R890" s="2" t="str">
        <f t="shared" si="209"/>
        <v/>
      </c>
      <c r="S890" s="2">
        <f t="shared" ca="1" si="210"/>
        <v>1</v>
      </c>
      <c r="T890" s="2">
        <f t="shared" si="211"/>
        <v>0</v>
      </c>
      <c r="U890" s="110" t="s">
        <v>2694</v>
      </c>
      <c r="V890" s="110">
        <v>8</v>
      </c>
      <c r="W890" s="110">
        <v>4</v>
      </c>
      <c r="X890" s="110">
        <v>0</v>
      </c>
      <c r="Y890" s="110">
        <v>0</v>
      </c>
      <c r="Z890" s="110">
        <v>0</v>
      </c>
      <c r="AA890" s="2">
        <f t="shared" si="212"/>
        <v>1</v>
      </c>
      <c r="AB890" s="2">
        <f t="shared" si="213"/>
        <v>0</v>
      </c>
      <c r="AC890" s="2">
        <f t="shared" si="214"/>
        <v>1</v>
      </c>
      <c r="AD890" s="2">
        <f t="shared" si="215"/>
        <v>1</v>
      </c>
      <c r="AE890" s="2">
        <f t="shared" si="216"/>
        <v>0</v>
      </c>
      <c r="AF890" s="2">
        <f t="shared" si="217"/>
        <v>3</v>
      </c>
      <c r="AG890" s="2">
        <f t="shared" si="218"/>
        <v>3</v>
      </c>
      <c r="AH890" s="2">
        <f t="shared" si="219"/>
        <v>2</v>
      </c>
      <c r="AI890" s="2">
        <f t="shared" si="220"/>
        <v>2</v>
      </c>
      <c r="AJ890" s="2">
        <f t="shared" si="221"/>
        <v>2</v>
      </c>
      <c r="AK890" s="2">
        <f t="shared" si="222"/>
        <v>0</v>
      </c>
      <c r="AL890" s="2">
        <f t="shared" si="223"/>
        <v>0</v>
      </c>
      <c r="AM890" s="115"/>
      <c r="AN890" s="115"/>
      <c r="AO890" s="63"/>
    </row>
    <row r="891" spans="1:41" ht="57.6" x14ac:dyDescent="0.55000000000000004">
      <c r="A891" s="36">
        <v>4574</v>
      </c>
      <c r="B891" s="113" t="s">
        <v>2968</v>
      </c>
      <c r="C891" s="138" t="s">
        <v>2969</v>
      </c>
      <c r="D891" s="114" t="s">
        <v>52</v>
      </c>
      <c r="E891" s="115" t="s">
        <v>2970</v>
      </c>
      <c r="F891" s="116"/>
      <c r="G891" s="113" t="s">
        <v>2956</v>
      </c>
      <c r="H891" s="113" t="s">
        <v>2971</v>
      </c>
      <c r="I891" s="113" t="s">
        <v>2840</v>
      </c>
      <c r="J891" s="117" t="s">
        <v>911</v>
      </c>
      <c r="K891" s="118"/>
      <c r="L891" s="109">
        <v>2</v>
      </c>
      <c r="M891" s="109">
        <v>3</v>
      </c>
      <c r="N891" s="109"/>
      <c r="O891" s="119"/>
      <c r="P891" s="2">
        <f t="shared" si="208"/>
        <v>1</v>
      </c>
      <c r="Q891" s="110" t="str">
        <f>IF(AND(Drops!$D$45&gt;1,OR(U891&lt;&gt;U890,AND(ROW()=5,U890=U891))),VLOOKUP(U891,Drops!$D$26:$E$44,2,FALSE),"")</f>
        <v/>
      </c>
      <c r="R891" s="2" t="str">
        <f t="shared" si="209"/>
        <v/>
      </c>
      <c r="S891" s="2">
        <f t="shared" ca="1" si="210"/>
        <v>1</v>
      </c>
      <c r="T891" s="2">
        <f t="shared" si="211"/>
        <v>0</v>
      </c>
      <c r="U891" s="110" t="s">
        <v>2694</v>
      </c>
      <c r="V891" s="110">
        <v>8</v>
      </c>
      <c r="W891" s="110">
        <v>5</v>
      </c>
      <c r="X891" s="110">
        <v>0</v>
      </c>
      <c r="Y891" s="110">
        <v>0</v>
      </c>
      <c r="Z891" s="110">
        <v>0</v>
      </c>
      <c r="AA891" s="2">
        <f t="shared" si="212"/>
        <v>1</v>
      </c>
      <c r="AB891" s="2">
        <f t="shared" si="213"/>
        <v>0</v>
      </c>
      <c r="AC891" s="2">
        <f t="shared" si="214"/>
        <v>1</v>
      </c>
      <c r="AD891" s="2">
        <f t="shared" si="215"/>
        <v>1</v>
      </c>
      <c r="AE891" s="2">
        <f t="shared" si="216"/>
        <v>0</v>
      </c>
      <c r="AF891" s="2">
        <f t="shared" si="217"/>
        <v>3</v>
      </c>
      <c r="AG891" s="2">
        <f t="shared" si="218"/>
        <v>3</v>
      </c>
      <c r="AH891" s="2">
        <f t="shared" si="219"/>
        <v>2</v>
      </c>
      <c r="AI891" s="2">
        <f t="shared" si="220"/>
        <v>2</v>
      </c>
      <c r="AJ891" s="2">
        <f t="shared" si="221"/>
        <v>2</v>
      </c>
      <c r="AK891" s="2">
        <f t="shared" si="222"/>
        <v>0</v>
      </c>
      <c r="AL891" s="2">
        <f t="shared" si="223"/>
        <v>0</v>
      </c>
      <c r="AM891" s="115"/>
      <c r="AN891" s="115"/>
      <c r="AO891" s="63"/>
    </row>
    <row r="892" spans="1:41" ht="28.8" x14ac:dyDescent="0.55000000000000004">
      <c r="A892" s="36">
        <v>4575</v>
      </c>
      <c r="B892" s="113" t="s">
        <v>2972</v>
      </c>
      <c r="C892" s="138" t="s">
        <v>2973</v>
      </c>
      <c r="D892" s="114" t="s">
        <v>52</v>
      </c>
      <c r="E892" s="115" t="s">
        <v>2974</v>
      </c>
      <c r="F892" s="116"/>
      <c r="G892" s="113" t="s">
        <v>2956</v>
      </c>
      <c r="H892" s="113" t="s">
        <v>2960</v>
      </c>
      <c r="I892" s="113" t="s">
        <v>2840</v>
      </c>
      <c r="J892" s="117" t="s">
        <v>1529</v>
      </c>
      <c r="K892" s="118"/>
      <c r="L892" s="109">
        <v>2</v>
      </c>
      <c r="M892" s="109">
        <v>3</v>
      </c>
      <c r="N892" s="109"/>
      <c r="O892" s="119"/>
      <c r="P892" s="2">
        <f t="shared" si="208"/>
        <v>1</v>
      </c>
      <c r="Q892" s="110" t="str">
        <f>IF(AND(Drops!$D$45&gt;1,OR(U892&lt;&gt;U891,AND(ROW()=5,U891=U892))),VLOOKUP(U892,Drops!$D$26:$E$44,2,FALSE),"")</f>
        <v/>
      </c>
      <c r="R892" s="2" t="str">
        <f t="shared" si="209"/>
        <v/>
      </c>
      <c r="S892" s="2">
        <f t="shared" ca="1" si="210"/>
        <v>1</v>
      </c>
      <c r="T892" s="2">
        <f t="shared" si="211"/>
        <v>0</v>
      </c>
      <c r="U892" s="110" t="s">
        <v>2694</v>
      </c>
      <c r="V892" s="110">
        <v>8</v>
      </c>
      <c r="W892" s="110">
        <v>6</v>
      </c>
      <c r="X892" s="110">
        <v>0</v>
      </c>
      <c r="Y892" s="110">
        <v>0</v>
      </c>
      <c r="Z892" s="110">
        <v>0</v>
      </c>
      <c r="AA892" s="2">
        <f t="shared" si="212"/>
        <v>1</v>
      </c>
      <c r="AB892" s="2">
        <f t="shared" si="213"/>
        <v>0</v>
      </c>
      <c r="AC892" s="2">
        <f t="shared" si="214"/>
        <v>1</v>
      </c>
      <c r="AD892" s="2">
        <f t="shared" si="215"/>
        <v>1</v>
      </c>
      <c r="AE892" s="2">
        <f t="shared" si="216"/>
        <v>0</v>
      </c>
      <c r="AF892" s="2">
        <f t="shared" si="217"/>
        <v>3</v>
      </c>
      <c r="AG892" s="2">
        <f t="shared" si="218"/>
        <v>3</v>
      </c>
      <c r="AH892" s="2">
        <f t="shared" si="219"/>
        <v>2</v>
      </c>
      <c r="AI892" s="2">
        <f t="shared" si="220"/>
        <v>2</v>
      </c>
      <c r="AJ892" s="2">
        <f t="shared" si="221"/>
        <v>2</v>
      </c>
      <c r="AK892" s="2">
        <f t="shared" si="222"/>
        <v>0</v>
      </c>
      <c r="AL892" s="2">
        <f t="shared" si="223"/>
        <v>0</v>
      </c>
      <c r="AM892" s="115"/>
      <c r="AN892" s="115"/>
      <c r="AO892" s="63"/>
    </row>
    <row r="893" spans="1:41" ht="43.2" x14ac:dyDescent="0.55000000000000004">
      <c r="A893" s="36">
        <v>4526</v>
      </c>
      <c r="B893" s="113" t="s">
        <v>407</v>
      </c>
      <c r="C893" s="113" t="s">
        <v>2975</v>
      </c>
      <c r="D893" s="114" t="s">
        <v>52</v>
      </c>
      <c r="E893" s="115"/>
      <c r="F893" s="116"/>
      <c r="G893" s="113" t="s">
        <v>2976</v>
      </c>
      <c r="H893" s="113" t="s">
        <v>2729</v>
      </c>
      <c r="I893" s="113" t="s">
        <v>2717</v>
      </c>
      <c r="J893" s="117" t="s">
        <v>2977</v>
      </c>
      <c r="K893" s="118"/>
      <c r="L893" s="109">
        <v>1</v>
      </c>
      <c r="M893" s="109">
        <v>2</v>
      </c>
      <c r="N893" s="109"/>
      <c r="O893" s="119"/>
      <c r="P893" s="2">
        <f t="shared" si="208"/>
        <v>1</v>
      </c>
      <c r="Q893" s="110" t="str">
        <f>IF(AND(Drops!$D$45&gt;1,OR(U893&lt;&gt;U892,AND(ROW()=5,U892=U893))),VLOOKUP(U893,Drops!$D$26:$E$44,2,FALSE),"")</f>
        <v/>
      </c>
      <c r="R893" s="2" t="str">
        <f t="shared" si="209"/>
        <v/>
      </c>
      <c r="S893" s="2">
        <f t="shared" ca="1" si="210"/>
        <v>1</v>
      </c>
      <c r="T893" s="2">
        <f t="shared" si="211"/>
        <v>1</v>
      </c>
      <c r="U893" s="110" t="s">
        <v>2694</v>
      </c>
      <c r="V893" s="110">
        <v>9</v>
      </c>
      <c r="W893" s="110">
        <v>0</v>
      </c>
      <c r="X893" s="110">
        <v>0</v>
      </c>
      <c r="Y893" s="110">
        <v>0</v>
      </c>
      <c r="Z893" s="110">
        <v>0</v>
      </c>
      <c r="AA893" s="2">
        <f t="shared" si="212"/>
        <v>1</v>
      </c>
      <c r="AB893" s="2">
        <f t="shared" si="213"/>
        <v>1</v>
      </c>
      <c r="AC893" s="2">
        <f t="shared" si="214"/>
        <v>1</v>
      </c>
      <c r="AD893" s="2">
        <f t="shared" si="215"/>
        <v>0</v>
      </c>
      <c r="AE893" s="2">
        <f t="shared" si="216"/>
        <v>0</v>
      </c>
      <c r="AF893" s="2">
        <f t="shared" si="217"/>
        <v>3</v>
      </c>
      <c r="AG893" s="2">
        <f t="shared" si="218"/>
        <v>3</v>
      </c>
      <c r="AH893" s="2">
        <f t="shared" si="219"/>
        <v>2</v>
      </c>
      <c r="AI893" s="2">
        <f t="shared" si="220"/>
        <v>2</v>
      </c>
      <c r="AJ893" s="2">
        <f t="shared" si="221"/>
        <v>2</v>
      </c>
      <c r="AK893" s="2">
        <f t="shared" si="222"/>
        <v>0</v>
      </c>
      <c r="AL893" s="2">
        <f t="shared" si="223"/>
        <v>0</v>
      </c>
      <c r="AM893" s="115"/>
      <c r="AN893" s="115"/>
      <c r="AO893" s="63"/>
    </row>
    <row r="894" spans="1:41" ht="43.2" x14ac:dyDescent="0.55000000000000004">
      <c r="A894" s="36">
        <v>4955</v>
      </c>
      <c r="B894" s="113" t="s">
        <v>2978</v>
      </c>
      <c r="C894" s="138" t="s">
        <v>2979</v>
      </c>
      <c r="D894" s="114" t="s">
        <v>52</v>
      </c>
      <c r="E894" s="115"/>
      <c r="F894" s="116"/>
      <c r="G894" s="113" t="s">
        <v>2976</v>
      </c>
      <c r="H894" s="113" t="s">
        <v>2729</v>
      </c>
      <c r="I894" s="113" t="s">
        <v>2717</v>
      </c>
      <c r="J894" s="117"/>
      <c r="K894" s="118"/>
      <c r="L894" s="109">
        <v>2</v>
      </c>
      <c r="M894" s="109">
        <v>3</v>
      </c>
      <c r="N894" s="109"/>
      <c r="O894" s="119"/>
      <c r="P894" s="2">
        <f t="shared" si="208"/>
        <v>1</v>
      </c>
      <c r="Q894" s="110" t="str">
        <f>IF(AND(Drops!$D$45&gt;1,OR(U894&lt;&gt;U893,AND(ROW()=5,U893=U894))),VLOOKUP(U894,Drops!$D$26:$E$44,2,FALSE),"")</f>
        <v/>
      </c>
      <c r="R894" s="2" t="str">
        <f t="shared" si="209"/>
        <v/>
      </c>
      <c r="S894" s="2">
        <f t="shared" ca="1" si="210"/>
        <v>1</v>
      </c>
      <c r="T894" s="2">
        <f t="shared" si="211"/>
        <v>0</v>
      </c>
      <c r="U894" s="110" t="s">
        <v>2694</v>
      </c>
      <c r="V894" s="110">
        <v>9</v>
      </c>
      <c r="W894" s="110">
        <v>1</v>
      </c>
      <c r="X894" s="110">
        <v>0</v>
      </c>
      <c r="Y894" s="110">
        <v>0</v>
      </c>
      <c r="Z894" s="110">
        <v>0</v>
      </c>
      <c r="AA894" s="2">
        <f t="shared" si="212"/>
        <v>1</v>
      </c>
      <c r="AB894" s="2">
        <f t="shared" si="213"/>
        <v>0</v>
      </c>
      <c r="AC894" s="2">
        <f t="shared" si="214"/>
        <v>1</v>
      </c>
      <c r="AD894" s="2">
        <f t="shared" si="215"/>
        <v>1</v>
      </c>
      <c r="AE894" s="2">
        <f t="shared" si="216"/>
        <v>0</v>
      </c>
      <c r="AF894" s="2">
        <f t="shared" si="217"/>
        <v>3</v>
      </c>
      <c r="AG894" s="2">
        <f t="shared" si="218"/>
        <v>3</v>
      </c>
      <c r="AH894" s="2">
        <f t="shared" si="219"/>
        <v>2</v>
      </c>
      <c r="AI894" s="2">
        <f t="shared" si="220"/>
        <v>2</v>
      </c>
      <c r="AJ894" s="2">
        <f t="shared" si="221"/>
        <v>2</v>
      </c>
      <c r="AK894" s="2">
        <f t="shared" si="222"/>
        <v>0</v>
      </c>
      <c r="AL894" s="2">
        <f t="shared" si="223"/>
        <v>0</v>
      </c>
      <c r="AM894" s="115"/>
      <c r="AN894" s="115"/>
      <c r="AO894" s="63"/>
    </row>
    <row r="895" spans="1:41" ht="43.2" x14ac:dyDescent="0.55000000000000004">
      <c r="A895" s="36">
        <v>4529</v>
      </c>
      <c r="B895" s="113" t="s">
        <v>409</v>
      </c>
      <c r="C895" s="113" t="s">
        <v>2980</v>
      </c>
      <c r="D895" s="114" t="s">
        <v>52</v>
      </c>
      <c r="E895" s="115" t="s">
        <v>2981</v>
      </c>
      <c r="F895" s="116"/>
      <c r="G895" s="113" t="s">
        <v>2982</v>
      </c>
      <c r="H895" s="113" t="s">
        <v>2752</v>
      </c>
      <c r="I895" s="113" t="s">
        <v>2717</v>
      </c>
      <c r="J895" s="117"/>
      <c r="K895" s="118"/>
      <c r="L895" s="109">
        <v>1</v>
      </c>
      <c r="M895" s="109">
        <v>2</v>
      </c>
      <c r="N895" s="109"/>
      <c r="O895" s="119"/>
      <c r="P895" s="2">
        <f t="shared" si="208"/>
        <v>1</v>
      </c>
      <c r="Q895" s="110" t="str">
        <f>IF(AND(Drops!$D$45&gt;1,OR(U895&lt;&gt;U894,AND(ROW()=5,U894=U895))),VLOOKUP(U895,Drops!$D$26:$E$44,2,FALSE),"")</f>
        <v/>
      </c>
      <c r="R895" s="2" t="str">
        <f t="shared" si="209"/>
        <v/>
      </c>
      <c r="S895" s="2">
        <f t="shared" ca="1" si="210"/>
        <v>1</v>
      </c>
      <c r="T895" s="2">
        <f t="shared" si="211"/>
        <v>1</v>
      </c>
      <c r="U895" s="110" t="s">
        <v>2694</v>
      </c>
      <c r="V895" s="110">
        <v>10</v>
      </c>
      <c r="W895" s="110">
        <v>0</v>
      </c>
      <c r="X895" s="110">
        <v>0</v>
      </c>
      <c r="Y895" s="110">
        <v>0</v>
      </c>
      <c r="Z895" s="110">
        <v>0</v>
      </c>
      <c r="AA895" s="2">
        <f t="shared" si="212"/>
        <v>1</v>
      </c>
      <c r="AB895" s="2">
        <f t="shared" si="213"/>
        <v>1</v>
      </c>
      <c r="AC895" s="2">
        <f t="shared" si="214"/>
        <v>1</v>
      </c>
      <c r="AD895" s="2">
        <f t="shared" si="215"/>
        <v>0</v>
      </c>
      <c r="AE895" s="2">
        <f t="shared" si="216"/>
        <v>0</v>
      </c>
      <c r="AF895" s="2">
        <f t="shared" si="217"/>
        <v>3</v>
      </c>
      <c r="AG895" s="2">
        <f t="shared" si="218"/>
        <v>3</v>
      </c>
      <c r="AH895" s="2">
        <f t="shared" si="219"/>
        <v>2</v>
      </c>
      <c r="AI895" s="2">
        <f t="shared" si="220"/>
        <v>2</v>
      </c>
      <c r="AJ895" s="2">
        <f t="shared" si="221"/>
        <v>2</v>
      </c>
      <c r="AK895" s="2">
        <f t="shared" si="222"/>
        <v>0</v>
      </c>
      <c r="AL895" s="2">
        <f t="shared" si="223"/>
        <v>0</v>
      </c>
      <c r="AM895" s="115"/>
      <c r="AN895" s="115"/>
      <c r="AO895" s="63"/>
    </row>
    <row r="896" spans="1:41" ht="28.8" x14ac:dyDescent="0.55000000000000004">
      <c r="A896" s="36">
        <v>3860</v>
      </c>
      <c r="B896" s="113" t="s">
        <v>2983</v>
      </c>
      <c r="C896" s="138" t="s">
        <v>2984</v>
      </c>
      <c r="D896" s="114" t="s">
        <v>52</v>
      </c>
      <c r="E896" s="115"/>
      <c r="F896" s="116"/>
      <c r="G896" s="113" t="s">
        <v>2982</v>
      </c>
      <c r="H896" s="113" t="s">
        <v>2985</v>
      </c>
      <c r="I896" s="113" t="s">
        <v>2840</v>
      </c>
      <c r="J896" s="117"/>
      <c r="K896" s="118"/>
      <c r="L896" s="109">
        <v>2</v>
      </c>
      <c r="M896" s="109">
        <v>3</v>
      </c>
      <c r="N896" s="109"/>
      <c r="O896" s="119"/>
      <c r="P896" s="2">
        <f t="shared" si="208"/>
        <v>1</v>
      </c>
      <c r="Q896" s="110" t="str">
        <f>IF(AND(Drops!$D$45&gt;1,OR(U896&lt;&gt;U895,AND(ROW()=5,U895=U896))),VLOOKUP(U896,Drops!$D$26:$E$44,2,FALSE),"")</f>
        <v/>
      </c>
      <c r="R896" s="2" t="str">
        <f t="shared" si="209"/>
        <v/>
      </c>
      <c r="S896" s="2">
        <f t="shared" ca="1" si="210"/>
        <v>1</v>
      </c>
      <c r="T896" s="2">
        <f t="shared" si="211"/>
        <v>0</v>
      </c>
      <c r="U896" s="110" t="s">
        <v>2694</v>
      </c>
      <c r="V896" s="110">
        <v>10</v>
      </c>
      <c r="W896" s="110">
        <v>1</v>
      </c>
      <c r="X896" s="110">
        <v>0</v>
      </c>
      <c r="Y896" s="110">
        <v>0</v>
      </c>
      <c r="Z896" s="110">
        <v>0</v>
      </c>
      <c r="AA896" s="2">
        <f t="shared" si="212"/>
        <v>1</v>
      </c>
      <c r="AB896" s="2">
        <f t="shared" si="213"/>
        <v>0</v>
      </c>
      <c r="AC896" s="2">
        <f t="shared" si="214"/>
        <v>1</v>
      </c>
      <c r="AD896" s="2">
        <f t="shared" si="215"/>
        <v>1</v>
      </c>
      <c r="AE896" s="2">
        <f t="shared" si="216"/>
        <v>0</v>
      </c>
      <c r="AF896" s="2">
        <f t="shared" si="217"/>
        <v>3</v>
      </c>
      <c r="AG896" s="2">
        <f t="shared" si="218"/>
        <v>3</v>
      </c>
      <c r="AH896" s="2">
        <f t="shared" si="219"/>
        <v>2</v>
      </c>
      <c r="AI896" s="2">
        <f t="shared" si="220"/>
        <v>2</v>
      </c>
      <c r="AJ896" s="2">
        <f t="shared" si="221"/>
        <v>2</v>
      </c>
      <c r="AK896" s="2">
        <f t="shared" si="222"/>
        <v>0</v>
      </c>
      <c r="AL896" s="2">
        <f t="shared" si="223"/>
        <v>0</v>
      </c>
      <c r="AM896" s="115"/>
      <c r="AN896" s="115"/>
      <c r="AO896" s="63"/>
    </row>
    <row r="897" spans="1:41" ht="28.8" x14ac:dyDescent="0.55000000000000004">
      <c r="A897" s="36">
        <v>4530</v>
      </c>
      <c r="B897" s="113" t="s">
        <v>2986</v>
      </c>
      <c r="C897" s="138" t="s">
        <v>2987</v>
      </c>
      <c r="D897" s="114" t="s">
        <v>52</v>
      </c>
      <c r="E897" s="115"/>
      <c r="F897" s="116"/>
      <c r="G897" s="113" t="s">
        <v>2982</v>
      </c>
      <c r="H897" s="113" t="s">
        <v>2985</v>
      </c>
      <c r="I897" s="113" t="s">
        <v>2840</v>
      </c>
      <c r="J897" s="117" t="s">
        <v>646</v>
      </c>
      <c r="K897" s="118"/>
      <c r="L897" s="109">
        <v>2</v>
      </c>
      <c r="M897" s="109">
        <v>2</v>
      </c>
      <c r="N897" s="109"/>
      <c r="O897" s="119"/>
      <c r="P897" s="2">
        <f t="shared" si="208"/>
        <v>1</v>
      </c>
      <c r="Q897" s="110" t="str">
        <f>IF(AND(Drops!$D$45&gt;1,OR(U897&lt;&gt;U896,AND(ROW()=5,U896=U897))),VLOOKUP(U897,Drops!$D$26:$E$44,2,FALSE),"")</f>
        <v/>
      </c>
      <c r="R897" s="2" t="str">
        <f t="shared" si="209"/>
        <v/>
      </c>
      <c r="S897" s="2">
        <f t="shared" ca="1" si="210"/>
        <v>1</v>
      </c>
      <c r="T897" s="2">
        <f t="shared" si="211"/>
        <v>0</v>
      </c>
      <c r="U897" s="110" t="s">
        <v>2694</v>
      </c>
      <c r="V897" s="110">
        <v>10</v>
      </c>
      <c r="W897" s="110">
        <v>2</v>
      </c>
      <c r="X897" s="110">
        <v>0</v>
      </c>
      <c r="Y897" s="110">
        <v>0</v>
      </c>
      <c r="Z897" s="110">
        <v>0</v>
      </c>
      <c r="AA897" s="2">
        <f t="shared" si="212"/>
        <v>1</v>
      </c>
      <c r="AB897" s="2">
        <f t="shared" si="213"/>
        <v>0</v>
      </c>
      <c r="AC897" s="2">
        <f t="shared" si="214"/>
        <v>1</v>
      </c>
      <c r="AD897" s="2">
        <f t="shared" si="215"/>
        <v>1</v>
      </c>
      <c r="AE897" s="2">
        <f t="shared" si="216"/>
        <v>0</v>
      </c>
      <c r="AF897" s="2">
        <f t="shared" si="217"/>
        <v>3</v>
      </c>
      <c r="AG897" s="2">
        <f t="shared" si="218"/>
        <v>3</v>
      </c>
      <c r="AH897" s="2">
        <f t="shared" si="219"/>
        <v>2</v>
      </c>
      <c r="AI897" s="2">
        <f t="shared" si="220"/>
        <v>2</v>
      </c>
      <c r="AJ897" s="2">
        <f t="shared" si="221"/>
        <v>2</v>
      </c>
      <c r="AK897" s="2">
        <f t="shared" si="222"/>
        <v>0</v>
      </c>
      <c r="AL897" s="2">
        <f t="shared" si="223"/>
        <v>0</v>
      </c>
      <c r="AM897" s="115"/>
      <c r="AN897" s="115"/>
      <c r="AO897" s="63"/>
    </row>
    <row r="898" spans="1:41" ht="28.8" x14ac:dyDescent="0.55000000000000004">
      <c r="A898" s="36">
        <v>4531</v>
      </c>
      <c r="B898" s="113" t="s">
        <v>2988</v>
      </c>
      <c r="C898" s="138" t="s">
        <v>2989</v>
      </c>
      <c r="D898" s="114" t="s">
        <v>55</v>
      </c>
      <c r="E898" s="115" t="s">
        <v>2990</v>
      </c>
      <c r="F898" s="116"/>
      <c r="G898" s="113" t="s">
        <v>2982</v>
      </c>
      <c r="H898" s="113" t="s">
        <v>2991</v>
      </c>
      <c r="I898" s="113" t="s">
        <v>2840</v>
      </c>
      <c r="J898" s="117"/>
      <c r="K898" s="118"/>
      <c r="L898" s="109">
        <v>2</v>
      </c>
      <c r="M898" s="109">
        <v>3</v>
      </c>
      <c r="N898" s="109"/>
      <c r="O898" s="119"/>
      <c r="P898" s="2">
        <f t="shared" si="208"/>
        <v>2</v>
      </c>
      <c r="Q898" s="110" t="str">
        <f>IF(AND(Drops!$D$45&gt;1,OR(U898&lt;&gt;U897,AND(ROW()=5,U897=U898))),VLOOKUP(U898,Drops!$D$26:$E$44,2,FALSE),"")</f>
        <v/>
      </c>
      <c r="R898" s="2" t="str">
        <f t="shared" si="209"/>
        <v/>
      </c>
      <c r="S898" s="2">
        <f t="shared" ca="1" si="210"/>
        <v>2</v>
      </c>
      <c r="T898" s="2">
        <f t="shared" si="211"/>
        <v>0</v>
      </c>
      <c r="U898" s="110" t="s">
        <v>2694</v>
      </c>
      <c r="V898" s="110">
        <v>10</v>
      </c>
      <c r="W898" s="110">
        <v>3</v>
      </c>
      <c r="X898" s="110">
        <v>0</v>
      </c>
      <c r="Y898" s="110">
        <v>0</v>
      </c>
      <c r="Z898" s="110">
        <v>0</v>
      </c>
      <c r="AA898" s="2">
        <f t="shared" si="212"/>
        <v>1</v>
      </c>
      <c r="AB898" s="2">
        <f t="shared" si="213"/>
        <v>0</v>
      </c>
      <c r="AC898" s="2">
        <f t="shared" si="214"/>
        <v>1</v>
      </c>
      <c r="AD898" s="2">
        <f t="shared" si="215"/>
        <v>2</v>
      </c>
      <c r="AE898" s="2">
        <f t="shared" si="216"/>
        <v>2</v>
      </c>
      <c r="AF898" s="2">
        <f t="shared" si="217"/>
        <v>2</v>
      </c>
      <c r="AG898" s="2">
        <f t="shared" si="218"/>
        <v>2</v>
      </c>
      <c r="AH898" s="2">
        <f t="shared" si="219"/>
        <v>2</v>
      </c>
      <c r="AI898" s="2">
        <f t="shared" si="220"/>
        <v>1</v>
      </c>
      <c r="AJ898" s="2">
        <f t="shared" si="221"/>
        <v>2</v>
      </c>
      <c r="AK898" s="2">
        <f t="shared" si="222"/>
        <v>0</v>
      </c>
      <c r="AL898" s="2">
        <f t="shared" si="223"/>
        <v>0</v>
      </c>
      <c r="AM898" s="115"/>
      <c r="AN898" s="115"/>
      <c r="AO898" s="63"/>
    </row>
    <row r="899" spans="1:41" ht="28.8" x14ac:dyDescent="0.55000000000000004">
      <c r="A899" s="36">
        <v>4532</v>
      </c>
      <c r="B899" s="113" t="s">
        <v>2992</v>
      </c>
      <c r="C899" s="138" t="s">
        <v>2993</v>
      </c>
      <c r="D899" s="114" t="s">
        <v>52</v>
      </c>
      <c r="E899" s="115"/>
      <c r="F899" s="116"/>
      <c r="G899" s="113" t="s">
        <v>2982</v>
      </c>
      <c r="H899" s="113" t="s">
        <v>2752</v>
      </c>
      <c r="I899" s="113" t="s">
        <v>2790</v>
      </c>
      <c r="J899" s="117"/>
      <c r="K899" s="118"/>
      <c r="L899" s="109">
        <v>2</v>
      </c>
      <c r="M899" s="109">
        <v>3</v>
      </c>
      <c r="N899" s="109"/>
      <c r="O899" s="119"/>
      <c r="P899" s="2">
        <f t="shared" si="208"/>
        <v>1</v>
      </c>
      <c r="Q899" s="110" t="str">
        <f>IF(AND(Drops!$D$45&gt;1,OR(U899&lt;&gt;U898,AND(ROW()=5,U898=U899))),VLOOKUP(U899,Drops!$D$26:$E$44,2,FALSE),"")</f>
        <v/>
      </c>
      <c r="R899" s="2" t="str">
        <f t="shared" si="209"/>
        <v/>
      </c>
      <c r="S899" s="2">
        <f t="shared" ca="1" si="210"/>
        <v>1</v>
      </c>
      <c r="T899" s="2">
        <f t="shared" si="211"/>
        <v>0</v>
      </c>
      <c r="U899" s="110" t="s">
        <v>2694</v>
      </c>
      <c r="V899" s="110">
        <v>10</v>
      </c>
      <c r="W899" s="110">
        <v>4</v>
      </c>
      <c r="X899" s="110">
        <v>0</v>
      </c>
      <c r="Y899" s="110">
        <v>0</v>
      </c>
      <c r="Z899" s="110">
        <v>0</v>
      </c>
      <c r="AA899" s="2">
        <f t="shared" si="212"/>
        <v>1</v>
      </c>
      <c r="AB899" s="2">
        <f t="shared" si="213"/>
        <v>1</v>
      </c>
      <c r="AC899" s="2">
        <f t="shared" si="214"/>
        <v>1</v>
      </c>
      <c r="AD899" s="2">
        <f t="shared" si="215"/>
        <v>1</v>
      </c>
      <c r="AE899" s="2">
        <f t="shared" si="216"/>
        <v>2</v>
      </c>
      <c r="AF899" s="2">
        <f t="shared" si="217"/>
        <v>2</v>
      </c>
      <c r="AG899" s="2">
        <f t="shared" si="218"/>
        <v>2</v>
      </c>
      <c r="AH899" s="2">
        <f t="shared" si="219"/>
        <v>2</v>
      </c>
      <c r="AI899" s="2">
        <f t="shared" si="220"/>
        <v>2</v>
      </c>
      <c r="AJ899" s="2">
        <f t="shared" si="221"/>
        <v>2</v>
      </c>
      <c r="AK899" s="2">
        <f t="shared" si="222"/>
        <v>0</v>
      </c>
      <c r="AL899" s="2">
        <f t="shared" si="223"/>
        <v>0</v>
      </c>
      <c r="AM899" s="115"/>
      <c r="AN899" s="115"/>
      <c r="AO899" s="63"/>
    </row>
    <row r="900" spans="1:41" ht="43.2" x14ac:dyDescent="0.55000000000000004">
      <c r="A900" s="36">
        <v>5922</v>
      </c>
      <c r="B900" s="113" t="s">
        <v>2994</v>
      </c>
      <c r="C900" s="139" t="s">
        <v>2995</v>
      </c>
      <c r="D900" s="114" t="s">
        <v>48</v>
      </c>
      <c r="E900" s="115" t="s">
        <v>2996</v>
      </c>
      <c r="F900" s="116"/>
      <c r="G900" s="113" t="s">
        <v>2738</v>
      </c>
      <c r="H900" s="113" t="s">
        <v>2702</v>
      </c>
      <c r="I900" s="113" t="s">
        <v>2790</v>
      </c>
      <c r="J900" s="117"/>
      <c r="K900" s="118"/>
      <c r="L900" s="109">
        <v>3</v>
      </c>
      <c r="M900" s="109">
        <v>2</v>
      </c>
      <c r="N900" s="109"/>
      <c r="O900" s="119"/>
      <c r="P900" s="2">
        <f t="shared" si="208"/>
        <v>3</v>
      </c>
      <c r="Q900" s="110" t="str">
        <f>IF(AND(Drops!$D$45&gt;1,OR(U900&lt;&gt;U899,AND(ROW()=5,U899=U900))),VLOOKUP(U900,Drops!$D$26:$E$44,2,FALSE),"")</f>
        <v/>
      </c>
      <c r="R900" s="2" t="str">
        <f t="shared" si="209"/>
        <v/>
      </c>
      <c r="S900" s="2">
        <f t="shared" ca="1" si="210"/>
        <v>3</v>
      </c>
      <c r="T900" s="2">
        <f t="shared" si="211"/>
        <v>0</v>
      </c>
      <c r="U900" s="110" t="s">
        <v>2694</v>
      </c>
      <c r="V900" s="110">
        <v>10</v>
      </c>
      <c r="W900" s="110">
        <v>4</v>
      </c>
      <c r="X900" s="110">
        <v>2</v>
      </c>
      <c r="Y900" s="110">
        <v>0</v>
      </c>
      <c r="Z900" s="110">
        <v>0</v>
      </c>
      <c r="AA900" s="2">
        <f t="shared" si="212"/>
        <v>1</v>
      </c>
      <c r="AB900" s="2">
        <f t="shared" si="213"/>
        <v>0</v>
      </c>
      <c r="AC900" s="2">
        <f t="shared" si="214"/>
        <v>1</v>
      </c>
      <c r="AD900" s="2">
        <f t="shared" si="215"/>
        <v>1</v>
      </c>
      <c r="AE900" s="2">
        <f t="shared" si="216"/>
        <v>3</v>
      </c>
      <c r="AF900" s="2">
        <f t="shared" si="217"/>
        <v>3</v>
      </c>
      <c r="AG900" s="2">
        <f t="shared" si="218"/>
        <v>3</v>
      </c>
      <c r="AH900" s="2">
        <f t="shared" si="219"/>
        <v>2</v>
      </c>
      <c r="AI900" s="2">
        <f t="shared" si="220"/>
        <v>2</v>
      </c>
      <c r="AJ900" s="2">
        <f t="shared" si="221"/>
        <v>1</v>
      </c>
      <c r="AK900" s="2">
        <f t="shared" si="222"/>
        <v>0</v>
      </c>
      <c r="AL900" s="2">
        <f t="shared" si="223"/>
        <v>0</v>
      </c>
      <c r="AM900" s="115"/>
      <c r="AN900" s="115"/>
      <c r="AO900" s="63"/>
    </row>
    <row r="901" spans="1:41" ht="43.2" x14ac:dyDescent="0.55000000000000004">
      <c r="A901" s="36">
        <v>4956</v>
      </c>
      <c r="B901" s="113" t="s">
        <v>2997</v>
      </c>
      <c r="C901" s="138" t="s">
        <v>2998</v>
      </c>
      <c r="D901" s="114" t="s">
        <v>52</v>
      </c>
      <c r="E901" s="115"/>
      <c r="F901" s="116"/>
      <c r="G901" s="113" t="s">
        <v>2982</v>
      </c>
      <c r="H901" s="113" t="s">
        <v>2752</v>
      </c>
      <c r="I901" s="113" t="s">
        <v>2790</v>
      </c>
      <c r="J901" s="117"/>
      <c r="K901" s="118"/>
      <c r="L901" s="109">
        <v>2</v>
      </c>
      <c r="M901" s="109">
        <v>3</v>
      </c>
      <c r="N901" s="109"/>
      <c r="O901" s="119"/>
      <c r="P901" s="2">
        <f t="shared" si="208"/>
        <v>1</v>
      </c>
      <c r="Q901" s="110" t="str">
        <f>IF(AND(Drops!$D$45&gt;1,OR(U901&lt;&gt;U900,AND(ROW()=5,U900=U901))),VLOOKUP(U901,Drops!$D$26:$E$44,2,FALSE),"")</f>
        <v/>
      </c>
      <c r="R901" s="2" t="str">
        <f t="shared" si="209"/>
        <v/>
      </c>
      <c r="S901" s="2">
        <f t="shared" ca="1" si="210"/>
        <v>1</v>
      </c>
      <c r="T901" s="2">
        <f t="shared" si="211"/>
        <v>0</v>
      </c>
      <c r="U901" s="110" t="s">
        <v>2694</v>
      </c>
      <c r="V901" s="110">
        <v>10</v>
      </c>
      <c r="W901" s="110">
        <v>5</v>
      </c>
      <c r="X901" s="110">
        <v>0</v>
      </c>
      <c r="Y901" s="110">
        <v>0</v>
      </c>
      <c r="Z901" s="110">
        <v>0</v>
      </c>
      <c r="AA901" s="2">
        <f t="shared" si="212"/>
        <v>1</v>
      </c>
      <c r="AB901" s="2">
        <f t="shared" si="213"/>
        <v>0</v>
      </c>
      <c r="AC901" s="2">
        <f t="shared" si="214"/>
        <v>1</v>
      </c>
      <c r="AD901" s="2">
        <f t="shared" si="215"/>
        <v>1</v>
      </c>
      <c r="AE901" s="2">
        <f t="shared" si="216"/>
        <v>0</v>
      </c>
      <c r="AF901" s="2">
        <f t="shared" si="217"/>
        <v>3</v>
      </c>
      <c r="AG901" s="2">
        <f t="shared" si="218"/>
        <v>3</v>
      </c>
      <c r="AH901" s="2">
        <f t="shared" si="219"/>
        <v>2</v>
      </c>
      <c r="AI901" s="2">
        <f t="shared" si="220"/>
        <v>2</v>
      </c>
      <c r="AJ901" s="2">
        <f t="shared" si="221"/>
        <v>0</v>
      </c>
      <c r="AK901" s="2">
        <f t="shared" si="222"/>
        <v>0</v>
      </c>
      <c r="AL901" s="2">
        <f t="shared" si="223"/>
        <v>0</v>
      </c>
      <c r="AM901" s="115"/>
      <c r="AN901" s="115"/>
      <c r="AO901" s="63"/>
    </row>
    <row r="902" spans="1:41" ht="43.2" x14ac:dyDescent="0.55000000000000004">
      <c r="A902" s="36">
        <v>4957</v>
      </c>
      <c r="B902" s="113" t="s">
        <v>2999</v>
      </c>
      <c r="C902" s="138" t="s">
        <v>3000</v>
      </c>
      <c r="D902" s="114" t="s">
        <v>52</v>
      </c>
      <c r="E902" s="115"/>
      <c r="F902" s="116"/>
      <c r="G902" s="113" t="s">
        <v>2982</v>
      </c>
      <c r="H902" s="113" t="s">
        <v>3001</v>
      </c>
      <c r="I902" s="113" t="s">
        <v>2790</v>
      </c>
      <c r="J902" s="117"/>
      <c r="K902" s="118"/>
      <c r="L902" s="109">
        <v>2</v>
      </c>
      <c r="M902" s="109">
        <v>3</v>
      </c>
      <c r="N902" s="109"/>
      <c r="O902" s="119"/>
      <c r="P902" s="2">
        <f t="shared" ref="P902:P965" si="224">IF($L902="","",IF($D902="Yes",1,IF($D902="No",2,IF($D902="N/A",3,0))))</f>
        <v>1</v>
      </c>
      <c r="Q902" s="110" t="str">
        <f>IF(AND(Drops!$D$45&gt;1,OR(U902&lt;&gt;U901,AND(ROW()=5,U901=U902))),VLOOKUP(U902,Drops!$D$26:$E$44,2,FALSE),"")</f>
        <v/>
      </c>
      <c r="R902" s="2" t="str">
        <f t="shared" ref="R902:R965" si="225">IF(Q902&lt;&gt;"",ROW(),"")</f>
        <v/>
      </c>
      <c r="S902" s="2">
        <f t="shared" ref="S902:S965" ca="1" si="226">OFFSET(AC902,,L902-1)</f>
        <v>1</v>
      </c>
      <c r="T902" s="2">
        <f t="shared" ref="T902:T965" si="227">IF(OR(V902&lt;&gt;V901,U902&lt;&gt;U901,AND(V902&lt;&gt;V901,W902&lt;&gt;W901),AND(V902&lt;&gt;V901,W902&lt;&gt;W901,X902&lt;&gt;X901),AND(V902&lt;&gt;V901,W902&lt;&gt;W901,X902&lt;&gt;X901,Y902&lt;&gt;Y901),AND(V902&lt;&gt;V901,W902&lt;&gt;W901,X902&lt;&gt;X901,Y902&lt;&gt;Y901,Z902&lt;&gt;Z901),L902-L901&gt;1),1,0)</f>
        <v>0</v>
      </c>
      <c r="U902" s="110" t="s">
        <v>2694</v>
      </c>
      <c r="V902" s="110">
        <v>10</v>
      </c>
      <c r="W902" s="110">
        <v>6</v>
      </c>
      <c r="X902" s="110">
        <v>0</v>
      </c>
      <c r="Y902" s="110">
        <v>0</v>
      </c>
      <c r="Z902" s="110">
        <v>0</v>
      </c>
      <c r="AA902" s="2">
        <f t="shared" ref="AA902:AA965" si="228">IF(ROW()=5,1,IF(OR(AH902=1,P902&gt;0,T902=1),1,IF(OR(AND(AH902=2,AI902=1),AND(AI902=2,AJ902=1),AND(AJ902=2,AK902=1),AND(AK902=2,AL902=1)),1,0)))</f>
        <v>1</v>
      </c>
      <c r="AB902" s="2">
        <f t="shared" ref="AB902:AB965" si="229">IF(L903&gt;L902,1,0)</f>
        <v>0</v>
      </c>
      <c r="AC902" s="2">
        <f t="shared" ref="AC902:AC965" si="230">IF(ROW()=5,P902,IF(AND($P902&gt;1,AC$4=$L902),$P902,IF(AND($U902=$U901,V902=V901),AC901,IF(AND($L902=AC$4,P902=1),P902,0))))</f>
        <v>1</v>
      </c>
      <c r="AD902" s="2">
        <f t="shared" ref="AD902:AD965" si="231">IF(AC902&gt;1,AC902,IF(AND($P902&gt;1,AD$4=$L902),$P902,IF(AND($U902=$U901,W902=W901),AD901,IF(AND($L902=AD$4,P902=1),P902,0))))</f>
        <v>1</v>
      </c>
      <c r="AE902" s="2">
        <f t="shared" ref="AE902:AE965" si="232">IF(AD902&gt;1,AD902,IF(AND($P902&gt;1,AE$4=$L902),$P902,IF(AND($U902=$U901,X902=X901),AE901,IF(AND($L902=AE$4,P902=1),P902,0))))</f>
        <v>0</v>
      </c>
      <c r="AF902" s="2">
        <f t="shared" ref="AF902:AF965" si="233">IF(AE902&gt;1,AE902,IF(AND($P902&gt;1,AF$4=$L902),$P902,IF(AND($U902=$U901,Y902=Y901),AF901,IF(AND($L902=AF$4,P902=1),P902,0))))</f>
        <v>3</v>
      </c>
      <c r="AG902" s="2">
        <f t="shared" ref="AG902:AG965" si="234">IF(AF902&gt;1,AF902,IF(AND($P902&gt;1,AG$4=$L902),$P902,IF(AND($U902=$U901,Z902=Z901),AG901,IF(AND($L902=AG$4,P902=1),P902,0))))</f>
        <v>3</v>
      </c>
      <c r="AH902" s="2">
        <f t="shared" ref="AH902:AH965" si="235">IF(AND($P902=1,$L902=AH$4),2,IF(AND($L902&lt;&gt;AH$4,AH901=2),AH901,IF($L902&lt;&gt;AH$4,0,1)))</f>
        <v>2</v>
      </c>
      <c r="AI902" s="2">
        <f t="shared" ref="AI902:AI965" si="236">IF(OR(ROW()=5,$U901&lt;&gt;$U902),0,IF(AND($P902=1,$L902=AI$4),2,IF(AND($L902&lt;&gt;AI$4,AI901=2),AI901,IF($L902&lt;&gt;AI$4,0,1))))</f>
        <v>2</v>
      </c>
      <c r="AJ902" s="2">
        <f t="shared" ref="AJ902:AJ965" si="237">IF(OR(ROW()=5,$U901&lt;&gt;$U902),0,IF(AND($P902=1,$L902=AJ$4),2,IF(AND($L902&lt;&gt;AJ$4,AJ901=2),AJ901,IF($L902&lt;&gt;AJ$4,0,1))))</f>
        <v>0</v>
      </c>
      <c r="AK902" s="2">
        <f t="shared" ref="AK902:AK965" si="238">IF(OR(ROW()=5,$U901&lt;&gt;$U902),0,IF(AND($P902=1,$L902=AK$4),2,IF(AND($L902&lt;&gt;AK$4,AK901=2),AK901,IF($L902&lt;&gt;AK$4,0,1))))</f>
        <v>0</v>
      </c>
      <c r="AL902" s="2">
        <f t="shared" ref="AL902:AL965" si="239">IF(OR(ROW()=5,$U901&lt;&gt;$U902),0,IF(AND($P902=1,$L902=AL$4),2,IF(AND($L902&lt;&gt;AL$4,AL901=2),AL901,IF($L902&lt;&gt;AL$4,0,1))))</f>
        <v>0</v>
      </c>
      <c r="AM902" s="115"/>
      <c r="AN902" s="115"/>
      <c r="AO902" s="63"/>
    </row>
    <row r="903" spans="1:41" ht="28.8" x14ac:dyDescent="0.55000000000000004">
      <c r="A903" s="36">
        <v>4958</v>
      </c>
      <c r="B903" s="113" t="s">
        <v>3002</v>
      </c>
      <c r="C903" s="138" t="s">
        <v>3003</v>
      </c>
      <c r="D903" s="114" t="s">
        <v>55</v>
      </c>
      <c r="E903" s="115"/>
      <c r="F903" s="116"/>
      <c r="G903" s="113" t="s">
        <v>2982</v>
      </c>
      <c r="H903" s="113" t="s">
        <v>3001</v>
      </c>
      <c r="I903" s="113" t="s">
        <v>2790</v>
      </c>
      <c r="J903" s="117"/>
      <c r="K903" s="118"/>
      <c r="L903" s="109">
        <v>2</v>
      </c>
      <c r="M903" s="109">
        <v>3</v>
      </c>
      <c r="N903" s="109"/>
      <c r="O903" s="119"/>
      <c r="P903" s="2">
        <f t="shared" si="224"/>
        <v>2</v>
      </c>
      <c r="Q903" s="110" t="str">
        <f>IF(AND(Drops!$D$45&gt;1,OR(U903&lt;&gt;U902,AND(ROW()=5,U902=U903))),VLOOKUP(U903,Drops!$D$26:$E$44,2,FALSE),"")</f>
        <v/>
      </c>
      <c r="R903" s="2" t="str">
        <f t="shared" si="225"/>
        <v/>
      </c>
      <c r="S903" s="2">
        <f t="shared" ca="1" si="226"/>
        <v>2</v>
      </c>
      <c r="T903" s="2">
        <f t="shared" si="227"/>
        <v>0</v>
      </c>
      <c r="U903" s="110" t="s">
        <v>2694</v>
      </c>
      <c r="V903" s="110">
        <v>10</v>
      </c>
      <c r="W903" s="110">
        <v>7</v>
      </c>
      <c r="X903" s="110">
        <v>0</v>
      </c>
      <c r="Y903" s="110">
        <v>0</v>
      </c>
      <c r="Z903" s="110">
        <v>0</v>
      </c>
      <c r="AA903" s="2">
        <f t="shared" si="228"/>
        <v>1</v>
      </c>
      <c r="AB903" s="2">
        <f t="shared" si="229"/>
        <v>0</v>
      </c>
      <c r="AC903" s="2">
        <f t="shared" si="230"/>
        <v>1</v>
      </c>
      <c r="AD903" s="2">
        <f t="shared" si="231"/>
        <v>2</v>
      </c>
      <c r="AE903" s="2">
        <f t="shared" si="232"/>
        <v>2</v>
      </c>
      <c r="AF903" s="2">
        <f t="shared" si="233"/>
        <v>2</v>
      </c>
      <c r="AG903" s="2">
        <f t="shared" si="234"/>
        <v>2</v>
      </c>
      <c r="AH903" s="2">
        <f t="shared" si="235"/>
        <v>2</v>
      </c>
      <c r="AI903" s="2">
        <f t="shared" si="236"/>
        <v>1</v>
      </c>
      <c r="AJ903" s="2">
        <f t="shared" si="237"/>
        <v>0</v>
      </c>
      <c r="AK903" s="2">
        <f t="shared" si="238"/>
        <v>0</v>
      </c>
      <c r="AL903" s="2">
        <f t="shared" si="239"/>
        <v>0</v>
      </c>
      <c r="AM903" s="115"/>
      <c r="AN903" s="115"/>
      <c r="AO903" s="63"/>
    </row>
    <row r="904" spans="1:41" ht="28.8" x14ac:dyDescent="0.55000000000000004">
      <c r="A904" s="36">
        <v>5923</v>
      </c>
      <c r="B904" s="113" t="s">
        <v>3004</v>
      </c>
      <c r="C904" s="138" t="s">
        <v>3005</v>
      </c>
      <c r="D904" s="114" t="s">
        <v>52</v>
      </c>
      <c r="E904" s="115"/>
      <c r="F904" s="116"/>
      <c r="G904" s="113" t="s">
        <v>2982</v>
      </c>
      <c r="H904" s="113" t="s">
        <v>2752</v>
      </c>
      <c r="I904" s="113" t="s">
        <v>2790</v>
      </c>
      <c r="J904" s="117" t="s">
        <v>2182</v>
      </c>
      <c r="K904" s="118"/>
      <c r="L904" s="109">
        <v>2</v>
      </c>
      <c r="M904" s="109">
        <v>3</v>
      </c>
      <c r="N904" s="109"/>
      <c r="O904" s="119"/>
      <c r="P904" s="2">
        <f t="shared" si="224"/>
        <v>1</v>
      </c>
      <c r="Q904" s="110" t="str">
        <f>IF(AND(Drops!$D$45&gt;1,OR(U904&lt;&gt;U903,AND(ROW()=5,U903=U904))),VLOOKUP(U904,Drops!$D$26:$E$44,2,FALSE),"")</f>
        <v/>
      </c>
      <c r="R904" s="2" t="str">
        <f t="shared" si="225"/>
        <v/>
      </c>
      <c r="S904" s="2">
        <f t="shared" ca="1" si="226"/>
        <v>1</v>
      </c>
      <c r="T904" s="2">
        <f t="shared" si="227"/>
        <v>0</v>
      </c>
      <c r="U904" s="110" t="s">
        <v>2694</v>
      </c>
      <c r="V904" s="110">
        <v>10</v>
      </c>
      <c r="W904" s="110">
        <v>8</v>
      </c>
      <c r="X904" s="110">
        <v>0</v>
      </c>
      <c r="Y904" s="110">
        <v>0</v>
      </c>
      <c r="Z904" s="110">
        <v>0</v>
      </c>
      <c r="AA904" s="2">
        <f t="shared" si="228"/>
        <v>1</v>
      </c>
      <c r="AB904" s="2">
        <f t="shared" si="229"/>
        <v>0</v>
      </c>
      <c r="AC904" s="2">
        <f t="shared" si="230"/>
        <v>1</v>
      </c>
      <c r="AD904" s="2">
        <f t="shared" si="231"/>
        <v>1</v>
      </c>
      <c r="AE904" s="2">
        <f t="shared" si="232"/>
        <v>2</v>
      </c>
      <c r="AF904" s="2">
        <f t="shared" si="233"/>
        <v>2</v>
      </c>
      <c r="AG904" s="2">
        <f t="shared" si="234"/>
        <v>2</v>
      </c>
      <c r="AH904" s="2">
        <f t="shared" si="235"/>
        <v>2</v>
      </c>
      <c r="AI904" s="2">
        <f t="shared" si="236"/>
        <v>2</v>
      </c>
      <c r="AJ904" s="2">
        <f t="shared" si="237"/>
        <v>0</v>
      </c>
      <c r="AK904" s="2">
        <f t="shared" si="238"/>
        <v>0</v>
      </c>
      <c r="AL904" s="2">
        <f t="shared" si="239"/>
        <v>0</v>
      </c>
      <c r="AM904" s="115"/>
      <c r="AN904" s="115"/>
      <c r="AO904" s="63"/>
    </row>
    <row r="905" spans="1:41" ht="57.6" x14ac:dyDescent="0.55000000000000004">
      <c r="A905" s="36">
        <v>5924</v>
      </c>
      <c r="B905" s="113" t="s">
        <v>3006</v>
      </c>
      <c r="C905" s="138" t="s">
        <v>3007</v>
      </c>
      <c r="D905" s="114" t="s">
        <v>52</v>
      </c>
      <c r="E905" s="115" t="s">
        <v>3008</v>
      </c>
      <c r="F905" s="116"/>
      <c r="G905" s="113" t="s">
        <v>2982</v>
      </c>
      <c r="H905" s="113" t="s">
        <v>2752</v>
      </c>
      <c r="I905" s="113" t="s">
        <v>2790</v>
      </c>
      <c r="J905" s="117"/>
      <c r="K905" s="118"/>
      <c r="L905" s="109">
        <v>2</v>
      </c>
      <c r="M905" s="109">
        <v>3</v>
      </c>
      <c r="N905" s="109"/>
      <c r="O905" s="119"/>
      <c r="P905" s="2">
        <f t="shared" si="224"/>
        <v>1</v>
      </c>
      <c r="Q905" s="110" t="str">
        <f>IF(AND(Drops!$D$45&gt;1,OR(U905&lt;&gt;U904,AND(ROW()=5,U904=U905))),VLOOKUP(U905,Drops!$D$26:$E$44,2,FALSE),"")</f>
        <v/>
      </c>
      <c r="R905" s="2" t="str">
        <f t="shared" si="225"/>
        <v/>
      </c>
      <c r="S905" s="2">
        <f t="shared" ca="1" si="226"/>
        <v>1</v>
      </c>
      <c r="T905" s="2">
        <f t="shared" si="227"/>
        <v>0</v>
      </c>
      <c r="U905" s="110" t="s">
        <v>2694</v>
      </c>
      <c r="V905" s="110">
        <v>10</v>
      </c>
      <c r="W905" s="110">
        <v>9</v>
      </c>
      <c r="X905" s="110">
        <v>0</v>
      </c>
      <c r="Y905" s="110">
        <v>0</v>
      </c>
      <c r="Z905" s="110">
        <v>0</v>
      </c>
      <c r="AA905" s="2">
        <f t="shared" si="228"/>
        <v>1</v>
      </c>
      <c r="AB905" s="2">
        <f t="shared" si="229"/>
        <v>0</v>
      </c>
      <c r="AC905" s="2">
        <f t="shared" si="230"/>
        <v>1</v>
      </c>
      <c r="AD905" s="2">
        <f t="shared" si="231"/>
        <v>1</v>
      </c>
      <c r="AE905" s="2">
        <f t="shared" si="232"/>
        <v>2</v>
      </c>
      <c r="AF905" s="2">
        <f t="shared" si="233"/>
        <v>2</v>
      </c>
      <c r="AG905" s="2">
        <f t="shared" si="234"/>
        <v>2</v>
      </c>
      <c r="AH905" s="2">
        <f t="shared" si="235"/>
        <v>2</v>
      </c>
      <c r="AI905" s="2">
        <f t="shared" si="236"/>
        <v>2</v>
      </c>
      <c r="AJ905" s="2">
        <f t="shared" si="237"/>
        <v>0</v>
      </c>
      <c r="AK905" s="2">
        <f t="shared" si="238"/>
        <v>0</v>
      </c>
      <c r="AL905" s="2">
        <f t="shared" si="239"/>
        <v>0</v>
      </c>
      <c r="AM905" s="115"/>
      <c r="AN905" s="115"/>
      <c r="AO905" s="63"/>
    </row>
    <row r="906" spans="1:41" ht="43.2" x14ac:dyDescent="0.55000000000000004">
      <c r="A906" s="36">
        <v>5925</v>
      </c>
      <c r="B906" s="113" t="s">
        <v>3009</v>
      </c>
      <c r="C906" s="138" t="s">
        <v>3010</v>
      </c>
      <c r="D906" s="114" t="s">
        <v>52</v>
      </c>
      <c r="E906" s="115" t="s">
        <v>3011</v>
      </c>
      <c r="F906" s="116"/>
      <c r="G906" s="113" t="s">
        <v>2982</v>
      </c>
      <c r="H906" s="113" t="s">
        <v>2752</v>
      </c>
      <c r="I906" s="113" t="s">
        <v>2790</v>
      </c>
      <c r="J906" s="117"/>
      <c r="K906" s="118"/>
      <c r="L906" s="109">
        <v>2</v>
      </c>
      <c r="M906" s="109">
        <v>3</v>
      </c>
      <c r="N906" s="109"/>
      <c r="O906" s="119"/>
      <c r="P906" s="2">
        <f t="shared" si="224"/>
        <v>1</v>
      </c>
      <c r="Q906" s="110" t="str">
        <f>IF(AND(Drops!$D$45&gt;1,OR(U906&lt;&gt;U905,AND(ROW()=5,U905=U906))),VLOOKUP(U906,Drops!$D$26:$E$44,2,FALSE),"")</f>
        <v/>
      </c>
      <c r="R906" s="2" t="str">
        <f t="shared" si="225"/>
        <v/>
      </c>
      <c r="S906" s="2">
        <f t="shared" ca="1" si="226"/>
        <v>1</v>
      </c>
      <c r="T906" s="2">
        <f t="shared" si="227"/>
        <v>0</v>
      </c>
      <c r="U906" s="110" t="s">
        <v>2694</v>
      </c>
      <c r="V906" s="110">
        <v>10</v>
      </c>
      <c r="W906" s="110">
        <v>10</v>
      </c>
      <c r="X906" s="110">
        <v>0</v>
      </c>
      <c r="Y906" s="110">
        <v>0</v>
      </c>
      <c r="Z906" s="110">
        <v>0</v>
      </c>
      <c r="AA906" s="2">
        <f t="shared" si="228"/>
        <v>1</v>
      </c>
      <c r="AB906" s="2">
        <f t="shared" si="229"/>
        <v>0</v>
      </c>
      <c r="AC906" s="2">
        <f t="shared" si="230"/>
        <v>1</v>
      </c>
      <c r="AD906" s="2">
        <f t="shared" si="231"/>
        <v>1</v>
      </c>
      <c r="AE906" s="2">
        <f t="shared" si="232"/>
        <v>2</v>
      </c>
      <c r="AF906" s="2">
        <f t="shared" si="233"/>
        <v>2</v>
      </c>
      <c r="AG906" s="2">
        <f t="shared" si="234"/>
        <v>2</v>
      </c>
      <c r="AH906" s="2">
        <f t="shared" si="235"/>
        <v>2</v>
      </c>
      <c r="AI906" s="2">
        <f t="shared" si="236"/>
        <v>2</v>
      </c>
      <c r="AJ906" s="2">
        <f t="shared" si="237"/>
        <v>0</v>
      </c>
      <c r="AK906" s="2">
        <f t="shared" si="238"/>
        <v>0</v>
      </c>
      <c r="AL906" s="2">
        <f t="shared" si="239"/>
        <v>0</v>
      </c>
      <c r="AM906" s="115"/>
      <c r="AN906" s="115"/>
      <c r="AO906" s="63"/>
    </row>
    <row r="907" spans="1:41" ht="28.8" x14ac:dyDescent="0.55000000000000004">
      <c r="A907" s="36">
        <v>5926</v>
      </c>
      <c r="B907" s="113" t="s">
        <v>3012</v>
      </c>
      <c r="C907" s="138" t="s">
        <v>3013</v>
      </c>
      <c r="D907" s="114" t="s">
        <v>55</v>
      </c>
      <c r="E907" s="115"/>
      <c r="F907" s="116"/>
      <c r="G907" s="113" t="s">
        <v>2982</v>
      </c>
      <c r="H907" s="113" t="s">
        <v>2752</v>
      </c>
      <c r="I907" s="113" t="s">
        <v>2790</v>
      </c>
      <c r="J907" s="117"/>
      <c r="K907" s="118"/>
      <c r="L907" s="109">
        <v>2</v>
      </c>
      <c r="M907" s="109">
        <v>3</v>
      </c>
      <c r="N907" s="109"/>
      <c r="O907" s="119"/>
      <c r="P907" s="2">
        <f t="shared" si="224"/>
        <v>2</v>
      </c>
      <c r="Q907" s="110" t="str">
        <f>IF(AND(Drops!$D$45&gt;1,OR(U907&lt;&gt;U906,AND(ROW()=5,U906=U907))),VLOOKUP(U907,Drops!$D$26:$E$44,2,FALSE),"")</f>
        <v/>
      </c>
      <c r="R907" s="2" t="str">
        <f t="shared" si="225"/>
        <v/>
      </c>
      <c r="S907" s="2">
        <f t="shared" ca="1" si="226"/>
        <v>2</v>
      </c>
      <c r="T907" s="2">
        <f t="shared" si="227"/>
        <v>0</v>
      </c>
      <c r="U907" s="110" t="s">
        <v>2694</v>
      </c>
      <c r="V907" s="110">
        <v>10</v>
      </c>
      <c r="W907" s="110">
        <v>11</v>
      </c>
      <c r="X907" s="110">
        <v>0</v>
      </c>
      <c r="Y907" s="110">
        <v>0</v>
      </c>
      <c r="Z907" s="110">
        <v>0</v>
      </c>
      <c r="AA907" s="2">
        <f t="shared" si="228"/>
        <v>1</v>
      </c>
      <c r="AB907" s="2">
        <f t="shared" si="229"/>
        <v>0</v>
      </c>
      <c r="AC907" s="2">
        <f t="shared" si="230"/>
        <v>1</v>
      </c>
      <c r="AD907" s="2">
        <f t="shared" si="231"/>
        <v>2</v>
      </c>
      <c r="AE907" s="2">
        <f t="shared" si="232"/>
        <v>2</v>
      </c>
      <c r="AF907" s="2">
        <f t="shared" si="233"/>
        <v>2</v>
      </c>
      <c r="AG907" s="2">
        <f t="shared" si="234"/>
        <v>2</v>
      </c>
      <c r="AH907" s="2">
        <f t="shared" si="235"/>
        <v>2</v>
      </c>
      <c r="AI907" s="2">
        <f t="shared" si="236"/>
        <v>1</v>
      </c>
      <c r="AJ907" s="2">
        <f t="shared" si="237"/>
        <v>0</v>
      </c>
      <c r="AK907" s="2">
        <f t="shared" si="238"/>
        <v>0</v>
      </c>
      <c r="AL907" s="2">
        <f t="shared" si="239"/>
        <v>0</v>
      </c>
      <c r="AM907" s="115"/>
      <c r="AN907" s="115"/>
      <c r="AO907" s="63"/>
    </row>
    <row r="908" spans="1:41" ht="28.8" x14ac:dyDescent="0.55000000000000004">
      <c r="A908" s="36">
        <v>5927</v>
      </c>
      <c r="B908" s="113" t="s">
        <v>3014</v>
      </c>
      <c r="C908" s="138" t="s">
        <v>3015</v>
      </c>
      <c r="D908" s="114" t="s">
        <v>55</v>
      </c>
      <c r="E908" s="115"/>
      <c r="F908" s="116"/>
      <c r="G908" s="113" t="s">
        <v>2982</v>
      </c>
      <c r="H908" s="113" t="s">
        <v>2752</v>
      </c>
      <c r="I908" s="113" t="s">
        <v>2790</v>
      </c>
      <c r="J908" s="117"/>
      <c r="K908" s="118"/>
      <c r="L908" s="109">
        <v>2</v>
      </c>
      <c r="M908" s="109">
        <v>3</v>
      </c>
      <c r="N908" s="109"/>
      <c r="O908" s="119"/>
      <c r="P908" s="2">
        <f t="shared" si="224"/>
        <v>2</v>
      </c>
      <c r="Q908" s="110" t="str">
        <f>IF(AND(Drops!$D$45&gt;1,OR(U908&lt;&gt;U907,AND(ROW()=5,U907=U908))),VLOOKUP(U908,Drops!$D$26:$E$44,2,FALSE),"")</f>
        <v/>
      </c>
      <c r="R908" s="2" t="str">
        <f t="shared" si="225"/>
        <v/>
      </c>
      <c r="S908" s="2">
        <f t="shared" ca="1" si="226"/>
        <v>2</v>
      </c>
      <c r="T908" s="2">
        <f t="shared" si="227"/>
        <v>0</v>
      </c>
      <c r="U908" s="110" t="s">
        <v>2694</v>
      </c>
      <c r="V908" s="110">
        <v>10</v>
      </c>
      <c r="W908" s="110">
        <v>12</v>
      </c>
      <c r="X908" s="110">
        <v>0</v>
      </c>
      <c r="Y908" s="110">
        <v>0</v>
      </c>
      <c r="Z908" s="110">
        <v>0</v>
      </c>
      <c r="AA908" s="2">
        <f t="shared" si="228"/>
        <v>1</v>
      </c>
      <c r="AB908" s="2">
        <f t="shared" si="229"/>
        <v>0</v>
      </c>
      <c r="AC908" s="2">
        <f t="shared" si="230"/>
        <v>1</v>
      </c>
      <c r="AD908" s="2">
        <f t="shared" si="231"/>
        <v>2</v>
      </c>
      <c r="AE908" s="2">
        <f t="shared" si="232"/>
        <v>2</v>
      </c>
      <c r="AF908" s="2">
        <f t="shared" si="233"/>
        <v>2</v>
      </c>
      <c r="AG908" s="2">
        <f t="shared" si="234"/>
        <v>2</v>
      </c>
      <c r="AH908" s="2">
        <f t="shared" si="235"/>
        <v>2</v>
      </c>
      <c r="AI908" s="2">
        <f t="shared" si="236"/>
        <v>1</v>
      </c>
      <c r="AJ908" s="2">
        <f t="shared" si="237"/>
        <v>0</v>
      </c>
      <c r="AK908" s="2">
        <f t="shared" si="238"/>
        <v>0</v>
      </c>
      <c r="AL908" s="2">
        <f t="shared" si="239"/>
        <v>0</v>
      </c>
      <c r="AM908" s="115"/>
      <c r="AN908" s="115"/>
      <c r="AO908" s="63"/>
    </row>
    <row r="909" spans="1:41" ht="43.2" x14ac:dyDescent="0.55000000000000004">
      <c r="A909" s="36">
        <v>5928</v>
      </c>
      <c r="B909" s="113" t="s">
        <v>3016</v>
      </c>
      <c r="C909" s="138" t="s">
        <v>3017</v>
      </c>
      <c r="D909" s="114" t="s">
        <v>55</v>
      </c>
      <c r="E909" s="115"/>
      <c r="F909" s="116"/>
      <c r="G909" s="113" t="s">
        <v>2982</v>
      </c>
      <c r="H909" s="113" t="s">
        <v>2752</v>
      </c>
      <c r="I909" s="113" t="s">
        <v>2790</v>
      </c>
      <c r="J909" s="117"/>
      <c r="K909" s="118"/>
      <c r="L909" s="109">
        <v>2</v>
      </c>
      <c r="M909" s="109">
        <v>3</v>
      </c>
      <c r="N909" s="109"/>
      <c r="O909" s="119"/>
      <c r="P909" s="2">
        <f t="shared" si="224"/>
        <v>2</v>
      </c>
      <c r="Q909" s="110" t="str">
        <f>IF(AND(Drops!$D$45&gt;1,OR(U909&lt;&gt;U908,AND(ROW()=5,U908=U909))),VLOOKUP(U909,Drops!$D$26:$E$44,2,FALSE),"")</f>
        <v/>
      </c>
      <c r="R909" s="2" t="str">
        <f t="shared" si="225"/>
        <v/>
      </c>
      <c r="S909" s="2">
        <f t="shared" ca="1" si="226"/>
        <v>2</v>
      </c>
      <c r="T909" s="2">
        <f t="shared" si="227"/>
        <v>0</v>
      </c>
      <c r="U909" s="110" t="s">
        <v>2694</v>
      </c>
      <c r="V909" s="110">
        <v>10</v>
      </c>
      <c r="W909" s="110">
        <v>13</v>
      </c>
      <c r="X909" s="110">
        <v>0</v>
      </c>
      <c r="Y909" s="110">
        <v>0</v>
      </c>
      <c r="Z909" s="110">
        <v>0</v>
      </c>
      <c r="AA909" s="2">
        <f t="shared" si="228"/>
        <v>1</v>
      </c>
      <c r="AB909" s="2">
        <f t="shared" si="229"/>
        <v>0</v>
      </c>
      <c r="AC909" s="2">
        <f t="shared" si="230"/>
        <v>1</v>
      </c>
      <c r="AD909" s="2">
        <f t="shared" si="231"/>
        <v>2</v>
      </c>
      <c r="AE909" s="2">
        <f t="shared" si="232"/>
        <v>2</v>
      </c>
      <c r="AF909" s="2">
        <f t="shared" si="233"/>
        <v>2</v>
      </c>
      <c r="AG909" s="2">
        <f t="shared" si="234"/>
        <v>2</v>
      </c>
      <c r="AH909" s="2">
        <f t="shared" si="235"/>
        <v>2</v>
      </c>
      <c r="AI909" s="2">
        <f t="shared" si="236"/>
        <v>1</v>
      </c>
      <c r="AJ909" s="2">
        <f t="shared" si="237"/>
        <v>0</v>
      </c>
      <c r="AK909" s="2">
        <f t="shared" si="238"/>
        <v>0</v>
      </c>
      <c r="AL909" s="2">
        <f t="shared" si="239"/>
        <v>0</v>
      </c>
      <c r="AM909" s="115"/>
      <c r="AN909" s="115"/>
      <c r="AO909" s="63"/>
    </row>
    <row r="910" spans="1:41" ht="14.4" x14ac:dyDescent="0.55000000000000004">
      <c r="A910" s="36">
        <v>4534</v>
      </c>
      <c r="B910" s="113" t="s">
        <v>411</v>
      </c>
      <c r="C910" s="113" t="s">
        <v>3018</v>
      </c>
      <c r="D910" s="114" t="s">
        <v>52</v>
      </c>
      <c r="E910" s="115"/>
      <c r="F910" s="116"/>
      <c r="G910" s="113" t="s">
        <v>2460</v>
      </c>
      <c r="H910" s="113" t="s">
        <v>910</v>
      </c>
      <c r="I910" s="113"/>
      <c r="J910" s="117"/>
      <c r="K910" s="118"/>
      <c r="L910" s="109">
        <v>1</v>
      </c>
      <c r="M910" s="109">
        <v>1</v>
      </c>
      <c r="N910" s="109"/>
      <c r="O910" s="119"/>
      <c r="P910" s="2">
        <f t="shared" si="224"/>
        <v>1</v>
      </c>
      <c r="Q910" s="110" t="str">
        <f>IF(AND(Drops!$D$45&gt;1,OR(U910&lt;&gt;U909,AND(ROW()=5,U909=U910))),VLOOKUP(U910,Drops!$D$26:$E$44,2,FALSE),"")</f>
        <v>T. Threat Management</v>
      </c>
      <c r="R910" s="2">
        <f t="shared" si="225"/>
        <v>910</v>
      </c>
      <c r="S910" s="2">
        <f t="shared" ca="1" si="226"/>
        <v>1</v>
      </c>
      <c r="T910" s="2">
        <f t="shared" si="227"/>
        <v>1</v>
      </c>
      <c r="U910" s="110" t="s">
        <v>3019</v>
      </c>
      <c r="V910" s="110">
        <v>1</v>
      </c>
      <c r="W910" s="110">
        <v>0</v>
      </c>
      <c r="X910" s="110">
        <v>0</v>
      </c>
      <c r="Y910" s="110">
        <v>0</v>
      </c>
      <c r="Z910" s="110">
        <v>0</v>
      </c>
      <c r="AA910" s="2">
        <f t="shared" si="228"/>
        <v>1</v>
      </c>
      <c r="AB910" s="2">
        <f t="shared" si="229"/>
        <v>1</v>
      </c>
      <c r="AC910" s="2">
        <f t="shared" si="230"/>
        <v>1</v>
      </c>
      <c r="AD910" s="2">
        <f t="shared" si="231"/>
        <v>0</v>
      </c>
      <c r="AE910" s="2">
        <f t="shared" si="232"/>
        <v>0</v>
      </c>
      <c r="AF910" s="2">
        <f t="shared" si="233"/>
        <v>0</v>
      </c>
      <c r="AG910" s="2">
        <f t="shared" si="234"/>
        <v>0</v>
      </c>
      <c r="AH910" s="2">
        <f t="shared" si="235"/>
        <v>2</v>
      </c>
      <c r="AI910" s="2">
        <f t="shared" si="236"/>
        <v>0</v>
      </c>
      <c r="AJ910" s="2">
        <f t="shared" si="237"/>
        <v>0</v>
      </c>
      <c r="AK910" s="2">
        <f t="shared" si="238"/>
        <v>0</v>
      </c>
      <c r="AL910" s="2">
        <f t="shared" si="239"/>
        <v>0</v>
      </c>
      <c r="AM910" s="115"/>
      <c r="AN910" s="115"/>
      <c r="AO910" s="63"/>
    </row>
    <row r="911" spans="1:41" ht="43.2" x14ac:dyDescent="0.55000000000000004">
      <c r="A911" s="36">
        <v>895</v>
      </c>
      <c r="B911" s="113" t="s">
        <v>3020</v>
      </c>
      <c r="C911" s="138" t="s">
        <v>3021</v>
      </c>
      <c r="D911" s="114" t="s">
        <v>52</v>
      </c>
      <c r="E911" s="115" t="s">
        <v>3022</v>
      </c>
      <c r="F911" s="116"/>
      <c r="G911" s="113" t="s">
        <v>2460</v>
      </c>
      <c r="H911" s="113" t="s">
        <v>3023</v>
      </c>
      <c r="I911" s="113" t="s">
        <v>3024</v>
      </c>
      <c r="J911" s="117" t="s">
        <v>2467</v>
      </c>
      <c r="K911" s="118"/>
      <c r="L911" s="109">
        <v>2</v>
      </c>
      <c r="M911" s="109">
        <v>2</v>
      </c>
      <c r="N911" s="109"/>
      <c r="O911" s="119"/>
      <c r="P911" s="2">
        <f t="shared" si="224"/>
        <v>1</v>
      </c>
      <c r="Q911" s="110" t="str">
        <f>IF(AND(Drops!$D$45&gt;1,OR(U911&lt;&gt;U910,AND(ROW()=5,U910=U911))),VLOOKUP(U911,Drops!$D$26:$E$44,2,FALSE),"")</f>
        <v/>
      </c>
      <c r="R911" s="2" t="str">
        <f t="shared" si="225"/>
        <v/>
      </c>
      <c r="S911" s="2">
        <f t="shared" ca="1" si="226"/>
        <v>1</v>
      </c>
      <c r="T911" s="2">
        <f t="shared" si="227"/>
        <v>0</v>
      </c>
      <c r="U911" s="110" t="s">
        <v>3019</v>
      </c>
      <c r="V911" s="110">
        <v>1</v>
      </c>
      <c r="W911" s="110">
        <v>1</v>
      </c>
      <c r="X911" s="110">
        <v>0</v>
      </c>
      <c r="Y911" s="110">
        <v>0</v>
      </c>
      <c r="Z911" s="110">
        <v>0</v>
      </c>
      <c r="AA911" s="2">
        <f t="shared" si="228"/>
        <v>1</v>
      </c>
      <c r="AB911" s="2">
        <f t="shared" si="229"/>
        <v>1</v>
      </c>
      <c r="AC911" s="2">
        <f t="shared" si="230"/>
        <v>1</v>
      </c>
      <c r="AD911" s="2">
        <f t="shared" si="231"/>
        <v>1</v>
      </c>
      <c r="AE911" s="2">
        <f t="shared" si="232"/>
        <v>0</v>
      </c>
      <c r="AF911" s="2">
        <f t="shared" si="233"/>
        <v>0</v>
      </c>
      <c r="AG911" s="2">
        <f t="shared" si="234"/>
        <v>0</v>
      </c>
      <c r="AH911" s="2">
        <f t="shared" si="235"/>
        <v>2</v>
      </c>
      <c r="AI911" s="2">
        <f t="shared" si="236"/>
        <v>2</v>
      </c>
      <c r="AJ911" s="2">
        <f t="shared" si="237"/>
        <v>0</v>
      </c>
      <c r="AK911" s="2">
        <f t="shared" si="238"/>
        <v>0</v>
      </c>
      <c r="AL911" s="2">
        <f t="shared" si="239"/>
        <v>0</v>
      </c>
      <c r="AM911" s="115"/>
      <c r="AN911" s="115"/>
      <c r="AO911" s="63"/>
    </row>
    <row r="912" spans="1:41" ht="28.8" x14ac:dyDescent="0.55000000000000004">
      <c r="A912" s="36">
        <v>4343</v>
      </c>
      <c r="B912" s="113" t="s">
        <v>3025</v>
      </c>
      <c r="C912" s="139" t="s">
        <v>3026</v>
      </c>
      <c r="D912" s="114" t="s">
        <v>52</v>
      </c>
      <c r="E912" s="115"/>
      <c r="F912" s="116"/>
      <c r="G912" s="113" t="s">
        <v>2460</v>
      </c>
      <c r="H912" s="113" t="s">
        <v>3023</v>
      </c>
      <c r="I912" s="113" t="s">
        <v>3024</v>
      </c>
      <c r="J912" s="117" t="s">
        <v>2467</v>
      </c>
      <c r="K912" s="118"/>
      <c r="L912" s="109">
        <v>3</v>
      </c>
      <c r="M912" s="109">
        <v>2</v>
      </c>
      <c r="N912" s="109"/>
      <c r="O912" s="119"/>
      <c r="P912" s="2">
        <f t="shared" si="224"/>
        <v>1</v>
      </c>
      <c r="Q912" s="110" t="str">
        <f>IF(AND(Drops!$D$45&gt;1,OR(U912&lt;&gt;U911,AND(ROW()=5,U911=U912))),VLOOKUP(U912,Drops!$D$26:$E$44,2,FALSE),"")</f>
        <v/>
      </c>
      <c r="R912" s="2" t="str">
        <f t="shared" si="225"/>
        <v/>
      </c>
      <c r="S912" s="2">
        <f t="shared" ca="1" si="226"/>
        <v>1</v>
      </c>
      <c r="T912" s="2">
        <f t="shared" si="227"/>
        <v>0</v>
      </c>
      <c r="U912" s="110" t="s">
        <v>3019</v>
      </c>
      <c r="V912" s="110">
        <v>1</v>
      </c>
      <c r="W912" s="110">
        <v>1</v>
      </c>
      <c r="X912" s="110">
        <v>1</v>
      </c>
      <c r="Y912" s="110">
        <v>0</v>
      </c>
      <c r="Z912" s="110">
        <v>0</v>
      </c>
      <c r="AA912" s="2">
        <f t="shared" si="228"/>
        <v>1</v>
      </c>
      <c r="AB912" s="2">
        <f t="shared" si="229"/>
        <v>0</v>
      </c>
      <c r="AC912" s="2">
        <f t="shared" si="230"/>
        <v>1</v>
      </c>
      <c r="AD912" s="2">
        <f t="shared" si="231"/>
        <v>1</v>
      </c>
      <c r="AE912" s="2">
        <f t="shared" si="232"/>
        <v>1</v>
      </c>
      <c r="AF912" s="2">
        <f t="shared" si="233"/>
        <v>0</v>
      </c>
      <c r="AG912" s="2">
        <f t="shared" si="234"/>
        <v>0</v>
      </c>
      <c r="AH912" s="2">
        <f t="shared" si="235"/>
        <v>2</v>
      </c>
      <c r="AI912" s="2">
        <f t="shared" si="236"/>
        <v>2</v>
      </c>
      <c r="AJ912" s="2">
        <f t="shared" si="237"/>
        <v>2</v>
      </c>
      <c r="AK912" s="2">
        <f t="shared" si="238"/>
        <v>0</v>
      </c>
      <c r="AL912" s="2">
        <f t="shared" si="239"/>
        <v>0</v>
      </c>
      <c r="AM912" s="115"/>
      <c r="AN912" s="115"/>
      <c r="AO912" s="63"/>
    </row>
    <row r="913" spans="1:41" ht="28.8" x14ac:dyDescent="0.55000000000000004">
      <c r="A913" s="36">
        <v>4344</v>
      </c>
      <c r="B913" s="113" t="s">
        <v>3027</v>
      </c>
      <c r="C913" s="139" t="s">
        <v>3028</v>
      </c>
      <c r="D913" s="114" t="s">
        <v>52</v>
      </c>
      <c r="E913" s="115"/>
      <c r="F913" s="116"/>
      <c r="G913" s="113" t="s">
        <v>2460</v>
      </c>
      <c r="H913" s="113" t="s">
        <v>3023</v>
      </c>
      <c r="I913" s="113" t="s">
        <v>3024</v>
      </c>
      <c r="J913" s="117" t="s">
        <v>2467</v>
      </c>
      <c r="K913" s="118"/>
      <c r="L913" s="109">
        <v>3</v>
      </c>
      <c r="M913" s="109">
        <v>3</v>
      </c>
      <c r="N913" s="109"/>
      <c r="O913" s="119"/>
      <c r="P913" s="2">
        <f t="shared" si="224"/>
        <v>1</v>
      </c>
      <c r="Q913" s="110" t="str">
        <f>IF(AND(Drops!$D$45&gt;1,OR(U913&lt;&gt;U912,AND(ROW()=5,U912=U913))),VLOOKUP(U913,Drops!$D$26:$E$44,2,FALSE),"")</f>
        <v/>
      </c>
      <c r="R913" s="2" t="str">
        <f t="shared" si="225"/>
        <v/>
      </c>
      <c r="S913" s="2">
        <f t="shared" ca="1" si="226"/>
        <v>1</v>
      </c>
      <c r="T913" s="2">
        <f t="shared" si="227"/>
        <v>0</v>
      </c>
      <c r="U913" s="110" t="s">
        <v>3019</v>
      </c>
      <c r="V913" s="110">
        <v>1</v>
      </c>
      <c r="W913" s="110">
        <v>1</v>
      </c>
      <c r="X913" s="110">
        <v>2</v>
      </c>
      <c r="Y913" s="110">
        <v>0</v>
      </c>
      <c r="Z913" s="110">
        <v>0</v>
      </c>
      <c r="AA913" s="2">
        <f t="shared" si="228"/>
        <v>1</v>
      </c>
      <c r="AB913" s="2">
        <f t="shared" si="229"/>
        <v>0</v>
      </c>
      <c r="AC913" s="2">
        <f t="shared" si="230"/>
        <v>1</v>
      </c>
      <c r="AD913" s="2">
        <f t="shared" si="231"/>
        <v>1</v>
      </c>
      <c r="AE913" s="2">
        <f t="shared" si="232"/>
        <v>1</v>
      </c>
      <c r="AF913" s="2">
        <f t="shared" si="233"/>
        <v>0</v>
      </c>
      <c r="AG913" s="2">
        <f t="shared" si="234"/>
        <v>0</v>
      </c>
      <c r="AH913" s="2">
        <f t="shared" si="235"/>
        <v>2</v>
      </c>
      <c r="AI913" s="2">
        <f t="shared" si="236"/>
        <v>2</v>
      </c>
      <c r="AJ913" s="2">
        <f t="shared" si="237"/>
        <v>2</v>
      </c>
      <c r="AK913" s="2">
        <f t="shared" si="238"/>
        <v>0</v>
      </c>
      <c r="AL913" s="2">
        <f t="shared" si="239"/>
        <v>0</v>
      </c>
      <c r="AM913" s="115"/>
      <c r="AN913" s="115"/>
      <c r="AO913" s="63"/>
    </row>
    <row r="914" spans="1:41" ht="43.2" x14ac:dyDescent="0.55000000000000004">
      <c r="A914" s="36">
        <v>4345</v>
      </c>
      <c r="B914" s="113" t="s">
        <v>3029</v>
      </c>
      <c r="C914" s="139" t="s">
        <v>3030</v>
      </c>
      <c r="D914" s="114" t="s">
        <v>52</v>
      </c>
      <c r="E914" s="115" t="s">
        <v>3031</v>
      </c>
      <c r="F914" s="116"/>
      <c r="G914" s="113" t="s">
        <v>2460</v>
      </c>
      <c r="H914" s="113" t="s">
        <v>3032</v>
      </c>
      <c r="I914" s="113" t="s">
        <v>3024</v>
      </c>
      <c r="J914" s="117" t="s">
        <v>2467</v>
      </c>
      <c r="K914" s="118"/>
      <c r="L914" s="109">
        <v>3</v>
      </c>
      <c r="M914" s="109">
        <v>3</v>
      </c>
      <c r="N914" s="109"/>
      <c r="O914" s="119"/>
      <c r="P914" s="2">
        <f t="shared" si="224"/>
        <v>1</v>
      </c>
      <c r="Q914" s="110" t="str">
        <f>IF(AND(Drops!$D$45&gt;1,OR(U914&lt;&gt;U913,AND(ROW()=5,U913=U914))),VLOOKUP(U914,Drops!$D$26:$E$44,2,FALSE),"")</f>
        <v/>
      </c>
      <c r="R914" s="2" t="str">
        <f t="shared" si="225"/>
        <v/>
      </c>
      <c r="S914" s="2">
        <f t="shared" ca="1" si="226"/>
        <v>1</v>
      </c>
      <c r="T914" s="2">
        <f t="shared" si="227"/>
        <v>0</v>
      </c>
      <c r="U914" s="110" t="s">
        <v>3019</v>
      </c>
      <c r="V914" s="110">
        <v>1</v>
      </c>
      <c r="W914" s="110">
        <v>1</v>
      </c>
      <c r="X914" s="110">
        <v>3</v>
      </c>
      <c r="Y914" s="110">
        <v>0</v>
      </c>
      <c r="Z914" s="110">
        <v>0</v>
      </c>
      <c r="AA914" s="2">
        <f t="shared" si="228"/>
        <v>1</v>
      </c>
      <c r="AB914" s="2">
        <f t="shared" si="229"/>
        <v>0</v>
      </c>
      <c r="AC914" s="2">
        <f t="shared" si="230"/>
        <v>1</v>
      </c>
      <c r="AD914" s="2">
        <f t="shared" si="231"/>
        <v>1</v>
      </c>
      <c r="AE914" s="2">
        <f t="shared" si="232"/>
        <v>1</v>
      </c>
      <c r="AF914" s="2">
        <f t="shared" si="233"/>
        <v>0</v>
      </c>
      <c r="AG914" s="2">
        <f t="shared" si="234"/>
        <v>0</v>
      </c>
      <c r="AH914" s="2">
        <f t="shared" si="235"/>
        <v>2</v>
      </c>
      <c r="AI914" s="2">
        <f t="shared" si="236"/>
        <v>2</v>
      </c>
      <c r="AJ914" s="2">
        <f t="shared" si="237"/>
        <v>2</v>
      </c>
      <c r="AK914" s="2">
        <f t="shared" si="238"/>
        <v>0</v>
      </c>
      <c r="AL914" s="2">
        <f t="shared" si="239"/>
        <v>0</v>
      </c>
      <c r="AM914" s="115"/>
      <c r="AN914" s="115"/>
      <c r="AO914" s="63"/>
    </row>
    <row r="915" spans="1:41" ht="43.2" x14ac:dyDescent="0.55000000000000004">
      <c r="A915" s="36">
        <v>4347</v>
      </c>
      <c r="B915" s="113" t="s">
        <v>3033</v>
      </c>
      <c r="C915" s="139" t="s">
        <v>3034</v>
      </c>
      <c r="D915" s="114" t="s">
        <v>52</v>
      </c>
      <c r="E915" s="115"/>
      <c r="F915" s="116"/>
      <c r="G915" s="113" t="s">
        <v>2460</v>
      </c>
      <c r="H915" s="113" t="s">
        <v>3032</v>
      </c>
      <c r="I915" s="113" t="s">
        <v>3024</v>
      </c>
      <c r="J915" s="117"/>
      <c r="K915" s="118"/>
      <c r="L915" s="109">
        <v>3</v>
      </c>
      <c r="M915" s="109">
        <v>3</v>
      </c>
      <c r="N915" s="109"/>
      <c r="O915" s="119"/>
      <c r="P915" s="2">
        <f t="shared" si="224"/>
        <v>1</v>
      </c>
      <c r="Q915" s="110" t="str">
        <f>IF(AND(Drops!$D$45&gt;1,OR(U915&lt;&gt;U914,AND(ROW()=5,U914=U915))),VLOOKUP(U915,Drops!$D$26:$E$44,2,FALSE),"")</f>
        <v/>
      </c>
      <c r="R915" s="2" t="str">
        <f t="shared" si="225"/>
        <v/>
      </c>
      <c r="S915" s="2">
        <f t="shared" ca="1" si="226"/>
        <v>1</v>
      </c>
      <c r="T915" s="2">
        <f t="shared" si="227"/>
        <v>0</v>
      </c>
      <c r="U915" s="110" t="s">
        <v>3019</v>
      </c>
      <c r="V915" s="110">
        <v>1</v>
      </c>
      <c r="W915" s="110">
        <v>1</v>
      </c>
      <c r="X915" s="110">
        <v>5</v>
      </c>
      <c r="Y915" s="110">
        <v>0</v>
      </c>
      <c r="Z915" s="110">
        <v>0</v>
      </c>
      <c r="AA915" s="2">
        <f t="shared" si="228"/>
        <v>1</v>
      </c>
      <c r="AB915" s="2">
        <f t="shared" si="229"/>
        <v>0</v>
      </c>
      <c r="AC915" s="2">
        <f t="shared" si="230"/>
        <v>1</v>
      </c>
      <c r="AD915" s="2">
        <f t="shared" si="231"/>
        <v>1</v>
      </c>
      <c r="AE915" s="2">
        <f t="shared" si="232"/>
        <v>1</v>
      </c>
      <c r="AF915" s="2">
        <f t="shared" si="233"/>
        <v>0</v>
      </c>
      <c r="AG915" s="2">
        <f t="shared" si="234"/>
        <v>0</v>
      </c>
      <c r="AH915" s="2">
        <f t="shared" si="235"/>
        <v>2</v>
      </c>
      <c r="AI915" s="2">
        <f t="shared" si="236"/>
        <v>2</v>
      </c>
      <c r="AJ915" s="2">
        <f t="shared" si="237"/>
        <v>2</v>
      </c>
      <c r="AK915" s="2">
        <f t="shared" si="238"/>
        <v>0</v>
      </c>
      <c r="AL915" s="2">
        <f t="shared" si="239"/>
        <v>0</v>
      </c>
      <c r="AM915" s="115"/>
      <c r="AN915" s="115"/>
      <c r="AO915" s="63"/>
    </row>
    <row r="916" spans="1:41" ht="43.2" x14ac:dyDescent="0.55000000000000004">
      <c r="A916" s="36">
        <v>912</v>
      </c>
      <c r="B916" s="113" t="s">
        <v>3035</v>
      </c>
      <c r="C916" s="139" t="s">
        <v>3036</v>
      </c>
      <c r="D916" s="114" t="s">
        <v>52</v>
      </c>
      <c r="E916" s="115"/>
      <c r="F916" s="116"/>
      <c r="G916" s="113" t="s">
        <v>2460</v>
      </c>
      <c r="H916" s="113" t="s">
        <v>3023</v>
      </c>
      <c r="I916" s="113" t="s">
        <v>3024</v>
      </c>
      <c r="J916" s="117"/>
      <c r="K916" s="118"/>
      <c r="L916" s="109">
        <v>3</v>
      </c>
      <c r="M916" s="109">
        <v>2</v>
      </c>
      <c r="N916" s="109"/>
      <c r="O916" s="119"/>
      <c r="P916" s="2">
        <f t="shared" si="224"/>
        <v>1</v>
      </c>
      <c r="Q916" s="110" t="str">
        <f>IF(AND(Drops!$D$45&gt;1,OR(U916&lt;&gt;U915,AND(ROW()=5,U915=U916))),VLOOKUP(U916,Drops!$D$26:$E$44,2,FALSE),"")</f>
        <v/>
      </c>
      <c r="R916" s="2" t="str">
        <f t="shared" si="225"/>
        <v/>
      </c>
      <c r="S916" s="2">
        <f t="shared" ca="1" si="226"/>
        <v>1</v>
      </c>
      <c r="T916" s="2">
        <f t="shared" si="227"/>
        <v>0</v>
      </c>
      <c r="U916" s="110" t="s">
        <v>3019</v>
      </c>
      <c r="V916" s="110">
        <v>1</v>
      </c>
      <c r="W916" s="110">
        <v>1</v>
      </c>
      <c r="X916" s="110">
        <v>6</v>
      </c>
      <c r="Y916" s="110">
        <v>0</v>
      </c>
      <c r="Z916" s="110">
        <v>0</v>
      </c>
      <c r="AA916" s="2">
        <f t="shared" si="228"/>
        <v>1</v>
      </c>
      <c r="AB916" s="2">
        <f t="shared" si="229"/>
        <v>0</v>
      </c>
      <c r="AC916" s="2">
        <f t="shared" si="230"/>
        <v>1</v>
      </c>
      <c r="AD916" s="2">
        <f t="shared" si="231"/>
        <v>1</v>
      </c>
      <c r="AE916" s="2">
        <f t="shared" si="232"/>
        <v>1</v>
      </c>
      <c r="AF916" s="2">
        <f t="shared" si="233"/>
        <v>0</v>
      </c>
      <c r="AG916" s="2">
        <f t="shared" si="234"/>
        <v>0</v>
      </c>
      <c r="AH916" s="2">
        <f t="shared" si="235"/>
        <v>2</v>
      </c>
      <c r="AI916" s="2">
        <f t="shared" si="236"/>
        <v>2</v>
      </c>
      <c r="AJ916" s="2">
        <f t="shared" si="237"/>
        <v>2</v>
      </c>
      <c r="AK916" s="2">
        <f t="shared" si="238"/>
        <v>0</v>
      </c>
      <c r="AL916" s="2">
        <f t="shared" si="239"/>
        <v>0</v>
      </c>
      <c r="AM916" s="115"/>
      <c r="AN916" s="115"/>
      <c r="AO916" s="63"/>
    </row>
    <row r="917" spans="1:41" ht="28.8" x14ac:dyDescent="0.55000000000000004">
      <c r="A917" s="36">
        <v>4116</v>
      </c>
      <c r="B917" s="113" t="s">
        <v>3037</v>
      </c>
      <c r="C917" s="139" t="s">
        <v>3038</v>
      </c>
      <c r="D917" s="114" t="s">
        <v>52</v>
      </c>
      <c r="E917" s="115"/>
      <c r="F917" s="116"/>
      <c r="G917" s="113" t="s">
        <v>2460</v>
      </c>
      <c r="H917" s="113" t="s">
        <v>3023</v>
      </c>
      <c r="I917" s="113" t="s">
        <v>3024</v>
      </c>
      <c r="J917" s="117" t="s">
        <v>2467</v>
      </c>
      <c r="K917" s="118"/>
      <c r="L917" s="109">
        <v>3</v>
      </c>
      <c r="M917" s="109">
        <v>3</v>
      </c>
      <c r="N917" s="109"/>
      <c r="O917" s="119"/>
      <c r="P917" s="2">
        <f t="shared" si="224"/>
        <v>1</v>
      </c>
      <c r="Q917" s="110" t="str">
        <f>IF(AND(Drops!$D$45&gt;1,OR(U917&lt;&gt;U916,AND(ROW()=5,U916=U917))),VLOOKUP(U917,Drops!$D$26:$E$44,2,FALSE),"")</f>
        <v/>
      </c>
      <c r="R917" s="2" t="str">
        <f t="shared" si="225"/>
        <v/>
      </c>
      <c r="S917" s="2">
        <f t="shared" ca="1" si="226"/>
        <v>1</v>
      </c>
      <c r="T917" s="2">
        <f t="shared" si="227"/>
        <v>0</v>
      </c>
      <c r="U917" s="110" t="s">
        <v>3019</v>
      </c>
      <c r="V917" s="110">
        <v>1</v>
      </c>
      <c r="W917" s="110">
        <v>1</v>
      </c>
      <c r="X917" s="110">
        <v>8</v>
      </c>
      <c r="Y917" s="110">
        <v>0</v>
      </c>
      <c r="Z917" s="110">
        <v>0</v>
      </c>
      <c r="AA917" s="2">
        <f t="shared" si="228"/>
        <v>1</v>
      </c>
      <c r="AB917" s="2">
        <f t="shared" si="229"/>
        <v>0</v>
      </c>
      <c r="AC917" s="2">
        <f t="shared" si="230"/>
        <v>1</v>
      </c>
      <c r="AD917" s="2">
        <f t="shared" si="231"/>
        <v>1</v>
      </c>
      <c r="AE917" s="2">
        <f t="shared" si="232"/>
        <v>1</v>
      </c>
      <c r="AF917" s="2">
        <f t="shared" si="233"/>
        <v>0</v>
      </c>
      <c r="AG917" s="2">
        <f t="shared" si="234"/>
        <v>0</v>
      </c>
      <c r="AH917" s="2">
        <f t="shared" si="235"/>
        <v>2</v>
      </c>
      <c r="AI917" s="2">
        <f t="shared" si="236"/>
        <v>2</v>
      </c>
      <c r="AJ917" s="2">
        <f t="shared" si="237"/>
        <v>2</v>
      </c>
      <c r="AK917" s="2">
        <f t="shared" si="238"/>
        <v>0</v>
      </c>
      <c r="AL917" s="2">
        <f t="shared" si="239"/>
        <v>0</v>
      </c>
      <c r="AM917" s="115"/>
      <c r="AN917" s="115"/>
      <c r="AO917" s="63"/>
    </row>
    <row r="918" spans="1:41" ht="28.8" x14ac:dyDescent="0.55000000000000004">
      <c r="A918" s="36">
        <v>4384</v>
      </c>
      <c r="B918" s="113" t="s">
        <v>3039</v>
      </c>
      <c r="C918" s="139" t="s">
        <v>3040</v>
      </c>
      <c r="D918" s="114" t="s">
        <v>52</v>
      </c>
      <c r="E918" s="115"/>
      <c r="F918" s="116"/>
      <c r="G918" s="113" t="s">
        <v>2460</v>
      </c>
      <c r="H918" s="113" t="s">
        <v>3041</v>
      </c>
      <c r="I918" s="113"/>
      <c r="J918" s="117" t="s">
        <v>2467</v>
      </c>
      <c r="K918" s="118"/>
      <c r="L918" s="109">
        <v>3</v>
      </c>
      <c r="M918" s="109">
        <v>3</v>
      </c>
      <c r="N918" s="109"/>
      <c r="O918" s="119"/>
      <c r="P918" s="2">
        <f t="shared" si="224"/>
        <v>1</v>
      </c>
      <c r="Q918" s="110" t="str">
        <f>IF(AND(Drops!$D$45&gt;1,OR(U918&lt;&gt;U917,AND(ROW()=5,U917=U918))),VLOOKUP(U918,Drops!$D$26:$E$44,2,FALSE),"")</f>
        <v/>
      </c>
      <c r="R918" s="2" t="str">
        <f t="shared" si="225"/>
        <v/>
      </c>
      <c r="S918" s="2">
        <f t="shared" ca="1" si="226"/>
        <v>1</v>
      </c>
      <c r="T918" s="2">
        <f t="shared" si="227"/>
        <v>0</v>
      </c>
      <c r="U918" s="110" t="s">
        <v>3019</v>
      </c>
      <c r="V918" s="110">
        <v>1</v>
      </c>
      <c r="W918" s="110">
        <v>1</v>
      </c>
      <c r="X918" s="110">
        <v>9</v>
      </c>
      <c r="Y918" s="110">
        <v>0</v>
      </c>
      <c r="Z918" s="110">
        <v>0</v>
      </c>
      <c r="AA918" s="2">
        <f t="shared" si="228"/>
        <v>1</v>
      </c>
      <c r="AB918" s="2">
        <f t="shared" si="229"/>
        <v>0</v>
      </c>
      <c r="AC918" s="2">
        <f t="shared" si="230"/>
        <v>1</v>
      </c>
      <c r="AD918" s="2">
        <f t="shared" si="231"/>
        <v>1</v>
      </c>
      <c r="AE918" s="2">
        <f t="shared" si="232"/>
        <v>1</v>
      </c>
      <c r="AF918" s="2">
        <f t="shared" si="233"/>
        <v>0</v>
      </c>
      <c r="AG918" s="2">
        <f t="shared" si="234"/>
        <v>0</v>
      </c>
      <c r="AH918" s="2">
        <f t="shared" si="235"/>
        <v>2</v>
      </c>
      <c r="AI918" s="2">
        <f t="shared" si="236"/>
        <v>2</v>
      </c>
      <c r="AJ918" s="2">
        <f t="shared" si="237"/>
        <v>2</v>
      </c>
      <c r="AK918" s="2">
        <f t="shared" si="238"/>
        <v>0</v>
      </c>
      <c r="AL918" s="2">
        <f t="shared" si="239"/>
        <v>0</v>
      </c>
      <c r="AM918" s="115"/>
      <c r="AN918" s="115"/>
      <c r="AO918" s="63"/>
    </row>
    <row r="919" spans="1:41" ht="28.8" x14ac:dyDescent="0.55000000000000004">
      <c r="A919" s="36">
        <v>4386</v>
      </c>
      <c r="B919" s="113" t="s">
        <v>3042</v>
      </c>
      <c r="C919" s="139" t="s">
        <v>3043</v>
      </c>
      <c r="D919" s="114" t="s">
        <v>52</v>
      </c>
      <c r="E919" s="115"/>
      <c r="F919" s="116"/>
      <c r="G919" s="113" t="s">
        <v>2460</v>
      </c>
      <c r="H919" s="113" t="s">
        <v>3041</v>
      </c>
      <c r="I919" s="113"/>
      <c r="J919" s="117" t="s">
        <v>2467</v>
      </c>
      <c r="K919" s="118"/>
      <c r="L919" s="109">
        <v>3</v>
      </c>
      <c r="M919" s="109">
        <v>3</v>
      </c>
      <c r="N919" s="109"/>
      <c r="O919" s="119"/>
      <c r="P919" s="2">
        <f t="shared" si="224"/>
        <v>1</v>
      </c>
      <c r="Q919" s="110" t="str">
        <f>IF(AND(Drops!$D$45&gt;1,OR(U919&lt;&gt;U918,AND(ROW()=5,U918=U919))),VLOOKUP(U919,Drops!$D$26:$E$44,2,FALSE),"")</f>
        <v/>
      </c>
      <c r="R919" s="2" t="str">
        <f t="shared" si="225"/>
        <v/>
      </c>
      <c r="S919" s="2">
        <f t="shared" ca="1" si="226"/>
        <v>1</v>
      </c>
      <c r="T919" s="2">
        <f t="shared" si="227"/>
        <v>0</v>
      </c>
      <c r="U919" s="110" t="s">
        <v>3019</v>
      </c>
      <c r="V919" s="110">
        <v>1</v>
      </c>
      <c r="W919" s="110">
        <v>1</v>
      </c>
      <c r="X919" s="110">
        <v>10</v>
      </c>
      <c r="Y919" s="110">
        <v>0</v>
      </c>
      <c r="Z919" s="110">
        <v>0</v>
      </c>
      <c r="AA919" s="2">
        <f t="shared" si="228"/>
        <v>1</v>
      </c>
      <c r="AB919" s="2">
        <f t="shared" si="229"/>
        <v>0</v>
      </c>
      <c r="AC919" s="2">
        <f t="shared" si="230"/>
        <v>1</v>
      </c>
      <c r="AD919" s="2">
        <f t="shared" si="231"/>
        <v>1</v>
      </c>
      <c r="AE919" s="2">
        <f t="shared" si="232"/>
        <v>1</v>
      </c>
      <c r="AF919" s="2">
        <f t="shared" si="233"/>
        <v>0</v>
      </c>
      <c r="AG919" s="2">
        <f t="shared" si="234"/>
        <v>0</v>
      </c>
      <c r="AH919" s="2">
        <f t="shared" si="235"/>
        <v>2</v>
      </c>
      <c r="AI919" s="2">
        <f t="shared" si="236"/>
        <v>2</v>
      </c>
      <c r="AJ919" s="2">
        <f t="shared" si="237"/>
        <v>2</v>
      </c>
      <c r="AK919" s="2">
        <f t="shared" si="238"/>
        <v>0</v>
      </c>
      <c r="AL919" s="2">
        <f t="shared" si="239"/>
        <v>0</v>
      </c>
      <c r="AM919" s="115"/>
      <c r="AN919" s="115"/>
      <c r="AO919" s="63"/>
    </row>
    <row r="920" spans="1:41" ht="43.2" x14ac:dyDescent="0.55000000000000004">
      <c r="A920" s="36">
        <v>4387</v>
      </c>
      <c r="B920" s="113" t="s">
        <v>3044</v>
      </c>
      <c r="C920" s="139" t="s">
        <v>3045</v>
      </c>
      <c r="D920" s="114" t="s">
        <v>52</v>
      </c>
      <c r="E920" s="115"/>
      <c r="F920" s="116"/>
      <c r="G920" s="113" t="s">
        <v>2460</v>
      </c>
      <c r="H920" s="113" t="s">
        <v>3023</v>
      </c>
      <c r="I920" s="113"/>
      <c r="J920" s="117" t="s">
        <v>2467</v>
      </c>
      <c r="K920" s="118"/>
      <c r="L920" s="109">
        <v>3</v>
      </c>
      <c r="M920" s="109">
        <v>3</v>
      </c>
      <c r="N920" s="109"/>
      <c r="O920" s="119"/>
      <c r="P920" s="2">
        <f t="shared" si="224"/>
        <v>1</v>
      </c>
      <c r="Q920" s="110" t="str">
        <f>IF(AND(Drops!$D$45&gt;1,OR(U920&lt;&gt;U919,AND(ROW()=5,U919=U920))),VLOOKUP(U920,Drops!$D$26:$E$44,2,FALSE),"")</f>
        <v/>
      </c>
      <c r="R920" s="2" t="str">
        <f t="shared" si="225"/>
        <v/>
      </c>
      <c r="S920" s="2">
        <f t="shared" ca="1" si="226"/>
        <v>1</v>
      </c>
      <c r="T920" s="2">
        <f t="shared" si="227"/>
        <v>0</v>
      </c>
      <c r="U920" s="110" t="s">
        <v>3019</v>
      </c>
      <c r="V920" s="110">
        <v>1</v>
      </c>
      <c r="W920" s="110">
        <v>1</v>
      </c>
      <c r="X920" s="110">
        <v>11</v>
      </c>
      <c r="Y920" s="110">
        <v>0</v>
      </c>
      <c r="Z920" s="110">
        <v>0</v>
      </c>
      <c r="AA920" s="2">
        <f t="shared" si="228"/>
        <v>1</v>
      </c>
      <c r="AB920" s="2">
        <f t="shared" si="229"/>
        <v>0</v>
      </c>
      <c r="AC920" s="2">
        <f t="shared" si="230"/>
        <v>1</v>
      </c>
      <c r="AD920" s="2">
        <f t="shared" si="231"/>
        <v>1</v>
      </c>
      <c r="AE920" s="2">
        <f t="shared" si="232"/>
        <v>1</v>
      </c>
      <c r="AF920" s="2">
        <f t="shared" si="233"/>
        <v>0</v>
      </c>
      <c r="AG920" s="2">
        <f t="shared" si="234"/>
        <v>0</v>
      </c>
      <c r="AH920" s="2">
        <f t="shared" si="235"/>
        <v>2</v>
      </c>
      <c r="AI920" s="2">
        <f t="shared" si="236"/>
        <v>2</v>
      </c>
      <c r="AJ920" s="2">
        <f t="shared" si="237"/>
        <v>2</v>
      </c>
      <c r="AK920" s="2">
        <f t="shared" si="238"/>
        <v>0</v>
      </c>
      <c r="AL920" s="2">
        <f t="shared" si="239"/>
        <v>0</v>
      </c>
      <c r="AM920" s="115"/>
      <c r="AN920" s="115"/>
      <c r="AO920" s="63"/>
    </row>
    <row r="921" spans="1:41" ht="28.8" x14ac:dyDescent="0.55000000000000004">
      <c r="A921" s="36">
        <v>1014</v>
      </c>
      <c r="B921" s="113" t="s">
        <v>3046</v>
      </c>
      <c r="C921" s="139" t="s">
        <v>3047</v>
      </c>
      <c r="D921" s="114" t="s">
        <v>52</v>
      </c>
      <c r="E921" s="115"/>
      <c r="F921" s="116"/>
      <c r="G921" s="113" t="s">
        <v>2460</v>
      </c>
      <c r="H921" s="113" t="s">
        <v>3048</v>
      </c>
      <c r="I921" s="113"/>
      <c r="J921" s="117"/>
      <c r="K921" s="118"/>
      <c r="L921" s="109">
        <v>3</v>
      </c>
      <c r="M921" s="109">
        <v>3</v>
      </c>
      <c r="N921" s="109"/>
      <c r="O921" s="119"/>
      <c r="P921" s="2">
        <f t="shared" si="224"/>
        <v>1</v>
      </c>
      <c r="Q921" s="110" t="str">
        <f>IF(AND(Drops!$D$45&gt;1,OR(U921&lt;&gt;U920,AND(ROW()=5,U920=U921))),VLOOKUP(U921,Drops!$D$26:$E$44,2,FALSE),"")</f>
        <v/>
      </c>
      <c r="R921" s="2" t="str">
        <f t="shared" si="225"/>
        <v/>
      </c>
      <c r="S921" s="2">
        <f t="shared" ca="1" si="226"/>
        <v>1</v>
      </c>
      <c r="T921" s="2">
        <f t="shared" si="227"/>
        <v>0</v>
      </c>
      <c r="U921" s="110" t="s">
        <v>3019</v>
      </c>
      <c r="V921" s="110">
        <v>1</v>
      </c>
      <c r="W921" s="110">
        <v>1</v>
      </c>
      <c r="X921" s="110">
        <v>12</v>
      </c>
      <c r="Y921" s="110">
        <v>0</v>
      </c>
      <c r="Z921" s="110">
        <v>0</v>
      </c>
      <c r="AA921" s="2">
        <f t="shared" si="228"/>
        <v>1</v>
      </c>
      <c r="AB921" s="2">
        <f t="shared" si="229"/>
        <v>0</v>
      </c>
      <c r="AC921" s="2">
        <f t="shared" si="230"/>
        <v>1</v>
      </c>
      <c r="AD921" s="2">
        <f t="shared" si="231"/>
        <v>1</v>
      </c>
      <c r="AE921" s="2">
        <f t="shared" si="232"/>
        <v>1</v>
      </c>
      <c r="AF921" s="2">
        <f t="shared" si="233"/>
        <v>0</v>
      </c>
      <c r="AG921" s="2">
        <f t="shared" si="234"/>
        <v>0</v>
      </c>
      <c r="AH921" s="2">
        <f t="shared" si="235"/>
        <v>2</v>
      </c>
      <c r="AI921" s="2">
        <f t="shared" si="236"/>
        <v>2</v>
      </c>
      <c r="AJ921" s="2">
        <f t="shared" si="237"/>
        <v>2</v>
      </c>
      <c r="AK921" s="2">
        <f t="shared" si="238"/>
        <v>0</v>
      </c>
      <c r="AL921" s="2">
        <f t="shared" si="239"/>
        <v>0</v>
      </c>
      <c r="AM921" s="115"/>
      <c r="AN921" s="115"/>
      <c r="AO921" s="63"/>
    </row>
    <row r="922" spans="1:41" ht="43.2" x14ac:dyDescent="0.55000000000000004">
      <c r="A922" s="36">
        <v>4349</v>
      </c>
      <c r="B922" s="113" t="s">
        <v>413</v>
      </c>
      <c r="C922" s="113" t="s">
        <v>3049</v>
      </c>
      <c r="D922" s="114" t="s">
        <v>52</v>
      </c>
      <c r="E922" s="115" t="s">
        <v>3050</v>
      </c>
      <c r="F922" s="116"/>
      <c r="G922" s="113" t="s">
        <v>3051</v>
      </c>
      <c r="H922" s="113" t="s">
        <v>3052</v>
      </c>
      <c r="I922" s="113" t="s">
        <v>3053</v>
      </c>
      <c r="J922" s="117" t="s">
        <v>2594</v>
      </c>
      <c r="K922" s="118"/>
      <c r="L922" s="109">
        <v>1</v>
      </c>
      <c r="M922" s="109">
        <v>2</v>
      </c>
      <c r="N922" s="109"/>
      <c r="O922" s="119"/>
      <c r="P922" s="2">
        <f t="shared" si="224"/>
        <v>1</v>
      </c>
      <c r="Q922" s="110" t="str">
        <f>IF(AND(Drops!$D$45&gt;1,OR(U922&lt;&gt;U921,AND(ROW()=5,U921=U922))),VLOOKUP(U922,Drops!$D$26:$E$44,2,FALSE),"")</f>
        <v/>
      </c>
      <c r="R922" s="2" t="str">
        <f t="shared" si="225"/>
        <v/>
      </c>
      <c r="S922" s="2">
        <f t="shared" ca="1" si="226"/>
        <v>1</v>
      </c>
      <c r="T922" s="2">
        <f t="shared" si="227"/>
        <v>1</v>
      </c>
      <c r="U922" s="110" t="s">
        <v>3019</v>
      </c>
      <c r="V922" s="110">
        <v>2</v>
      </c>
      <c r="W922" s="110">
        <v>0</v>
      </c>
      <c r="X922" s="110">
        <v>0</v>
      </c>
      <c r="Y922" s="110">
        <v>0</v>
      </c>
      <c r="Z922" s="110">
        <v>0</v>
      </c>
      <c r="AA922" s="2">
        <f t="shared" si="228"/>
        <v>1</v>
      </c>
      <c r="AB922" s="2">
        <f t="shared" si="229"/>
        <v>1</v>
      </c>
      <c r="AC922" s="2">
        <f t="shared" si="230"/>
        <v>1</v>
      </c>
      <c r="AD922" s="2">
        <f t="shared" si="231"/>
        <v>0</v>
      </c>
      <c r="AE922" s="2">
        <f t="shared" si="232"/>
        <v>0</v>
      </c>
      <c r="AF922" s="2">
        <f t="shared" si="233"/>
        <v>0</v>
      </c>
      <c r="AG922" s="2">
        <f t="shared" si="234"/>
        <v>0</v>
      </c>
      <c r="AH922" s="2">
        <f t="shared" si="235"/>
        <v>2</v>
      </c>
      <c r="AI922" s="2">
        <f t="shared" si="236"/>
        <v>2</v>
      </c>
      <c r="AJ922" s="2">
        <f t="shared" si="237"/>
        <v>2</v>
      </c>
      <c r="AK922" s="2">
        <f t="shared" si="238"/>
        <v>0</v>
      </c>
      <c r="AL922" s="2">
        <f t="shared" si="239"/>
        <v>0</v>
      </c>
      <c r="AM922" s="115"/>
      <c r="AN922" s="115"/>
      <c r="AO922" s="63"/>
    </row>
    <row r="923" spans="1:41" ht="28.8" x14ac:dyDescent="0.55000000000000004">
      <c r="A923" s="36">
        <v>3716</v>
      </c>
      <c r="B923" s="113" t="s">
        <v>3054</v>
      </c>
      <c r="C923" s="138" t="s">
        <v>3055</v>
      </c>
      <c r="D923" s="114" t="s">
        <v>52</v>
      </c>
      <c r="E923" s="115"/>
      <c r="F923" s="116"/>
      <c r="G923" s="113" t="s">
        <v>3051</v>
      </c>
      <c r="H923" s="113" t="s">
        <v>1637</v>
      </c>
      <c r="I923" s="113" t="s">
        <v>3053</v>
      </c>
      <c r="J923" s="117"/>
      <c r="K923" s="118"/>
      <c r="L923" s="109">
        <v>2</v>
      </c>
      <c r="M923" s="109">
        <v>3</v>
      </c>
      <c r="N923" s="109"/>
      <c r="O923" s="119"/>
      <c r="P923" s="2">
        <f t="shared" si="224"/>
        <v>1</v>
      </c>
      <c r="Q923" s="110" t="str">
        <f>IF(AND(Drops!$D$45&gt;1,OR(U923&lt;&gt;U922,AND(ROW()=5,U922=U923))),VLOOKUP(U923,Drops!$D$26:$E$44,2,FALSE),"")</f>
        <v/>
      </c>
      <c r="R923" s="2" t="str">
        <f t="shared" si="225"/>
        <v/>
      </c>
      <c r="S923" s="2">
        <f t="shared" ca="1" si="226"/>
        <v>1</v>
      </c>
      <c r="T923" s="2">
        <f t="shared" si="227"/>
        <v>0</v>
      </c>
      <c r="U923" s="110" t="s">
        <v>3019</v>
      </c>
      <c r="V923" s="110">
        <v>2</v>
      </c>
      <c r="W923" s="110">
        <v>2</v>
      </c>
      <c r="X923" s="110">
        <v>0</v>
      </c>
      <c r="Y923" s="110">
        <v>0</v>
      </c>
      <c r="Z923" s="110">
        <v>0</v>
      </c>
      <c r="AA923" s="2">
        <f t="shared" si="228"/>
        <v>1</v>
      </c>
      <c r="AB923" s="2">
        <f t="shared" si="229"/>
        <v>0</v>
      </c>
      <c r="AC923" s="2">
        <f t="shared" si="230"/>
        <v>1</v>
      </c>
      <c r="AD923" s="2">
        <f t="shared" si="231"/>
        <v>1</v>
      </c>
      <c r="AE923" s="2">
        <f t="shared" si="232"/>
        <v>0</v>
      </c>
      <c r="AF923" s="2">
        <f t="shared" si="233"/>
        <v>0</v>
      </c>
      <c r="AG923" s="2">
        <f t="shared" si="234"/>
        <v>0</v>
      </c>
      <c r="AH923" s="2">
        <f t="shared" si="235"/>
        <v>2</v>
      </c>
      <c r="AI923" s="2">
        <f t="shared" si="236"/>
        <v>2</v>
      </c>
      <c r="AJ923" s="2">
        <f t="shared" si="237"/>
        <v>2</v>
      </c>
      <c r="AK923" s="2">
        <f t="shared" si="238"/>
        <v>0</v>
      </c>
      <c r="AL923" s="2">
        <f t="shared" si="239"/>
        <v>0</v>
      </c>
      <c r="AM923" s="115"/>
      <c r="AN923" s="115"/>
      <c r="AO923" s="63"/>
    </row>
    <row r="924" spans="1:41" ht="28.8" x14ac:dyDescent="0.55000000000000004">
      <c r="A924" s="36">
        <v>4350</v>
      </c>
      <c r="B924" s="113" t="s">
        <v>3056</v>
      </c>
      <c r="C924" s="138" t="s">
        <v>3057</v>
      </c>
      <c r="D924" s="114" t="s">
        <v>52</v>
      </c>
      <c r="E924" s="115"/>
      <c r="F924" s="116"/>
      <c r="G924" s="113" t="s">
        <v>3051</v>
      </c>
      <c r="H924" s="113" t="s">
        <v>1637</v>
      </c>
      <c r="I924" s="113" t="s">
        <v>3024</v>
      </c>
      <c r="J924" s="117"/>
      <c r="K924" s="118"/>
      <c r="L924" s="109">
        <v>2</v>
      </c>
      <c r="M924" s="109">
        <v>3</v>
      </c>
      <c r="N924" s="109"/>
      <c r="O924" s="119"/>
      <c r="P924" s="2">
        <f t="shared" si="224"/>
        <v>1</v>
      </c>
      <c r="Q924" s="110" t="str">
        <f>IF(AND(Drops!$D$45&gt;1,OR(U924&lt;&gt;U923,AND(ROW()=5,U923=U924))),VLOOKUP(U924,Drops!$D$26:$E$44,2,FALSE),"")</f>
        <v/>
      </c>
      <c r="R924" s="2" t="str">
        <f t="shared" si="225"/>
        <v/>
      </c>
      <c r="S924" s="2">
        <f t="shared" ca="1" si="226"/>
        <v>1</v>
      </c>
      <c r="T924" s="2">
        <f t="shared" si="227"/>
        <v>0</v>
      </c>
      <c r="U924" s="110" t="s">
        <v>3019</v>
      </c>
      <c r="V924" s="110">
        <v>2</v>
      </c>
      <c r="W924" s="110">
        <v>3</v>
      </c>
      <c r="X924" s="110">
        <v>0</v>
      </c>
      <c r="Y924" s="110">
        <v>0</v>
      </c>
      <c r="Z924" s="110">
        <v>0</v>
      </c>
      <c r="AA924" s="2">
        <f t="shared" si="228"/>
        <v>1</v>
      </c>
      <c r="AB924" s="2">
        <f t="shared" si="229"/>
        <v>0</v>
      </c>
      <c r="AC924" s="2">
        <f t="shared" si="230"/>
        <v>1</v>
      </c>
      <c r="AD924" s="2">
        <f t="shared" si="231"/>
        <v>1</v>
      </c>
      <c r="AE924" s="2">
        <f t="shared" si="232"/>
        <v>0</v>
      </c>
      <c r="AF924" s="2">
        <f t="shared" si="233"/>
        <v>0</v>
      </c>
      <c r="AG924" s="2">
        <f t="shared" si="234"/>
        <v>0</v>
      </c>
      <c r="AH924" s="2">
        <f t="shared" si="235"/>
        <v>2</v>
      </c>
      <c r="AI924" s="2">
        <f t="shared" si="236"/>
        <v>2</v>
      </c>
      <c r="AJ924" s="2">
        <f t="shared" si="237"/>
        <v>2</v>
      </c>
      <c r="AK924" s="2">
        <f t="shared" si="238"/>
        <v>0</v>
      </c>
      <c r="AL924" s="2">
        <f t="shared" si="239"/>
        <v>0</v>
      </c>
      <c r="AM924" s="115"/>
      <c r="AN924" s="115"/>
      <c r="AO924" s="63"/>
    </row>
    <row r="925" spans="1:41" ht="28.8" x14ac:dyDescent="0.55000000000000004">
      <c r="A925" s="36">
        <v>3711</v>
      </c>
      <c r="B925" s="113" t="s">
        <v>3058</v>
      </c>
      <c r="C925" s="138" t="s">
        <v>3059</v>
      </c>
      <c r="D925" s="114" t="s">
        <v>52</v>
      </c>
      <c r="E925" s="115"/>
      <c r="F925" s="116"/>
      <c r="G925" s="113" t="s">
        <v>3051</v>
      </c>
      <c r="H925" s="113" t="s">
        <v>3060</v>
      </c>
      <c r="I925" s="113" t="s">
        <v>3053</v>
      </c>
      <c r="J925" s="117"/>
      <c r="K925" s="118"/>
      <c r="L925" s="109">
        <v>2</v>
      </c>
      <c r="M925" s="109">
        <v>2</v>
      </c>
      <c r="N925" s="109"/>
      <c r="O925" s="119"/>
      <c r="P925" s="2">
        <f t="shared" si="224"/>
        <v>1</v>
      </c>
      <c r="Q925" s="110" t="str">
        <f>IF(AND(Drops!$D$45&gt;1,OR(U925&lt;&gt;U924,AND(ROW()=5,U924=U925))),VLOOKUP(U925,Drops!$D$26:$E$44,2,FALSE),"")</f>
        <v/>
      </c>
      <c r="R925" s="2" t="str">
        <f t="shared" si="225"/>
        <v/>
      </c>
      <c r="S925" s="2">
        <f t="shared" ca="1" si="226"/>
        <v>1</v>
      </c>
      <c r="T925" s="2">
        <f t="shared" si="227"/>
        <v>0</v>
      </c>
      <c r="U925" s="110" t="s">
        <v>3019</v>
      </c>
      <c r="V925" s="110">
        <v>2</v>
      </c>
      <c r="W925" s="110">
        <v>4</v>
      </c>
      <c r="X925" s="110">
        <v>0</v>
      </c>
      <c r="Y925" s="110">
        <v>0</v>
      </c>
      <c r="Z925" s="110">
        <v>0</v>
      </c>
      <c r="AA925" s="2">
        <f t="shared" si="228"/>
        <v>1</v>
      </c>
      <c r="AB925" s="2">
        <f t="shared" si="229"/>
        <v>1</v>
      </c>
      <c r="AC925" s="2">
        <f t="shared" si="230"/>
        <v>1</v>
      </c>
      <c r="AD925" s="2">
        <f t="shared" si="231"/>
        <v>1</v>
      </c>
      <c r="AE925" s="2">
        <f t="shared" si="232"/>
        <v>0</v>
      </c>
      <c r="AF925" s="2">
        <f t="shared" si="233"/>
        <v>0</v>
      </c>
      <c r="AG925" s="2">
        <f t="shared" si="234"/>
        <v>0</v>
      </c>
      <c r="AH925" s="2">
        <f t="shared" si="235"/>
        <v>2</v>
      </c>
      <c r="AI925" s="2">
        <f t="shared" si="236"/>
        <v>2</v>
      </c>
      <c r="AJ925" s="2">
        <f t="shared" si="237"/>
        <v>2</v>
      </c>
      <c r="AK925" s="2">
        <f t="shared" si="238"/>
        <v>0</v>
      </c>
      <c r="AL925" s="2">
        <f t="shared" si="239"/>
        <v>0</v>
      </c>
      <c r="AM925" s="115"/>
      <c r="AN925" s="115"/>
      <c r="AO925" s="63"/>
    </row>
    <row r="926" spans="1:41" ht="28.8" x14ac:dyDescent="0.55000000000000004">
      <c r="A926" s="36">
        <v>4351</v>
      </c>
      <c r="B926" s="113" t="s">
        <v>3061</v>
      </c>
      <c r="C926" s="139" t="s">
        <v>3062</v>
      </c>
      <c r="D926" s="114" t="s">
        <v>52</v>
      </c>
      <c r="E926" s="115"/>
      <c r="F926" s="116"/>
      <c r="G926" s="113" t="s">
        <v>3051</v>
      </c>
      <c r="H926" s="113" t="s">
        <v>3060</v>
      </c>
      <c r="I926" s="113" t="s">
        <v>3053</v>
      </c>
      <c r="J926" s="117"/>
      <c r="K926" s="118"/>
      <c r="L926" s="109">
        <v>3</v>
      </c>
      <c r="M926" s="109">
        <v>3</v>
      </c>
      <c r="N926" s="109"/>
      <c r="O926" s="119"/>
      <c r="P926" s="2">
        <f t="shared" si="224"/>
        <v>1</v>
      </c>
      <c r="Q926" s="110" t="str">
        <f>IF(AND(Drops!$D$45&gt;1,OR(U926&lt;&gt;U925,AND(ROW()=5,U925=U926))),VLOOKUP(U926,Drops!$D$26:$E$44,2,FALSE),"")</f>
        <v/>
      </c>
      <c r="R926" s="2" t="str">
        <f t="shared" si="225"/>
        <v/>
      </c>
      <c r="S926" s="2">
        <f t="shared" ca="1" si="226"/>
        <v>1</v>
      </c>
      <c r="T926" s="2">
        <f t="shared" si="227"/>
        <v>0</v>
      </c>
      <c r="U926" s="110" t="s">
        <v>3019</v>
      </c>
      <c r="V926" s="110">
        <v>2</v>
      </c>
      <c r="W926" s="110">
        <v>4</v>
      </c>
      <c r="X926" s="110">
        <v>1</v>
      </c>
      <c r="Y926" s="110">
        <v>0</v>
      </c>
      <c r="Z926" s="110">
        <v>0</v>
      </c>
      <c r="AA926" s="2">
        <f t="shared" si="228"/>
        <v>1</v>
      </c>
      <c r="AB926" s="2">
        <f t="shared" si="229"/>
        <v>0</v>
      </c>
      <c r="AC926" s="2">
        <f t="shared" si="230"/>
        <v>1</v>
      </c>
      <c r="AD926" s="2">
        <f t="shared" si="231"/>
        <v>1</v>
      </c>
      <c r="AE926" s="2">
        <f t="shared" si="232"/>
        <v>1</v>
      </c>
      <c r="AF926" s="2">
        <f t="shared" si="233"/>
        <v>0</v>
      </c>
      <c r="AG926" s="2">
        <f t="shared" si="234"/>
        <v>0</v>
      </c>
      <c r="AH926" s="2">
        <f t="shared" si="235"/>
        <v>2</v>
      </c>
      <c r="AI926" s="2">
        <f t="shared" si="236"/>
        <v>2</v>
      </c>
      <c r="AJ926" s="2">
        <f t="shared" si="237"/>
        <v>2</v>
      </c>
      <c r="AK926" s="2">
        <f t="shared" si="238"/>
        <v>0</v>
      </c>
      <c r="AL926" s="2">
        <f t="shared" si="239"/>
        <v>0</v>
      </c>
      <c r="AM926" s="115"/>
      <c r="AN926" s="115"/>
      <c r="AO926" s="63"/>
    </row>
    <row r="927" spans="1:41" ht="28.8" x14ac:dyDescent="0.55000000000000004">
      <c r="A927" s="36">
        <v>4352</v>
      </c>
      <c r="B927" s="113" t="s">
        <v>3063</v>
      </c>
      <c r="C927" s="139" t="s">
        <v>3064</v>
      </c>
      <c r="D927" s="114" t="s">
        <v>52</v>
      </c>
      <c r="E927" s="115"/>
      <c r="F927" s="116"/>
      <c r="G927" s="113" t="s">
        <v>3051</v>
      </c>
      <c r="H927" s="113" t="s">
        <v>3060</v>
      </c>
      <c r="I927" s="113" t="s">
        <v>3053</v>
      </c>
      <c r="J927" s="117"/>
      <c r="K927" s="118"/>
      <c r="L927" s="109">
        <v>3</v>
      </c>
      <c r="M927" s="109">
        <v>3</v>
      </c>
      <c r="N927" s="109"/>
      <c r="O927" s="119"/>
      <c r="P927" s="2">
        <f t="shared" si="224"/>
        <v>1</v>
      </c>
      <c r="Q927" s="110" t="str">
        <f>IF(AND(Drops!$D$45&gt;1,OR(U927&lt;&gt;U926,AND(ROW()=5,U926=U927))),VLOOKUP(U927,Drops!$D$26:$E$44,2,FALSE),"")</f>
        <v/>
      </c>
      <c r="R927" s="2" t="str">
        <f t="shared" si="225"/>
        <v/>
      </c>
      <c r="S927" s="2">
        <f t="shared" ca="1" si="226"/>
        <v>1</v>
      </c>
      <c r="T927" s="2">
        <f t="shared" si="227"/>
        <v>0</v>
      </c>
      <c r="U927" s="110" t="s">
        <v>3019</v>
      </c>
      <c r="V927" s="110">
        <v>2</v>
      </c>
      <c r="W927" s="110">
        <v>4</v>
      </c>
      <c r="X927" s="110">
        <v>2</v>
      </c>
      <c r="Y927" s="110">
        <v>0</v>
      </c>
      <c r="Z927" s="110">
        <v>0</v>
      </c>
      <c r="AA927" s="2">
        <f t="shared" si="228"/>
        <v>1</v>
      </c>
      <c r="AB927" s="2">
        <f t="shared" si="229"/>
        <v>0</v>
      </c>
      <c r="AC927" s="2">
        <f t="shared" si="230"/>
        <v>1</v>
      </c>
      <c r="AD927" s="2">
        <f t="shared" si="231"/>
        <v>1</v>
      </c>
      <c r="AE927" s="2">
        <f t="shared" si="232"/>
        <v>1</v>
      </c>
      <c r="AF927" s="2">
        <f t="shared" si="233"/>
        <v>0</v>
      </c>
      <c r="AG927" s="2">
        <f t="shared" si="234"/>
        <v>0</v>
      </c>
      <c r="AH927" s="2">
        <f t="shared" si="235"/>
        <v>2</v>
      </c>
      <c r="AI927" s="2">
        <f t="shared" si="236"/>
        <v>2</v>
      </c>
      <c r="AJ927" s="2">
        <f t="shared" si="237"/>
        <v>2</v>
      </c>
      <c r="AK927" s="2">
        <f t="shared" si="238"/>
        <v>0</v>
      </c>
      <c r="AL927" s="2">
        <f t="shared" si="239"/>
        <v>0</v>
      </c>
      <c r="AM927" s="115"/>
      <c r="AN927" s="115"/>
      <c r="AO927" s="63"/>
    </row>
    <row r="928" spans="1:41" ht="28.8" x14ac:dyDescent="0.55000000000000004">
      <c r="A928" s="36">
        <v>3717</v>
      </c>
      <c r="B928" s="113" t="s">
        <v>3065</v>
      </c>
      <c r="C928" s="138" t="s">
        <v>3066</v>
      </c>
      <c r="D928" s="114" t="s">
        <v>52</v>
      </c>
      <c r="E928" s="115"/>
      <c r="F928" s="116"/>
      <c r="G928" s="113" t="s">
        <v>3051</v>
      </c>
      <c r="H928" s="113" t="s">
        <v>3067</v>
      </c>
      <c r="I928" s="113" t="s">
        <v>3053</v>
      </c>
      <c r="J928" s="117"/>
      <c r="K928" s="118"/>
      <c r="L928" s="109">
        <v>2</v>
      </c>
      <c r="M928" s="109">
        <v>2</v>
      </c>
      <c r="N928" s="109"/>
      <c r="O928" s="119"/>
      <c r="P928" s="2">
        <f t="shared" si="224"/>
        <v>1</v>
      </c>
      <c r="Q928" s="110" t="str">
        <f>IF(AND(Drops!$D$45&gt;1,OR(U928&lt;&gt;U927,AND(ROW()=5,U927=U928))),VLOOKUP(U928,Drops!$D$26:$E$44,2,FALSE),"")</f>
        <v/>
      </c>
      <c r="R928" s="2" t="str">
        <f t="shared" si="225"/>
        <v/>
      </c>
      <c r="S928" s="2">
        <f t="shared" ca="1" si="226"/>
        <v>1</v>
      </c>
      <c r="T928" s="2">
        <f t="shared" si="227"/>
        <v>0</v>
      </c>
      <c r="U928" s="110" t="s">
        <v>3019</v>
      </c>
      <c r="V928" s="110">
        <v>2</v>
      </c>
      <c r="W928" s="110">
        <v>5</v>
      </c>
      <c r="X928" s="110">
        <v>0</v>
      </c>
      <c r="Y928" s="110">
        <v>0</v>
      </c>
      <c r="Z928" s="110">
        <v>0</v>
      </c>
      <c r="AA928" s="2">
        <f t="shared" si="228"/>
        <v>1</v>
      </c>
      <c r="AB928" s="2">
        <f t="shared" si="229"/>
        <v>1</v>
      </c>
      <c r="AC928" s="2">
        <f t="shared" si="230"/>
        <v>1</v>
      </c>
      <c r="AD928" s="2">
        <f t="shared" si="231"/>
        <v>1</v>
      </c>
      <c r="AE928" s="2">
        <f t="shared" si="232"/>
        <v>0</v>
      </c>
      <c r="AF928" s="2">
        <f t="shared" si="233"/>
        <v>0</v>
      </c>
      <c r="AG928" s="2">
        <f t="shared" si="234"/>
        <v>0</v>
      </c>
      <c r="AH928" s="2">
        <f t="shared" si="235"/>
        <v>2</v>
      </c>
      <c r="AI928" s="2">
        <f t="shared" si="236"/>
        <v>2</v>
      </c>
      <c r="AJ928" s="2">
        <f t="shared" si="237"/>
        <v>2</v>
      </c>
      <c r="AK928" s="2">
        <f t="shared" si="238"/>
        <v>0</v>
      </c>
      <c r="AL928" s="2">
        <f t="shared" si="239"/>
        <v>0</v>
      </c>
      <c r="AM928" s="115"/>
      <c r="AN928" s="115"/>
      <c r="AO928" s="63"/>
    </row>
    <row r="929" spans="1:41" ht="28.8" x14ac:dyDescent="0.55000000000000004">
      <c r="A929" s="36">
        <v>4353</v>
      </c>
      <c r="B929" s="113" t="s">
        <v>3068</v>
      </c>
      <c r="C929" s="139" t="s">
        <v>3062</v>
      </c>
      <c r="D929" s="114" t="s">
        <v>52</v>
      </c>
      <c r="E929" s="115"/>
      <c r="F929" s="116"/>
      <c r="G929" s="113" t="s">
        <v>3051</v>
      </c>
      <c r="H929" s="113" t="s">
        <v>3067</v>
      </c>
      <c r="I929" s="113" t="s">
        <v>3053</v>
      </c>
      <c r="J929" s="117" t="s">
        <v>2594</v>
      </c>
      <c r="K929" s="118"/>
      <c r="L929" s="109">
        <v>3</v>
      </c>
      <c r="M929" s="109">
        <v>2</v>
      </c>
      <c r="N929" s="109"/>
      <c r="O929" s="119"/>
      <c r="P929" s="2">
        <f t="shared" si="224"/>
        <v>1</v>
      </c>
      <c r="Q929" s="110" t="str">
        <f>IF(AND(Drops!$D$45&gt;1,OR(U929&lt;&gt;U928,AND(ROW()=5,U928=U929))),VLOOKUP(U929,Drops!$D$26:$E$44,2,FALSE),"")</f>
        <v/>
      </c>
      <c r="R929" s="2" t="str">
        <f t="shared" si="225"/>
        <v/>
      </c>
      <c r="S929" s="2">
        <f t="shared" ca="1" si="226"/>
        <v>1</v>
      </c>
      <c r="T929" s="2">
        <f t="shared" si="227"/>
        <v>0</v>
      </c>
      <c r="U929" s="110" t="s">
        <v>3019</v>
      </c>
      <c r="V929" s="110">
        <v>2</v>
      </c>
      <c r="W929" s="110">
        <v>5</v>
      </c>
      <c r="X929" s="110">
        <v>1</v>
      </c>
      <c r="Y929" s="110">
        <v>0</v>
      </c>
      <c r="Z929" s="110">
        <v>0</v>
      </c>
      <c r="AA929" s="2">
        <f t="shared" si="228"/>
        <v>1</v>
      </c>
      <c r="AB929" s="2">
        <f t="shared" si="229"/>
        <v>0</v>
      </c>
      <c r="AC929" s="2">
        <f t="shared" si="230"/>
        <v>1</v>
      </c>
      <c r="AD929" s="2">
        <f t="shared" si="231"/>
        <v>1</v>
      </c>
      <c r="AE929" s="2">
        <f t="shared" si="232"/>
        <v>1</v>
      </c>
      <c r="AF929" s="2">
        <f t="shared" si="233"/>
        <v>0</v>
      </c>
      <c r="AG929" s="2">
        <f t="shared" si="234"/>
        <v>0</v>
      </c>
      <c r="AH929" s="2">
        <f t="shared" si="235"/>
        <v>2</v>
      </c>
      <c r="AI929" s="2">
        <f t="shared" si="236"/>
        <v>2</v>
      </c>
      <c r="AJ929" s="2">
        <f t="shared" si="237"/>
        <v>2</v>
      </c>
      <c r="AK929" s="2">
        <f t="shared" si="238"/>
        <v>0</v>
      </c>
      <c r="AL929" s="2">
        <f t="shared" si="239"/>
        <v>0</v>
      </c>
      <c r="AM929" s="115"/>
      <c r="AN929" s="115"/>
      <c r="AO929" s="63"/>
    </row>
    <row r="930" spans="1:41" ht="28.8" x14ac:dyDescent="0.55000000000000004">
      <c r="A930" s="36">
        <v>4354</v>
      </c>
      <c r="B930" s="113" t="s">
        <v>3069</v>
      </c>
      <c r="C930" s="139" t="s">
        <v>3064</v>
      </c>
      <c r="D930" s="114" t="s">
        <v>52</v>
      </c>
      <c r="E930" s="115"/>
      <c r="F930" s="116"/>
      <c r="G930" s="113" t="s">
        <v>3051</v>
      </c>
      <c r="H930" s="113" t="s">
        <v>3067</v>
      </c>
      <c r="I930" s="113" t="s">
        <v>3053</v>
      </c>
      <c r="J930" s="117" t="s">
        <v>2594</v>
      </c>
      <c r="K930" s="118"/>
      <c r="L930" s="109">
        <v>3</v>
      </c>
      <c r="M930" s="109">
        <v>3</v>
      </c>
      <c r="N930" s="109"/>
      <c r="O930" s="119"/>
      <c r="P930" s="2">
        <f t="shared" si="224"/>
        <v>1</v>
      </c>
      <c r="Q930" s="110" t="str">
        <f>IF(AND(Drops!$D$45&gt;1,OR(U930&lt;&gt;U929,AND(ROW()=5,U929=U930))),VLOOKUP(U930,Drops!$D$26:$E$44,2,FALSE),"")</f>
        <v/>
      </c>
      <c r="R930" s="2" t="str">
        <f t="shared" si="225"/>
        <v/>
      </c>
      <c r="S930" s="2">
        <f t="shared" ca="1" si="226"/>
        <v>1</v>
      </c>
      <c r="T930" s="2">
        <f t="shared" si="227"/>
        <v>0</v>
      </c>
      <c r="U930" s="110" t="s">
        <v>3019</v>
      </c>
      <c r="V930" s="110">
        <v>2</v>
      </c>
      <c r="W930" s="110">
        <v>5</v>
      </c>
      <c r="X930" s="110">
        <v>2</v>
      </c>
      <c r="Y930" s="110">
        <v>0</v>
      </c>
      <c r="Z930" s="110">
        <v>0</v>
      </c>
      <c r="AA930" s="2">
        <f t="shared" si="228"/>
        <v>1</v>
      </c>
      <c r="AB930" s="2">
        <f t="shared" si="229"/>
        <v>0</v>
      </c>
      <c r="AC930" s="2">
        <f t="shared" si="230"/>
        <v>1</v>
      </c>
      <c r="AD930" s="2">
        <f t="shared" si="231"/>
        <v>1</v>
      </c>
      <c r="AE930" s="2">
        <f t="shared" si="232"/>
        <v>1</v>
      </c>
      <c r="AF930" s="2">
        <f t="shared" si="233"/>
        <v>0</v>
      </c>
      <c r="AG930" s="2">
        <f t="shared" si="234"/>
        <v>0</v>
      </c>
      <c r="AH930" s="2">
        <f t="shared" si="235"/>
        <v>2</v>
      </c>
      <c r="AI930" s="2">
        <f t="shared" si="236"/>
        <v>2</v>
      </c>
      <c r="AJ930" s="2">
        <f t="shared" si="237"/>
        <v>2</v>
      </c>
      <c r="AK930" s="2">
        <f t="shared" si="238"/>
        <v>0</v>
      </c>
      <c r="AL930" s="2">
        <f t="shared" si="239"/>
        <v>0</v>
      </c>
      <c r="AM930" s="115"/>
      <c r="AN930" s="115"/>
      <c r="AO930" s="63"/>
    </row>
    <row r="931" spans="1:41" ht="28.8" x14ac:dyDescent="0.55000000000000004">
      <c r="A931" s="36">
        <v>3721</v>
      </c>
      <c r="B931" s="113" t="s">
        <v>3070</v>
      </c>
      <c r="C931" s="138" t="s">
        <v>3071</v>
      </c>
      <c r="D931" s="114" t="s">
        <v>52</v>
      </c>
      <c r="E931" s="115"/>
      <c r="F931" s="116"/>
      <c r="G931" s="113" t="s">
        <v>3051</v>
      </c>
      <c r="H931" s="113" t="s">
        <v>3072</v>
      </c>
      <c r="I931" s="113"/>
      <c r="J931" s="117" t="s">
        <v>2594</v>
      </c>
      <c r="K931" s="118"/>
      <c r="L931" s="109">
        <v>2</v>
      </c>
      <c r="M931" s="109">
        <v>3</v>
      </c>
      <c r="N931" s="109"/>
      <c r="O931" s="119"/>
      <c r="P931" s="2">
        <f t="shared" si="224"/>
        <v>1</v>
      </c>
      <c r="Q931" s="110" t="str">
        <f>IF(AND(Drops!$D$45&gt;1,OR(U931&lt;&gt;U930,AND(ROW()=5,U930=U931))),VLOOKUP(U931,Drops!$D$26:$E$44,2,FALSE),"")</f>
        <v/>
      </c>
      <c r="R931" s="2" t="str">
        <f t="shared" si="225"/>
        <v/>
      </c>
      <c r="S931" s="2">
        <f t="shared" ca="1" si="226"/>
        <v>1</v>
      </c>
      <c r="T931" s="2">
        <f t="shared" si="227"/>
        <v>0</v>
      </c>
      <c r="U931" s="110" t="s">
        <v>3019</v>
      </c>
      <c r="V931" s="110">
        <v>2</v>
      </c>
      <c r="W931" s="110">
        <v>6</v>
      </c>
      <c r="X931" s="110">
        <v>0</v>
      </c>
      <c r="Y931" s="110">
        <v>0</v>
      </c>
      <c r="Z931" s="110">
        <v>0</v>
      </c>
      <c r="AA931" s="2">
        <f t="shared" si="228"/>
        <v>1</v>
      </c>
      <c r="AB931" s="2">
        <f t="shared" si="229"/>
        <v>1</v>
      </c>
      <c r="AC931" s="2">
        <f t="shared" si="230"/>
        <v>1</v>
      </c>
      <c r="AD931" s="2">
        <f t="shared" si="231"/>
        <v>1</v>
      </c>
      <c r="AE931" s="2">
        <f t="shared" si="232"/>
        <v>0</v>
      </c>
      <c r="AF931" s="2">
        <f t="shared" si="233"/>
        <v>0</v>
      </c>
      <c r="AG931" s="2">
        <f t="shared" si="234"/>
        <v>0</v>
      </c>
      <c r="AH931" s="2">
        <f t="shared" si="235"/>
        <v>2</v>
      </c>
      <c r="AI931" s="2">
        <f t="shared" si="236"/>
        <v>2</v>
      </c>
      <c r="AJ931" s="2">
        <f t="shared" si="237"/>
        <v>2</v>
      </c>
      <c r="AK931" s="2">
        <f t="shared" si="238"/>
        <v>0</v>
      </c>
      <c r="AL931" s="2">
        <f t="shared" si="239"/>
        <v>0</v>
      </c>
      <c r="AM931" s="115"/>
      <c r="AN931" s="115"/>
      <c r="AO931" s="63"/>
    </row>
    <row r="932" spans="1:41" ht="28.8" x14ac:dyDescent="0.55000000000000004">
      <c r="A932" s="36">
        <v>4356</v>
      </c>
      <c r="B932" s="113" t="s">
        <v>3073</v>
      </c>
      <c r="C932" s="139" t="s">
        <v>3074</v>
      </c>
      <c r="D932" s="114" t="s">
        <v>52</v>
      </c>
      <c r="E932" s="115"/>
      <c r="F932" s="116"/>
      <c r="G932" s="113" t="s">
        <v>3051</v>
      </c>
      <c r="H932" s="113" t="s">
        <v>3072</v>
      </c>
      <c r="I932" s="113"/>
      <c r="J932" s="117" t="s">
        <v>2594</v>
      </c>
      <c r="K932" s="118"/>
      <c r="L932" s="109">
        <v>3</v>
      </c>
      <c r="M932" s="109">
        <v>3</v>
      </c>
      <c r="N932" s="109"/>
      <c r="O932" s="119"/>
      <c r="P932" s="2">
        <f t="shared" si="224"/>
        <v>1</v>
      </c>
      <c r="Q932" s="110" t="str">
        <f>IF(AND(Drops!$D$45&gt;1,OR(U932&lt;&gt;U931,AND(ROW()=5,U931=U932))),VLOOKUP(U932,Drops!$D$26:$E$44,2,FALSE),"")</f>
        <v/>
      </c>
      <c r="R932" s="2" t="str">
        <f t="shared" si="225"/>
        <v/>
      </c>
      <c r="S932" s="2">
        <f t="shared" ca="1" si="226"/>
        <v>1</v>
      </c>
      <c r="T932" s="2">
        <f t="shared" si="227"/>
        <v>0</v>
      </c>
      <c r="U932" s="110" t="s">
        <v>3019</v>
      </c>
      <c r="V932" s="110">
        <v>2</v>
      </c>
      <c r="W932" s="110">
        <v>6</v>
      </c>
      <c r="X932" s="110">
        <v>1</v>
      </c>
      <c r="Y932" s="110">
        <v>0</v>
      </c>
      <c r="Z932" s="110">
        <v>0</v>
      </c>
      <c r="AA932" s="2">
        <f t="shared" si="228"/>
        <v>1</v>
      </c>
      <c r="AB932" s="2">
        <f t="shared" si="229"/>
        <v>0</v>
      </c>
      <c r="AC932" s="2">
        <f t="shared" si="230"/>
        <v>1</v>
      </c>
      <c r="AD932" s="2">
        <f t="shared" si="231"/>
        <v>1</v>
      </c>
      <c r="AE932" s="2">
        <f t="shared" si="232"/>
        <v>1</v>
      </c>
      <c r="AF932" s="2">
        <f t="shared" si="233"/>
        <v>0</v>
      </c>
      <c r="AG932" s="2">
        <f t="shared" si="234"/>
        <v>0</v>
      </c>
      <c r="AH932" s="2">
        <f t="shared" si="235"/>
        <v>2</v>
      </c>
      <c r="AI932" s="2">
        <f t="shared" si="236"/>
        <v>2</v>
      </c>
      <c r="AJ932" s="2">
        <f t="shared" si="237"/>
        <v>2</v>
      </c>
      <c r="AK932" s="2">
        <f t="shared" si="238"/>
        <v>0</v>
      </c>
      <c r="AL932" s="2">
        <f t="shared" si="239"/>
        <v>0</v>
      </c>
      <c r="AM932" s="115"/>
      <c r="AN932" s="115"/>
      <c r="AO932" s="63"/>
    </row>
    <row r="933" spans="1:41" ht="28.8" x14ac:dyDescent="0.55000000000000004">
      <c r="A933" s="36">
        <v>3710</v>
      </c>
      <c r="B933" s="113" t="s">
        <v>3075</v>
      </c>
      <c r="C933" s="139" t="s">
        <v>3076</v>
      </c>
      <c r="D933" s="114" t="s">
        <v>52</v>
      </c>
      <c r="E933" s="115"/>
      <c r="F933" s="116"/>
      <c r="G933" s="113" t="s">
        <v>3051</v>
      </c>
      <c r="H933" s="113" t="s">
        <v>3072</v>
      </c>
      <c r="I933" s="113"/>
      <c r="J933" s="117" t="s">
        <v>2594</v>
      </c>
      <c r="K933" s="118"/>
      <c r="L933" s="109">
        <v>3</v>
      </c>
      <c r="M933" s="109">
        <v>3</v>
      </c>
      <c r="N933" s="109"/>
      <c r="O933" s="119"/>
      <c r="P933" s="2">
        <f t="shared" si="224"/>
        <v>1</v>
      </c>
      <c r="Q933" s="110" t="str">
        <f>IF(AND(Drops!$D$45&gt;1,OR(U933&lt;&gt;U932,AND(ROW()=5,U932=U933))),VLOOKUP(U933,Drops!$D$26:$E$44,2,FALSE),"")</f>
        <v/>
      </c>
      <c r="R933" s="2" t="str">
        <f t="shared" si="225"/>
        <v/>
      </c>
      <c r="S933" s="2">
        <f t="shared" ca="1" si="226"/>
        <v>1</v>
      </c>
      <c r="T933" s="2">
        <f t="shared" si="227"/>
        <v>0</v>
      </c>
      <c r="U933" s="110" t="s">
        <v>3019</v>
      </c>
      <c r="V933" s="110">
        <v>2</v>
      </c>
      <c r="W933" s="110">
        <v>6</v>
      </c>
      <c r="X933" s="110">
        <v>3</v>
      </c>
      <c r="Y933" s="110">
        <v>0</v>
      </c>
      <c r="Z933" s="110">
        <v>0</v>
      </c>
      <c r="AA933" s="2">
        <f t="shared" si="228"/>
        <v>1</v>
      </c>
      <c r="AB933" s="2">
        <f t="shared" si="229"/>
        <v>0</v>
      </c>
      <c r="AC933" s="2">
        <f t="shared" si="230"/>
        <v>1</v>
      </c>
      <c r="AD933" s="2">
        <f t="shared" si="231"/>
        <v>1</v>
      </c>
      <c r="AE933" s="2">
        <f t="shared" si="232"/>
        <v>1</v>
      </c>
      <c r="AF933" s="2">
        <f t="shared" si="233"/>
        <v>0</v>
      </c>
      <c r="AG933" s="2">
        <f t="shared" si="234"/>
        <v>0</v>
      </c>
      <c r="AH933" s="2">
        <f t="shared" si="235"/>
        <v>2</v>
      </c>
      <c r="AI933" s="2">
        <f t="shared" si="236"/>
        <v>2</v>
      </c>
      <c r="AJ933" s="2">
        <f t="shared" si="237"/>
        <v>2</v>
      </c>
      <c r="AK933" s="2">
        <f t="shared" si="238"/>
        <v>0</v>
      </c>
      <c r="AL933" s="2">
        <f t="shared" si="239"/>
        <v>0</v>
      </c>
      <c r="AM933" s="115"/>
      <c r="AN933" s="115"/>
      <c r="AO933" s="63"/>
    </row>
    <row r="934" spans="1:41" ht="28.8" x14ac:dyDescent="0.55000000000000004">
      <c r="A934" s="36">
        <v>3463</v>
      </c>
      <c r="B934" s="113" t="s">
        <v>3077</v>
      </c>
      <c r="C934" s="139" t="s">
        <v>3078</v>
      </c>
      <c r="D934" s="114" t="s">
        <v>52</v>
      </c>
      <c r="E934" s="115"/>
      <c r="F934" s="116"/>
      <c r="G934" s="113" t="s">
        <v>3051</v>
      </c>
      <c r="H934" s="113" t="s">
        <v>3072</v>
      </c>
      <c r="I934" s="113"/>
      <c r="J934" s="117"/>
      <c r="K934" s="118"/>
      <c r="L934" s="109">
        <v>3</v>
      </c>
      <c r="M934" s="109">
        <v>3</v>
      </c>
      <c r="N934" s="109"/>
      <c r="O934" s="119"/>
      <c r="P934" s="2">
        <f t="shared" si="224"/>
        <v>1</v>
      </c>
      <c r="Q934" s="110" t="str">
        <f>IF(AND(Drops!$D$45&gt;1,OR(U934&lt;&gt;U933,AND(ROW()=5,U933=U934))),VLOOKUP(U934,Drops!$D$26:$E$44,2,FALSE),"")</f>
        <v/>
      </c>
      <c r="R934" s="2" t="str">
        <f t="shared" si="225"/>
        <v/>
      </c>
      <c r="S934" s="2">
        <f t="shared" ca="1" si="226"/>
        <v>1</v>
      </c>
      <c r="T934" s="2">
        <f t="shared" si="227"/>
        <v>0</v>
      </c>
      <c r="U934" s="110" t="s">
        <v>3019</v>
      </c>
      <c r="V934" s="110">
        <v>2</v>
      </c>
      <c r="W934" s="110">
        <v>6</v>
      </c>
      <c r="X934" s="110">
        <v>4</v>
      </c>
      <c r="Y934" s="110">
        <v>0</v>
      </c>
      <c r="Z934" s="110">
        <v>0</v>
      </c>
      <c r="AA934" s="2">
        <f t="shared" si="228"/>
        <v>1</v>
      </c>
      <c r="AB934" s="2">
        <f t="shared" si="229"/>
        <v>0</v>
      </c>
      <c r="AC934" s="2">
        <f t="shared" si="230"/>
        <v>1</v>
      </c>
      <c r="AD934" s="2">
        <f t="shared" si="231"/>
        <v>1</v>
      </c>
      <c r="AE934" s="2">
        <f t="shared" si="232"/>
        <v>1</v>
      </c>
      <c r="AF934" s="2">
        <f t="shared" si="233"/>
        <v>0</v>
      </c>
      <c r="AG934" s="2">
        <f t="shared" si="234"/>
        <v>0</v>
      </c>
      <c r="AH934" s="2">
        <f t="shared" si="235"/>
        <v>2</v>
      </c>
      <c r="AI934" s="2">
        <f t="shared" si="236"/>
        <v>2</v>
      </c>
      <c r="AJ934" s="2">
        <f t="shared" si="237"/>
        <v>2</v>
      </c>
      <c r="AK934" s="2">
        <f t="shared" si="238"/>
        <v>0</v>
      </c>
      <c r="AL934" s="2">
        <f t="shared" si="239"/>
        <v>0</v>
      </c>
      <c r="AM934" s="115"/>
      <c r="AN934" s="115"/>
      <c r="AO934" s="63"/>
    </row>
    <row r="935" spans="1:41" ht="28.8" x14ac:dyDescent="0.55000000000000004">
      <c r="A935" s="36">
        <v>4358</v>
      </c>
      <c r="B935" s="113" t="s">
        <v>3079</v>
      </c>
      <c r="C935" s="139" t="s">
        <v>3080</v>
      </c>
      <c r="D935" s="114" t="s">
        <v>52</v>
      </c>
      <c r="E935" s="115"/>
      <c r="F935" s="116"/>
      <c r="G935" s="113" t="s">
        <v>3051</v>
      </c>
      <c r="H935" s="113" t="s">
        <v>3072</v>
      </c>
      <c r="I935" s="113"/>
      <c r="J935" s="117"/>
      <c r="K935" s="118"/>
      <c r="L935" s="109">
        <v>3</v>
      </c>
      <c r="M935" s="109">
        <v>3</v>
      </c>
      <c r="N935" s="109"/>
      <c r="O935" s="119"/>
      <c r="P935" s="2">
        <f t="shared" si="224"/>
        <v>1</v>
      </c>
      <c r="Q935" s="110" t="str">
        <f>IF(AND(Drops!$D$45&gt;1,OR(U935&lt;&gt;U934,AND(ROW()=5,U934=U935))),VLOOKUP(U935,Drops!$D$26:$E$44,2,FALSE),"")</f>
        <v/>
      </c>
      <c r="R935" s="2" t="str">
        <f t="shared" si="225"/>
        <v/>
      </c>
      <c r="S935" s="2">
        <f t="shared" ca="1" si="226"/>
        <v>1</v>
      </c>
      <c r="T935" s="2">
        <f t="shared" si="227"/>
        <v>0</v>
      </c>
      <c r="U935" s="110" t="s">
        <v>3019</v>
      </c>
      <c r="V935" s="110">
        <v>2</v>
      </c>
      <c r="W935" s="110">
        <v>6</v>
      </c>
      <c r="X935" s="110">
        <v>5</v>
      </c>
      <c r="Y935" s="110">
        <v>0</v>
      </c>
      <c r="Z935" s="110">
        <v>0</v>
      </c>
      <c r="AA935" s="2">
        <f t="shared" si="228"/>
        <v>1</v>
      </c>
      <c r="AB935" s="2">
        <f t="shared" si="229"/>
        <v>0</v>
      </c>
      <c r="AC935" s="2">
        <f t="shared" si="230"/>
        <v>1</v>
      </c>
      <c r="AD935" s="2">
        <f t="shared" si="231"/>
        <v>1</v>
      </c>
      <c r="AE935" s="2">
        <f t="shared" si="232"/>
        <v>1</v>
      </c>
      <c r="AF935" s="2">
        <f t="shared" si="233"/>
        <v>0</v>
      </c>
      <c r="AG935" s="2">
        <f t="shared" si="234"/>
        <v>0</v>
      </c>
      <c r="AH935" s="2">
        <f t="shared" si="235"/>
        <v>2</v>
      </c>
      <c r="AI935" s="2">
        <f t="shared" si="236"/>
        <v>2</v>
      </c>
      <c r="AJ935" s="2">
        <f t="shared" si="237"/>
        <v>2</v>
      </c>
      <c r="AK935" s="2">
        <f t="shared" si="238"/>
        <v>0</v>
      </c>
      <c r="AL935" s="2">
        <f t="shared" si="239"/>
        <v>0</v>
      </c>
      <c r="AM935" s="115"/>
      <c r="AN935" s="115"/>
      <c r="AO935" s="63"/>
    </row>
    <row r="936" spans="1:41" ht="28.8" x14ac:dyDescent="0.55000000000000004">
      <c r="A936" s="36">
        <v>4362</v>
      </c>
      <c r="B936" s="113" t="s">
        <v>3081</v>
      </c>
      <c r="C936" s="139" t="s">
        <v>3082</v>
      </c>
      <c r="D936" s="114" t="s">
        <v>52</v>
      </c>
      <c r="E936" s="115"/>
      <c r="F936" s="116"/>
      <c r="G936" s="113" t="s">
        <v>3051</v>
      </c>
      <c r="H936" s="113" t="s">
        <v>3072</v>
      </c>
      <c r="I936" s="113"/>
      <c r="J936" s="117"/>
      <c r="K936" s="118"/>
      <c r="L936" s="109">
        <v>3</v>
      </c>
      <c r="M936" s="109">
        <v>3</v>
      </c>
      <c r="N936" s="109"/>
      <c r="O936" s="119"/>
      <c r="P936" s="2">
        <f t="shared" si="224"/>
        <v>1</v>
      </c>
      <c r="Q936" s="110" t="str">
        <f>IF(AND(Drops!$D$45&gt;1,OR(U936&lt;&gt;U935,AND(ROW()=5,U935=U936))),VLOOKUP(U936,Drops!$D$26:$E$44,2,FALSE),"")</f>
        <v/>
      </c>
      <c r="R936" s="2" t="str">
        <f t="shared" si="225"/>
        <v/>
      </c>
      <c r="S936" s="2">
        <f t="shared" ca="1" si="226"/>
        <v>1</v>
      </c>
      <c r="T936" s="2">
        <f t="shared" si="227"/>
        <v>0</v>
      </c>
      <c r="U936" s="110" t="s">
        <v>3019</v>
      </c>
      <c r="V936" s="110">
        <v>2</v>
      </c>
      <c r="W936" s="110">
        <v>6</v>
      </c>
      <c r="X936" s="110">
        <v>9</v>
      </c>
      <c r="Y936" s="110">
        <v>0</v>
      </c>
      <c r="Z936" s="110">
        <v>0</v>
      </c>
      <c r="AA936" s="2">
        <f t="shared" si="228"/>
        <v>1</v>
      </c>
      <c r="AB936" s="2">
        <f t="shared" si="229"/>
        <v>0</v>
      </c>
      <c r="AC936" s="2">
        <f t="shared" si="230"/>
        <v>1</v>
      </c>
      <c r="AD936" s="2">
        <f t="shared" si="231"/>
        <v>1</v>
      </c>
      <c r="AE936" s="2">
        <f t="shared" si="232"/>
        <v>1</v>
      </c>
      <c r="AF936" s="2">
        <f t="shared" si="233"/>
        <v>0</v>
      </c>
      <c r="AG936" s="2">
        <f t="shared" si="234"/>
        <v>0</v>
      </c>
      <c r="AH936" s="2">
        <f t="shared" si="235"/>
        <v>2</v>
      </c>
      <c r="AI936" s="2">
        <f t="shared" si="236"/>
        <v>2</v>
      </c>
      <c r="AJ936" s="2">
        <f t="shared" si="237"/>
        <v>2</v>
      </c>
      <c r="AK936" s="2">
        <f t="shared" si="238"/>
        <v>0</v>
      </c>
      <c r="AL936" s="2">
        <f t="shared" si="239"/>
        <v>0</v>
      </c>
      <c r="AM936" s="115"/>
      <c r="AN936" s="115"/>
      <c r="AO936" s="63"/>
    </row>
    <row r="937" spans="1:41" ht="28.8" x14ac:dyDescent="0.55000000000000004">
      <c r="A937" s="36">
        <v>4363</v>
      </c>
      <c r="B937" s="113" t="s">
        <v>3083</v>
      </c>
      <c r="C937" s="139" t="s">
        <v>3084</v>
      </c>
      <c r="D937" s="114" t="s">
        <v>52</v>
      </c>
      <c r="E937" s="115"/>
      <c r="F937" s="116"/>
      <c r="G937" s="113" t="s">
        <v>3051</v>
      </c>
      <c r="H937" s="113" t="s">
        <v>3072</v>
      </c>
      <c r="I937" s="113"/>
      <c r="J937" s="117"/>
      <c r="K937" s="118"/>
      <c r="L937" s="109">
        <v>3</v>
      </c>
      <c r="M937" s="109">
        <v>3</v>
      </c>
      <c r="N937" s="109"/>
      <c r="O937" s="119"/>
      <c r="P937" s="2">
        <f t="shared" si="224"/>
        <v>1</v>
      </c>
      <c r="Q937" s="110" t="str">
        <f>IF(AND(Drops!$D$45&gt;1,OR(U937&lt;&gt;U936,AND(ROW()=5,U936=U937))),VLOOKUP(U937,Drops!$D$26:$E$44,2,FALSE),"")</f>
        <v/>
      </c>
      <c r="R937" s="2" t="str">
        <f t="shared" si="225"/>
        <v/>
      </c>
      <c r="S937" s="2">
        <f t="shared" ca="1" si="226"/>
        <v>1</v>
      </c>
      <c r="T937" s="2">
        <f t="shared" si="227"/>
        <v>0</v>
      </c>
      <c r="U937" s="110" t="s">
        <v>3019</v>
      </c>
      <c r="V937" s="110">
        <v>2</v>
      </c>
      <c r="W937" s="110">
        <v>6</v>
      </c>
      <c r="X937" s="110">
        <v>10</v>
      </c>
      <c r="Y937" s="110">
        <v>0</v>
      </c>
      <c r="Z937" s="110">
        <v>0</v>
      </c>
      <c r="AA937" s="2">
        <f t="shared" si="228"/>
        <v>1</v>
      </c>
      <c r="AB937" s="2">
        <f t="shared" si="229"/>
        <v>0</v>
      </c>
      <c r="AC937" s="2">
        <f t="shared" si="230"/>
        <v>1</v>
      </c>
      <c r="AD937" s="2">
        <f t="shared" si="231"/>
        <v>1</v>
      </c>
      <c r="AE937" s="2">
        <f t="shared" si="232"/>
        <v>1</v>
      </c>
      <c r="AF937" s="2">
        <f t="shared" si="233"/>
        <v>0</v>
      </c>
      <c r="AG937" s="2">
        <f t="shared" si="234"/>
        <v>0</v>
      </c>
      <c r="AH937" s="2">
        <f t="shared" si="235"/>
        <v>2</v>
      </c>
      <c r="AI937" s="2">
        <f t="shared" si="236"/>
        <v>2</v>
      </c>
      <c r="AJ937" s="2">
        <f t="shared" si="237"/>
        <v>2</v>
      </c>
      <c r="AK937" s="2">
        <f t="shared" si="238"/>
        <v>0</v>
      </c>
      <c r="AL937" s="2">
        <f t="shared" si="239"/>
        <v>0</v>
      </c>
      <c r="AM937" s="115"/>
      <c r="AN937" s="115"/>
      <c r="AO937" s="63"/>
    </row>
    <row r="938" spans="1:41" ht="28.8" x14ac:dyDescent="0.55000000000000004">
      <c r="A938" s="36">
        <v>3914</v>
      </c>
      <c r="B938" s="113" t="s">
        <v>3085</v>
      </c>
      <c r="C938" s="139" t="s">
        <v>3086</v>
      </c>
      <c r="D938" s="114" t="s">
        <v>52</v>
      </c>
      <c r="E938" s="115"/>
      <c r="F938" s="116"/>
      <c r="G938" s="113" t="s">
        <v>3051</v>
      </c>
      <c r="H938" s="113" t="s">
        <v>3072</v>
      </c>
      <c r="I938" s="113"/>
      <c r="J938" s="117"/>
      <c r="K938" s="118"/>
      <c r="L938" s="109">
        <v>3</v>
      </c>
      <c r="M938" s="109">
        <v>3</v>
      </c>
      <c r="N938" s="109"/>
      <c r="O938" s="119"/>
      <c r="P938" s="2">
        <f t="shared" si="224"/>
        <v>1</v>
      </c>
      <c r="Q938" s="110" t="str">
        <f>IF(AND(Drops!$D$45&gt;1,OR(U938&lt;&gt;U937,AND(ROW()=5,U937=U938))),VLOOKUP(U938,Drops!$D$26:$E$44,2,FALSE),"")</f>
        <v/>
      </c>
      <c r="R938" s="2" t="str">
        <f t="shared" si="225"/>
        <v/>
      </c>
      <c r="S938" s="2">
        <f t="shared" ca="1" si="226"/>
        <v>1</v>
      </c>
      <c r="T938" s="2">
        <f t="shared" si="227"/>
        <v>0</v>
      </c>
      <c r="U938" s="110" t="s">
        <v>3019</v>
      </c>
      <c r="V938" s="110">
        <v>2</v>
      </c>
      <c r="W938" s="110">
        <v>6</v>
      </c>
      <c r="X938" s="110">
        <v>11</v>
      </c>
      <c r="Y938" s="110">
        <v>0</v>
      </c>
      <c r="Z938" s="110">
        <v>0</v>
      </c>
      <c r="AA938" s="2">
        <f t="shared" si="228"/>
        <v>1</v>
      </c>
      <c r="AB938" s="2">
        <f t="shared" si="229"/>
        <v>0</v>
      </c>
      <c r="AC938" s="2">
        <f t="shared" si="230"/>
        <v>1</v>
      </c>
      <c r="AD938" s="2">
        <f t="shared" si="231"/>
        <v>1</v>
      </c>
      <c r="AE938" s="2">
        <f t="shared" si="232"/>
        <v>1</v>
      </c>
      <c r="AF938" s="2">
        <f t="shared" si="233"/>
        <v>0</v>
      </c>
      <c r="AG938" s="2">
        <f t="shared" si="234"/>
        <v>0</v>
      </c>
      <c r="AH938" s="2">
        <f t="shared" si="235"/>
        <v>2</v>
      </c>
      <c r="AI938" s="2">
        <f t="shared" si="236"/>
        <v>2</v>
      </c>
      <c r="AJ938" s="2">
        <f t="shared" si="237"/>
        <v>2</v>
      </c>
      <c r="AK938" s="2">
        <f t="shared" si="238"/>
        <v>0</v>
      </c>
      <c r="AL938" s="2">
        <f t="shared" si="239"/>
        <v>0</v>
      </c>
      <c r="AM938" s="115"/>
      <c r="AN938" s="115"/>
      <c r="AO938" s="63"/>
    </row>
    <row r="939" spans="1:41" ht="28.8" x14ac:dyDescent="0.55000000000000004">
      <c r="A939" s="36">
        <v>3725</v>
      </c>
      <c r="B939" s="113" t="s">
        <v>3087</v>
      </c>
      <c r="C939" s="139" t="s">
        <v>3088</v>
      </c>
      <c r="D939" s="114" t="s">
        <v>52</v>
      </c>
      <c r="E939" s="115"/>
      <c r="F939" s="116"/>
      <c r="G939" s="113" t="s">
        <v>3051</v>
      </c>
      <c r="H939" s="113" t="s">
        <v>3072</v>
      </c>
      <c r="I939" s="113"/>
      <c r="J939" s="117" t="s">
        <v>2594</v>
      </c>
      <c r="K939" s="118"/>
      <c r="L939" s="109">
        <v>3</v>
      </c>
      <c r="M939" s="109">
        <v>3</v>
      </c>
      <c r="N939" s="109"/>
      <c r="O939" s="119"/>
      <c r="P939" s="2">
        <f t="shared" si="224"/>
        <v>1</v>
      </c>
      <c r="Q939" s="110" t="str">
        <f>IF(AND(Drops!$D$45&gt;1,OR(U939&lt;&gt;U938,AND(ROW()=5,U938=U939))),VLOOKUP(U939,Drops!$D$26:$E$44,2,FALSE),"")</f>
        <v/>
      </c>
      <c r="R939" s="2" t="str">
        <f t="shared" si="225"/>
        <v/>
      </c>
      <c r="S939" s="2">
        <f t="shared" ca="1" si="226"/>
        <v>1</v>
      </c>
      <c r="T939" s="2">
        <f t="shared" si="227"/>
        <v>0</v>
      </c>
      <c r="U939" s="110" t="s">
        <v>3019</v>
      </c>
      <c r="V939" s="110">
        <v>2</v>
      </c>
      <c r="W939" s="110">
        <v>6</v>
      </c>
      <c r="X939" s="110">
        <v>12</v>
      </c>
      <c r="Y939" s="110">
        <v>0</v>
      </c>
      <c r="Z939" s="110">
        <v>0</v>
      </c>
      <c r="AA939" s="2">
        <f t="shared" si="228"/>
        <v>1</v>
      </c>
      <c r="AB939" s="2">
        <f t="shared" si="229"/>
        <v>0</v>
      </c>
      <c r="AC939" s="2">
        <f t="shared" si="230"/>
        <v>1</v>
      </c>
      <c r="AD939" s="2">
        <f t="shared" si="231"/>
        <v>1</v>
      </c>
      <c r="AE939" s="2">
        <f t="shared" si="232"/>
        <v>1</v>
      </c>
      <c r="AF939" s="2">
        <f t="shared" si="233"/>
        <v>0</v>
      </c>
      <c r="AG939" s="2">
        <f t="shared" si="234"/>
        <v>0</v>
      </c>
      <c r="AH939" s="2">
        <f t="shared" si="235"/>
        <v>2</v>
      </c>
      <c r="AI939" s="2">
        <f t="shared" si="236"/>
        <v>2</v>
      </c>
      <c r="AJ939" s="2">
        <f t="shared" si="237"/>
        <v>2</v>
      </c>
      <c r="AK939" s="2">
        <f t="shared" si="238"/>
        <v>0</v>
      </c>
      <c r="AL939" s="2">
        <f t="shared" si="239"/>
        <v>0</v>
      </c>
      <c r="AM939" s="115"/>
      <c r="AN939" s="115"/>
      <c r="AO939" s="63"/>
    </row>
    <row r="940" spans="1:41" ht="28.8" x14ac:dyDescent="0.55000000000000004">
      <c r="A940" s="36">
        <v>4364</v>
      </c>
      <c r="B940" s="113" t="s">
        <v>3089</v>
      </c>
      <c r="C940" s="139" t="s">
        <v>3090</v>
      </c>
      <c r="D940" s="114" t="s">
        <v>52</v>
      </c>
      <c r="E940" s="115"/>
      <c r="F940" s="116"/>
      <c r="G940" s="113" t="s">
        <v>3051</v>
      </c>
      <c r="H940" s="113" t="s">
        <v>3072</v>
      </c>
      <c r="I940" s="113"/>
      <c r="J940" s="117" t="s">
        <v>2594</v>
      </c>
      <c r="K940" s="118"/>
      <c r="L940" s="109">
        <v>3</v>
      </c>
      <c r="M940" s="109">
        <v>3</v>
      </c>
      <c r="N940" s="109"/>
      <c r="O940" s="119"/>
      <c r="P940" s="2">
        <f t="shared" si="224"/>
        <v>1</v>
      </c>
      <c r="Q940" s="110" t="str">
        <f>IF(AND(Drops!$D$45&gt;1,OR(U940&lt;&gt;U939,AND(ROW()=5,U939=U940))),VLOOKUP(U940,Drops!$D$26:$E$44,2,FALSE),"")</f>
        <v/>
      </c>
      <c r="R940" s="2" t="str">
        <f t="shared" si="225"/>
        <v/>
      </c>
      <c r="S940" s="2">
        <f t="shared" ca="1" si="226"/>
        <v>1</v>
      </c>
      <c r="T940" s="2">
        <f t="shared" si="227"/>
        <v>0</v>
      </c>
      <c r="U940" s="110" t="s">
        <v>3019</v>
      </c>
      <c r="V940" s="110">
        <v>2</v>
      </c>
      <c r="W940" s="110">
        <v>6</v>
      </c>
      <c r="X940" s="110">
        <v>13</v>
      </c>
      <c r="Y940" s="110">
        <v>0</v>
      </c>
      <c r="Z940" s="110">
        <v>0</v>
      </c>
      <c r="AA940" s="2">
        <f t="shared" si="228"/>
        <v>1</v>
      </c>
      <c r="AB940" s="2">
        <f t="shared" si="229"/>
        <v>0</v>
      </c>
      <c r="AC940" s="2">
        <f t="shared" si="230"/>
        <v>1</v>
      </c>
      <c r="AD940" s="2">
        <f t="shared" si="231"/>
        <v>1</v>
      </c>
      <c r="AE940" s="2">
        <f t="shared" si="232"/>
        <v>1</v>
      </c>
      <c r="AF940" s="2">
        <f t="shared" si="233"/>
        <v>0</v>
      </c>
      <c r="AG940" s="2">
        <f t="shared" si="234"/>
        <v>0</v>
      </c>
      <c r="AH940" s="2">
        <f t="shared" si="235"/>
        <v>2</v>
      </c>
      <c r="AI940" s="2">
        <f t="shared" si="236"/>
        <v>2</v>
      </c>
      <c r="AJ940" s="2">
        <f t="shared" si="237"/>
        <v>2</v>
      </c>
      <c r="AK940" s="2">
        <f t="shared" si="238"/>
        <v>0</v>
      </c>
      <c r="AL940" s="2">
        <f t="shared" si="239"/>
        <v>0</v>
      </c>
      <c r="AM940" s="115"/>
      <c r="AN940" s="115"/>
      <c r="AO940" s="63"/>
    </row>
    <row r="941" spans="1:41" ht="28.8" x14ac:dyDescent="0.55000000000000004">
      <c r="A941" s="36">
        <v>2233</v>
      </c>
      <c r="B941" s="113" t="s">
        <v>415</v>
      </c>
      <c r="C941" s="113" t="s">
        <v>3091</v>
      </c>
      <c r="D941" s="114" t="s">
        <v>52</v>
      </c>
      <c r="E941" s="115"/>
      <c r="F941" s="116"/>
      <c r="G941" s="113" t="s">
        <v>3051</v>
      </c>
      <c r="H941" s="113" t="s">
        <v>3092</v>
      </c>
      <c r="I941" s="113" t="s">
        <v>3093</v>
      </c>
      <c r="J941" s="117"/>
      <c r="K941" s="118"/>
      <c r="L941" s="109">
        <v>1</v>
      </c>
      <c r="M941" s="109">
        <v>3</v>
      </c>
      <c r="N941" s="109"/>
      <c r="O941" s="119"/>
      <c r="P941" s="2">
        <f t="shared" si="224"/>
        <v>1</v>
      </c>
      <c r="Q941" s="110" t="str">
        <f>IF(AND(Drops!$D$45&gt;1,OR(U941&lt;&gt;U940,AND(ROW()=5,U940=U941))),VLOOKUP(U941,Drops!$D$26:$E$44,2,FALSE),"")</f>
        <v/>
      </c>
      <c r="R941" s="2" t="str">
        <f t="shared" si="225"/>
        <v/>
      </c>
      <c r="S941" s="2">
        <f t="shared" ca="1" si="226"/>
        <v>1</v>
      </c>
      <c r="T941" s="2">
        <f t="shared" si="227"/>
        <v>1</v>
      </c>
      <c r="U941" s="110" t="s">
        <v>3019</v>
      </c>
      <c r="V941" s="110">
        <v>3</v>
      </c>
      <c r="W941" s="110">
        <v>0</v>
      </c>
      <c r="X941" s="110">
        <v>0</v>
      </c>
      <c r="Y941" s="110">
        <v>0</v>
      </c>
      <c r="Z941" s="110">
        <v>0</v>
      </c>
      <c r="AA941" s="2">
        <f t="shared" si="228"/>
        <v>1</v>
      </c>
      <c r="AB941" s="2">
        <f t="shared" si="229"/>
        <v>0</v>
      </c>
      <c r="AC941" s="2">
        <f t="shared" si="230"/>
        <v>1</v>
      </c>
      <c r="AD941" s="2">
        <f t="shared" si="231"/>
        <v>0</v>
      </c>
      <c r="AE941" s="2">
        <f t="shared" si="232"/>
        <v>0</v>
      </c>
      <c r="AF941" s="2">
        <f t="shared" si="233"/>
        <v>0</v>
      </c>
      <c r="AG941" s="2">
        <f t="shared" si="234"/>
        <v>0</v>
      </c>
      <c r="AH941" s="2">
        <f t="shared" si="235"/>
        <v>2</v>
      </c>
      <c r="AI941" s="2">
        <f t="shared" si="236"/>
        <v>2</v>
      </c>
      <c r="AJ941" s="2">
        <f t="shared" si="237"/>
        <v>2</v>
      </c>
      <c r="AK941" s="2">
        <f t="shared" si="238"/>
        <v>0</v>
      </c>
      <c r="AL941" s="2">
        <f t="shared" si="239"/>
        <v>0</v>
      </c>
      <c r="AM941" s="115"/>
      <c r="AN941" s="115"/>
      <c r="AO941" s="63"/>
    </row>
    <row r="942" spans="1:41" ht="43.2" x14ac:dyDescent="0.55000000000000004">
      <c r="A942" s="36">
        <v>4960</v>
      </c>
      <c r="B942" s="113" t="s">
        <v>417</v>
      </c>
      <c r="C942" s="113" t="s">
        <v>3094</v>
      </c>
      <c r="D942" s="114" t="s">
        <v>52</v>
      </c>
      <c r="E942" s="115"/>
      <c r="F942" s="116"/>
      <c r="G942" s="113" t="s">
        <v>3051</v>
      </c>
      <c r="H942" s="113" t="s">
        <v>3095</v>
      </c>
      <c r="I942" s="113"/>
      <c r="J942" s="117"/>
      <c r="K942" s="118"/>
      <c r="L942" s="109">
        <v>1</v>
      </c>
      <c r="M942" s="109">
        <v>3</v>
      </c>
      <c r="N942" s="109"/>
      <c r="O942" s="119"/>
      <c r="P942" s="2">
        <f t="shared" si="224"/>
        <v>1</v>
      </c>
      <c r="Q942" s="110" t="str">
        <f>IF(AND(Drops!$D$45&gt;1,OR(U942&lt;&gt;U941,AND(ROW()=5,U941=U942))),VLOOKUP(U942,Drops!$D$26:$E$44,2,FALSE),"")</f>
        <v/>
      </c>
      <c r="R942" s="2" t="str">
        <f t="shared" si="225"/>
        <v/>
      </c>
      <c r="S942" s="2">
        <f t="shared" ca="1" si="226"/>
        <v>1</v>
      </c>
      <c r="T942" s="2">
        <f t="shared" si="227"/>
        <v>1</v>
      </c>
      <c r="U942" s="110" t="s">
        <v>3019</v>
      </c>
      <c r="V942" s="110">
        <v>4</v>
      </c>
      <c r="W942" s="110">
        <v>0</v>
      </c>
      <c r="X942" s="110">
        <v>0</v>
      </c>
      <c r="Y942" s="110">
        <v>0</v>
      </c>
      <c r="Z942" s="110">
        <v>0</v>
      </c>
      <c r="AA942" s="2">
        <f t="shared" si="228"/>
        <v>1</v>
      </c>
      <c r="AB942" s="2">
        <f t="shared" si="229"/>
        <v>0</v>
      </c>
      <c r="AC942" s="2">
        <f t="shared" si="230"/>
        <v>1</v>
      </c>
      <c r="AD942" s="2">
        <f t="shared" si="231"/>
        <v>0</v>
      </c>
      <c r="AE942" s="2">
        <f t="shared" si="232"/>
        <v>0</v>
      </c>
      <c r="AF942" s="2">
        <f t="shared" si="233"/>
        <v>0</v>
      </c>
      <c r="AG942" s="2">
        <f t="shared" si="234"/>
        <v>0</v>
      </c>
      <c r="AH942" s="2">
        <f t="shared" si="235"/>
        <v>2</v>
      </c>
      <c r="AI942" s="2">
        <f t="shared" si="236"/>
        <v>2</v>
      </c>
      <c r="AJ942" s="2">
        <f t="shared" si="237"/>
        <v>2</v>
      </c>
      <c r="AK942" s="2">
        <f t="shared" si="238"/>
        <v>0</v>
      </c>
      <c r="AL942" s="2">
        <f t="shared" si="239"/>
        <v>0</v>
      </c>
      <c r="AM942" s="115"/>
      <c r="AN942" s="115"/>
      <c r="AO942" s="63"/>
    </row>
    <row r="943" spans="1:41" ht="28.8" x14ac:dyDescent="0.55000000000000004">
      <c r="A943" s="36">
        <v>4962</v>
      </c>
      <c r="B943" s="113" t="s">
        <v>419</v>
      </c>
      <c r="C943" s="113" t="s">
        <v>3096</v>
      </c>
      <c r="D943" s="114" t="s">
        <v>55</v>
      </c>
      <c r="E943" s="115"/>
      <c r="F943" s="116"/>
      <c r="G943" s="113" t="s">
        <v>3051</v>
      </c>
      <c r="H943" s="113" t="s">
        <v>3097</v>
      </c>
      <c r="I943" s="113"/>
      <c r="J943" s="117"/>
      <c r="K943" s="118"/>
      <c r="L943" s="109">
        <v>1</v>
      </c>
      <c r="M943" s="109">
        <v>1</v>
      </c>
      <c r="N943" s="109"/>
      <c r="O943" s="119"/>
      <c r="P943" s="2">
        <f t="shared" si="224"/>
        <v>2</v>
      </c>
      <c r="Q943" s="110" t="str">
        <f>IF(AND(Drops!$D$45&gt;1,OR(U943&lt;&gt;U942,AND(ROW()=5,U942=U943))),VLOOKUP(U943,Drops!$D$26:$E$44,2,FALSE),"")</f>
        <v/>
      </c>
      <c r="R943" s="2" t="str">
        <f t="shared" si="225"/>
        <v/>
      </c>
      <c r="S943" s="2">
        <f t="shared" ca="1" si="226"/>
        <v>2</v>
      </c>
      <c r="T943" s="2">
        <f t="shared" si="227"/>
        <v>1</v>
      </c>
      <c r="U943" s="110" t="s">
        <v>3019</v>
      </c>
      <c r="V943" s="110">
        <v>5</v>
      </c>
      <c r="W943" s="110">
        <v>0</v>
      </c>
      <c r="X943" s="110">
        <v>0</v>
      </c>
      <c r="Y943" s="110">
        <v>0</v>
      </c>
      <c r="Z943" s="110">
        <v>0</v>
      </c>
      <c r="AA943" s="2">
        <f t="shared" si="228"/>
        <v>1</v>
      </c>
      <c r="AB943" s="2">
        <f t="shared" si="229"/>
        <v>1</v>
      </c>
      <c r="AC943" s="2">
        <f t="shared" si="230"/>
        <v>2</v>
      </c>
      <c r="AD943" s="2">
        <f t="shared" si="231"/>
        <v>2</v>
      </c>
      <c r="AE943" s="2">
        <f t="shared" si="232"/>
        <v>2</v>
      </c>
      <c r="AF943" s="2">
        <f t="shared" si="233"/>
        <v>2</v>
      </c>
      <c r="AG943" s="2">
        <f t="shared" si="234"/>
        <v>2</v>
      </c>
      <c r="AH943" s="2">
        <f t="shared" si="235"/>
        <v>1</v>
      </c>
      <c r="AI943" s="2">
        <f t="shared" si="236"/>
        <v>2</v>
      </c>
      <c r="AJ943" s="2">
        <f t="shared" si="237"/>
        <v>2</v>
      </c>
      <c r="AK943" s="2">
        <f t="shared" si="238"/>
        <v>0</v>
      </c>
      <c r="AL943" s="2">
        <f t="shared" si="239"/>
        <v>0</v>
      </c>
      <c r="AM943" s="115"/>
      <c r="AN943" s="115"/>
      <c r="AO943" s="63"/>
    </row>
    <row r="944" spans="1:41" ht="28.8" hidden="1" x14ac:dyDescent="0.55000000000000004">
      <c r="A944" s="36">
        <v>4963</v>
      </c>
      <c r="B944" s="113" t="s">
        <v>3098</v>
      </c>
      <c r="C944" s="138" t="s">
        <v>3099</v>
      </c>
      <c r="D944" s="114"/>
      <c r="E944" s="115"/>
      <c r="F944" s="116"/>
      <c r="G944" s="113" t="s">
        <v>3051</v>
      </c>
      <c r="H944" s="113" t="s">
        <v>3097</v>
      </c>
      <c r="I944" s="113" t="s">
        <v>1062</v>
      </c>
      <c r="J944" s="117"/>
      <c r="K944" s="118"/>
      <c r="L944" s="109">
        <v>2</v>
      </c>
      <c r="M944" s="109">
        <v>2</v>
      </c>
      <c r="N944" s="109"/>
      <c r="O944" s="119"/>
      <c r="P944" s="2">
        <f t="shared" si="224"/>
        <v>0</v>
      </c>
      <c r="Q944" s="110" t="str">
        <f>IF(AND(Drops!$D$45&gt;1,OR(U944&lt;&gt;U943,AND(ROW()=5,U943=U944))),VLOOKUP(U944,Drops!$D$26:$E$44,2,FALSE),"")</f>
        <v/>
      </c>
      <c r="R944" s="2" t="str">
        <f t="shared" si="225"/>
        <v/>
      </c>
      <c r="S944" s="2">
        <f t="shared" ca="1" si="226"/>
        <v>2</v>
      </c>
      <c r="T944" s="2">
        <f t="shared" si="227"/>
        <v>0</v>
      </c>
      <c r="U944" s="110" t="s">
        <v>3019</v>
      </c>
      <c r="V944" s="110">
        <v>5</v>
      </c>
      <c r="W944" s="110">
        <v>1</v>
      </c>
      <c r="X944" s="110">
        <v>0</v>
      </c>
      <c r="Y944" s="110">
        <v>0</v>
      </c>
      <c r="Z944" s="110">
        <v>0</v>
      </c>
      <c r="AA944" s="2">
        <f t="shared" si="228"/>
        <v>0</v>
      </c>
      <c r="AB944" s="2">
        <f t="shared" si="229"/>
        <v>0</v>
      </c>
      <c r="AC944" s="2">
        <f t="shared" si="230"/>
        <v>2</v>
      </c>
      <c r="AD944" s="2">
        <f t="shared" si="231"/>
        <v>2</v>
      </c>
      <c r="AE944" s="2">
        <f t="shared" si="232"/>
        <v>2</v>
      </c>
      <c r="AF944" s="2">
        <f t="shared" si="233"/>
        <v>2</v>
      </c>
      <c r="AG944" s="2">
        <f t="shared" si="234"/>
        <v>2</v>
      </c>
      <c r="AH944" s="2">
        <f t="shared" si="235"/>
        <v>0</v>
      </c>
      <c r="AI944" s="2">
        <f t="shared" si="236"/>
        <v>1</v>
      </c>
      <c r="AJ944" s="2">
        <f t="shared" si="237"/>
        <v>2</v>
      </c>
      <c r="AK944" s="2">
        <f t="shared" si="238"/>
        <v>0</v>
      </c>
      <c r="AL944" s="2">
        <f t="shared" si="239"/>
        <v>0</v>
      </c>
      <c r="AM944" s="115"/>
      <c r="AN944" s="115"/>
      <c r="AO944" s="63"/>
    </row>
    <row r="945" spans="1:41" ht="43.2" x14ac:dyDescent="0.55000000000000004">
      <c r="A945" s="36">
        <v>4366</v>
      </c>
      <c r="B945" s="113" t="s">
        <v>423</v>
      </c>
      <c r="C945" s="113" t="s">
        <v>3100</v>
      </c>
      <c r="D945" s="114" t="s">
        <v>52</v>
      </c>
      <c r="E945" s="115"/>
      <c r="F945" s="116"/>
      <c r="G945" s="113" t="s">
        <v>3101</v>
      </c>
      <c r="H945" s="113" t="s">
        <v>1742</v>
      </c>
      <c r="I945" s="113"/>
      <c r="J945" s="117"/>
      <c r="K945" s="118"/>
      <c r="L945" s="109">
        <v>1</v>
      </c>
      <c r="M945" s="109">
        <v>1</v>
      </c>
      <c r="N945" s="109"/>
      <c r="O945" s="119"/>
      <c r="P945" s="2">
        <f t="shared" si="224"/>
        <v>1</v>
      </c>
      <c r="Q945" s="110" t="str">
        <f>IF(AND(Drops!$D$45&gt;1,OR(U945&lt;&gt;U944,AND(ROW()=5,U944=U945))),VLOOKUP(U945,Drops!$D$26:$E$44,2,FALSE),"")</f>
        <v>U. Server Security</v>
      </c>
      <c r="R945" s="2">
        <f t="shared" si="225"/>
        <v>945</v>
      </c>
      <c r="S945" s="2">
        <f t="shared" ca="1" si="226"/>
        <v>1</v>
      </c>
      <c r="T945" s="2">
        <f t="shared" si="227"/>
        <v>1</v>
      </c>
      <c r="U945" s="110" t="s">
        <v>3102</v>
      </c>
      <c r="V945" s="110">
        <v>1</v>
      </c>
      <c r="W945" s="110">
        <v>0</v>
      </c>
      <c r="X945" s="110">
        <v>0</v>
      </c>
      <c r="Y945" s="110">
        <v>0</v>
      </c>
      <c r="Z945" s="110">
        <v>0</v>
      </c>
      <c r="AA945" s="2">
        <f t="shared" si="228"/>
        <v>1</v>
      </c>
      <c r="AB945" s="2">
        <f t="shared" si="229"/>
        <v>1</v>
      </c>
      <c r="AC945" s="2">
        <f t="shared" si="230"/>
        <v>1</v>
      </c>
      <c r="AD945" s="2">
        <f t="shared" si="231"/>
        <v>0</v>
      </c>
      <c r="AE945" s="2">
        <f t="shared" si="232"/>
        <v>0</v>
      </c>
      <c r="AF945" s="2">
        <f t="shared" si="233"/>
        <v>0</v>
      </c>
      <c r="AG945" s="2">
        <f t="shared" si="234"/>
        <v>0</v>
      </c>
      <c r="AH945" s="2">
        <f t="shared" si="235"/>
        <v>2</v>
      </c>
      <c r="AI945" s="2">
        <f t="shared" si="236"/>
        <v>0</v>
      </c>
      <c r="AJ945" s="2">
        <f t="shared" si="237"/>
        <v>0</v>
      </c>
      <c r="AK945" s="2">
        <f t="shared" si="238"/>
        <v>0</v>
      </c>
      <c r="AL945" s="2">
        <f t="shared" si="239"/>
        <v>0</v>
      </c>
      <c r="AM945" s="115"/>
      <c r="AN945" s="115"/>
      <c r="AO945" s="63"/>
    </row>
    <row r="946" spans="1:41" ht="43.2" x14ac:dyDescent="0.55000000000000004">
      <c r="A946" s="36">
        <v>4367</v>
      </c>
      <c r="B946" s="113" t="s">
        <v>3103</v>
      </c>
      <c r="C946" s="138" t="s">
        <v>3104</v>
      </c>
      <c r="D946" s="114" t="s">
        <v>52</v>
      </c>
      <c r="E946" s="115" t="s">
        <v>3105</v>
      </c>
      <c r="F946" s="116"/>
      <c r="G946" s="113" t="s">
        <v>3101</v>
      </c>
      <c r="H946" s="113" t="s">
        <v>3106</v>
      </c>
      <c r="I946" s="113" t="s">
        <v>1399</v>
      </c>
      <c r="J946" s="117"/>
      <c r="K946" s="118"/>
      <c r="L946" s="109">
        <v>2</v>
      </c>
      <c r="M946" s="109">
        <v>2</v>
      </c>
      <c r="N946" s="109"/>
      <c r="O946" s="119"/>
      <c r="P946" s="2">
        <f t="shared" si="224"/>
        <v>1</v>
      </c>
      <c r="Q946" s="110" t="str">
        <f>IF(AND(Drops!$D$45&gt;1,OR(U946&lt;&gt;U945,AND(ROW()=5,U945=U946))),VLOOKUP(U946,Drops!$D$26:$E$44,2,FALSE),"")</f>
        <v/>
      </c>
      <c r="R946" s="2" t="str">
        <f t="shared" si="225"/>
        <v/>
      </c>
      <c r="S946" s="2">
        <f t="shared" ca="1" si="226"/>
        <v>1</v>
      </c>
      <c r="T946" s="2">
        <f t="shared" si="227"/>
        <v>0</v>
      </c>
      <c r="U946" s="110" t="s">
        <v>3102</v>
      </c>
      <c r="V946" s="110">
        <v>1</v>
      </c>
      <c r="W946" s="110">
        <v>1</v>
      </c>
      <c r="X946" s="110">
        <v>0</v>
      </c>
      <c r="Y946" s="110">
        <v>0</v>
      </c>
      <c r="Z946" s="110">
        <v>0</v>
      </c>
      <c r="AA946" s="2">
        <f t="shared" si="228"/>
        <v>1</v>
      </c>
      <c r="AB946" s="2">
        <f t="shared" si="229"/>
        <v>1</v>
      </c>
      <c r="AC946" s="2">
        <f t="shared" si="230"/>
        <v>1</v>
      </c>
      <c r="AD946" s="2">
        <f t="shared" si="231"/>
        <v>1</v>
      </c>
      <c r="AE946" s="2">
        <f t="shared" si="232"/>
        <v>0</v>
      </c>
      <c r="AF946" s="2">
        <f t="shared" si="233"/>
        <v>0</v>
      </c>
      <c r="AG946" s="2">
        <f t="shared" si="234"/>
        <v>0</v>
      </c>
      <c r="AH946" s="2">
        <f t="shared" si="235"/>
        <v>2</v>
      </c>
      <c r="AI946" s="2">
        <f t="shared" si="236"/>
        <v>2</v>
      </c>
      <c r="AJ946" s="2">
        <f t="shared" si="237"/>
        <v>0</v>
      </c>
      <c r="AK946" s="2">
        <f t="shared" si="238"/>
        <v>0</v>
      </c>
      <c r="AL946" s="2">
        <f t="shared" si="239"/>
        <v>0</v>
      </c>
      <c r="AM946" s="115"/>
      <c r="AN946" s="115"/>
      <c r="AO946" s="63"/>
    </row>
    <row r="947" spans="1:41" ht="43.2" x14ac:dyDescent="0.55000000000000004">
      <c r="A947" s="36">
        <v>4368</v>
      </c>
      <c r="B947" s="113" t="s">
        <v>3107</v>
      </c>
      <c r="C947" s="139" t="s">
        <v>3108</v>
      </c>
      <c r="D947" s="114" t="s">
        <v>52</v>
      </c>
      <c r="E947" s="115"/>
      <c r="F947" s="116"/>
      <c r="G947" s="113" t="s">
        <v>3101</v>
      </c>
      <c r="H947" s="113" t="s">
        <v>3106</v>
      </c>
      <c r="I947" s="113" t="s">
        <v>1399</v>
      </c>
      <c r="J947" s="117"/>
      <c r="K947" s="118"/>
      <c r="L947" s="109">
        <v>3</v>
      </c>
      <c r="M947" s="109">
        <v>3</v>
      </c>
      <c r="N947" s="109"/>
      <c r="O947" s="119"/>
      <c r="P947" s="2">
        <f t="shared" si="224"/>
        <v>1</v>
      </c>
      <c r="Q947" s="110" t="str">
        <f>IF(AND(Drops!$D$45&gt;1,OR(U947&lt;&gt;U946,AND(ROW()=5,U946=U947))),VLOOKUP(U947,Drops!$D$26:$E$44,2,FALSE),"")</f>
        <v/>
      </c>
      <c r="R947" s="2" t="str">
        <f t="shared" si="225"/>
        <v/>
      </c>
      <c r="S947" s="2">
        <f t="shared" ca="1" si="226"/>
        <v>1</v>
      </c>
      <c r="T947" s="2">
        <f t="shared" si="227"/>
        <v>0</v>
      </c>
      <c r="U947" s="110" t="s">
        <v>3102</v>
      </c>
      <c r="V947" s="110">
        <v>1</v>
      </c>
      <c r="W947" s="110">
        <v>1</v>
      </c>
      <c r="X947" s="110">
        <v>1</v>
      </c>
      <c r="Y947" s="110">
        <v>0</v>
      </c>
      <c r="Z947" s="110">
        <v>0</v>
      </c>
      <c r="AA947" s="2">
        <f t="shared" si="228"/>
        <v>1</v>
      </c>
      <c r="AB947" s="2">
        <f t="shared" si="229"/>
        <v>0</v>
      </c>
      <c r="AC947" s="2">
        <f t="shared" si="230"/>
        <v>1</v>
      </c>
      <c r="AD947" s="2">
        <f t="shared" si="231"/>
        <v>1</v>
      </c>
      <c r="AE947" s="2">
        <f t="shared" si="232"/>
        <v>1</v>
      </c>
      <c r="AF947" s="2">
        <f t="shared" si="233"/>
        <v>0</v>
      </c>
      <c r="AG947" s="2">
        <f t="shared" si="234"/>
        <v>0</v>
      </c>
      <c r="AH947" s="2">
        <f t="shared" si="235"/>
        <v>2</v>
      </c>
      <c r="AI947" s="2">
        <f t="shared" si="236"/>
        <v>2</v>
      </c>
      <c r="AJ947" s="2">
        <f t="shared" si="237"/>
        <v>2</v>
      </c>
      <c r="AK947" s="2">
        <f t="shared" si="238"/>
        <v>0</v>
      </c>
      <c r="AL947" s="2">
        <f t="shared" si="239"/>
        <v>0</v>
      </c>
      <c r="AM947" s="115"/>
      <c r="AN947" s="115"/>
      <c r="AO947" s="63"/>
    </row>
    <row r="948" spans="1:41" ht="43.2" x14ac:dyDescent="0.55000000000000004">
      <c r="A948" s="36">
        <v>4369</v>
      </c>
      <c r="B948" s="113" t="s">
        <v>3109</v>
      </c>
      <c r="C948" s="139" t="s">
        <v>3110</v>
      </c>
      <c r="D948" s="114" t="s">
        <v>52</v>
      </c>
      <c r="E948" s="115"/>
      <c r="F948" s="116"/>
      <c r="G948" s="113" t="s">
        <v>3101</v>
      </c>
      <c r="H948" s="113" t="s">
        <v>3111</v>
      </c>
      <c r="I948" s="113" t="s">
        <v>1399</v>
      </c>
      <c r="J948" s="117"/>
      <c r="K948" s="118"/>
      <c r="L948" s="109">
        <v>3</v>
      </c>
      <c r="M948" s="109">
        <v>2</v>
      </c>
      <c r="N948" s="109"/>
      <c r="O948" s="119"/>
      <c r="P948" s="2">
        <f t="shared" si="224"/>
        <v>1</v>
      </c>
      <c r="Q948" s="110" t="str">
        <f>IF(AND(Drops!$D$45&gt;1,OR(U948&lt;&gt;U947,AND(ROW()=5,U947=U948))),VLOOKUP(U948,Drops!$D$26:$E$44,2,FALSE),"")</f>
        <v/>
      </c>
      <c r="R948" s="2" t="str">
        <f t="shared" si="225"/>
        <v/>
      </c>
      <c r="S948" s="2">
        <f t="shared" ca="1" si="226"/>
        <v>1</v>
      </c>
      <c r="T948" s="2">
        <f t="shared" si="227"/>
        <v>0</v>
      </c>
      <c r="U948" s="110" t="s">
        <v>3102</v>
      </c>
      <c r="V948" s="110">
        <v>1</v>
      </c>
      <c r="W948" s="110">
        <v>1</v>
      </c>
      <c r="X948" s="110">
        <v>2</v>
      </c>
      <c r="Y948" s="110">
        <v>0</v>
      </c>
      <c r="Z948" s="110">
        <v>0</v>
      </c>
      <c r="AA948" s="2">
        <f t="shared" si="228"/>
        <v>1</v>
      </c>
      <c r="AB948" s="2">
        <f t="shared" si="229"/>
        <v>1</v>
      </c>
      <c r="AC948" s="2">
        <f t="shared" si="230"/>
        <v>1</v>
      </c>
      <c r="AD948" s="2">
        <f t="shared" si="231"/>
        <v>1</v>
      </c>
      <c r="AE948" s="2">
        <f t="shared" si="232"/>
        <v>1</v>
      </c>
      <c r="AF948" s="2">
        <f t="shared" si="233"/>
        <v>0</v>
      </c>
      <c r="AG948" s="2">
        <f t="shared" si="234"/>
        <v>0</v>
      </c>
      <c r="AH948" s="2">
        <f t="shared" si="235"/>
        <v>2</v>
      </c>
      <c r="AI948" s="2">
        <f t="shared" si="236"/>
        <v>2</v>
      </c>
      <c r="AJ948" s="2">
        <f t="shared" si="237"/>
        <v>2</v>
      </c>
      <c r="AK948" s="2">
        <f t="shared" si="238"/>
        <v>0</v>
      </c>
      <c r="AL948" s="2">
        <f t="shared" si="239"/>
        <v>0</v>
      </c>
      <c r="AM948" s="115"/>
      <c r="AN948" s="115"/>
      <c r="AO948" s="63"/>
    </row>
    <row r="949" spans="1:41" ht="43.2" x14ac:dyDescent="0.55000000000000004">
      <c r="A949" s="36">
        <v>4535</v>
      </c>
      <c r="B949" s="113" t="s">
        <v>3112</v>
      </c>
      <c r="C949" s="140" t="s">
        <v>3113</v>
      </c>
      <c r="D949" s="114" t="s">
        <v>52</v>
      </c>
      <c r="E949" s="115"/>
      <c r="F949" s="116"/>
      <c r="G949" s="113" t="s">
        <v>3101</v>
      </c>
      <c r="H949" s="113" t="s">
        <v>3111</v>
      </c>
      <c r="I949" s="113" t="s">
        <v>1399</v>
      </c>
      <c r="J949" s="117"/>
      <c r="K949" s="118"/>
      <c r="L949" s="109">
        <v>4</v>
      </c>
      <c r="M949" s="109">
        <v>3</v>
      </c>
      <c r="N949" s="109"/>
      <c r="O949" s="119"/>
      <c r="P949" s="2">
        <f t="shared" si="224"/>
        <v>1</v>
      </c>
      <c r="Q949" s="110" t="str">
        <f>IF(AND(Drops!$D$45&gt;1,OR(U949&lt;&gt;U948,AND(ROW()=5,U948=U949))),VLOOKUP(U949,Drops!$D$26:$E$44,2,FALSE),"")</f>
        <v/>
      </c>
      <c r="R949" s="2" t="str">
        <f t="shared" si="225"/>
        <v/>
      </c>
      <c r="S949" s="2">
        <f t="shared" ca="1" si="226"/>
        <v>1</v>
      </c>
      <c r="T949" s="2">
        <f t="shared" si="227"/>
        <v>0</v>
      </c>
      <c r="U949" s="110" t="s">
        <v>3102</v>
      </c>
      <c r="V949" s="110">
        <v>1</v>
      </c>
      <c r="W949" s="110">
        <v>1</v>
      </c>
      <c r="X949" s="110">
        <v>2</v>
      </c>
      <c r="Y949" s="110">
        <v>1</v>
      </c>
      <c r="Z949" s="110">
        <v>0</v>
      </c>
      <c r="AA949" s="2">
        <f t="shared" si="228"/>
        <v>1</v>
      </c>
      <c r="AB949" s="2">
        <f t="shared" si="229"/>
        <v>0</v>
      </c>
      <c r="AC949" s="2">
        <f t="shared" si="230"/>
        <v>1</v>
      </c>
      <c r="AD949" s="2">
        <f t="shared" si="231"/>
        <v>1</v>
      </c>
      <c r="AE949" s="2">
        <f t="shared" si="232"/>
        <v>1</v>
      </c>
      <c r="AF949" s="2">
        <f t="shared" si="233"/>
        <v>1</v>
      </c>
      <c r="AG949" s="2">
        <f t="shared" si="234"/>
        <v>0</v>
      </c>
      <c r="AH949" s="2">
        <f t="shared" si="235"/>
        <v>2</v>
      </c>
      <c r="AI949" s="2">
        <f t="shared" si="236"/>
        <v>2</v>
      </c>
      <c r="AJ949" s="2">
        <f t="shared" si="237"/>
        <v>2</v>
      </c>
      <c r="AK949" s="2">
        <f t="shared" si="238"/>
        <v>2</v>
      </c>
      <c r="AL949" s="2">
        <f t="shared" si="239"/>
        <v>0</v>
      </c>
      <c r="AM949" s="115"/>
      <c r="AN949" s="115"/>
      <c r="AO949" s="63"/>
    </row>
    <row r="950" spans="1:41" ht="43.2" x14ac:dyDescent="0.55000000000000004">
      <c r="A950" s="36">
        <v>4536</v>
      </c>
      <c r="B950" s="113" t="s">
        <v>3114</v>
      </c>
      <c r="C950" s="138" t="s">
        <v>3115</v>
      </c>
      <c r="D950" s="114" t="s">
        <v>52</v>
      </c>
      <c r="E950" s="115"/>
      <c r="F950" s="116"/>
      <c r="G950" s="113" t="s">
        <v>3101</v>
      </c>
      <c r="H950" s="113" t="s">
        <v>3116</v>
      </c>
      <c r="I950" s="113" t="s">
        <v>1399</v>
      </c>
      <c r="J950" s="117"/>
      <c r="K950" s="118"/>
      <c r="L950" s="109">
        <v>2</v>
      </c>
      <c r="M950" s="109">
        <v>2</v>
      </c>
      <c r="N950" s="109"/>
      <c r="O950" s="119"/>
      <c r="P950" s="2">
        <f t="shared" si="224"/>
        <v>1</v>
      </c>
      <c r="Q950" s="110" t="str">
        <f>IF(AND(Drops!$D$45&gt;1,OR(U950&lt;&gt;U949,AND(ROW()=5,U949=U950))),VLOOKUP(U950,Drops!$D$26:$E$44,2,FALSE),"")</f>
        <v/>
      </c>
      <c r="R950" s="2" t="str">
        <f t="shared" si="225"/>
        <v/>
      </c>
      <c r="S950" s="2">
        <f t="shared" ca="1" si="226"/>
        <v>1</v>
      </c>
      <c r="T950" s="2">
        <f t="shared" si="227"/>
        <v>0</v>
      </c>
      <c r="U950" s="110" t="s">
        <v>3102</v>
      </c>
      <c r="V950" s="110">
        <v>1</v>
      </c>
      <c r="W950" s="110">
        <v>2</v>
      </c>
      <c r="X950" s="110">
        <v>0</v>
      </c>
      <c r="Y950" s="110">
        <v>0</v>
      </c>
      <c r="Z950" s="110">
        <v>0</v>
      </c>
      <c r="AA950" s="2">
        <f t="shared" si="228"/>
        <v>1</v>
      </c>
      <c r="AB950" s="2">
        <f t="shared" si="229"/>
        <v>1</v>
      </c>
      <c r="AC950" s="2">
        <f t="shared" si="230"/>
        <v>1</v>
      </c>
      <c r="AD950" s="2">
        <f t="shared" si="231"/>
        <v>1</v>
      </c>
      <c r="AE950" s="2">
        <f t="shared" si="232"/>
        <v>0</v>
      </c>
      <c r="AF950" s="2">
        <f t="shared" si="233"/>
        <v>0</v>
      </c>
      <c r="AG950" s="2">
        <f t="shared" si="234"/>
        <v>0</v>
      </c>
      <c r="AH950" s="2">
        <f t="shared" si="235"/>
        <v>2</v>
      </c>
      <c r="AI950" s="2">
        <f t="shared" si="236"/>
        <v>2</v>
      </c>
      <c r="AJ950" s="2">
        <f t="shared" si="237"/>
        <v>2</v>
      </c>
      <c r="AK950" s="2">
        <f t="shared" si="238"/>
        <v>2</v>
      </c>
      <c r="AL950" s="2">
        <f t="shared" si="239"/>
        <v>0</v>
      </c>
      <c r="AM950" s="115"/>
      <c r="AN950" s="115"/>
      <c r="AO950" s="63"/>
    </row>
    <row r="951" spans="1:41" ht="43.2" x14ac:dyDescent="0.55000000000000004">
      <c r="A951" s="36">
        <v>4370</v>
      </c>
      <c r="B951" s="113" t="s">
        <v>3117</v>
      </c>
      <c r="C951" s="139" t="s">
        <v>3118</v>
      </c>
      <c r="D951" s="114" t="s">
        <v>52</v>
      </c>
      <c r="E951" s="115"/>
      <c r="F951" s="116"/>
      <c r="G951" s="113" t="s">
        <v>3101</v>
      </c>
      <c r="H951" s="113" t="s">
        <v>3119</v>
      </c>
      <c r="I951" s="113" t="s">
        <v>1399</v>
      </c>
      <c r="J951" s="117"/>
      <c r="K951" s="118"/>
      <c r="L951" s="109">
        <v>3</v>
      </c>
      <c r="M951" s="109">
        <v>2</v>
      </c>
      <c r="N951" s="109"/>
      <c r="O951" s="119"/>
      <c r="P951" s="2">
        <f t="shared" si="224"/>
        <v>1</v>
      </c>
      <c r="Q951" s="110" t="str">
        <f>IF(AND(Drops!$D$45&gt;1,OR(U951&lt;&gt;U950,AND(ROW()=5,U950=U951))),VLOOKUP(U951,Drops!$D$26:$E$44,2,FALSE),"")</f>
        <v/>
      </c>
      <c r="R951" s="2" t="str">
        <f t="shared" si="225"/>
        <v/>
      </c>
      <c r="S951" s="2">
        <f t="shared" ca="1" si="226"/>
        <v>1</v>
      </c>
      <c r="T951" s="2">
        <f t="shared" si="227"/>
        <v>0</v>
      </c>
      <c r="U951" s="110" t="s">
        <v>3102</v>
      </c>
      <c r="V951" s="110">
        <v>1</v>
      </c>
      <c r="W951" s="110">
        <v>2</v>
      </c>
      <c r="X951" s="110">
        <v>1</v>
      </c>
      <c r="Y951" s="110">
        <v>0</v>
      </c>
      <c r="Z951" s="110">
        <v>0</v>
      </c>
      <c r="AA951" s="2">
        <f t="shared" si="228"/>
        <v>1</v>
      </c>
      <c r="AB951" s="2">
        <f t="shared" si="229"/>
        <v>0</v>
      </c>
      <c r="AC951" s="2">
        <f t="shared" si="230"/>
        <v>1</v>
      </c>
      <c r="AD951" s="2">
        <f t="shared" si="231"/>
        <v>1</v>
      </c>
      <c r="AE951" s="2">
        <f t="shared" si="232"/>
        <v>1</v>
      </c>
      <c r="AF951" s="2">
        <f t="shared" si="233"/>
        <v>0</v>
      </c>
      <c r="AG951" s="2">
        <f t="shared" si="234"/>
        <v>0</v>
      </c>
      <c r="AH951" s="2">
        <f t="shared" si="235"/>
        <v>2</v>
      </c>
      <c r="AI951" s="2">
        <f t="shared" si="236"/>
        <v>2</v>
      </c>
      <c r="AJ951" s="2">
        <f t="shared" si="237"/>
        <v>2</v>
      </c>
      <c r="AK951" s="2">
        <f t="shared" si="238"/>
        <v>2</v>
      </c>
      <c r="AL951" s="2">
        <f t="shared" si="239"/>
        <v>0</v>
      </c>
      <c r="AM951" s="115"/>
      <c r="AN951" s="115"/>
      <c r="AO951" s="63"/>
    </row>
    <row r="952" spans="1:41" ht="43.2" x14ac:dyDescent="0.55000000000000004">
      <c r="A952" s="36">
        <v>4371</v>
      </c>
      <c r="B952" s="113" t="s">
        <v>3120</v>
      </c>
      <c r="C952" s="139" t="s">
        <v>3121</v>
      </c>
      <c r="D952" s="114" t="s">
        <v>52</v>
      </c>
      <c r="E952" s="115"/>
      <c r="F952" s="116"/>
      <c r="G952" s="113" t="s">
        <v>3101</v>
      </c>
      <c r="H952" s="113" t="s">
        <v>3119</v>
      </c>
      <c r="I952" s="113" t="s">
        <v>1399</v>
      </c>
      <c r="J952" s="117"/>
      <c r="K952" s="118"/>
      <c r="L952" s="109">
        <v>3</v>
      </c>
      <c r="M952" s="109">
        <v>3</v>
      </c>
      <c r="N952" s="109"/>
      <c r="O952" s="119"/>
      <c r="P952" s="2">
        <f t="shared" si="224"/>
        <v>1</v>
      </c>
      <c r="Q952" s="110" t="str">
        <f>IF(AND(Drops!$D$45&gt;1,OR(U952&lt;&gt;U951,AND(ROW()=5,U951=U952))),VLOOKUP(U952,Drops!$D$26:$E$44,2,FALSE),"")</f>
        <v/>
      </c>
      <c r="R952" s="2" t="str">
        <f t="shared" si="225"/>
        <v/>
      </c>
      <c r="S952" s="2">
        <f t="shared" ca="1" si="226"/>
        <v>1</v>
      </c>
      <c r="T952" s="2">
        <f t="shared" si="227"/>
        <v>0</v>
      </c>
      <c r="U952" s="110" t="s">
        <v>3102</v>
      </c>
      <c r="V952" s="110">
        <v>1</v>
      </c>
      <c r="W952" s="110">
        <v>2</v>
      </c>
      <c r="X952" s="110">
        <v>2</v>
      </c>
      <c r="Y952" s="110">
        <v>0</v>
      </c>
      <c r="Z952" s="110">
        <v>0</v>
      </c>
      <c r="AA952" s="2">
        <f t="shared" si="228"/>
        <v>1</v>
      </c>
      <c r="AB952" s="2">
        <f t="shared" si="229"/>
        <v>0</v>
      </c>
      <c r="AC952" s="2">
        <f t="shared" si="230"/>
        <v>1</v>
      </c>
      <c r="AD952" s="2">
        <f t="shared" si="231"/>
        <v>1</v>
      </c>
      <c r="AE952" s="2">
        <f t="shared" si="232"/>
        <v>1</v>
      </c>
      <c r="AF952" s="2">
        <f t="shared" si="233"/>
        <v>0</v>
      </c>
      <c r="AG952" s="2">
        <f t="shared" si="234"/>
        <v>0</v>
      </c>
      <c r="AH952" s="2">
        <f t="shared" si="235"/>
        <v>2</v>
      </c>
      <c r="AI952" s="2">
        <f t="shared" si="236"/>
        <v>2</v>
      </c>
      <c r="AJ952" s="2">
        <f t="shared" si="237"/>
        <v>2</v>
      </c>
      <c r="AK952" s="2">
        <f t="shared" si="238"/>
        <v>2</v>
      </c>
      <c r="AL952" s="2">
        <f t="shared" si="239"/>
        <v>0</v>
      </c>
      <c r="AM952" s="115"/>
      <c r="AN952" s="115"/>
      <c r="AO952" s="63"/>
    </row>
    <row r="953" spans="1:41" ht="43.2" x14ac:dyDescent="0.55000000000000004">
      <c r="A953" s="36">
        <v>4372</v>
      </c>
      <c r="B953" s="113" t="s">
        <v>3122</v>
      </c>
      <c r="C953" s="139" t="s">
        <v>3123</v>
      </c>
      <c r="D953" s="114" t="s">
        <v>52</v>
      </c>
      <c r="E953" s="115"/>
      <c r="F953" s="116"/>
      <c r="G953" s="113" t="s">
        <v>3101</v>
      </c>
      <c r="H953" s="113" t="s">
        <v>3124</v>
      </c>
      <c r="I953" s="113" t="s">
        <v>1399</v>
      </c>
      <c r="J953" s="117"/>
      <c r="K953" s="118"/>
      <c r="L953" s="109">
        <v>3</v>
      </c>
      <c r="M953" s="109">
        <v>3</v>
      </c>
      <c r="N953" s="109"/>
      <c r="O953" s="119"/>
      <c r="P953" s="2">
        <f t="shared" si="224"/>
        <v>1</v>
      </c>
      <c r="Q953" s="110" t="str">
        <f>IF(AND(Drops!$D$45&gt;1,OR(U953&lt;&gt;U952,AND(ROW()=5,U952=U953))),VLOOKUP(U953,Drops!$D$26:$E$44,2,FALSE),"")</f>
        <v/>
      </c>
      <c r="R953" s="2" t="str">
        <f t="shared" si="225"/>
        <v/>
      </c>
      <c r="S953" s="2">
        <f t="shared" ca="1" si="226"/>
        <v>1</v>
      </c>
      <c r="T953" s="2">
        <f t="shared" si="227"/>
        <v>0</v>
      </c>
      <c r="U953" s="110" t="s">
        <v>3102</v>
      </c>
      <c r="V953" s="110">
        <v>1</v>
      </c>
      <c r="W953" s="110">
        <v>2</v>
      </c>
      <c r="X953" s="110">
        <v>3</v>
      </c>
      <c r="Y953" s="110">
        <v>0</v>
      </c>
      <c r="Z953" s="110">
        <v>0</v>
      </c>
      <c r="AA953" s="2">
        <f t="shared" si="228"/>
        <v>1</v>
      </c>
      <c r="AB953" s="2">
        <f t="shared" si="229"/>
        <v>0</v>
      </c>
      <c r="AC953" s="2">
        <f t="shared" si="230"/>
        <v>1</v>
      </c>
      <c r="AD953" s="2">
        <f t="shared" si="231"/>
        <v>1</v>
      </c>
      <c r="AE953" s="2">
        <f t="shared" si="232"/>
        <v>1</v>
      </c>
      <c r="AF953" s="2">
        <f t="shared" si="233"/>
        <v>0</v>
      </c>
      <c r="AG953" s="2">
        <f t="shared" si="234"/>
        <v>0</v>
      </c>
      <c r="AH953" s="2">
        <f t="shared" si="235"/>
        <v>2</v>
      </c>
      <c r="AI953" s="2">
        <f t="shared" si="236"/>
        <v>2</v>
      </c>
      <c r="AJ953" s="2">
        <f t="shared" si="237"/>
        <v>2</v>
      </c>
      <c r="AK953" s="2">
        <f t="shared" si="238"/>
        <v>2</v>
      </c>
      <c r="AL953" s="2">
        <f t="shared" si="239"/>
        <v>0</v>
      </c>
      <c r="AM953" s="115"/>
      <c r="AN953" s="115"/>
      <c r="AO953" s="63"/>
    </row>
    <row r="954" spans="1:41" ht="43.2" x14ac:dyDescent="0.55000000000000004">
      <c r="A954" s="36">
        <v>4373</v>
      </c>
      <c r="B954" s="113" t="s">
        <v>3125</v>
      </c>
      <c r="C954" s="139" t="s">
        <v>3126</v>
      </c>
      <c r="D954" s="114" t="s">
        <v>52</v>
      </c>
      <c r="E954" s="115"/>
      <c r="F954" s="116"/>
      <c r="G954" s="113" t="s">
        <v>3101</v>
      </c>
      <c r="H954" s="113" t="s">
        <v>3127</v>
      </c>
      <c r="I954" s="113" t="s">
        <v>1399</v>
      </c>
      <c r="J954" s="117"/>
      <c r="K954" s="118"/>
      <c r="L954" s="109">
        <v>3</v>
      </c>
      <c r="M954" s="109">
        <v>3</v>
      </c>
      <c r="N954" s="109"/>
      <c r="O954" s="119"/>
      <c r="P954" s="2">
        <f t="shared" si="224"/>
        <v>1</v>
      </c>
      <c r="Q954" s="110" t="str">
        <f>IF(AND(Drops!$D$45&gt;1,OR(U954&lt;&gt;U953,AND(ROW()=5,U953=U954))),VLOOKUP(U954,Drops!$D$26:$E$44,2,FALSE),"")</f>
        <v/>
      </c>
      <c r="R954" s="2" t="str">
        <f t="shared" si="225"/>
        <v/>
      </c>
      <c r="S954" s="2">
        <f t="shared" ca="1" si="226"/>
        <v>1</v>
      </c>
      <c r="T954" s="2">
        <f t="shared" si="227"/>
        <v>0</v>
      </c>
      <c r="U954" s="110" t="s">
        <v>3102</v>
      </c>
      <c r="V954" s="110">
        <v>1</v>
      </c>
      <c r="W954" s="110">
        <v>2</v>
      </c>
      <c r="X954" s="110">
        <v>4</v>
      </c>
      <c r="Y954" s="110">
        <v>0</v>
      </c>
      <c r="Z954" s="110">
        <v>0</v>
      </c>
      <c r="AA954" s="2">
        <f t="shared" si="228"/>
        <v>1</v>
      </c>
      <c r="AB954" s="2">
        <f t="shared" si="229"/>
        <v>0</v>
      </c>
      <c r="AC954" s="2">
        <f t="shared" si="230"/>
        <v>1</v>
      </c>
      <c r="AD954" s="2">
        <f t="shared" si="231"/>
        <v>1</v>
      </c>
      <c r="AE954" s="2">
        <f t="shared" si="232"/>
        <v>1</v>
      </c>
      <c r="AF954" s="2">
        <f t="shared" si="233"/>
        <v>0</v>
      </c>
      <c r="AG954" s="2">
        <f t="shared" si="234"/>
        <v>0</v>
      </c>
      <c r="AH954" s="2">
        <f t="shared" si="235"/>
        <v>2</v>
      </c>
      <c r="AI954" s="2">
        <f t="shared" si="236"/>
        <v>2</v>
      </c>
      <c r="AJ954" s="2">
        <f t="shared" si="237"/>
        <v>2</v>
      </c>
      <c r="AK954" s="2">
        <f t="shared" si="238"/>
        <v>2</v>
      </c>
      <c r="AL954" s="2">
        <f t="shared" si="239"/>
        <v>0</v>
      </c>
      <c r="AM954" s="115"/>
      <c r="AN954" s="115"/>
      <c r="AO954" s="63"/>
    </row>
    <row r="955" spans="1:41" ht="43.2" x14ac:dyDescent="0.55000000000000004">
      <c r="A955" s="36">
        <v>2659</v>
      </c>
      <c r="B955" s="113" t="s">
        <v>3128</v>
      </c>
      <c r="C955" s="139" t="s">
        <v>3129</v>
      </c>
      <c r="D955" s="114" t="s">
        <v>52</v>
      </c>
      <c r="E955" s="115"/>
      <c r="F955" s="116"/>
      <c r="G955" s="113" t="s">
        <v>3101</v>
      </c>
      <c r="H955" s="113" t="s">
        <v>3130</v>
      </c>
      <c r="I955" s="113" t="s">
        <v>1399</v>
      </c>
      <c r="J955" s="117"/>
      <c r="K955" s="118"/>
      <c r="L955" s="109">
        <v>3</v>
      </c>
      <c r="M955" s="109">
        <v>2</v>
      </c>
      <c r="N955" s="109"/>
      <c r="O955" s="119"/>
      <c r="P955" s="2">
        <f t="shared" si="224"/>
        <v>1</v>
      </c>
      <c r="Q955" s="110" t="str">
        <f>IF(AND(Drops!$D$45&gt;1,OR(U955&lt;&gt;U954,AND(ROW()=5,U954=U955))),VLOOKUP(U955,Drops!$D$26:$E$44,2,FALSE),"")</f>
        <v/>
      </c>
      <c r="R955" s="2" t="str">
        <f t="shared" si="225"/>
        <v/>
      </c>
      <c r="S955" s="2">
        <f t="shared" ca="1" si="226"/>
        <v>1</v>
      </c>
      <c r="T955" s="2">
        <f t="shared" si="227"/>
        <v>0</v>
      </c>
      <c r="U955" s="110" t="s">
        <v>3102</v>
      </c>
      <c r="V955" s="110">
        <v>1</v>
      </c>
      <c r="W955" s="110">
        <v>2</v>
      </c>
      <c r="X955" s="110">
        <v>5</v>
      </c>
      <c r="Y955" s="110">
        <v>0</v>
      </c>
      <c r="Z955" s="110">
        <v>0</v>
      </c>
      <c r="AA955" s="2">
        <f t="shared" si="228"/>
        <v>1</v>
      </c>
      <c r="AB955" s="2">
        <f t="shared" si="229"/>
        <v>0</v>
      </c>
      <c r="AC955" s="2">
        <f t="shared" si="230"/>
        <v>1</v>
      </c>
      <c r="AD955" s="2">
        <f t="shared" si="231"/>
        <v>1</v>
      </c>
      <c r="AE955" s="2">
        <f t="shared" si="232"/>
        <v>1</v>
      </c>
      <c r="AF955" s="2">
        <f t="shared" si="233"/>
        <v>0</v>
      </c>
      <c r="AG955" s="2">
        <f t="shared" si="234"/>
        <v>0</v>
      </c>
      <c r="AH955" s="2">
        <f t="shared" si="235"/>
        <v>2</v>
      </c>
      <c r="AI955" s="2">
        <f t="shared" si="236"/>
        <v>2</v>
      </c>
      <c r="AJ955" s="2">
        <f t="shared" si="237"/>
        <v>2</v>
      </c>
      <c r="AK955" s="2">
        <f t="shared" si="238"/>
        <v>2</v>
      </c>
      <c r="AL955" s="2">
        <f t="shared" si="239"/>
        <v>0</v>
      </c>
      <c r="AM955" s="115"/>
      <c r="AN955" s="115"/>
      <c r="AO955" s="63"/>
    </row>
    <row r="956" spans="1:41" ht="57.6" x14ac:dyDescent="0.55000000000000004">
      <c r="A956" s="36">
        <v>4377</v>
      </c>
      <c r="B956" s="113" t="s">
        <v>3131</v>
      </c>
      <c r="C956" s="138" t="s">
        <v>3132</v>
      </c>
      <c r="D956" s="114" t="s">
        <v>52</v>
      </c>
      <c r="E956" s="115"/>
      <c r="F956" s="116"/>
      <c r="G956" s="113" t="s">
        <v>3101</v>
      </c>
      <c r="H956" s="113" t="s">
        <v>2457</v>
      </c>
      <c r="I956" s="113" t="s">
        <v>1399</v>
      </c>
      <c r="J956" s="117" t="s">
        <v>2585</v>
      </c>
      <c r="K956" s="118"/>
      <c r="L956" s="109">
        <v>2</v>
      </c>
      <c r="M956" s="109">
        <v>2</v>
      </c>
      <c r="N956" s="109"/>
      <c r="O956" s="119"/>
      <c r="P956" s="2">
        <f t="shared" si="224"/>
        <v>1</v>
      </c>
      <c r="Q956" s="110" t="str">
        <f>IF(AND(Drops!$D$45&gt;1,OR(U956&lt;&gt;U955,AND(ROW()=5,U955=U956))),VLOOKUP(U956,Drops!$D$26:$E$44,2,FALSE),"")</f>
        <v/>
      </c>
      <c r="R956" s="2" t="str">
        <f t="shared" si="225"/>
        <v/>
      </c>
      <c r="S956" s="2">
        <f t="shared" ca="1" si="226"/>
        <v>1</v>
      </c>
      <c r="T956" s="2">
        <f t="shared" si="227"/>
        <v>0</v>
      </c>
      <c r="U956" s="110" t="s">
        <v>3102</v>
      </c>
      <c r="V956" s="110">
        <v>1</v>
      </c>
      <c r="W956" s="110">
        <v>3</v>
      </c>
      <c r="X956" s="110">
        <v>0</v>
      </c>
      <c r="Y956" s="110">
        <v>0</v>
      </c>
      <c r="Z956" s="110">
        <v>0</v>
      </c>
      <c r="AA956" s="2">
        <f t="shared" si="228"/>
        <v>1</v>
      </c>
      <c r="AB956" s="2">
        <f t="shared" si="229"/>
        <v>1</v>
      </c>
      <c r="AC956" s="2">
        <f t="shared" si="230"/>
        <v>1</v>
      </c>
      <c r="AD956" s="2">
        <f t="shared" si="231"/>
        <v>1</v>
      </c>
      <c r="AE956" s="2">
        <f t="shared" si="232"/>
        <v>0</v>
      </c>
      <c r="AF956" s="2">
        <f t="shared" si="233"/>
        <v>0</v>
      </c>
      <c r="AG956" s="2">
        <f t="shared" si="234"/>
        <v>0</v>
      </c>
      <c r="AH956" s="2">
        <f t="shared" si="235"/>
        <v>2</v>
      </c>
      <c r="AI956" s="2">
        <f t="shared" si="236"/>
        <v>2</v>
      </c>
      <c r="AJ956" s="2">
        <f t="shared" si="237"/>
        <v>2</v>
      </c>
      <c r="AK956" s="2">
        <f t="shared" si="238"/>
        <v>2</v>
      </c>
      <c r="AL956" s="2">
        <f t="shared" si="239"/>
        <v>0</v>
      </c>
      <c r="AM956" s="115"/>
      <c r="AN956" s="115"/>
      <c r="AO956" s="63"/>
    </row>
    <row r="957" spans="1:41" ht="43.2" x14ac:dyDescent="0.55000000000000004">
      <c r="A957" s="36">
        <v>4378</v>
      </c>
      <c r="B957" s="113" t="s">
        <v>3133</v>
      </c>
      <c r="C957" s="139" t="s">
        <v>3134</v>
      </c>
      <c r="D957" s="114" t="s">
        <v>52</v>
      </c>
      <c r="E957" s="115"/>
      <c r="F957" s="116"/>
      <c r="G957" s="113" t="s">
        <v>3101</v>
      </c>
      <c r="H957" s="113" t="s">
        <v>2457</v>
      </c>
      <c r="I957" s="113" t="s">
        <v>1399</v>
      </c>
      <c r="J957" s="117" t="s">
        <v>2591</v>
      </c>
      <c r="K957" s="118"/>
      <c r="L957" s="109">
        <v>3</v>
      </c>
      <c r="M957" s="109">
        <v>3</v>
      </c>
      <c r="N957" s="109"/>
      <c r="O957" s="119"/>
      <c r="P957" s="2">
        <f t="shared" si="224"/>
        <v>1</v>
      </c>
      <c r="Q957" s="110" t="str">
        <f>IF(AND(Drops!$D$45&gt;1,OR(U957&lt;&gt;U956,AND(ROW()=5,U956=U957))),VLOOKUP(U957,Drops!$D$26:$E$44,2,FALSE),"")</f>
        <v/>
      </c>
      <c r="R957" s="2" t="str">
        <f t="shared" si="225"/>
        <v/>
      </c>
      <c r="S957" s="2">
        <f t="shared" ca="1" si="226"/>
        <v>1</v>
      </c>
      <c r="T957" s="2">
        <f t="shared" si="227"/>
        <v>0</v>
      </c>
      <c r="U957" s="110" t="s">
        <v>3102</v>
      </c>
      <c r="V957" s="110">
        <v>1</v>
      </c>
      <c r="W957" s="110">
        <v>3</v>
      </c>
      <c r="X957" s="110">
        <v>1</v>
      </c>
      <c r="Y957" s="110">
        <v>0</v>
      </c>
      <c r="Z957" s="110">
        <v>0</v>
      </c>
      <c r="AA957" s="2">
        <f t="shared" si="228"/>
        <v>1</v>
      </c>
      <c r="AB957" s="2">
        <f t="shared" si="229"/>
        <v>0</v>
      </c>
      <c r="AC957" s="2">
        <f t="shared" si="230"/>
        <v>1</v>
      </c>
      <c r="AD957" s="2">
        <f t="shared" si="231"/>
        <v>1</v>
      </c>
      <c r="AE957" s="2">
        <f t="shared" si="232"/>
        <v>1</v>
      </c>
      <c r="AF957" s="2">
        <f t="shared" si="233"/>
        <v>0</v>
      </c>
      <c r="AG957" s="2">
        <f t="shared" si="234"/>
        <v>0</v>
      </c>
      <c r="AH957" s="2">
        <f t="shared" si="235"/>
        <v>2</v>
      </c>
      <c r="AI957" s="2">
        <f t="shared" si="236"/>
        <v>2</v>
      </c>
      <c r="AJ957" s="2">
        <f t="shared" si="237"/>
        <v>2</v>
      </c>
      <c r="AK957" s="2">
        <f t="shared" si="238"/>
        <v>2</v>
      </c>
      <c r="AL957" s="2">
        <f t="shared" si="239"/>
        <v>0</v>
      </c>
      <c r="AM957" s="115"/>
      <c r="AN957" s="115"/>
      <c r="AO957" s="63"/>
    </row>
    <row r="958" spans="1:41" ht="100.8" x14ac:dyDescent="0.55000000000000004">
      <c r="A958" s="36">
        <v>4381</v>
      </c>
      <c r="B958" s="113" t="s">
        <v>3135</v>
      </c>
      <c r="C958" s="139" t="s">
        <v>3136</v>
      </c>
      <c r="D958" s="114" t="s">
        <v>52</v>
      </c>
      <c r="E958" s="115"/>
      <c r="F958" s="116"/>
      <c r="G958" s="113" t="s">
        <v>3101</v>
      </c>
      <c r="H958" s="113" t="s">
        <v>2457</v>
      </c>
      <c r="I958" s="113" t="s">
        <v>1399</v>
      </c>
      <c r="J958" s="117" t="s">
        <v>2588</v>
      </c>
      <c r="K958" s="118"/>
      <c r="L958" s="109">
        <v>3</v>
      </c>
      <c r="M958" s="109">
        <v>3</v>
      </c>
      <c r="N958" s="109"/>
      <c r="O958" s="119"/>
      <c r="P958" s="2">
        <f t="shared" si="224"/>
        <v>1</v>
      </c>
      <c r="Q958" s="110" t="str">
        <f>IF(AND(Drops!$D$45&gt;1,OR(U958&lt;&gt;U957,AND(ROW()=5,U957=U958))),VLOOKUP(U958,Drops!$D$26:$E$44,2,FALSE),"")</f>
        <v/>
      </c>
      <c r="R958" s="2" t="str">
        <f t="shared" si="225"/>
        <v/>
      </c>
      <c r="S958" s="2">
        <f t="shared" ca="1" si="226"/>
        <v>1</v>
      </c>
      <c r="T958" s="2">
        <f t="shared" si="227"/>
        <v>0</v>
      </c>
      <c r="U958" s="110" t="s">
        <v>3102</v>
      </c>
      <c r="V958" s="110">
        <v>1</v>
      </c>
      <c r="W958" s="110">
        <v>3</v>
      </c>
      <c r="X958" s="110">
        <v>2</v>
      </c>
      <c r="Y958" s="110">
        <v>0</v>
      </c>
      <c r="Z958" s="110">
        <v>0</v>
      </c>
      <c r="AA958" s="2">
        <f t="shared" si="228"/>
        <v>1</v>
      </c>
      <c r="AB958" s="2">
        <f t="shared" si="229"/>
        <v>0</v>
      </c>
      <c r="AC958" s="2">
        <f t="shared" si="230"/>
        <v>1</v>
      </c>
      <c r="AD958" s="2">
        <f t="shared" si="231"/>
        <v>1</v>
      </c>
      <c r="AE958" s="2">
        <f t="shared" si="232"/>
        <v>1</v>
      </c>
      <c r="AF958" s="2">
        <f t="shared" si="233"/>
        <v>0</v>
      </c>
      <c r="AG958" s="2">
        <f t="shared" si="234"/>
        <v>0</v>
      </c>
      <c r="AH958" s="2">
        <f t="shared" si="235"/>
        <v>2</v>
      </c>
      <c r="AI958" s="2">
        <f t="shared" si="236"/>
        <v>2</v>
      </c>
      <c r="AJ958" s="2">
        <f t="shared" si="237"/>
        <v>2</v>
      </c>
      <c r="AK958" s="2">
        <f t="shared" si="238"/>
        <v>2</v>
      </c>
      <c r="AL958" s="2">
        <f t="shared" si="239"/>
        <v>0</v>
      </c>
      <c r="AM958" s="115"/>
      <c r="AN958" s="115"/>
      <c r="AO958" s="63"/>
    </row>
    <row r="959" spans="1:41" ht="57.6" x14ac:dyDescent="0.55000000000000004">
      <c r="A959" s="36">
        <v>4379</v>
      </c>
      <c r="B959" s="113" t="s">
        <v>3137</v>
      </c>
      <c r="C959" s="139" t="s">
        <v>3138</v>
      </c>
      <c r="D959" s="114" t="s">
        <v>52</v>
      </c>
      <c r="E959" s="115" t="s">
        <v>3139</v>
      </c>
      <c r="F959" s="116"/>
      <c r="G959" s="113" t="s">
        <v>3101</v>
      </c>
      <c r="H959" s="113" t="s">
        <v>2457</v>
      </c>
      <c r="I959" s="113" t="s">
        <v>1399</v>
      </c>
      <c r="J959" s="117" t="s">
        <v>3140</v>
      </c>
      <c r="K959" s="118"/>
      <c r="L959" s="109">
        <v>3</v>
      </c>
      <c r="M959" s="109">
        <v>3</v>
      </c>
      <c r="N959" s="109"/>
      <c r="O959" s="119"/>
      <c r="P959" s="2">
        <f t="shared" si="224"/>
        <v>1</v>
      </c>
      <c r="Q959" s="110" t="str">
        <f>IF(AND(Drops!$D$45&gt;1,OR(U959&lt;&gt;U958,AND(ROW()=5,U958=U959))),VLOOKUP(U959,Drops!$D$26:$E$44,2,FALSE),"")</f>
        <v/>
      </c>
      <c r="R959" s="2" t="str">
        <f t="shared" si="225"/>
        <v/>
      </c>
      <c r="S959" s="2">
        <f t="shared" ca="1" si="226"/>
        <v>1</v>
      </c>
      <c r="T959" s="2">
        <f t="shared" si="227"/>
        <v>0</v>
      </c>
      <c r="U959" s="110" t="s">
        <v>3102</v>
      </c>
      <c r="V959" s="110">
        <v>1</v>
      </c>
      <c r="W959" s="110">
        <v>3</v>
      </c>
      <c r="X959" s="110">
        <v>3</v>
      </c>
      <c r="Y959" s="110">
        <v>0</v>
      </c>
      <c r="Z959" s="110">
        <v>0</v>
      </c>
      <c r="AA959" s="2">
        <f t="shared" si="228"/>
        <v>1</v>
      </c>
      <c r="AB959" s="2">
        <f t="shared" si="229"/>
        <v>0</v>
      </c>
      <c r="AC959" s="2">
        <f t="shared" si="230"/>
        <v>1</v>
      </c>
      <c r="AD959" s="2">
        <f t="shared" si="231"/>
        <v>1</v>
      </c>
      <c r="AE959" s="2">
        <f t="shared" si="232"/>
        <v>1</v>
      </c>
      <c r="AF959" s="2">
        <f t="shared" si="233"/>
        <v>0</v>
      </c>
      <c r="AG959" s="2">
        <f t="shared" si="234"/>
        <v>0</v>
      </c>
      <c r="AH959" s="2">
        <f t="shared" si="235"/>
        <v>2</v>
      </c>
      <c r="AI959" s="2">
        <f t="shared" si="236"/>
        <v>2</v>
      </c>
      <c r="AJ959" s="2">
        <f t="shared" si="237"/>
        <v>2</v>
      </c>
      <c r="AK959" s="2">
        <f t="shared" si="238"/>
        <v>2</v>
      </c>
      <c r="AL959" s="2">
        <f t="shared" si="239"/>
        <v>0</v>
      </c>
      <c r="AM959" s="115"/>
      <c r="AN959" s="115"/>
      <c r="AO959" s="63"/>
    </row>
    <row r="960" spans="1:41" ht="43.2" x14ac:dyDescent="0.55000000000000004">
      <c r="A960" s="36">
        <v>4383</v>
      </c>
      <c r="B960" s="113" t="s">
        <v>3141</v>
      </c>
      <c r="C960" s="138" t="s">
        <v>3142</v>
      </c>
      <c r="D960" s="114" t="s">
        <v>52</v>
      </c>
      <c r="E960" s="115"/>
      <c r="F960" s="116"/>
      <c r="G960" s="113" t="s">
        <v>3101</v>
      </c>
      <c r="H960" s="113" t="s">
        <v>2457</v>
      </c>
      <c r="I960" s="113" t="s">
        <v>1399</v>
      </c>
      <c r="J960" s="117"/>
      <c r="K960" s="118"/>
      <c r="L960" s="109">
        <v>2</v>
      </c>
      <c r="M960" s="109">
        <v>3</v>
      </c>
      <c r="N960" s="109"/>
      <c r="O960" s="119"/>
      <c r="P960" s="2">
        <f t="shared" si="224"/>
        <v>1</v>
      </c>
      <c r="Q960" s="110" t="str">
        <f>IF(AND(Drops!$D$45&gt;1,OR(U960&lt;&gt;U959,AND(ROW()=5,U959=U960))),VLOOKUP(U960,Drops!$D$26:$E$44,2,FALSE),"")</f>
        <v/>
      </c>
      <c r="R960" s="2" t="str">
        <f t="shared" si="225"/>
        <v/>
      </c>
      <c r="S960" s="2">
        <f t="shared" ca="1" si="226"/>
        <v>1</v>
      </c>
      <c r="T960" s="2">
        <f t="shared" si="227"/>
        <v>0</v>
      </c>
      <c r="U960" s="110" t="s">
        <v>3102</v>
      </c>
      <c r="V960" s="110">
        <v>1</v>
      </c>
      <c r="W960" s="110">
        <v>4</v>
      </c>
      <c r="X960" s="110">
        <v>0</v>
      </c>
      <c r="Y960" s="110">
        <v>0</v>
      </c>
      <c r="Z960" s="110">
        <v>0</v>
      </c>
      <c r="AA960" s="2">
        <f t="shared" si="228"/>
        <v>1</v>
      </c>
      <c r="AB960" s="2">
        <f t="shared" si="229"/>
        <v>0</v>
      </c>
      <c r="AC960" s="2">
        <f t="shared" si="230"/>
        <v>1</v>
      </c>
      <c r="AD960" s="2">
        <f t="shared" si="231"/>
        <v>1</v>
      </c>
      <c r="AE960" s="2">
        <f t="shared" si="232"/>
        <v>0</v>
      </c>
      <c r="AF960" s="2">
        <f t="shared" si="233"/>
        <v>0</v>
      </c>
      <c r="AG960" s="2">
        <f t="shared" si="234"/>
        <v>0</v>
      </c>
      <c r="AH960" s="2">
        <f t="shared" si="235"/>
        <v>2</v>
      </c>
      <c r="AI960" s="2">
        <f t="shared" si="236"/>
        <v>2</v>
      </c>
      <c r="AJ960" s="2">
        <f t="shared" si="237"/>
        <v>2</v>
      </c>
      <c r="AK960" s="2">
        <f t="shared" si="238"/>
        <v>2</v>
      </c>
      <c r="AL960" s="2">
        <f t="shared" si="239"/>
        <v>0</v>
      </c>
      <c r="AM960" s="115"/>
      <c r="AN960" s="115"/>
      <c r="AO960" s="63"/>
    </row>
    <row r="961" spans="1:41" ht="28.8" x14ac:dyDescent="0.55000000000000004">
      <c r="A961" s="36">
        <v>2213</v>
      </c>
      <c r="B961" s="113" t="s">
        <v>3143</v>
      </c>
      <c r="C961" s="138" t="s">
        <v>3144</v>
      </c>
      <c r="D961" s="114" t="s">
        <v>52</v>
      </c>
      <c r="E961" s="115"/>
      <c r="F961" s="116"/>
      <c r="G961" s="113" t="s">
        <v>3145</v>
      </c>
      <c r="H961" s="113" t="s">
        <v>3146</v>
      </c>
      <c r="I961" s="113" t="s">
        <v>1399</v>
      </c>
      <c r="J961" s="117"/>
      <c r="K961" s="118"/>
      <c r="L961" s="109">
        <v>2</v>
      </c>
      <c r="M961" s="109">
        <v>2</v>
      </c>
      <c r="N961" s="109"/>
      <c r="O961" s="119"/>
      <c r="P961" s="2">
        <f t="shared" si="224"/>
        <v>1</v>
      </c>
      <c r="Q961" s="110" t="str">
        <f>IF(AND(Drops!$D$45&gt;1,OR(U961&lt;&gt;U960,AND(ROW()=5,U960=U961))),VLOOKUP(U961,Drops!$D$26:$E$44,2,FALSE),"")</f>
        <v/>
      </c>
      <c r="R961" s="2" t="str">
        <f t="shared" si="225"/>
        <v/>
      </c>
      <c r="S961" s="2">
        <f t="shared" ca="1" si="226"/>
        <v>1</v>
      </c>
      <c r="T961" s="2">
        <f t="shared" si="227"/>
        <v>0</v>
      </c>
      <c r="U961" s="110" t="s">
        <v>3102</v>
      </c>
      <c r="V961" s="110">
        <v>1</v>
      </c>
      <c r="W961" s="110">
        <v>5</v>
      </c>
      <c r="X961" s="110">
        <v>0</v>
      </c>
      <c r="Y961" s="110">
        <v>0</v>
      </c>
      <c r="Z961" s="110">
        <v>0</v>
      </c>
      <c r="AA961" s="2">
        <f t="shared" si="228"/>
        <v>1</v>
      </c>
      <c r="AB961" s="2">
        <f t="shared" si="229"/>
        <v>1</v>
      </c>
      <c r="AC961" s="2">
        <f t="shared" si="230"/>
        <v>1</v>
      </c>
      <c r="AD961" s="2">
        <f t="shared" si="231"/>
        <v>1</v>
      </c>
      <c r="AE961" s="2">
        <f t="shared" si="232"/>
        <v>0</v>
      </c>
      <c r="AF961" s="2">
        <f t="shared" si="233"/>
        <v>0</v>
      </c>
      <c r="AG961" s="2">
        <f t="shared" si="234"/>
        <v>0</v>
      </c>
      <c r="AH961" s="2">
        <f t="shared" si="235"/>
        <v>2</v>
      </c>
      <c r="AI961" s="2">
        <f t="shared" si="236"/>
        <v>2</v>
      </c>
      <c r="AJ961" s="2">
        <f t="shared" si="237"/>
        <v>2</v>
      </c>
      <c r="AK961" s="2">
        <f t="shared" si="238"/>
        <v>2</v>
      </c>
      <c r="AL961" s="2">
        <f t="shared" si="239"/>
        <v>0</v>
      </c>
      <c r="AM961" s="115"/>
      <c r="AN961" s="115"/>
      <c r="AO961" s="63"/>
    </row>
    <row r="962" spans="1:41" ht="43.2" x14ac:dyDescent="0.55000000000000004">
      <c r="A962" s="36">
        <v>4374</v>
      </c>
      <c r="B962" s="113" t="s">
        <v>3147</v>
      </c>
      <c r="C962" s="139" t="s">
        <v>3148</v>
      </c>
      <c r="D962" s="114" t="s">
        <v>52</v>
      </c>
      <c r="E962" s="115" t="s">
        <v>3149</v>
      </c>
      <c r="F962" s="116"/>
      <c r="G962" s="113" t="s">
        <v>3145</v>
      </c>
      <c r="H962" s="113" t="s">
        <v>3146</v>
      </c>
      <c r="I962" s="113" t="s">
        <v>1399</v>
      </c>
      <c r="J962" s="117"/>
      <c r="K962" s="118"/>
      <c r="L962" s="109">
        <v>3</v>
      </c>
      <c r="M962" s="109">
        <v>3</v>
      </c>
      <c r="N962" s="109"/>
      <c r="O962" s="119"/>
      <c r="P962" s="2">
        <f t="shared" si="224"/>
        <v>1</v>
      </c>
      <c r="Q962" s="110" t="str">
        <f>IF(AND(Drops!$D$45&gt;1,OR(U962&lt;&gt;U961,AND(ROW()=5,U961=U962))),VLOOKUP(U962,Drops!$D$26:$E$44,2,FALSE),"")</f>
        <v/>
      </c>
      <c r="R962" s="2" t="str">
        <f t="shared" si="225"/>
        <v/>
      </c>
      <c r="S962" s="2">
        <f t="shared" ca="1" si="226"/>
        <v>1</v>
      </c>
      <c r="T962" s="2">
        <f t="shared" si="227"/>
        <v>0</v>
      </c>
      <c r="U962" s="110" t="s">
        <v>3102</v>
      </c>
      <c r="V962" s="110">
        <v>1</v>
      </c>
      <c r="W962" s="110">
        <v>5</v>
      </c>
      <c r="X962" s="110">
        <v>1</v>
      </c>
      <c r="Y962" s="110">
        <v>0</v>
      </c>
      <c r="Z962" s="110">
        <v>0</v>
      </c>
      <c r="AA962" s="2">
        <f t="shared" si="228"/>
        <v>1</v>
      </c>
      <c r="AB962" s="2">
        <f t="shared" si="229"/>
        <v>0</v>
      </c>
      <c r="AC962" s="2">
        <f t="shared" si="230"/>
        <v>1</v>
      </c>
      <c r="AD962" s="2">
        <f t="shared" si="231"/>
        <v>1</v>
      </c>
      <c r="AE962" s="2">
        <f t="shared" si="232"/>
        <v>1</v>
      </c>
      <c r="AF962" s="2">
        <f t="shared" si="233"/>
        <v>0</v>
      </c>
      <c r="AG962" s="2">
        <f t="shared" si="234"/>
        <v>0</v>
      </c>
      <c r="AH962" s="2">
        <f t="shared" si="235"/>
        <v>2</v>
      </c>
      <c r="AI962" s="2">
        <f t="shared" si="236"/>
        <v>2</v>
      </c>
      <c r="AJ962" s="2">
        <f t="shared" si="237"/>
        <v>2</v>
      </c>
      <c r="AK962" s="2">
        <f t="shared" si="238"/>
        <v>2</v>
      </c>
      <c r="AL962" s="2">
        <f t="shared" si="239"/>
        <v>0</v>
      </c>
      <c r="AM962" s="115"/>
      <c r="AN962" s="115"/>
      <c r="AO962" s="63"/>
    </row>
    <row r="963" spans="1:41" ht="28.8" x14ac:dyDescent="0.55000000000000004">
      <c r="A963" s="36">
        <v>4375</v>
      </c>
      <c r="B963" s="113" t="s">
        <v>3150</v>
      </c>
      <c r="C963" s="139" t="s">
        <v>3151</v>
      </c>
      <c r="D963" s="114" t="s">
        <v>52</v>
      </c>
      <c r="E963" s="115" t="s">
        <v>3152</v>
      </c>
      <c r="F963" s="116"/>
      <c r="G963" s="113" t="s">
        <v>3145</v>
      </c>
      <c r="H963" s="113" t="s">
        <v>3153</v>
      </c>
      <c r="I963" s="113" t="s">
        <v>1399</v>
      </c>
      <c r="J963" s="117"/>
      <c r="K963" s="118"/>
      <c r="L963" s="109">
        <v>3</v>
      </c>
      <c r="M963" s="109">
        <v>3</v>
      </c>
      <c r="N963" s="109"/>
      <c r="O963" s="119"/>
      <c r="P963" s="2">
        <f t="shared" si="224"/>
        <v>1</v>
      </c>
      <c r="Q963" s="110" t="str">
        <f>IF(AND(Drops!$D$45&gt;1,OR(U963&lt;&gt;U962,AND(ROW()=5,U962=U963))),VLOOKUP(U963,Drops!$D$26:$E$44,2,FALSE),"")</f>
        <v/>
      </c>
      <c r="R963" s="2" t="str">
        <f t="shared" si="225"/>
        <v/>
      </c>
      <c r="S963" s="2">
        <f t="shared" ca="1" si="226"/>
        <v>1</v>
      </c>
      <c r="T963" s="2">
        <f t="shared" si="227"/>
        <v>0</v>
      </c>
      <c r="U963" s="110" t="s">
        <v>3102</v>
      </c>
      <c r="V963" s="110">
        <v>1</v>
      </c>
      <c r="W963" s="110">
        <v>5</v>
      </c>
      <c r="X963" s="110">
        <v>6</v>
      </c>
      <c r="Y963" s="110">
        <v>0</v>
      </c>
      <c r="Z963" s="110">
        <v>0</v>
      </c>
      <c r="AA963" s="2">
        <f t="shared" si="228"/>
        <v>1</v>
      </c>
      <c r="AB963" s="2">
        <f t="shared" si="229"/>
        <v>0</v>
      </c>
      <c r="AC963" s="2">
        <f t="shared" si="230"/>
        <v>1</v>
      </c>
      <c r="AD963" s="2">
        <f t="shared" si="231"/>
        <v>1</v>
      </c>
      <c r="AE963" s="2">
        <f t="shared" si="232"/>
        <v>1</v>
      </c>
      <c r="AF963" s="2">
        <f t="shared" si="233"/>
        <v>0</v>
      </c>
      <c r="AG963" s="2">
        <f t="shared" si="234"/>
        <v>0</v>
      </c>
      <c r="AH963" s="2">
        <f t="shared" si="235"/>
        <v>2</v>
      </c>
      <c r="AI963" s="2">
        <f t="shared" si="236"/>
        <v>2</v>
      </c>
      <c r="AJ963" s="2">
        <f t="shared" si="237"/>
        <v>2</v>
      </c>
      <c r="AK963" s="2">
        <f t="shared" si="238"/>
        <v>2</v>
      </c>
      <c r="AL963" s="2">
        <f t="shared" si="239"/>
        <v>0</v>
      </c>
      <c r="AM963" s="115"/>
      <c r="AN963" s="115"/>
      <c r="AO963" s="63"/>
    </row>
    <row r="964" spans="1:41" ht="43.2" x14ac:dyDescent="0.55000000000000004">
      <c r="A964" s="36">
        <v>4376</v>
      </c>
      <c r="B964" s="113" t="s">
        <v>3154</v>
      </c>
      <c r="C964" s="139" t="s">
        <v>3155</v>
      </c>
      <c r="D964" s="114" t="s">
        <v>55</v>
      </c>
      <c r="E964" s="115" t="s">
        <v>3156</v>
      </c>
      <c r="F964" s="116"/>
      <c r="G964" s="113" t="s">
        <v>3145</v>
      </c>
      <c r="H964" s="113" t="s">
        <v>3157</v>
      </c>
      <c r="I964" s="113" t="s">
        <v>1399</v>
      </c>
      <c r="J964" s="117"/>
      <c r="K964" s="118"/>
      <c r="L964" s="109">
        <v>3</v>
      </c>
      <c r="M964" s="109">
        <v>2</v>
      </c>
      <c r="N964" s="109"/>
      <c r="O964" s="119"/>
      <c r="P964" s="2">
        <f t="shared" si="224"/>
        <v>2</v>
      </c>
      <c r="Q964" s="110" t="str">
        <f>IF(AND(Drops!$D$45&gt;1,OR(U964&lt;&gt;U963,AND(ROW()=5,U963=U964))),VLOOKUP(U964,Drops!$D$26:$E$44,2,FALSE),"")</f>
        <v/>
      </c>
      <c r="R964" s="2" t="str">
        <f t="shared" si="225"/>
        <v/>
      </c>
      <c r="S964" s="2">
        <f t="shared" ca="1" si="226"/>
        <v>2</v>
      </c>
      <c r="T964" s="2">
        <f t="shared" si="227"/>
        <v>0</v>
      </c>
      <c r="U964" s="110" t="s">
        <v>3102</v>
      </c>
      <c r="V964" s="110">
        <v>1</v>
      </c>
      <c r="W964" s="110">
        <v>5</v>
      </c>
      <c r="X964" s="110">
        <v>8</v>
      </c>
      <c r="Y964" s="110">
        <v>0</v>
      </c>
      <c r="Z964" s="110">
        <v>0</v>
      </c>
      <c r="AA964" s="2">
        <f t="shared" si="228"/>
        <v>1</v>
      </c>
      <c r="AB964" s="2">
        <f t="shared" si="229"/>
        <v>0</v>
      </c>
      <c r="AC964" s="2">
        <f t="shared" si="230"/>
        <v>1</v>
      </c>
      <c r="AD964" s="2">
        <f t="shared" si="231"/>
        <v>1</v>
      </c>
      <c r="AE964" s="2">
        <f t="shared" si="232"/>
        <v>2</v>
      </c>
      <c r="AF964" s="2">
        <f t="shared" si="233"/>
        <v>2</v>
      </c>
      <c r="AG964" s="2">
        <f t="shared" si="234"/>
        <v>2</v>
      </c>
      <c r="AH964" s="2">
        <f t="shared" si="235"/>
        <v>2</v>
      </c>
      <c r="AI964" s="2">
        <f t="shared" si="236"/>
        <v>2</v>
      </c>
      <c r="AJ964" s="2">
        <f t="shared" si="237"/>
        <v>1</v>
      </c>
      <c r="AK964" s="2">
        <f t="shared" si="238"/>
        <v>2</v>
      </c>
      <c r="AL964" s="2">
        <f t="shared" si="239"/>
        <v>0</v>
      </c>
      <c r="AM964" s="115"/>
      <c r="AN964" s="115"/>
      <c r="AO964" s="63"/>
    </row>
    <row r="965" spans="1:41" ht="14.4" x14ac:dyDescent="0.55000000000000004">
      <c r="A965" s="36">
        <v>4537</v>
      </c>
      <c r="B965" s="113" t="s">
        <v>3158</v>
      </c>
      <c r="C965" s="138" t="s">
        <v>3159</v>
      </c>
      <c r="D965" s="114" t="s">
        <v>52</v>
      </c>
      <c r="E965" s="115"/>
      <c r="F965" s="116"/>
      <c r="G965" s="113" t="s">
        <v>3160</v>
      </c>
      <c r="H965" s="113" t="s">
        <v>910</v>
      </c>
      <c r="I965" s="113"/>
      <c r="J965" s="117"/>
      <c r="K965" s="118"/>
      <c r="L965" s="109">
        <v>2</v>
      </c>
      <c r="M965" s="109">
        <v>1</v>
      </c>
      <c r="N965" s="109"/>
      <c r="O965" s="119"/>
      <c r="P965" s="2">
        <f t="shared" si="224"/>
        <v>1</v>
      </c>
      <c r="Q965" s="110" t="str">
        <f>IF(AND(Drops!$D$45&gt;1,OR(U965&lt;&gt;U964,AND(ROW()=5,U964=U965))),VLOOKUP(U965,Drops!$D$26:$E$44,2,FALSE),"")</f>
        <v/>
      </c>
      <c r="R965" s="2" t="str">
        <f t="shared" si="225"/>
        <v/>
      </c>
      <c r="S965" s="2">
        <f t="shared" ca="1" si="226"/>
        <v>1</v>
      </c>
      <c r="T965" s="2">
        <f t="shared" si="227"/>
        <v>0</v>
      </c>
      <c r="U965" s="110" t="s">
        <v>3102</v>
      </c>
      <c r="V965" s="110">
        <v>1</v>
      </c>
      <c r="W965" s="110">
        <v>6</v>
      </c>
      <c r="X965" s="110">
        <v>0</v>
      </c>
      <c r="Y965" s="110">
        <v>0</v>
      </c>
      <c r="Z965" s="110">
        <v>0</v>
      </c>
      <c r="AA965" s="2">
        <f t="shared" si="228"/>
        <v>1</v>
      </c>
      <c r="AB965" s="2">
        <f t="shared" si="229"/>
        <v>1</v>
      </c>
      <c r="AC965" s="2">
        <f t="shared" si="230"/>
        <v>1</v>
      </c>
      <c r="AD965" s="2">
        <f t="shared" si="231"/>
        <v>1</v>
      </c>
      <c r="AE965" s="2">
        <f t="shared" si="232"/>
        <v>0</v>
      </c>
      <c r="AF965" s="2">
        <f t="shared" si="233"/>
        <v>2</v>
      </c>
      <c r="AG965" s="2">
        <f t="shared" si="234"/>
        <v>2</v>
      </c>
      <c r="AH965" s="2">
        <f t="shared" si="235"/>
        <v>2</v>
      </c>
      <c r="AI965" s="2">
        <f t="shared" si="236"/>
        <v>2</v>
      </c>
      <c r="AJ965" s="2">
        <f t="shared" si="237"/>
        <v>0</v>
      </c>
      <c r="AK965" s="2">
        <f t="shared" si="238"/>
        <v>2</v>
      </c>
      <c r="AL965" s="2">
        <f t="shared" si="239"/>
        <v>0</v>
      </c>
      <c r="AM965" s="115"/>
      <c r="AN965" s="115"/>
      <c r="AO965" s="63"/>
    </row>
    <row r="966" spans="1:41" ht="28.8" x14ac:dyDescent="0.55000000000000004">
      <c r="A966" s="36">
        <v>1292</v>
      </c>
      <c r="B966" s="113" t="s">
        <v>3161</v>
      </c>
      <c r="C966" s="139" t="s">
        <v>3162</v>
      </c>
      <c r="D966" s="114" t="s">
        <v>52</v>
      </c>
      <c r="E966" s="115"/>
      <c r="F966" s="116"/>
      <c r="G966" s="113" t="s">
        <v>3160</v>
      </c>
      <c r="H966" s="113" t="s">
        <v>3163</v>
      </c>
      <c r="I966" s="113" t="s">
        <v>1399</v>
      </c>
      <c r="J966" s="117"/>
      <c r="K966" s="118"/>
      <c r="L966" s="109">
        <v>3</v>
      </c>
      <c r="M966" s="109">
        <v>2</v>
      </c>
      <c r="N966" s="109"/>
      <c r="O966" s="119"/>
      <c r="P966" s="2">
        <f t="shared" ref="P966:P1029" si="240">IF($L966="","",IF($D966="Yes",1,IF($D966="No",2,IF($D966="N/A",3,0))))</f>
        <v>1</v>
      </c>
      <c r="Q966" s="110" t="str">
        <f>IF(AND(Drops!$D$45&gt;1,OR(U966&lt;&gt;U965,AND(ROW()=5,U965=U966))),VLOOKUP(U966,Drops!$D$26:$E$44,2,FALSE),"")</f>
        <v/>
      </c>
      <c r="R966" s="2" t="str">
        <f t="shared" ref="R966:R1029" si="241">IF(Q966&lt;&gt;"",ROW(),"")</f>
        <v/>
      </c>
      <c r="S966" s="2">
        <f t="shared" ref="S966:S1029" ca="1" si="242">OFFSET(AC966,,L966-1)</f>
        <v>1</v>
      </c>
      <c r="T966" s="2">
        <f t="shared" ref="T966:T1029" si="243">IF(OR(V966&lt;&gt;V965,U966&lt;&gt;U965,AND(V966&lt;&gt;V965,W966&lt;&gt;W965),AND(V966&lt;&gt;V965,W966&lt;&gt;W965,X966&lt;&gt;X965),AND(V966&lt;&gt;V965,W966&lt;&gt;W965,X966&lt;&gt;X965,Y966&lt;&gt;Y965),AND(V966&lt;&gt;V965,W966&lt;&gt;W965,X966&lt;&gt;X965,Y966&lt;&gt;Y965,Z966&lt;&gt;Z965),L966-L965&gt;1),1,0)</f>
        <v>0</v>
      </c>
      <c r="U966" s="110" t="s">
        <v>3102</v>
      </c>
      <c r="V966" s="110">
        <v>1</v>
      </c>
      <c r="W966" s="110">
        <v>6</v>
      </c>
      <c r="X966" s="110">
        <v>1</v>
      </c>
      <c r="Y966" s="110">
        <v>0</v>
      </c>
      <c r="Z966" s="110">
        <v>0</v>
      </c>
      <c r="AA966" s="2">
        <f t="shared" ref="AA966:AA1029" si="244">IF(ROW()=5,1,IF(OR(AH966=1,P966&gt;0,T966=1),1,IF(OR(AND(AH966=2,AI966=1),AND(AI966=2,AJ966=1),AND(AJ966=2,AK966=1),AND(AK966=2,AL966=1)),1,0)))</f>
        <v>1</v>
      </c>
      <c r="AB966" s="2">
        <f t="shared" ref="AB966:AB1029" si="245">IF(L967&gt;L966,1,0)</f>
        <v>0</v>
      </c>
      <c r="AC966" s="2">
        <f t="shared" ref="AC966:AC1029" si="246">IF(ROW()=5,P966,IF(AND($P966&gt;1,AC$4=$L966),$P966,IF(AND($U966=$U965,V966=V965),AC965,IF(AND($L966=AC$4,P966=1),P966,0))))</f>
        <v>1</v>
      </c>
      <c r="AD966" s="2">
        <f t="shared" ref="AD966:AD1029" si="247">IF(AC966&gt;1,AC966,IF(AND($P966&gt;1,AD$4=$L966),$P966,IF(AND($U966=$U965,W966=W965),AD965,IF(AND($L966=AD$4,P966=1),P966,0))))</f>
        <v>1</v>
      </c>
      <c r="AE966" s="2">
        <f t="shared" ref="AE966:AE1029" si="248">IF(AD966&gt;1,AD966,IF(AND($P966&gt;1,AE$4=$L966),$P966,IF(AND($U966=$U965,X966=X965),AE965,IF(AND($L966=AE$4,P966=1),P966,0))))</f>
        <v>1</v>
      </c>
      <c r="AF966" s="2">
        <f t="shared" ref="AF966:AF1029" si="249">IF(AE966&gt;1,AE966,IF(AND($P966&gt;1,AF$4=$L966),$P966,IF(AND($U966=$U965,Y966=Y965),AF965,IF(AND($L966=AF$4,P966=1),P966,0))))</f>
        <v>2</v>
      </c>
      <c r="AG966" s="2">
        <f t="shared" ref="AG966:AG1029" si="250">IF(AF966&gt;1,AF966,IF(AND($P966&gt;1,AG$4=$L966),$P966,IF(AND($U966=$U965,Z966=Z965),AG965,IF(AND($L966=AG$4,P966=1),P966,0))))</f>
        <v>2</v>
      </c>
      <c r="AH966" s="2">
        <f t="shared" ref="AH966:AH1029" si="251">IF(AND($P966=1,$L966=AH$4),2,IF(AND($L966&lt;&gt;AH$4,AH965=2),AH965,IF($L966&lt;&gt;AH$4,0,1)))</f>
        <v>2</v>
      </c>
      <c r="AI966" s="2">
        <f t="shared" ref="AI966:AI1029" si="252">IF(OR(ROW()=5,$U965&lt;&gt;$U966),0,IF(AND($P966=1,$L966=AI$4),2,IF(AND($L966&lt;&gt;AI$4,AI965=2),AI965,IF($L966&lt;&gt;AI$4,0,1))))</f>
        <v>2</v>
      </c>
      <c r="AJ966" s="2">
        <f t="shared" ref="AJ966:AJ1029" si="253">IF(OR(ROW()=5,$U965&lt;&gt;$U966),0,IF(AND($P966=1,$L966=AJ$4),2,IF(AND($L966&lt;&gt;AJ$4,AJ965=2),AJ965,IF($L966&lt;&gt;AJ$4,0,1))))</f>
        <v>2</v>
      </c>
      <c r="AK966" s="2">
        <f t="shared" ref="AK966:AK1029" si="254">IF(OR(ROW()=5,$U965&lt;&gt;$U966),0,IF(AND($P966=1,$L966=AK$4),2,IF(AND($L966&lt;&gt;AK$4,AK965=2),AK965,IF($L966&lt;&gt;AK$4,0,1))))</f>
        <v>2</v>
      </c>
      <c r="AL966" s="2">
        <f t="shared" ref="AL966:AL1029" si="255">IF(OR(ROW()=5,$U965&lt;&gt;$U966),0,IF(AND($P966=1,$L966=AL$4),2,IF(AND($L966&lt;&gt;AL$4,AL965=2),AL965,IF($L966&lt;&gt;AL$4,0,1))))</f>
        <v>0</v>
      </c>
      <c r="AM966" s="115"/>
      <c r="AN966" s="115"/>
      <c r="AO966" s="63"/>
    </row>
    <row r="967" spans="1:41" ht="28.8" x14ac:dyDescent="0.55000000000000004">
      <c r="A967" s="36">
        <v>1294</v>
      </c>
      <c r="B967" s="113" t="s">
        <v>3164</v>
      </c>
      <c r="C967" s="139" t="s">
        <v>3165</v>
      </c>
      <c r="D967" s="114" t="s">
        <v>48</v>
      </c>
      <c r="E967" s="115" t="s">
        <v>3166</v>
      </c>
      <c r="F967" s="116"/>
      <c r="G967" s="113" t="s">
        <v>3160</v>
      </c>
      <c r="H967" s="113" t="s">
        <v>3167</v>
      </c>
      <c r="I967" s="113" t="s">
        <v>1399</v>
      </c>
      <c r="J967" s="117"/>
      <c r="K967" s="118"/>
      <c r="L967" s="109">
        <v>3</v>
      </c>
      <c r="M967" s="109">
        <v>3</v>
      </c>
      <c r="N967" s="109"/>
      <c r="O967" s="119"/>
      <c r="P967" s="2">
        <f t="shared" si="240"/>
        <v>3</v>
      </c>
      <c r="Q967" s="110" t="str">
        <f>IF(AND(Drops!$D$45&gt;1,OR(U967&lt;&gt;U966,AND(ROW()=5,U966=U967))),VLOOKUP(U967,Drops!$D$26:$E$44,2,FALSE),"")</f>
        <v/>
      </c>
      <c r="R967" s="2" t="str">
        <f t="shared" si="241"/>
        <v/>
      </c>
      <c r="S967" s="2">
        <f t="shared" ca="1" si="242"/>
        <v>3</v>
      </c>
      <c r="T967" s="2">
        <f t="shared" si="243"/>
        <v>0</v>
      </c>
      <c r="U967" s="110" t="s">
        <v>3102</v>
      </c>
      <c r="V967" s="110">
        <v>1</v>
      </c>
      <c r="W967" s="110">
        <v>6</v>
      </c>
      <c r="X967" s="110">
        <v>2</v>
      </c>
      <c r="Y967" s="110">
        <v>0</v>
      </c>
      <c r="Z967" s="110">
        <v>0</v>
      </c>
      <c r="AA967" s="2">
        <f t="shared" si="244"/>
        <v>1</v>
      </c>
      <c r="AB967" s="2">
        <f t="shared" si="245"/>
        <v>0</v>
      </c>
      <c r="AC967" s="2">
        <f t="shared" si="246"/>
        <v>1</v>
      </c>
      <c r="AD967" s="2">
        <f t="shared" si="247"/>
        <v>1</v>
      </c>
      <c r="AE967" s="2">
        <f t="shared" si="248"/>
        <v>3</v>
      </c>
      <c r="AF967" s="2">
        <f t="shared" si="249"/>
        <v>3</v>
      </c>
      <c r="AG967" s="2">
        <f t="shared" si="250"/>
        <v>3</v>
      </c>
      <c r="AH967" s="2">
        <f t="shared" si="251"/>
        <v>2</v>
      </c>
      <c r="AI967" s="2">
        <f t="shared" si="252"/>
        <v>2</v>
      </c>
      <c r="AJ967" s="2">
        <f t="shared" si="253"/>
        <v>1</v>
      </c>
      <c r="AK967" s="2">
        <f t="shared" si="254"/>
        <v>2</v>
      </c>
      <c r="AL967" s="2">
        <f t="shared" si="255"/>
        <v>0</v>
      </c>
      <c r="AM967" s="115"/>
      <c r="AN967" s="115"/>
      <c r="AO967" s="63"/>
    </row>
    <row r="968" spans="1:41" ht="14.4" x14ac:dyDescent="0.55000000000000004">
      <c r="A968" s="36">
        <v>4538</v>
      </c>
      <c r="B968" s="113" t="s">
        <v>3168</v>
      </c>
      <c r="C968" s="138" t="s">
        <v>3169</v>
      </c>
      <c r="D968" s="114" t="s">
        <v>55</v>
      </c>
      <c r="E968" s="115"/>
      <c r="F968" s="116"/>
      <c r="G968" s="113" t="s">
        <v>3170</v>
      </c>
      <c r="H968" s="113" t="s">
        <v>910</v>
      </c>
      <c r="I968" s="113"/>
      <c r="J968" s="117"/>
      <c r="K968" s="118"/>
      <c r="L968" s="109">
        <v>2</v>
      </c>
      <c r="M968" s="109">
        <v>1</v>
      </c>
      <c r="N968" s="109"/>
      <c r="O968" s="119"/>
      <c r="P968" s="2">
        <f t="shared" si="240"/>
        <v>2</v>
      </c>
      <c r="Q968" s="110" t="str">
        <f>IF(AND(Drops!$D$45&gt;1,OR(U968&lt;&gt;U967,AND(ROW()=5,U967=U968))),VLOOKUP(U968,Drops!$D$26:$E$44,2,FALSE),"")</f>
        <v/>
      </c>
      <c r="R968" s="2" t="str">
        <f t="shared" si="241"/>
        <v/>
      </c>
      <c r="S968" s="2">
        <f t="shared" ca="1" si="242"/>
        <v>2</v>
      </c>
      <c r="T968" s="2">
        <f t="shared" si="243"/>
        <v>0</v>
      </c>
      <c r="U968" s="110" t="s">
        <v>3102</v>
      </c>
      <c r="V968" s="110">
        <v>1</v>
      </c>
      <c r="W968" s="110">
        <v>7</v>
      </c>
      <c r="X968" s="110">
        <v>0</v>
      </c>
      <c r="Y968" s="110">
        <v>0</v>
      </c>
      <c r="Z968" s="110">
        <v>0</v>
      </c>
      <c r="AA968" s="2">
        <f t="shared" si="244"/>
        <v>1</v>
      </c>
      <c r="AB968" s="2">
        <f t="shared" si="245"/>
        <v>1</v>
      </c>
      <c r="AC968" s="2">
        <f t="shared" si="246"/>
        <v>1</v>
      </c>
      <c r="AD968" s="2">
        <f t="shared" si="247"/>
        <v>2</v>
      </c>
      <c r="AE968" s="2">
        <f t="shared" si="248"/>
        <v>2</v>
      </c>
      <c r="AF968" s="2">
        <f t="shared" si="249"/>
        <v>2</v>
      </c>
      <c r="AG968" s="2">
        <f t="shared" si="250"/>
        <v>2</v>
      </c>
      <c r="AH968" s="2">
        <f t="shared" si="251"/>
        <v>2</v>
      </c>
      <c r="AI968" s="2">
        <f t="shared" si="252"/>
        <v>1</v>
      </c>
      <c r="AJ968" s="2">
        <f t="shared" si="253"/>
        <v>0</v>
      </c>
      <c r="AK968" s="2">
        <f t="shared" si="254"/>
        <v>2</v>
      </c>
      <c r="AL968" s="2">
        <f t="shared" si="255"/>
        <v>0</v>
      </c>
      <c r="AM968" s="115"/>
      <c r="AN968" s="115"/>
      <c r="AO968" s="63"/>
    </row>
    <row r="969" spans="1:41" ht="28.8" x14ac:dyDescent="0.55000000000000004">
      <c r="A969" s="36">
        <v>1580</v>
      </c>
      <c r="B969" s="113" t="s">
        <v>3171</v>
      </c>
      <c r="C969" s="139" t="s">
        <v>3172</v>
      </c>
      <c r="D969" s="114" t="s">
        <v>48</v>
      </c>
      <c r="E969" s="115" t="s">
        <v>3173</v>
      </c>
      <c r="F969" s="116"/>
      <c r="G969" s="113" t="s">
        <v>3170</v>
      </c>
      <c r="H969" s="113" t="s">
        <v>3174</v>
      </c>
      <c r="I969" s="113" t="s">
        <v>1399</v>
      </c>
      <c r="J969" s="117"/>
      <c r="K969" s="118"/>
      <c r="L969" s="109">
        <v>3</v>
      </c>
      <c r="M969" s="109">
        <v>3</v>
      </c>
      <c r="N969" s="109"/>
      <c r="O969" s="119"/>
      <c r="P969" s="2">
        <f t="shared" si="240"/>
        <v>3</v>
      </c>
      <c r="Q969" s="110" t="str">
        <f>IF(AND(Drops!$D$45&gt;1,OR(U969&lt;&gt;U968,AND(ROW()=5,U968=U969))),VLOOKUP(U969,Drops!$D$26:$E$44,2,FALSE),"")</f>
        <v/>
      </c>
      <c r="R969" s="2" t="str">
        <f t="shared" si="241"/>
        <v/>
      </c>
      <c r="S969" s="2">
        <f t="shared" ca="1" si="242"/>
        <v>2</v>
      </c>
      <c r="T969" s="2">
        <f t="shared" si="243"/>
        <v>0</v>
      </c>
      <c r="U969" s="110" t="s">
        <v>3102</v>
      </c>
      <c r="V969" s="110">
        <v>1</v>
      </c>
      <c r="W969" s="110">
        <v>7</v>
      </c>
      <c r="X969" s="110">
        <v>1</v>
      </c>
      <c r="Y969" s="110">
        <v>0</v>
      </c>
      <c r="Z969" s="110">
        <v>0</v>
      </c>
      <c r="AA969" s="2">
        <f t="shared" si="244"/>
        <v>1</v>
      </c>
      <c r="AB969" s="2">
        <f t="shared" si="245"/>
        <v>0</v>
      </c>
      <c r="AC969" s="2">
        <f t="shared" si="246"/>
        <v>1</v>
      </c>
      <c r="AD969" s="2">
        <f t="shared" si="247"/>
        <v>2</v>
      </c>
      <c r="AE969" s="2">
        <f t="shared" si="248"/>
        <v>2</v>
      </c>
      <c r="AF969" s="2">
        <f t="shared" si="249"/>
        <v>2</v>
      </c>
      <c r="AG969" s="2">
        <f t="shared" si="250"/>
        <v>2</v>
      </c>
      <c r="AH969" s="2">
        <f t="shared" si="251"/>
        <v>2</v>
      </c>
      <c r="AI969" s="2">
        <f t="shared" si="252"/>
        <v>0</v>
      </c>
      <c r="AJ969" s="2">
        <f t="shared" si="253"/>
        <v>1</v>
      </c>
      <c r="AK969" s="2">
        <f t="shared" si="254"/>
        <v>2</v>
      </c>
      <c r="AL969" s="2">
        <f t="shared" si="255"/>
        <v>0</v>
      </c>
      <c r="AM969" s="115"/>
      <c r="AN969" s="115"/>
      <c r="AO969" s="63"/>
    </row>
    <row r="970" spans="1:41" ht="28.8" x14ac:dyDescent="0.55000000000000004">
      <c r="A970" s="36">
        <v>1581</v>
      </c>
      <c r="B970" s="113" t="s">
        <v>3175</v>
      </c>
      <c r="C970" s="139" t="s">
        <v>3176</v>
      </c>
      <c r="D970" s="114" t="s">
        <v>48</v>
      </c>
      <c r="E970" s="115" t="s">
        <v>3173</v>
      </c>
      <c r="F970" s="116"/>
      <c r="G970" s="113" t="s">
        <v>3170</v>
      </c>
      <c r="H970" s="113" t="s">
        <v>3177</v>
      </c>
      <c r="I970" s="113" t="s">
        <v>1399</v>
      </c>
      <c r="J970" s="117"/>
      <c r="K970" s="118"/>
      <c r="L970" s="109">
        <v>3</v>
      </c>
      <c r="M970" s="109">
        <v>3</v>
      </c>
      <c r="N970" s="109"/>
      <c r="O970" s="119"/>
      <c r="P970" s="2">
        <f t="shared" si="240"/>
        <v>3</v>
      </c>
      <c r="Q970" s="110" t="str">
        <f>IF(AND(Drops!$D$45&gt;1,OR(U970&lt;&gt;U969,AND(ROW()=5,U969=U970))),VLOOKUP(U970,Drops!$D$26:$E$44,2,FALSE),"")</f>
        <v/>
      </c>
      <c r="R970" s="2" t="str">
        <f t="shared" si="241"/>
        <v/>
      </c>
      <c r="S970" s="2">
        <f t="shared" ca="1" si="242"/>
        <v>2</v>
      </c>
      <c r="T970" s="2">
        <f t="shared" si="243"/>
        <v>0</v>
      </c>
      <c r="U970" s="110" t="s">
        <v>3102</v>
      </c>
      <c r="V970" s="110">
        <v>1</v>
      </c>
      <c r="W970" s="110">
        <v>7</v>
      </c>
      <c r="X970" s="110">
        <v>2</v>
      </c>
      <c r="Y970" s="110">
        <v>0</v>
      </c>
      <c r="Z970" s="110">
        <v>0</v>
      </c>
      <c r="AA970" s="2">
        <f t="shared" si="244"/>
        <v>1</v>
      </c>
      <c r="AB970" s="2">
        <f t="shared" si="245"/>
        <v>0</v>
      </c>
      <c r="AC970" s="2">
        <f t="shared" si="246"/>
        <v>1</v>
      </c>
      <c r="AD970" s="2">
        <f t="shared" si="247"/>
        <v>2</v>
      </c>
      <c r="AE970" s="2">
        <f t="shared" si="248"/>
        <v>2</v>
      </c>
      <c r="AF970" s="2">
        <f t="shared" si="249"/>
        <v>2</v>
      </c>
      <c r="AG970" s="2">
        <f t="shared" si="250"/>
        <v>2</v>
      </c>
      <c r="AH970" s="2">
        <f t="shared" si="251"/>
        <v>2</v>
      </c>
      <c r="AI970" s="2">
        <f t="shared" si="252"/>
        <v>0</v>
      </c>
      <c r="AJ970" s="2">
        <f t="shared" si="253"/>
        <v>1</v>
      </c>
      <c r="AK970" s="2">
        <f t="shared" si="254"/>
        <v>2</v>
      </c>
      <c r="AL970" s="2">
        <f t="shared" si="255"/>
        <v>0</v>
      </c>
      <c r="AM970" s="115"/>
      <c r="AN970" s="115"/>
      <c r="AO970" s="63"/>
    </row>
    <row r="971" spans="1:41" ht="14.4" x14ac:dyDescent="0.55000000000000004">
      <c r="A971" s="36">
        <v>4539</v>
      </c>
      <c r="B971" s="113" t="s">
        <v>3178</v>
      </c>
      <c r="C971" s="138" t="s">
        <v>3179</v>
      </c>
      <c r="D971" s="114" t="s">
        <v>55</v>
      </c>
      <c r="E971" s="115" t="s">
        <v>3173</v>
      </c>
      <c r="F971" s="116"/>
      <c r="G971" s="113" t="s">
        <v>3180</v>
      </c>
      <c r="H971" s="113" t="s">
        <v>910</v>
      </c>
      <c r="I971" s="113"/>
      <c r="J971" s="117"/>
      <c r="K971" s="118"/>
      <c r="L971" s="109">
        <v>2</v>
      </c>
      <c r="M971" s="109">
        <v>1</v>
      </c>
      <c r="N971" s="109"/>
      <c r="O971" s="119"/>
      <c r="P971" s="2">
        <f t="shared" si="240"/>
        <v>2</v>
      </c>
      <c r="Q971" s="110" t="str">
        <f>IF(AND(Drops!$D$45&gt;1,OR(U971&lt;&gt;U970,AND(ROW()=5,U970=U971))),VLOOKUP(U971,Drops!$D$26:$E$44,2,FALSE),"")</f>
        <v/>
      </c>
      <c r="R971" s="2" t="str">
        <f t="shared" si="241"/>
        <v/>
      </c>
      <c r="S971" s="2">
        <f t="shared" ca="1" si="242"/>
        <v>2</v>
      </c>
      <c r="T971" s="2">
        <f t="shared" si="243"/>
        <v>0</v>
      </c>
      <c r="U971" s="110" t="s">
        <v>3102</v>
      </c>
      <c r="V971" s="110">
        <v>1</v>
      </c>
      <c r="W971" s="110">
        <v>8</v>
      </c>
      <c r="X971" s="110">
        <v>0</v>
      </c>
      <c r="Y971" s="110">
        <v>0</v>
      </c>
      <c r="Z971" s="110">
        <v>0</v>
      </c>
      <c r="AA971" s="2">
        <f t="shared" si="244"/>
        <v>1</v>
      </c>
      <c r="AB971" s="2">
        <f t="shared" si="245"/>
        <v>1</v>
      </c>
      <c r="AC971" s="2">
        <f t="shared" si="246"/>
        <v>1</v>
      </c>
      <c r="AD971" s="2">
        <f t="shared" si="247"/>
        <v>2</v>
      </c>
      <c r="AE971" s="2">
        <f t="shared" si="248"/>
        <v>2</v>
      </c>
      <c r="AF971" s="2">
        <f t="shared" si="249"/>
        <v>2</v>
      </c>
      <c r="AG971" s="2">
        <f t="shared" si="250"/>
        <v>2</v>
      </c>
      <c r="AH971" s="2">
        <f t="shared" si="251"/>
        <v>2</v>
      </c>
      <c r="AI971" s="2">
        <f t="shared" si="252"/>
        <v>1</v>
      </c>
      <c r="AJ971" s="2">
        <f t="shared" si="253"/>
        <v>0</v>
      </c>
      <c r="AK971" s="2">
        <f t="shared" si="254"/>
        <v>2</v>
      </c>
      <c r="AL971" s="2">
        <f t="shared" si="255"/>
        <v>0</v>
      </c>
      <c r="AM971" s="115"/>
      <c r="AN971" s="115"/>
      <c r="AO971" s="63"/>
    </row>
    <row r="972" spans="1:41" ht="57.6" x14ac:dyDescent="0.55000000000000004">
      <c r="A972" s="36">
        <v>1502</v>
      </c>
      <c r="B972" s="113" t="s">
        <v>3181</v>
      </c>
      <c r="C972" s="139" t="s">
        <v>3182</v>
      </c>
      <c r="D972" s="114" t="s">
        <v>48</v>
      </c>
      <c r="E972" s="115" t="s">
        <v>3173</v>
      </c>
      <c r="F972" s="116"/>
      <c r="G972" s="113" t="s">
        <v>3180</v>
      </c>
      <c r="H972" s="113" t="s">
        <v>3183</v>
      </c>
      <c r="I972" s="113" t="s">
        <v>1399</v>
      </c>
      <c r="J972" s="117"/>
      <c r="K972" s="118"/>
      <c r="L972" s="109">
        <v>3</v>
      </c>
      <c r="M972" s="109">
        <v>3</v>
      </c>
      <c r="N972" s="109"/>
      <c r="O972" s="119"/>
      <c r="P972" s="2">
        <f t="shared" si="240"/>
        <v>3</v>
      </c>
      <c r="Q972" s="110" t="str">
        <f>IF(AND(Drops!$D$45&gt;1,OR(U972&lt;&gt;U971,AND(ROW()=5,U971=U972))),VLOOKUP(U972,Drops!$D$26:$E$44,2,FALSE),"")</f>
        <v/>
      </c>
      <c r="R972" s="2" t="str">
        <f t="shared" si="241"/>
        <v/>
      </c>
      <c r="S972" s="2">
        <f t="shared" ca="1" si="242"/>
        <v>2</v>
      </c>
      <c r="T972" s="2">
        <f t="shared" si="243"/>
        <v>0</v>
      </c>
      <c r="U972" s="110" t="s">
        <v>3102</v>
      </c>
      <c r="V972" s="110">
        <v>1</v>
      </c>
      <c r="W972" s="110">
        <v>8</v>
      </c>
      <c r="X972" s="110">
        <v>2</v>
      </c>
      <c r="Y972" s="110">
        <v>0</v>
      </c>
      <c r="Z972" s="110">
        <v>0</v>
      </c>
      <c r="AA972" s="2">
        <f t="shared" si="244"/>
        <v>1</v>
      </c>
      <c r="AB972" s="2">
        <f t="shared" si="245"/>
        <v>0</v>
      </c>
      <c r="AC972" s="2">
        <f t="shared" si="246"/>
        <v>1</v>
      </c>
      <c r="AD972" s="2">
        <f t="shared" si="247"/>
        <v>2</v>
      </c>
      <c r="AE972" s="2">
        <f t="shared" si="248"/>
        <v>2</v>
      </c>
      <c r="AF972" s="2">
        <f t="shared" si="249"/>
        <v>2</v>
      </c>
      <c r="AG972" s="2">
        <f t="shared" si="250"/>
        <v>2</v>
      </c>
      <c r="AH972" s="2">
        <f t="shared" si="251"/>
        <v>2</v>
      </c>
      <c r="AI972" s="2">
        <f t="shared" si="252"/>
        <v>0</v>
      </c>
      <c r="AJ972" s="2">
        <f t="shared" si="253"/>
        <v>1</v>
      </c>
      <c r="AK972" s="2">
        <f t="shared" si="254"/>
        <v>2</v>
      </c>
      <c r="AL972" s="2">
        <f t="shared" si="255"/>
        <v>0</v>
      </c>
      <c r="AM972" s="115"/>
      <c r="AN972" s="115"/>
      <c r="AO972" s="63"/>
    </row>
    <row r="973" spans="1:41" ht="43.2" x14ac:dyDescent="0.55000000000000004">
      <c r="A973" s="36">
        <v>1492</v>
      </c>
      <c r="B973" s="113" t="s">
        <v>3184</v>
      </c>
      <c r="C973" s="139" t="s">
        <v>3185</v>
      </c>
      <c r="D973" s="114" t="s">
        <v>48</v>
      </c>
      <c r="E973" s="115" t="s">
        <v>3173</v>
      </c>
      <c r="F973" s="116"/>
      <c r="G973" s="113" t="s">
        <v>3180</v>
      </c>
      <c r="H973" s="113" t="s">
        <v>3186</v>
      </c>
      <c r="I973" s="113" t="s">
        <v>1399</v>
      </c>
      <c r="J973" s="117"/>
      <c r="K973" s="118"/>
      <c r="L973" s="109">
        <v>3</v>
      </c>
      <c r="M973" s="109">
        <v>3</v>
      </c>
      <c r="N973" s="109"/>
      <c r="O973" s="119"/>
      <c r="P973" s="2">
        <f t="shared" si="240"/>
        <v>3</v>
      </c>
      <c r="Q973" s="110" t="str">
        <f>IF(AND(Drops!$D$45&gt;1,OR(U973&lt;&gt;U972,AND(ROW()=5,U972=U973))),VLOOKUP(U973,Drops!$D$26:$E$44,2,FALSE),"")</f>
        <v/>
      </c>
      <c r="R973" s="2" t="str">
        <f t="shared" si="241"/>
        <v/>
      </c>
      <c r="S973" s="2">
        <f t="shared" ca="1" si="242"/>
        <v>2</v>
      </c>
      <c r="T973" s="2">
        <f t="shared" si="243"/>
        <v>0</v>
      </c>
      <c r="U973" s="110" t="s">
        <v>3102</v>
      </c>
      <c r="V973" s="110">
        <v>1</v>
      </c>
      <c r="W973" s="110">
        <v>8</v>
      </c>
      <c r="X973" s="110">
        <v>3</v>
      </c>
      <c r="Y973" s="110">
        <v>0</v>
      </c>
      <c r="Z973" s="110">
        <v>0</v>
      </c>
      <c r="AA973" s="2">
        <f t="shared" si="244"/>
        <v>1</v>
      </c>
      <c r="AB973" s="2">
        <f t="shared" si="245"/>
        <v>0</v>
      </c>
      <c r="AC973" s="2">
        <f t="shared" si="246"/>
        <v>1</v>
      </c>
      <c r="AD973" s="2">
        <f t="shared" si="247"/>
        <v>2</v>
      </c>
      <c r="AE973" s="2">
        <f t="shared" si="248"/>
        <v>2</v>
      </c>
      <c r="AF973" s="2">
        <f t="shared" si="249"/>
        <v>2</v>
      </c>
      <c r="AG973" s="2">
        <f t="shared" si="250"/>
        <v>2</v>
      </c>
      <c r="AH973" s="2">
        <f t="shared" si="251"/>
        <v>2</v>
      </c>
      <c r="AI973" s="2">
        <f t="shared" si="252"/>
        <v>0</v>
      </c>
      <c r="AJ973" s="2">
        <f t="shared" si="253"/>
        <v>1</v>
      </c>
      <c r="AK973" s="2">
        <f t="shared" si="254"/>
        <v>2</v>
      </c>
      <c r="AL973" s="2">
        <f t="shared" si="255"/>
        <v>0</v>
      </c>
      <c r="AM973" s="115"/>
      <c r="AN973" s="115"/>
      <c r="AO973" s="63"/>
    </row>
    <row r="974" spans="1:41" ht="28.8" x14ac:dyDescent="0.55000000000000004">
      <c r="A974" s="36">
        <v>3649</v>
      </c>
      <c r="B974" s="113" t="s">
        <v>3187</v>
      </c>
      <c r="C974" s="138" t="s">
        <v>3188</v>
      </c>
      <c r="D974" s="114" t="s">
        <v>55</v>
      </c>
      <c r="E974" s="115" t="s">
        <v>3189</v>
      </c>
      <c r="F974" s="116"/>
      <c r="G974" s="113" t="s">
        <v>3190</v>
      </c>
      <c r="H974" s="113" t="s">
        <v>3191</v>
      </c>
      <c r="I974" s="113"/>
      <c r="J974" s="117" t="s">
        <v>2591</v>
      </c>
      <c r="K974" s="118"/>
      <c r="L974" s="109">
        <v>2</v>
      </c>
      <c r="M974" s="109">
        <v>1</v>
      </c>
      <c r="N974" s="109"/>
      <c r="O974" s="119"/>
      <c r="P974" s="2">
        <f t="shared" si="240"/>
        <v>2</v>
      </c>
      <c r="Q974" s="110" t="str">
        <f>IF(AND(Drops!$D$45&gt;1,OR(U974&lt;&gt;U973,AND(ROW()=5,U973=U974))),VLOOKUP(U974,Drops!$D$26:$E$44,2,FALSE),"")</f>
        <v/>
      </c>
      <c r="R974" s="2" t="str">
        <f t="shared" si="241"/>
        <v/>
      </c>
      <c r="S974" s="2">
        <f t="shared" ca="1" si="242"/>
        <v>2</v>
      </c>
      <c r="T974" s="2">
        <f t="shared" si="243"/>
        <v>0</v>
      </c>
      <c r="U974" s="110" t="s">
        <v>3102</v>
      </c>
      <c r="V974" s="110">
        <v>1</v>
      </c>
      <c r="W974" s="110">
        <v>9</v>
      </c>
      <c r="X974" s="110">
        <v>0</v>
      </c>
      <c r="Y974" s="110">
        <v>0</v>
      </c>
      <c r="Z974" s="110">
        <v>0</v>
      </c>
      <c r="AA974" s="2">
        <f t="shared" si="244"/>
        <v>1</v>
      </c>
      <c r="AB974" s="2">
        <f t="shared" si="245"/>
        <v>1</v>
      </c>
      <c r="AC974" s="2">
        <f t="shared" si="246"/>
        <v>1</v>
      </c>
      <c r="AD974" s="2">
        <f t="shared" si="247"/>
        <v>2</v>
      </c>
      <c r="AE974" s="2">
        <f t="shared" si="248"/>
        <v>2</v>
      </c>
      <c r="AF974" s="2">
        <f t="shared" si="249"/>
        <v>2</v>
      </c>
      <c r="AG974" s="2">
        <f t="shared" si="250"/>
        <v>2</v>
      </c>
      <c r="AH974" s="2">
        <f t="shared" si="251"/>
        <v>2</v>
      </c>
      <c r="AI974" s="2">
        <f t="shared" si="252"/>
        <v>1</v>
      </c>
      <c r="AJ974" s="2">
        <f t="shared" si="253"/>
        <v>0</v>
      </c>
      <c r="AK974" s="2">
        <f t="shared" si="254"/>
        <v>2</v>
      </c>
      <c r="AL974" s="2">
        <f t="shared" si="255"/>
        <v>0</v>
      </c>
      <c r="AM974" s="115"/>
      <c r="AN974" s="115"/>
      <c r="AO974" s="63"/>
    </row>
    <row r="975" spans="1:41" ht="28.8" x14ac:dyDescent="0.55000000000000004">
      <c r="A975" s="36">
        <v>3650</v>
      </c>
      <c r="B975" s="113" t="s">
        <v>3192</v>
      </c>
      <c r="C975" s="139" t="s">
        <v>3193</v>
      </c>
      <c r="D975" s="114" t="s">
        <v>48</v>
      </c>
      <c r="E975" s="115" t="s">
        <v>3194</v>
      </c>
      <c r="F975" s="116"/>
      <c r="G975" s="113" t="s">
        <v>3190</v>
      </c>
      <c r="H975" s="113" t="s">
        <v>3191</v>
      </c>
      <c r="I975" s="113" t="s">
        <v>1399</v>
      </c>
      <c r="J975" s="117"/>
      <c r="K975" s="118"/>
      <c r="L975" s="109">
        <v>3</v>
      </c>
      <c r="M975" s="109">
        <v>2</v>
      </c>
      <c r="N975" s="109"/>
      <c r="O975" s="119"/>
      <c r="P975" s="2">
        <f t="shared" si="240"/>
        <v>3</v>
      </c>
      <c r="Q975" s="110" t="str">
        <f>IF(AND(Drops!$D$45&gt;1,OR(U975&lt;&gt;U974,AND(ROW()=5,U974=U975))),VLOOKUP(U975,Drops!$D$26:$E$44,2,FALSE),"")</f>
        <v/>
      </c>
      <c r="R975" s="2" t="str">
        <f t="shared" si="241"/>
        <v/>
      </c>
      <c r="S975" s="2">
        <f t="shared" ca="1" si="242"/>
        <v>2</v>
      </c>
      <c r="T975" s="2">
        <f t="shared" si="243"/>
        <v>0</v>
      </c>
      <c r="U975" s="110" t="s">
        <v>3102</v>
      </c>
      <c r="V975" s="110">
        <v>1</v>
      </c>
      <c r="W975" s="110">
        <v>9</v>
      </c>
      <c r="X975" s="110">
        <v>1</v>
      </c>
      <c r="Y975" s="110">
        <v>0</v>
      </c>
      <c r="Z975" s="110">
        <v>0</v>
      </c>
      <c r="AA975" s="2">
        <f t="shared" si="244"/>
        <v>1</v>
      </c>
      <c r="AB975" s="2">
        <f t="shared" si="245"/>
        <v>0</v>
      </c>
      <c r="AC975" s="2">
        <f t="shared" si="246"/>
        <v>1</v>
      </c>
      <c r="AD975" s="2">
        <f t="shared" si="247"/>
        <v>2</v>
      </c>
      <c r="AE975" s="2">
        <f t="shared" si="248"/>
        <v>2</v>
      </c>
      <c r="AF975" s="2">
        <f t="shared" si="249"/>
        <v>2</v>
      </c>
      <c r="AG975" s="2">
        <f t="shared" si="250"/>
        <v>2</v>
      </c>
      <c r="AH975" s="2">
        <f t="shared" si="251"/>
        <v>2</v>
      </c>
      <c r="AI975" s="2">
        <f t="shared" si="252"/>
        <v>0</v>
      </c>
      <c r="AJ975" s="2">
        <f t="shared" si="253"/>
        <v>1</v>
      </c>
      <c r="AK975" s="2">
        <f t="shared" si="254"/>
        <v>2</v>
      </c>
      <c r="AL975" s="2">
        <f t="shared" si="255"/>
        <v>0</v>
      </c>
      <c r="AM975" s="115"/>
      <c r="AN975" s="115"/>
      <c r="AO975" s="63"/>
    </row>
    <row r="976" spans="1:41" ht="28.8" x14ac:dyDescent="0.55000000000000004">
      <c r="A976" s="36">
        <v>3651</v>
      </c>
      <c r="B976" s="113" t="s">
        <v>3195</v>
      </c>
      <c r="C976" s="139" t="s">
        <v>3196</v>
      </c>
      <c r="D976" s="114" t="s">
        <v>48</v>
      </c>
      <c r="E976" s="115" t="s">
        <v>3194</v>
      </c>
      <c r="F976" s="116"/>
      <c r="G976" s="113" t="s">
        <v>3190</v>
      </c>
      <c r="H976" s="113" t="s">
        <v>3191</v>
      </c>
      <c r="I976" s="113"/>
      <c r="J976" s="117"/>
      <c r="K976" s="118"/>
      <c r="L976" s="109">
        <v>3</v>
      </c>
      <c r="M976" s="109">
        <v>2</v>
      </c>
      <c r="N976" s="109"/>
      <c r="O976" s="119"/>
      <c r="P976" s="2">
        <f t="shared" si="240"/>
        <v>3</v>
      </c>
      <c r="Q976" s="110" t="str">
        <f>IF(AND(Drops!$D$45&gt;1,OR(U976&lt;&gt;U975,AND(ROW()=5,U975=U976))),VLOOKUP(U976,Drops!$D$26:$E$44,2,FALSE),"")</f>
        <v/>
      </c>
      <c r="R976" s="2" t="str">
        <f t="shared" si="241"/>
        <v/>
      </c>
      <c r="S976" s="2">
        <f t="shared" ca="1" si="242"/>
        <v>2</v>
      </c>
      <c r="T976" s="2">
        <f t="shared" si="243"/>
        <v>0</v>
      </c>
      <c r="U976" s="110" t="s">
        <v>3102</v>
      </c>
      <c r="V976" s="110">
        <v>1</v>
      </c>
      <c r="W976" s="110">
        <v>9</v>
      </c>
      <c r="X976" s="110">
        <v>2</v>
      </c>
      <c r="Y976" s="110">
        <v>0</v>
      </c>
      <c r="Z976" s="110">
        <v>0</v>
      </c>
      <c r="AA976" s="2">
        <f t="shared" si="244"/>
        <v>1</v>
      </c>
      <c r="AB976" s="2">
        <f t="shared" si="245"/>
        <v>0</v>
      </c>
      <c r="AC976" s="2">
        <f t="shared" si="246"/>
        <v>1</v>
      </c>
      <c r="AD976" s="2">
        <f t="shared" si="247"/>
        <v>2</v>
      </c>
      <c r="AE976" s="2">
        <f t="shared" si="248"/>
        <v>2</v>
      </c>
      <c r="AF976" s="2">
        <f t="shared" si="249"/>
        <v>2</v>
      </c>
      <c r="AG976" s="2">
        <f t="shared" si="250"/>
        <v>2</v>
      </c>
      <c r="AH976" s="2">
        <f t="shared" si="251"/>
        <v>2</v>
      </c>
      <c r="AI976" s="2">
        <f t="shared" si="252"/>
        <v>0</v>
      </c>
      <c r="AJ976" s="2">
        <f t="shared" si="253"/>
        <v>1</v>
      </c>
      <c r="AK976" s="2">
        <f t="shared" si="254"/>
        <v>2</v>
      </c>
      <c r="AL976" s="2">
        <f t="shared" si="255"/>
        <v>0</v>
      </c>
      <c r="AM976" s="115"/>
      <c r="AN976" s="115"/>
      <c r="AO976" s="63"/>
    </row>
    <row r="977" spans="1:41" ht="28.8" x14ac:dyDescent="0.55000000000000004">
      <c r="A977" s="36">
        <v>3652</v>
      </c>
      <c r="B977" s="113" t="s">
        <v>3197</v>
      </c>
      <c r="C977" s="139" t="s">
        <v>3198</v>
      </c>
      <c r="D977" s="114" t="s">
        <v>48</v>
      </c>
      <c r="E977" s="115" t="s">
        <v>3194</v>
      </c>
      <c r="F977" s="116"/>
      <c r="G977" s="113" t="s">
        <v>3190</v>
      </c>
      <c r="H977" s="113" t="s">
        <v>3191</v>
      </c>
      <c r="I977" s="113"/>
      <c r="J977" s="117"/>
      <c r="K977" s="118"/>
      <c r="L977" s="109">
        <v>3</v>
      </c>
      <c r="M977" s="109">
        <v>2</v>
      </c>
      <c r="N977" s="109"/>
      <c r="O977" s="119"/>
      <c r="P977" s="2">
        <f t="shared" si="240"/>
        <v>3</v>
      </c>
      <c r="Q977" s="110" t="str">
        <f>IF(AND(Drops!$D$45&gt;1,OR(U977&lt;&gt;U976,AND(ROW()=5,U976=U977))),VLOOKUP(U977,Drops!$D$26:$E$44,2,FALSE),"")</f>
        <v/>
      </c>
      <c r="R977" s="2" t="str">
        <f t="shared" si="241"/>
        <v/>
      </c>
      <c r="S977" s="2">
        <f t="shared" ca="1" si="242"/>
        <v>2</v>
      </c>
      <c r="T977" s="2">
        <f t="shared" si="243"/>
        <v>0</v>
      </c>
      <c r="U977" s="110" t="s">
        <v>3102</v>
      </c>
      <c r="V977" s="110">
        <v>1</v>
      </c>
      <c r="W977" s="110">
        <v>9</v>
      </c>
      <c r="X977" s="110">
        <v>3</v>
      </c>
      <c r="Y977" s="110">
        <v>0</v>
      </c>
      <c r="Z977" s="110">
        <v>0</v>
      </c>
      <c r="AA977" s="2">
        <f t="shared" si="244"/>
        <v>1</v>
      </c>
      <c r="AB977" s="2">
        <f t="shared" si="245"/>
        <v>0</v>
      </c>
      <c r="AC977" s="2">
        <f t="shared" si="246"/>
        <v>1</v>
      </c>
      <c r="AD977" s="2">
        <f t="shared" si="247"/>
        <v>2</v>
      </c>
      <c r="AE977" s="2">
        <f t="shared" si="248"/>
        <v>2</v>
      </c>
      <c r="AF977" s="2">
        <f t="shared" si="249"/>
        <v>2</v>
      </c>
      <c r="AG977" s="2">
        <f t="shared" si="250"/>
        <v>2</v>
      </c>
      <c r="AH977" s="2">
        <f t="shared" si="251"/>
        <v>2</v>
      </c>
      <c r="AI977" s="2">
        <f t="shared" si="252"/>
        <v>0</v>
      </c>
      <c r="AJ977" s="2">
        <f t="shared" si="253"/>
        <v>1</v>
      </c>
      <c r="AK977" s="2">
        <f t="shared" si="254"/>
        <v>2</v>
      </c>
      <c r="AL977" s="2">
        <f t="shared" si="255"/>
        <v>0</v>
      </c>
      <c r="AM977" s="115"/>
      <c r="AN977" s="115"/>
      <c r="AO977" s="63"/>
    </row>
    <row r="978" spans="1:41" ht="28.8" x14ac:dyDescent="0.55000000000000004">
      <c r="A978" s="36">
        <v>3653</v>
      </c>
      <c r="B978" s="113" t="s">
        <v>3199</v>
      </c>
      <c r="C978" s="139" t="s">
        <v>3200</v>
      </c>
      <c r="D978" s="114" t="s">
        <v>48</v>
      </c>
      <c r="E978" s="115" t="s">
        <v>3194</v>
      </c>
      <c r="F978" s="116"/>
      <c r="G978" s="113" t="s">
        <v>3190</v>
      </c>
      <c r="H978" s="113" t="s">
        <v>3191</v>
      </c>
      <c r="I978" s="113" t="s">
        <v>1399</v>
      </c>
      <c r="J978" s="117"/>
      <c r="K978" s="118"/>
      <c r="L978" s="109">
        <v>3</v>
      </c>
      <c r="M978" s="109">
        <v>2</v>
      </c>
      <c r="N978" s="109"/>
      <c r="O978" s="119"/>
      <c r="P978" s="2">
        <f t="shared" si="240"/>
        <v>3</v>
      </c>
      <c r="Q978" s="110" t="str">
        <f>IF(AND(Drops!$D$45&gt;1,OR(U978&lt;&gt;U977,AND(ROW()=5,U977=U978))),VLOOKUP(U978,Drops!$D$26:$E$44,2,FALSE),"")</f>
        <v/>
      </c>
      <c r="R978" s="2" t="str">
        <f t="shared" si="241"/>
        <v/>
      </c>
      <c r="S978" s="2">
        <f t="shared" ca="1" si="242"/>
        <v>2</v>
      </c>
      <c r="T978" s="2">
        <f t="shared" si="243"/>
        <v>0</v>
      </c>
      <c r="U978" s="110" t="s">
        <v>3102</v>
      </c>
      <c r="V978" s="110">
        <v>1</v>
      </c>
      <c r="W978" s="110">
        <v>9</v>
      </c>
      <c r="X978" s="110">
        <v>4</v>
      </c>
      <c r="Y978" s="110">
        <v>0</v>
      </c>
      <c r="Z978" s="110">
        <v>0</v>
      </c>
      <c r="AA978" s="2">
        <f t="shared" si="244"/>
        <v>1</v>
      </c>
      <c r="AB978" s="2">
        <f t="shared" si="245"/>
        <v>0</v>
      </c>
      <c r="AC978" s="2">
        <f t="shared" si="246"/>
        <v>1</v>
      </c>
      <c r="AD978" s="2">
        <f t="shared" si="247"/>
        <v>2</v>
      </c>
      <c r="AE978" s="2">
        <f t="shared" si="248"/>
        <v>2</v>
      </c>
      <c r="AF978" s="2">
        <f t="shared" si="249"/>
        <v>2</v>
      </c>
      <c r="AG978" s="2">
        <f t="shared" si="250"/>
        <v>2</v>
      </c>
      <c r="AH978" s="2">
        <f t="shared" si="251"/>
        <v>2</v>
      </c>
      <c r="AI978" s="2">
        <f t="shared" si="252"/>
        <v>0</v>
      </c>
      <c r="AJ978" s="2">
        <f t="shared" si="253"/>
        <v>1</v>
      </c>
      <c r="AK978" s="2">
        <f t="shared" si="254"/>
        <v>2</v>
      </c>
      <c r="AL978" s="2">
        <f t="shared" si="255"/>
        <v>0</v>
      </c>
      <c r="AM978" s="115"/>
      <c r="AN978" s="115"/>
      <c r="AO978" s="63"/>
    </row>
    <row r="979" spans="1:41" ht="43.2" x14ac:dyDescent="0.55000000000000004">
      <c r="A979" s="36">
        <v>3655</v>
      </c>
      <c r="B979" s="113" t="s">
        <v>3201</v>
      </c>
      <c r="C979" s="139" t="s">
        <v>3202</v>
      </c>
      <c r="D979" s="114" t="s">
        <v>48</v>
      </c>
      <c r="E979" s="115" t="s">
        <v>3194</v>
      </c>
      <c r="F979" s="116"/>
      <c r="G979" s="113" t="s">
        <v>3190</v>
      </c>
      <c r="H979" s="113" t="s">
        <v>3191</v>
      </c>
      <c r="I979" s="113"/>
      <c r="J979" s="117" t="s">
        <v>3203</v>
      </c>
      <c r="K979" s="118"/>
      <c r="L979" s="109">
        <v>3</v>
      </c>
      <c r="M979" s="109">
        <v>2</v>
      </c>
      <c r="N979" s="109"/>
      <c r="O979" s="119"/>
      <c r="P979" s="2">
        <f t="shared" si="240"/>
        <v>3</v>
      </c>
      <c r="Q979" s="110" t="str">
        <f>IF(AND(Drops!$D$45&gt;1,OR(U979&lt;&gt;U978,AND(ROW()=5,U978=U979))),VLOOKUP(U979,Drops!$D$26:$E$44,2,FALSE),"")</f>
        <v/>
      </c>
      <c r="R979" s="2" t="str">
        <f t="shared" si="241"/>
        <v/>
      </c>
      <c r="S979" s="2">
        <f t="shared" ca="1" si="242"/>
        <v>2</v>
      </c>
      <c r="T979" s="2">
        <f t="shared" si="243"/>
        <v>0</v>
      </c>
      <c r="U979" s="110" t="s">
        <v>3102</v>
      </c>
      <c r="V979" s="110">
        <v>1</v>
      </c>
      <c r="W979" s="110">
        <v>9</v>
      </c>
      <c r="X979" s="110">
        <v>5</v>
      </c>
      <c r="Y979" s="110">
        <v>0</v>
      </c>
      <c r="Z979" s="110">
        <v>0</v>
      </c>
      <c r="AA979" s="2">
        <f t="shared" si="244"/>
        <v>1</v>
      </c>
      <c r="AB979" s="2">
        <f t="shared" si="245"/>
        <v>0</v>
      </c>
      <c r="AC979" s="2">
        <f t="shared" si="246"/>
        <v>1</v>
      </c>
      <c r="AD979" s="2">
        <f t="shared" si="247"/>
        <v>2</v>
      </c>
      <c r="AE979" s="2">
        <f t="shared" si="248"/>
        <v>2</v>
      </c>
      <c r="AF979" s="2">
        <f t="shared" si="249"/>
        <v>2</v>
      </c>
      <c r="AG979" s="2">
        <f t="shared" si="250"/>
        <v>2</v>
      </c>
      <c r="AH979" s="2">
        <f t="shared" si="251"/>
        <v>2</v>
      </c>
      <c r="AI979" s="2">
        <f t="shared" si="252"/>
        <v>0</v>
      </c>
      <c r="AJ979" s="2">
        <f t="shared" si="253"/>
        <v>1</v>
      </c>
      <c r="AK979" s="2">
        <f t="shared" si="254"/>
        <v>2</v>
      </c>
      <c r="AL979" s="2">
        <f t="shared" si="255"/>
        <v>0</v>
      </c>
      <c r="AM979" s="115"/>
      <c r="AN979" s="115"/>
      <c r="AO979" s="63"/>
    </row>
    <row r="980" spans="1:41" ht="28.8" x14ac:dyDescent="0.55000000000000004">
      <c r="A980" s="36">
        <v>3656</v>
      </c>
      <c r="B980" s="113" t="s">
        <v>3204</v>
      </c>
      <c r="C980" s="139" t="s">
        <v>3205</v>
      </c>
      <c r="D980" s="114" t="s">
        <v>48</v>
      </c>
      <c r="E980" s="115" t="s">
        <v>3194</v>
      </c>
      <c r="F980" s="116"/>
      <c r="G980" s="113" t="s">
        <v>3190</v>
      </c>
      <c r="H980" s="113" t="s">
        <v>3191</v>
      </c>
      <c r="I980" s="113"/>
      <c r="J980" s="117" t="s">
        <v>1145</v>
      </c>
      <c r="K980" s="118"/>
      <c r="L980" s="109">
        <v>3</v>
      </c>
      <c r="M980" s="109">
        <v>3</v>
      </c>
      <c r="N980" s="109"/>
      <c r="O980" s="119"/>
      <c r="P980" s="2">
        <f t="shared" si="240"/>
        <v>3</v>
      </c>
      <c r="Q980" s="110" t="str">
        <f>IF(AND(Drops!$D$45&gt;1,OR(U980&lt;&gt;U979,AND(ROW()=5,U979=U980))),VLOOKUP(U980,Drops!$D$26:$E$44,2,FALSE),"")</f>
        <v/>
      </c>
      <c r="R980" s="2" t="str">
        <f t="shared" si="241"/>
        <v/>
      </c>
      <c r="S980" s="2">
        <f t="shared" ca="1" si="242"/>
        <v>2</v>
      </c>
      <c r="T980" s="2">
        <f t="shared" si="243"/>
        <v>0</v>
      </c>
      <c r="U980" s="110" t="s">
        <v>3102</v>
      </c>
      <c r="V980" s="110">
        <v>1</v>
      </c>
      <c r="W980" s="110">
        <v>9</v>
      </c>
      <c r="X980" s="110">
        <v>6</v>
      </c>
      <c r="Y980" s="110">
        <v>0</v>
      </c>
      <c r="Z980" s="110">
        <v>0</v>
      </c>
      <c r="AA980" s="2">
        <f t="shared" si="244"/>
        <v>1</v>
      </c>
      <c r="AB980" s="2">
        <f t="shared" si="245"/>
        <v>0</v>
      </c>
      <c r="AC980" s="2">
        <f t="shared" si="246"/>
        <v>1</v>
      </c>
      <c r="AD980" s="2">
        <f t="shared" si="247"/>
        <v>2</v>
      </c>
      <c r="AE980" s="2">
        <f t="shared" si="248"/>
        <v>2</v>
      </c>
      <c r="AF980" s="2">
        <f t="shared" si="249"/>
        <v>2</v>
      </c>
      <c r="AG980" s="2">
        <f t="shared" si="250"/>
        <v>2</v>
      </c>
      <c r="AH980" s="2">
        <f t="shared" si="251"/>
        <v>2</v>
      </c>
      <c r="AI980" s="2">
        <f t="shared" si="252"/>
        <v>0</v>
      </c>
      <c r="AJ980" s="2">
        <f t="shared" si="253"/>
        <v>1</v>
      </c>
      <c r="AK980" s="2">
        <f t="shared" si="254"/>
        <v>2</v>
      </c>
      <c r="AL980" s="2">
        <f t="shared" si="255"/>
        <v>0</v>
      </c>
      <c r="AM980" s="115"/>
      <c r="AN980" s="115"/>
      <c r="AO980" s="63"/>
    </row>
    <row r="981" spans="1:41" ht="57.6" x14ac:dyDescent="0.55000000000000004">
      <c r="A981" s="36">
        <v>3658</v>
      </c>
      <c r="B981" s="113" t="s">
        <v>3206</v>
      </c>
      <c r="C981" s="139" t="s">
        <v>3207</v>
      </c>
      <c r="D981" s="114" t="s">
        <v>48</v>
      </c>
      <c r="E981" s="115" t="s">
        <v>3194</v>
      </c>
      <c r="F981" s="116"/>
      <c r="G981" s="113" t="s">
        <v>3190</v>
      </c>
      <c r="H981" s="113" t="s">
        <v>3191</v>
      </c>
      <c r="I981" s="113"/>
      <c r="J981" s="117" t="s">
        <v>3140</v>
      </c>
      <c r="K981" s="118"/>
      <c r="L981" s="109">
        <v>3</v>
      </c>
      <c r="M981" s="109">
        <v>3</v>
      </c>
      <c r="N981" s="109"/>
      <c r="O981" s="119"/>
      <c r="P981" s="2">
        <f t="shared" si="240"/>
        <v>3</v>
      </c>
      <c r="Q981" s="110" t="str">
        <f>IF(AND(Drops!$D$45&gt;1,OR(U981&lt;&gt;U980,AND(ROW()=5,U980=U981))),VLOOKUP(U981,Drops!$D$26:$E$44,2,FALSE),"")</f>
        <v/>
      </c>
      <c r="R981" s="2" t="str">
        <f t="shared" si="241"/>
        <v/>
      </c>
      <c r="S981" s="2">
        <f t="shared" ca="1" si="242"/>
        <v>2</v>
      </c>
      <c r="T981" s="2">
        <f t="shared" si="243"/>
        <v>0</v>
      </c>
      <c r="U981" s="110" t="s">
        <v>3102</v>
      </c>
      <c r="V981" s="110">
        <v>1</v>
      </c>
      <c r="W981" s="110">
        <v>9</v>
      </c>
      <c r="X981" s="110">
        <v>8</v>
      </c>
      <c r="Y981" s="110">
        <v>0</v>
      </c>
      <c r="Z981" s="110">
        <v>0</v>
      </c>
      <c r="AA981" s="2">
        <f t="shared" si="244"/>
        <v>1</v>
      </c>
      <c r="AB981" s="2">
        <f t="shared" si="245"/>
        <v>0</v>
      </c>
      <c r="AC981" s="2">
        <f t="shared" si="246"/>
        <v>1</v>
      </c>
      <c r="AD981" s="2">
        <f t="shared" si="247"/>
        <v>2</v>
      </c>
      <c r="AE981" s="2">
        <f t="shared" si="248"/>
        <v>2</v>
      </c>
      <c r="AF981" s="2">
        <f t="shared" si="249"/>
        <v>2</v>
      </c>
      <c r="AG981" s="2">
        <f t="shared" si="250"/>
        <v>2</v>
      </c>
      <c r="AH981" s="2">
        <f t="shared" si="251"/>
        <v>2</v>
      </c>
      <c r="AI981" s="2">
        <f t="shared" si="252"/>
        <v>0</v>
      </c>
      <c r="AJ981" s="2">
        <f t="shared" si="253"/>
        <v>1</v>
      </c>
      <c r="AK981" s="2">
        <f t="shared" si="254"/>
        <v>2</v>
      </c>
      <c r="AL981" s="2">
        <f t="shared" si="255"/>
        <v>0</v>
      </c>
      <c r="AM981" s="115"/>
      <c r="AN981" s="115"/>
      <c r="AO981" s="63"/>
    </row>
    <row r="982" spans="1:41" ht="72" x14ac:dyDescent="0.55000000000000004">
      <c r="A982" s="36">
        <v>3659</v>
      </c>
      <c r="B982" s="113" t="s">
        <v>3208</v>
      </c>
      <c r="C982" s="139" t="s">
        <v>3209</v>
      </c>
      <c r="D982" s="114" t="s">
        <v>48</v>
      </c>
      <c r="E982" s="115" t="s">
        <v>3194</v>
      </c>
      <c r="F982" s="116"/>
      <c r="G982" s="113" t="s">
        <v>3190</v>
      </c>
      <c r="H982" s="113" t="s">
        <v>3191</v>
      </c>
      <c r="I982" s="113"/>
      <c r="J982" s="117" t="s">
        <v>1709</v>
      </c>
      <c r="K982" s="118"/>
      <c r="L982" s="109">
        <v>3</v>
      </c>
      <c r="M982" s="109">
        <v>3</v>
      </c>
      <c r="N982" s="109"/>
      <c r="O982" s="119"/>
      <c r="P982" s="2">
        <f t="shared" si="240"/>
        <v>3</v>
      </c>
      <c r="Q982" s="110" t="str">
        <f>IF(AND(Drops!$D$45&gt;1,OR(U982&lt;&gt;U981,AND(ROW()=5,U981=U982))),VLOOKUP(U982,Drops!$D$26:$E$44,2,FALSE),"")</f>
        <v/>
      </c>
      <c r="R982" s="2" t="str">
        <f t="shared" si="241"/>
        <v/>
      </c>
      <c r="S982" s="2">
        <f t="shared" ca="1" si="242"/>
        <v>2</v>
      </c>
      <c r="T982" s="2">
        <f t="shared" si="243"/>
        <v>0</v>
      </c>
      <c r="U982" s="110" t="s">
        <v>3102</v>
      </c>
      <c r="V982" s="110">
        <v>1</v>
      </c>
      <c r="W982" s="110">
        <v>9</v>
      </c>
      <c r="X982" s="110">
        <v>9</v>
      </c>
      <c r="Y982" s="110">
        <v>0</v>
      </c>
      <c r="Z982" s="110">
        <v>0</v>
      </c>
      <c r="AA982" s="2">
        <f t="shared" si="244"/>
        <v>1</v>
      </c>
      <c r="AB982" s="2">
        <f t="shared" si="245"/>
        <v>0</v>
      </c>
      <c r="AC982" s="2">
        <f t="shared" si="246"/>
        <v>1</v>
      </c>
      <c r="AD982" s="2">
        <f t="shared" si="247"/>
        <v>2</v>
      </c>
      <c r="AE982" s="2">
        <f t="shared" si="248"/>
        <v>2</v>
      </c>
      <c r="AF982" s="2">
        <f t="shared" si="249"/>
        <v>2</v>
      </c>
      <c r="AG982" s="2">
        <f t="shared" si="250"/>
        <v>2</v>
      </c>
      <c r="AH982" s="2">
        <f t="shared" si="251"/>
        <v>2</v>
      </c>
      <c r="AI982" s="2">
        <f t="shared" si="252"/>
        <v>0</v>
      </c>
      <c r="AJ982" s="2">
        <f t="shared" si="253"/>
        <v>1</v>
      </c>
      <c r="AK982" s="2">
        <f t="shared" si="254"/>
        <v>2</v>
      </c>
      <c r="AL982" s="2">
        <f t="shared" si="255"/>
        <v>0</v>
      </c>
      <c r="AM982" s="115"/>
      <c r="AN982" s="115"/>
      <c r="AO982" s="63"/>
    </row>
    <row r="983" spans="1:41" ht="28.8" x14ac:dyDescent="0.55000000000000004">
      <c r="A983" s="36">
        <v>3670</v>
      </c>
      <c r="B983" s="113" t="s">
        <v>3210</v>
      </c>
      <c r="C983" s="139" t="s">
        <v>3211</v>
      </c>
      <c r="D983" s="114" t="s">
        <v>48</v>
      </c>
      <c r="E983" s="115" t="s">
        <v>3194</v>
      </c>
      <c r="F983" s="116"/>
      <c r="G983" s="113" t="s">
        <v>3190</v>
      </c>
      <c r="H983" s="113" t="s">
        <v>3191</v>
      </c>
      <c r="I983" s="113"/>
      <c r="J983" s="117"/>
      <c r="K983" s="118"/>
      <c r="L983" s="109">
        <v>3</v>
      </c>
      <c r="M983" s="109">
        <v>3</v>
      </c>
      <c r="N983" s="109"/>
      <c r="O983" s="119"/>
      <c r="P983" s="2">
        <f t="shared" si="240"/>
        <v>3</v>
      </c>
      <c r="Q983" s="110" t="str">
        <f>IF(AND(Drops!$D$45&gt;1,OR(U983&lt;&gt;U982,AND(ROW()=5,U982=U983))),VLOOKUP(U983,Drops!$D$26:$E$44,2,FALSE),"")</f>
        <v/>
      </c>
      <c r="R983" s="2" t="str">
        <f t="shared" si="241"/>
        <v/>
      </c>
      <c r="S983" s="2">
        <f t="shared" ca="1" si="242"/>
        <v>2</v>
      </c>
      <c r="T983" s="2">
        <f t="shared" si="243"/>
        <v>0</v>
      </c>
      <c r="U983" s="110" t="s">
        <v>3102</v>
      </c>
      <c r="V983" s="110">
        <v>1</v>
      </c>
      <c r="W983" s="110">
        <v>9</v>
      </c>
      <c r="X983" s="110">
        <v>10</v>
      </c>
      <c r="Y983" s="110">
        <v>0</v>
      </c>
      <c r="Z983" s="110">
        <v>0</v>
      </c>
      <c r="AA983" s="2">
        <f t="shared" si="244"/>
        <v>1</v>
      </c>
      <c r="AB983" s="2">
        <f t="shared" si="245"/>
        <v>0</v>
      </c>
      <c r="AC983" s="2">
        <f t="shared" si="246"/>
        <v>1</v>
      </c>
      <c r="AD983" s="2">
        <f t="shared" si="247"/>
        <v>2</v>
      </c>
      <c r="AE983" s="2">
        <f t="shared" si="248"/>
        <v>2</v>
      </c>
      <c r="AF983" s="2">
        <f t="shared" si="249"/>
        <v>2</v>
      </c>
      <c r="AG983" s="2">
        <f t="shared" si="250"/>
        <v>2</v>
      </c>
      <c r="AH983" s="2">
        <f t="shared" si="251"/>
        <v>2</v>
      </c>
      <c r="AI983" s="2">
        <f t="shared" si="252"/>
        <v>0</v>
      </c>
      <c r="AJ983" s="2">
        <f t="shared" si="253"/>
        <v>1</v>
      </c>
      <c r="AK983" s="2">
        <f t="shared" si="254"/>
        <v>2</v>
      </c>
      <c r="AL983" s="2">
        <f t="shared" si="255"/>
        <v>0</v>
      </c>
      <c r="AM983" s="115"/>
      <c r="AN983" s="115"/>
      <c r="AO983" s="63"/>
    </row>
    <row r="984" spans="1:41" ht="28.8" x14ac:dyDescent="0.55000000000000004">
      <c r="A984" s="36">
        <v>3671</v>
      </c>
      <c r="B984" s="113" t="s">
        <v>3212</v>
      </c>
      <c r="C984" s="139" t="s">
        <v>3213</v>
      </c>
      <c r="D984" s="114" t="s">
        <v>48</v>
      </c>
      <c r="E984" s="115" t="s">
        <v>3194</v>
      </c>
      <c r="F984" s="116"/>
      <c r="G984" s="113" t="s">
        <v>3190</v>
      </c>
      <c r="H984" s="113" t="s">
        <v>3191</v>
      </c>
      <c r="I984" s="113" t="s">
        <v>1399</v>
      </c>
      <c r="J984" s="117"/>
      <c r="K984" s="118"/>
      <c r="L984" s="109">
        <v>3</v>
      </c>
      <c r="M984" s="109">
        <v>3</v>
      </c>
      <c r="N984" s="109"/>
      <c r="O984" s="119"/>
      <c r="P984" s="2">
        <f t="shared" si="240"/>
        <v>3</v>
      </c>
      <c r="Q984" s="110" t="str">
        <f>IF(AND(Drops!$D$45&gt;1,OR(U984&lt;&gt;U983,AND(ROW()=5,U983=U984))),VLOOKUP(U984,Drops!$D$26:$E$44,2,FALSE),"")</f>
        <v/>
      </c>
      <c r="R984" s="2" t="str">
        <f t="shared" si="241"/>
        <v/>
      </c>
      <c r="S984" s="2">
        <f t="shared" ca="1" si="242"/>
        <v>2</v>
      </c>
      <c r="T984" s="2">
        <f t="shared" si="243"/>
        <v>0</v>
      </c>
      <c r="U984" s="110" t="s">
        <v>3102</v>
      </c>
      <c r="V984" s="110">
        <v>1</v>
      </c>
      <c r="W984" s="110">
        <v>9</v>
      </c>
      <c r="X984" s="110">
        <v>11</v>
      </c>
      <c r="Y984" s="110">
        <v>0</v>
      </c>
      <c r="Z984" s="110">
        <v>0</v>
      </c>
      <c r="AA984" s="2">
        <f t="shared" si="244"/>
        <v>1</v>
      </c>
      <c r="AB984" s="2">
        <f t="shared" si="245"/>
        <v>0</v>
      </c>
      <c r="AC984" s="2">
        <f t="shared" si="246"/>
        <v>1</v>
      </c>
      <c r="AD984" s="2">
        <f t="shared" si="247"/>
        <v>2</v>
      </c>
      <c r="AE984" s="2">
        <f t="shared" si="248"/>
        <v>2</v>
      </c>
      <c r="AF984" s="2">
        <f t="shared" si="249"/>
        <v>2</v>
      </c>
      <c r="AG984" s="2">
        <f t="shared" si="250"/>
        <v>2</v>
      </c>
      <c r="AH984" s="2">
        <f t="shared" si="251"/>
        <v>2</v>
      </c>
      <c r="AI984" s="2">
        <f t="shared" si="252"/>
        <v>0</v>
      </c>
      <c r="AJ984" s="2">
        <f t="shared" si="253"/>
        <v>1</v>
      </c>
      <c r="AK984" s="2">
        <f t="shared" si="254"/>
        <v>2</v>
      </c>
      <c r="AL984" s="2">
        <f t="shared" si="255"/>
        <v>0</v>
      </c>
      <c r="AM984" s="115"/>
      <c r="AN984" s="115"/>
      <c r="AO984" s="63"/>
    </row>
    <row r="985" spans="1:41" ht="28.8" x14ac:dyDescent="0.55000000000000004">
      <c r="A985" s="36">
        <v>3672</v>
      </c>
      <c r="B985" s="113" t="s">
        <v>3214</v>
      </c>
      <c r="C985" s="139" t="s">
        <v>3215</v>
      </c>
      <c r="D985" s="114" t="s">
        <v>48</v>
      </c>
      <c r="E985" s="115" t="s">
        <v>3194</v>
      </c>
      <c r="F985" s="116"/>
      <c r="G985" s="113" t="s">
        <v>3190</v>
      </c>
      <c r="H985" s="113" t="s">
        <v>3191</v>
      </c>
      <c r="I985" s="113" t="s">
        <v>1399</v>
      </c>
      <c r="J985" s="117"/>
      <c r="K985" s="118"/>
      <c r="L985" s="109">
        <v>3</v>
      </c>
      <c r="M985" s="109">
        <v>3</v>
      </c>
      <c r="N985" s="109"/>
      <c r="O985" s="119"/>
      <c r="P985" s="2">
        <f t="shared" si="240"/>
        <v>3</v>
      </c>
      <c r="Q985" s="110" t="str">
        <f>IF(AND(Drops!$D$45&gt;1,OR(U985&lt;&gt;U984,AND(ROW()=5,U984=U985))),VLOOKUP(U985,Drops!$D$26:$E$44,2,FALSE),"")</f>
        <v/>
      </c>
      <c r="R985" s="2" t="str">
        <f t="shared" si="241"/>
        <v/>
      </c>
      <c r="S985" s="2">
        <f t="shared" ca="1" si="242"/>
        <v>2</v>
      </c>
      <c r="T985" s="2">
        <f t="shared" si="243"/>
        <v>0</v>
      </c>
      <c r="U985" s="110" t="s">
        <v>3102</v>
      </c>
      <c r="V985" s="110">
        <v>1</v>
      </c>
      <c r="W985" s="110">
        <v>9</v>
      </c>
      <c r="X985" s="110">
        <v>12</v>
      </c>
      <c r="Y985" s="110">
        <v>0</v>
      </c>
      <c r="Z985" s="110">
        <v>0</v>
      </c>
      <c r="AA985" s="2">
        <f t="shared" si="244"/>
        <v>1</v>
      </c>
      <c r="AB985" s="2">
        <f t="shared" si="245"/>
        <v>0</v>
      </c>
      <c r="AC985" s="2">
        <f t="shared" si="246"/>
        <v>1</v>
      </c>
      <c r="AD985" s="2">
        <f t="shared" si="247"/>
        <v>2</v>
      </c>
      <c r="AE985" s="2">
        <f t="shared" si="248"/>
        <v>2</v>
      </c>
      <c r="AF985" s="2">
        <f t="shared" si="249"/>
        <v>2</v>
      </c>
      <c r="AG985" s="2">
        <f t="shared" si="250"/>
        <v>2</v>
      </c>
      <c r="AH985" s="2">
        <f t="shared" si="251"/>
        <v>2</v>
      </c>
      <c r="AI985" s="2">
        <f t="shared" si="252"/>
        <v>0</v>
      </c>
      <c r="AJ985" s="2">
        <f t="shared" si="253"/>
        <v>1</v>
      </c>
      <c r="AK985" s="2">
        <f t="shared" si="254"/>
        <v>2</v>
      </c>
      <c r="AL985" s="2">
        <f t="shared" si="255"/>
        <v>0</v>
      </c>
      <c r="AM985" s="115"/>
      <c r="AN985" s="115"/>
      <c r="AO985" s="63"/>
    </row>
    <row r="986" spans="1:41" ht="28.8" x14ac:dyDescent="0.55000000000000004">
      <c r="A986" s="36">
        <v>3673</v>
      </c>
      <c r="B986" s="113" t="s">
        <v>3216</v>
      </c>
      <c r="C986" s="139" t="s">
        <v>3217</v>
      </c>
      <c r="D986" s="114" t="s">
        <v>48</v>
      </c>
      <c r="E986" s="115" t="s">
        <v>3194</v>
      </c>
      <c r="F986" s="116"/>
      <c r="G986" s="113" t="s">
        <v>3190</v>
      </c>
      <c r="H986" s="113" t="s">
        <v>3218</v>
      </c>
      <c r="I986" s="113" t="s">
        <v>1399</v>
      </c>
      <c r="J986" s="117"/>
      <c r="K986" s="118"/>
      <c r="L986" s="109">
        <v>3</v>
      </c>
      <c r="M986" s="109">
        <v>3</v>
      </c>
      <c r="N986" s="109"/>
      <c r="O986" s="119"/>
      <c r="P986" s="2">
        <f t="shared" si="240"/>
        <v>3</v>
      </c>
      <c r="Q986" s="110" t="str">
        <f>IF(AND(Drops!$D$45&gt;1,OR(U986&lt;&gt;U985,AND(ROW()=5,U985=U986))),VLOOKUP(U986,Drops!$D$26:$E$44,2,FALSE),"")</f>
        <v/>
      </c>
      <c r="R986" s="2" t="str">
        <f t="shared" si="241"/>
        <v/>
      </c>
      <c r="S986" s="2">
        <f t="shared" ca="1" si="242"/>
        <v>2</v>
      </c>
      <c r="T986" s="2">
        <f t="shared" si="243"/>
        <v>0</v>
      </c>
      <c r="U986" s="110" t="s">
        <v>3102</v>
      </c>
      <c r="V986" s="110">
        <v>1</v>
      </c>
      <c r="W986" s="110">
        <v>9</v>
      </c>
      <c r="X986" s="110">
        <v>13</v>
      </c>
      <c r="Y986" s="110">
        <v>0</v>
      </c>
      <c r="Z986" s="110">
        <v>0</v>
      </c>
      <c r="AA986" s="2">
        <f t="shared" si="244"/>
        <v>1</v>
      </c>
      <c r="AB986" s="2">
        <f t="shared" si="245"/>
        <v>0</v>
      </c>
      <c r="AC986" s="2">
        <f t="shared" si="246"/>
        <v>1</v>
      </c>
      <c r="AD986" s="2">
        <f t="shared" si="247"/>
        <v>2</v>
      </c>
      <c r="AE986" s="2">
        <f t="shared" si="248"/>
        <v>2</v>
      </c>
      <c r="AF986" s="2">
        <f t="shared" si="249"/>
        <v>2</v>
      </c>
      <c r="AG986" s="2">
        <f t="shared" si="250"/>
        <v>2</v>
      </c>
      <c r="AH986" s="2">
        <f t="shared" si="251"/>
        <v>2</v>
      </c>
      <c r="AI986" s="2">
        <f t="shared" si="252"/>
        <v>0</v>
      </c>
      <c r="AJ986" s="2">
        <f t="shared" si="253"/>
        <v>1</v>
      </c>
      <c r="AK986" s="2">
        <f t="shared" si="254"/>
        <v>2</v>
      </c>
      <c r="AL986" s="2">
        <f t="shared" si="255"/>
        <v>0</v>
      </c>
      <c r="AM986" s="115"/>
      <c r="AN986" s="115"/>
      <c r="AO986" s="63"/>
    </row>
    <row r="987" spans="1:41" ht="28.8" x14ac:dyDescent="0.55000000000000004">
      <c r="A987" s="36">
        <v>3674</v>
      </c>
      <c r="B987" s="113" t="s">
        <v>3219</v>
      </c>
      <c r="C987" s="139" t="s">
        <v>3220</v>
      </c>
      <c r="D987" s="114" t="s">
        <v>48</v>
      </c>
      <c r="E987" s="115" t="s">
        <v>3194</v>
      </c>
      <c r="F987" s="116"/>
      <c r="G987" s="113" t="s">
        <v>3190</v>
      </c>
      <c r="H987" s="113" t="s">
        <v>3221</v>
      </c>
      <c r="I987" s="113" t="s">
        <v>1399</v>
      </c>
      <c r="J987" s="117"/>
      <c r="K987" s="118"/>
      <c r="L987" s="109">
        <v>3</v>
      </c>
      <c r="M987" s="109">
        <v>3</v>
      </c>
      <c r="N987" s="109"/>
      <c r="O987" s="119"/>
      <c r="P987" s="2">
        <f t="shared" si="240"/>
        <v>3</v>
      </c>
      <c r="Q987" s="110" t="str">
        <f>IF(AND(Drops!$D$45&gt;1,OR(U987&lt;&gt;U986,AND(ROW()=5,U986=U987))),VLOOKUP(U987,Drops!$D$26:$E$44,2,FALSE),"")</f>
        <v/>
      </c>
      <c r="R987" s="2" t="str">
        <f t="shared" si="241"/>
        <v/>
      </c>
      <c r="S987" s="2">
        <f t="shared" ca="1" si="242"/>
        <v>2</v>
      </c>
      <c r="T987" s="2">
        <f t="shared" si="243"/>
        <v>0</v>
      </c>
      <c r="U987" s="110" t="s">
        <v>3102</v>
      </c>
      <c r="V987" s="110">
        <v>1</v>
      </c>
      <c r="W987" s="110">
        <v>9</v>
      </c>
      <c r="X987" s="110">
        <v>14</v>
      </c>
      <c r="Y987" s="110">
        <v>0</v>
      </c>
      <c r="Z987" s="110">
        <v>0</v>
      </c>
      <c r="AA987" s="2">
        <f t="shared" si="244"/>
        <v>1</v>
      </c>
      <c r="AB987" s="2">
        <f t="shared" si="245"/>
        <v>0</v>
      </c>
      <c r="AC987" s="2">
        <f t="shared" si="246"/>
        <v>1</v>
      </c>
      <c r="AD987" s="2">
        <f t="shared" si="247"/>
        <v>2</v>
      </c>
      <c r="AE987" s="2">
        <f t="shared" si="248"/>
        <v>2</v>
      </c>
      <c r="AF987" s="2">
        <f t="shared" si="249"/>
        <v>2</v>
      </c>
      <c r="AG987" s="2">
        <f t="shared" si="250"/>
        <v>2</v>
      </c>
      <c r="AH987" s="2">
        <f t="shared" si="251"/>
        <v>2</v>
      </c>
      <c r="AI987" s="2">
        <f t="shared" si="252"/>
        <v>0</v>
      </c>
      <c r="AJ987" s="2">
        <f t="shared" si="253"/>
        <v>1</v>
      </c>
      <c r="AK987" s="2">
        <f t="shared" si="254"/>
        <v>2</v>
      </c>
      <c r="AL987" s="2">
        <f t="shared" si="255"/>
        <v>0</v>
      </c>
      <c r="AM987" s="115"/>
      <c r="AN987" s="115"/>
      <c r="AO987" s="63"/>
    </row>
    <row r="988" spans="1:41" ht="28.8" x14ac:dyDescent="0.55000000000000004">
      <c r="A988" s="36">
        <v>3675</v>
      </c>
      <c r="B988" s="113" t="s">
        <v>3222</v>
      </c>
      <c r="C988" s="139" t="s">
        <v>3223</v>
      </c>
      <c r="D988" s="114" t="s">
        <v>48</v>
      </c>
      <c r="E988" s="115" t="s">
        <v>3194</v>
      </c>
      <c r="F988" s="116"/>
      <c r="G988" s="113" t="s">
        <v>3190</v>
      </c>
      <c r="H988" s="113" t="s">
        <v>3221</v>
      </c>
      <c r="I988" s="113" t="s">
        <v>1399</v>
      </c>
      <c r="J988" s="117"/>
      <c r="K988" s="118"/>
      <c r="L988" s="109">
        <v>3</v>
      </c>
      <c r="M988" s="109">
        <v>3</v>
      </c>
      <c r="N988" s="109"/>
      <c r="O988" s="119"/>
      <c r="P988" s="2">
        <f t="shared" si="240"/>
        <v>3</v>
      </c>
      <c r="Q988" s="110" t="str">
        <f>IF(AND(Drops!$D$45&gt;1,OR(U988&lt;&gt;U987,AND(ROW()=5,U987=U988))),VLOOKUP(U988,Drops!$D$26:$E$44,2,FALSE),"")</f>
        <v/>
      </c>
      <c r="R988" s="2" t="str">
        <f t="shared" si="241"/>
        <v/>
      </c>
      <c r="S988" s="2">
        <f t="shared" ca="1" si="242"/>
        <v>2</v>
      </c>
      <c r="T988" s="2">
        <f t="shared" si="243"/>
        <v>0</v>
      </c>
      <c r="U988" s="110" t="s">
        <v>3102</v>
      </c>
      <c r="V988" s="110">
        <v>1</v>
      </c>
      <c r="W988" s="110">
        <v>9</v>
      </c>
      <c r="X988" s="110">
        <v>15</v>
      </c>
      <c r="Y988" s="110">
        <v>0</v>
      </c>
      <c r="Z988" s="110">
        <v>0</v>
      </c>
      <c r="AA988" s="2">
        <f t="shared" si="244"/>
        <v>1</v>
      </c>
      <c r="AB988" s="2">
        <f t="shared" si="245"/>
        <v>0</v>
      </c>
      <c r="AC988" s="2">
        <f t="shared" si="246"/>
        <v>1</v>
      </c>
      <c r="AD988" s="2">
        <f t="shared" si="247"/>
        <v>2</v>
      </c>
      <c r="AE988" s="2">
        <f t="shared" si="248"/>
        <v>2</v>
      </c>
      <c r="AF988" s="2">
        <f t="shared" si="249"/>
        <v>2</v>
      </c>
      <c r="AG988" s="2">
        <f t="shared" si="250"/>
        <v>2</v>
      </c>
      <c r="AH988" s="2">
        <f t="shared" si="251"/>
        <v>2</v>
      </c>
      <c r="AI988" s="2">
        <f t="shared" si="252"/>
        <v>0</v>
      </c>
      <c r="AJ988" s="2">
        <f t="shared" si="253"/>
        <v>1</v>
      </c>
      <c r="AK988" s="2">
        <f t="shared" si="254"/>
        <v>2</v>
      </c>
      <c r="AL988" s="2">
        <f t="shared" si="255"/>
        <v>0</v>
      </c>
      <c r="AM988" s="115"/>
      <c r="AN988" s="115"/>
      <c r="AO988" s="63"/>
    </row>
    <row r="989" spans="1:41" ht="28.8" x14ac:dyDescent="0.55000000000000004">
      <c r="A989" s="36">
        <v>3676</v>
      </c>
      <c r="B989" s="113" t="s">
        <v>3224</v>
      </c>
      <c r="C989" s="139" t="s">
        <v>3225</v>
      </c>
      <c r="D989" s="114" t="s">
        <v>48</v>
      </c>
      <c r="E989" s="115" t="s">
        <v>3194</v>
      </c>
      <c r="F989" s="116"/>
      <c r="G989" s="113" t="s">
        <v>3190</v>
      </c>
      <c r="H989" s="113" t="s">
        <v>3221</v>
      </c>
      <c r="I989" s="113" t="s">
        <v>1399</v>
      </c>
      <c r="J989" s="117"/>
      <c r="K989" s="118"/>
      <c r="L989" s="109">
        <v>3</v>
      </c>
      <c r="M989" s="109">
        <v>3</v>
      </c>
      <c r="N989" s="109"/>
      <c r="O989" s="119"/>
      <c r="P989" s="2">
        <f t="shared" si="240"/>
        <v>3</v>
      </c>
      <c r="Q989" s="110" t="str">
        <f>IF(AND(Drops!$D$45&gt;1,OR(U989&lt;&gt;U988,AND(ROW()=5,U988=U989))),VLOOKUP(U989,Drops!$D$26:$E$44,2,FALSE),"")</f>
        <v/>
      </c>
      <c r="R989" s="2" t="str">
        <f t="shared" si="241"/>
        <v/>
      </c>
      <c r="S989" s="2">
        <f t="shared" ca="1" si="242"/>
        <v>2</v>
      </c>
      <c r="T989" s="2">
        <f t="shared" si="243"/>
        <v>0</v>
      </c>
      <c r="U989" s="110" t="s">
        <v>3102</v>
      </c>
      <c r="V989" s="110">
        <v>1</v>
      </c>
      <c r="W989" s="110">
        <v>9</v>
      </c>
      <c r="X989" s="110">
        <v>16</v>
      </c>
      <c r="Y989" s="110">
        <v>0</v>
      </c>
      <c r="Z989" s="110">
        <v>0</v>
      </c>
      <c r="AA989" s="2">
        <f t="shared" si="244"/>
        <v>1</v>
      </c>
      <c r="AB989" s="2">
        <f t="shared" si="245"/>
        <v>0</v>
      </c>
      <c r="AC989" s="2">
        <f t="shared" si="246"/>
        <v>1</v>
      </c>
      <c r="AD989" s="2">
        <f t="shared" si="247"/>
        <v>2</v>
      </c>
      <c r="AE989" s="2">
        <f t="shared" si="248"/>
        <v>2</v>
      </c>
      <c r="AF989" s="2">
        <f t="shared" si="249"/>
        <v>2</v>
      </c>
      <c r="AG989" s="2">
        <f t="shared" si="250"/>
        <v>2</v>
      </c>
      <c r="AH989" s="2">
        <f t="shared" si="251"/>
        <v>2</v>
      </c>
      <c r="AI989" s="2">
        <f t="shared" si="252"/>
        <v>0</v>
      </c>
      <c r="AJ989" s="2">
        <f t="shared" si="253"/>
        <v>1</v>
      </c>
      <c r="AK989" s="2">
        <f t="shared" si="254"/>
        <v>2</v>
      </c>
      <c r="AL989" s="2">
        <f t="shared" si="255"/>
        <v>0</v>
      </c>
      <c r="AM989" s="115"/>
      <c r="AN989" s="115"/>
      <c r="AO989" s="63"/>
    </row>
    <row r="990" spans="1:41" ht="28.8" x14ac:dyDescent="0.55000000000000004">
      <c r="A990" s="36">
        <v>3677</v>
      </c>
      <c r="B990" s="113" t="s">
        <v>3226</v>
      </c>
      <c r="C990" s="139" t="s">
        <v>3227</v>
      </c>
      <c r="D990" s="114" t="s">
        <v>48</v>
      </c>
      <c r="E990" s="115" t="s">
        <v>3194</v>
      </c>
      <c r="F990" s="116"/>
      <c r="G990" s="113" t="s">
        <v>3190</v>
      </c>
      <c r="H990" s="113" t="s">
        <v>3221</v>
      </c>
      <c r="I990" s="113" t="s">
        <v>1399</v>
      </c>
      <c r="J990" s="117"/>
      <c r="K990" s="118"/>
      <c r="L990" s="109">
        <v>3</v>
      </c>
      <c r="M990" s="109">
        <v>3</v>
      </c>
      <c r="N990" s="109"/>
      <c r="O990" s="119"/>
      <c r="P990" s="2">
        <f t="shared" si="240"/>
        <v>3</v>
      </c>
      <c r="Q990" s="110" t="str">
        <f>IF(AND(Drops!$D$45&gt;1,OR(U990&lt;&gt;U989,AND(ROW()=5,U989=U990))),VLOOKUP(U990,Drops!$D$26:$E$44,2,FALSE),"")</f>
        <v/>
      </c>
      <c r="R990" s="2" t="str">
        <f t="shared" si="241"/>
        <v/>
      </c>
      <c r="S990" s="2">
        <f t="shared" ca="1" si="242"/>
        <v>2</v>
      </c>
      <c r="T990" s="2">
        <f t="shared" si="243"/>
        <v>0</v>
      </c>
      <c r="U990" s="110" t="s">
        <v>3102</v>
      </c>
      <c r="V990" s="110">
        <v>1</v>
      </c>
      <c r="W990" s="110">
        <v>9</v>
      </c>
      <c r="X990" s="110">
        <v>17</v>
      </c>
      <c r="Y990" s="110">
        <v>0</v>
      </c>
      <c r="Z990" s="110">
        <v>0</v>
      </c>
      <c r="AA990" s="2">
        <f t="shared" si="244"/>
        <v>1</v>
      </c>
      <c r="AB990" s="2">
        <f t="shared" si="245"/>
        <v>0</v>
      </c>
      <c r="AC990" s="2">
        <f t="shared" si="246"/>
        <v>1</v>
      </c>
      <c r="AD990" s="2">
        <f t="shared" si="247"/>
        <v>2</v>
      </c>
      <c r="AE990" s="2">
        <f t="shared" si="248"/>
        <v>2</v>
      </c>
      <c r="AF990" s="2">
        <f t="shared" si="249"/>
        <v>2</v>
      </c>
      <c r="AG990" s="2">
        <f t="shared" si="250"/>
        <v>2</v>
      </c>
      <c r="AH990" s="2">
        <f t="shared" si="251"/>
        <v>2</v>
      </c>
      <c r="AI990" s="2">
        <f t="shared" si="252"/>
        <v>0</v>
      </c>
      <c r="AJ990" s="2">
        <f t="shared" si="253"/>
        <v>1</v>
      </c>
      <c r="AK990" s="2">
        <f t="shared" si="254"/>
        <v>2</v>
      </c>
      <c r="AL990" s="2">
        <f t="shared" si="255"/>
        <v>0</v>
      </c>
      <c r="AM990" s="115"/>
      <c r="AN990" s="115"/>
      <c r="AO990" s="63"/>
    </row>
    <row r="991" spans="1:41" ht="28.8" x14ac:dyDescent="0.55000000000000004">
      <c r="A991" s="36">
        <v>3678</v>
      </c>
      <c r="B991" s="113" t="s">
        <v>3228</v>
      </c>
      <c r="C991" s="139" t="s">
        <v>3229</v>
      </c>
      <c r="D991" s="114" t="s">
        <v>48</v>
      </c>
      <c r="E991" s="115" t="s">
        <v>3194</v>
      </c>
      <c r="F991" s="116"/>
      <c r="G991" s="113" t="s">
        <v>3190</v>
      </c>
      <c r="H991" s="113" t="s">
        <v>3191</v>
      </c>
      <c r="I991" s="113" t="s">
        <v>1399</v>
      </c>
      <c r="J991" s="117"/>
      <c r="K991" s="118"/>
      <c r="L991" s="109">
        <v>3</v>
      </c>
      <c r="M991" s="109">
        <v>3</v>
      </c>
      <c r="N991" s="109"/>
      <c r="O991" s="119"/>
      <c r="P991" s="2">
        <f t="shared" si="240"/>
        <v>3</v>
      </c>
      <c r="Q991" s="110" t="str">
        <f>IF(AND(Drops!$D$45&gt;1,OR(U991&lt;&gt;U990,AND(ROW()=5,U990=U991))),VLOOKUP(U991,Drops!$D$26:$E$44,2,FALSE),"")</f>
        <v/>
      </c>
      <c r="R991" s="2" t="str">
        <f t="shared" si="241"/>
        <v/>
      </c>
      <c r="S991" s="2">
        <f t="shared" ca="1" si="242"/>
        <v>2</v>
      </c>
      <c r="T991" s="2">
        <f t="shared" si="243"/>
        <v>0</v>
      </c>
      <c r="U991" s="110" t="s">
        <v>3102</v>
      </c>
      <c r="V991" s="110">
        <v>1</v>
      </c>
      <c r="W991" s="110">
        <v>9</v>
      </c>
      <c r="X991" s="110">
        <v>18</v>
      </c>
      <c r="Y991" s="110">
        <v>0</v>
      </c>
      <c r="Z991" s="110">
        <v>0</v>
      </c>
      <c r="AA991" s="2">
        <f t="shared" si="244"/>
        <v>1</v>
      </c>
      <c r="AB991" s="2">
        <f t="shared" si="245"/>
        <v>0</v>
      </c>
      <c r="AC991" s="2">
        <f t="shared" si="246"/>
        <v>1</v>
      </c>
      <c r="AD991" s="2">
        <f t="shared" si="247"/>
        <v>2</v>
      </c>
      <c r="AE991" s="2">
        <f t="shared" si="248"/>
        <v>2</v>
      </c>
      <c r="AF991" s="2">
        <f t="shared" si="249"/>
        <v>2</v>
      </c>
      <c r="AG991" s="2">
        <f t="shared" si="250"/>
        <v>2</v>
      </c>
      <c r="AH991" s="2">
        <f t="shared" si="251"/>
        <v>2</v>
      </c>
      <c r="AI991" s="2">
        <f t="shared" si="252"/>
        <v>0</v>
      </c>
      <c r="AJ991" s="2">
        <f t="shared" si="253"/>
        <v>1</v>
      </c>
      <c r="AK991" s="2">
        <f t="shared" si="254"/>
        <v>2</v>
      </c>
      <c r="AL991" s="2">
        <f t="shared" si="255"/>
        <v>0</v>
      </c>
      <c r="AM991" s="115"/>
      <c r="AN991" s="115"/>
      <c r="AO991" s="63"/>
    </row>
    <row r="992" spans="1:41" ht="28.8" x14ac:dyDescent="0.55000000000000004">
      <c r="A992" s="36">
        <v>3680</v>
      </c>
      <c r="B992" s="113" t="s">
        <v>3230</v>
      </c>
      <c r="C992" s="139" t="s">
        <v>3231</v>
      </c>
      <c r="D992" s="114" t="s">
        <v>48</v>
      </c>
      <c r="E992" s="115" t="s">
        <v>3194</v>
      </c>
      <c r="F992" s="116"/>
      <c r="G992" s="113" t="s">
        <v>3190</v>
      </c>
      <c r="H992" s="113" t="s">
        <v>3232</v>
      </c>
      <c r="I992" s="113" t="s">
        <v>1399</v>
      </c>
      <c r="J992" s="117"/>
      <c r="K992" s="118"/>
      <c r="L992" s="109">
        <v>3</v>
      </c>
      <c r="M992" s="109">
        <v>3</v>
      </c>
      <c r="N992" s="109"/>
      <c r="O992" s="119"/>
      <c r="P992" s="2">
        <f t="shared" si="240"/>
        <v>3</v>
      </c>
      <c r="Q992" s="110" t="str">
        <f>IF(AND(Drops!$D$45&gt;1,OR(U992&lt;&gt;U991,AND(ROW()=5,U991=U992))),VLOOKUP(U992,Drops!$D$26:$E$44,2,FALSE),"")</f>
        <v/>
      </c>
      <c r="R992" s="2" t="str">
        <f t="shared" si="241"/>
        <v/>
      </c>
      <c r="S992" s="2">
        <f t="shared" ca="1" si="242"/>
        <v>2</v>
      </c>
      <c r="T992" s="2">
        <f t="shared" si="243"/>
        <v>0</v>
      </c>
      <c r="U992" s="110" t="s">
        <v>3102</v>
      </c>
      <c r="V992" s="110">
        <v>1</v>
      </c>
      <c r="W992" s="110">
        <v>9</v>
      </c>
      <c r="X992" s="110">
        <v>19</v>
      </c>
      <c r="Y992" s="110">
        <v>0</v>
      </c>
      <c r="Z992" s="110">
        <v>0</v>
      </c>
      <c r="AA992" s="2">
        <f t="shared" si="244"/>
        <v>1</v>
      </c>
      <c r="AB992" s="2">
        <f t="shared" si="245"/>
        <v>0</v>
      </c>
      <c r="AC992" s="2">
        <f t="shared" si="246"/>
        <v>1</v>
      </c>
      <c r="AD992" s="2">
        <f t="shared" si="247"/>
        <v>2</v>
      </c>
      <c r="AE992" s="2">
        <f t="shared" si="248"/>
        <v>2</v>
      </c>
      <c r="AF992" s="2">
        <f t="shared" si="249"/>
        <v>2</v>
      </c>
      <c r="AG992" s="2">
        <f t="shared" si="250"/>
        <v>2</v>
      </c>
      <c r="AH992" s="2">
        <f t="shared" si="251"/>
        <v>2</v>
      </c>
      <c r="AI992" s="2">
        <f t="shared" si="252"/>
        <v>0</v>
      </c>
      <c r="AJ992" s="2">
        <f t="shared" si="253"/>
        <v>1</v>
      </c>
      <c r="AK992" s="2">
        <f t="shared" si="254"/>
        <v>2</v>
      </c>
      <c r="AL992" s="2">
        <f t="shared" si="255"/>
        <v>0</v>
      </c>
      <c r="AM992" s="115"/>
      <c r="AN992" s="115"/>
      <c r="AO992" s="63"/>
    </row>
    <row r="993" spans="1:41" ht="28.8" x14ac:dyDescent="0.55000000000000004">
      <c r="A993" s="36">
        <v>3681</v>
      </c>
      <c r="B993" s="113" t="s">
        <v>3233</v>
      </c>
      <c r="C993" s="139" t="s">
        <v>3234</v>
      </c>
      <c r="D993" s="114" t="s">
        <v>48</v>
      </c>
      <c r="E993" s="115" t="s">
        <v>3194</v>
      </c>
      <c r="F993" s="116"/>
      <c r="G993" s="113" t="s">
        <v>3190</v>
      </c>
      <c r="H993" s="113" t="s">
        <v>3232</v>
      </c>
      <c r="I993" s="113" t="s">
        <v>1399</v>
      </c>
      <c r="J993" s="117"/>
      <c r="K993" s="118"/>
      <c r="L993" s="109">
        <v>3</v>
      </c>
      <c r="M993" s="109">
        <v>3</v>
      </c>
      <c r="N993" s="109"/>
      <c r="O993" s="119"/>
      <c r="P993" s="2">
        <f t="shared" si="240"/>
        <v>3</v>
      </c>
      <c r="Q993" s="110" t="str">
        <f>IF(AND(Drops!$D$45&gt;1,OR(U993&lt;&gt;U992,AND(ROW()=5,U992=U993))),VLOOKUP(U993,Drops!$D$26:$E$44,2,FALSE),"")</f>
        <v/>
      </c>
      <c r="R993" s="2" t="str">
        <f t="shared" si="241"/>
        <v/>
      </c>
      <c r="S993" s="2">
        <f t="shared" ca="1" si="242"/>
        <v>2</v>
      </c>
      <c r="T993" s="2">
        <f t="shared" si="243"/>
        <v>0</v>
      </c>
      <c r="U993" s="110" t="s">
        <v>3102</v>
      </c>
      <c r="V993" s="110">
        <v>1</v>
      </c>
      <c r="W993" s="110">
        <v>9</v>
      </c>
      <c r="X993" s="110">
        <v>20</v>
      </c>
      <c r="Y993" s="110">
        <v>0</v>
      </c>
      <c r="Z993" s="110">
        <v>0</v>
      </c>
      <c r="AA993" s="2">
        <f t="shared" si="244"/>
        <v>1</v>
      </c>
      <c r="AB993" s="2">
        <f t="shared" si="245"/>
        <v>0</v>
      </c>
      <c r="AC993" s="2">
        <f t="shared" si="246"/>
        <v>1</v>
      </c>
      <c r="AD993" s="2">
        <f t="shared" si="247"/>
        <v>2</v>
      </c>
      <c r="AE993" s="2">
        <f t="shared" si="248"/>
        <v>2</v>
      </c>
      <c r="AF993" s="2">
        <f t="shared" si="249"/>
        <v>2</v>
      </c>
      <c r="AG993" s="2">
        <f t="shared" si="250"/>
        <v>2</v>
      </c>
      <c r="AH993" s="2">
        <f t="shared" si="251"/>
        <v>2</v>
      </c>
      <c r="AI993" s="2">
        <f t="shared" si="252"/>
        <v>0</v>
      </c>
      <c r="AJ993" s="2">
        <f t="shared" si="253"/>
        <v>1</v>
      </c>
      <c r="AK993" s="2">
        <f t="shared" si="254"/>
        <v>2</v>
      </c>
      <c r="AL993" s="2">
        <f t="shared" si="255"/>
        <v>0</v>
      </c>
      <c r="AM993" s="115"/>
      <c r="AN993" s="115"/>
      <c r="AO993" s="63"/>
    </row>
    <row r="994" spans="1:41" ht="28.8" x14ac:dyDescent="0.55000000000000004">
      <c r="A994" s="36">
        <v>3683</v>
      </c>
      <c r="B994" s="113" t="s">
        <v>3235</v>
      </c>
      <c r="C994" s="139" t="s">
        <v>3236</v>
      </c>
      <c r="D994" s="114" t="s">
        <v>48</v>
      </c>
      <c r="E994" s="115" t="s">
        <v>3194</v>
      </c>
      <c r="F994" s="116"/>
      <c r="G994" s="113" t="s">
        <v>3190</v>
      </c>
      <c r="H994" s="113" t="s">
        <v>3232</v>
      </c>
      <c r="I994" s="113" t="s">
        <v>1399</v>
      </c>
      <c r="J994" s="117"/>
      <c r="K994" s="118"/>
      <c r="L994" s="109">
        <v>3</v>
      </c>
      <c r="M994" s="109">
        <v>3</v>
      </c>
      <c r="N994" s="109"/>
      <c r="O994" s="119"/>
      <c r="P994" s="2">
        <f t="shared" si="240"/>
        <v>3</v>
      </c>
      <c r="Q994" s="110" t="str">
        <f>IF(AND(Drops!$D$45&gt;1,OR(U994&lt;&gt;U993,AND(ROW()=5,U993=U994))),VLOOKUP(U994,Drops!$D$26:$E$44,2,FALSE),"")</f>
        <v/>
      </c>
      <c r="R994" s="2" t="str">
        <f t="shared" si="241"/>
        <v/>
      </c>
      <c r="S994" s="2">
        <f t="shared" ca="1" si="242"/>
        <v>2</v>
      </c>
      <c r="T994" s="2">
        <f t="shared" si="243"/>
        <v>0</v>
      </c>
      <c r="U994" s="110" t="s">
        <v>3102</v>
      </c>
      <c r="V994" s="110">
        <v>1</v>
      </c>
      <c r="W994" s="110">
        <v>9</v>
      </c>
      <c r="X994" s="110">
        <v>22</v>
      </c>
      <c r="Y994" s="110">
        <v>0</v>
      </c>
      <c r="Z994" s="110">
        <v>0</v>
      </c>
      <c r="AA994" s="2">
        <f t="shared" si="244"/>
        <v>1</v>
      </c>
      <c r="AB994" s="2">
        <f t="shared" si="245"/>
        <v>0</v>
      </c>
      <c r="AC994" s="2">
        <f t="shared" si="246"/>
        <v>1</v>
      </c>
      <c r="AD994" s="2">
        <f t="shared" si="247"/>
        <v>2</v>
      </c>
      <c r="AE994" s="2">
        <f t="shared" si="248"/>
        <v>2</v>
      </c>
      <c r="AF994" s="2">
        <f t="shared" si="249"/>
        <v>2</v>
      </c>
      <c r="AG994" s="2">
        <f t="shared" si="250"/>
        <v>2</v>
      </c>
      <c r="AH994" s="2">
        <f t="shared" si="251"/>
        <v>2</v>
      </c>
      <c r="AI994" s="2">
        <f t="shared" si="252"/>
        <v>0</v>
      </c>
      <c r="AJ994" s="2">
        <f t="shared" si="253"/>
        <v>1</v>
      </c>
      <c r="AK994" s="2">
        <f t="shared" si="254"/>
        <v>2</v>
      </c>
      <c r="AL994" s="2">
        <f t="shared" si="255"/>
        <v>0</v>
      </c>
      <c r="AM994" s="115"/>
      <c r="AN994" s="115"/>
      <c r="AO994" s="63"/>
    </row>
    <row r="995" spans="1:41" ht="28.8" x14ac:dyDescent="0.55000000000000004">
      <c r="A995" s="36">
        <v>4393</v>
      </c>
      <c r="B995" s="113" t="s">
        <v>3237</v>
      </c>
      <c r="C995" s="138" t="s">
        <v>3238</v>
      </c>
      <c r="D995" s="114" t="s">
        <v>52</v>
      </c>
      <c r="E995" s="115"/>
      <c r="F995" s="116"/>
      <c r="G995" s="113" t="s">
        <v>3239</v>
      </c>
      <c r="H995" s="113" t="s">
        <v>910</v>
      </c>
      <c r="I995" s="113"/>
      <c r="J995" s="117"/>
      <c r="K995" s="118"/>
      <c r="L995" s="109">
        <v>2</v>
      </c>
      <c r="M995" s="109">
        <v>1</v>
      </c>
      <c r="N995" s="109"/>
      <c r="O995" s="119"/>
      <c r="P995" s="2">
        <f t="shared" si="240"/>
        <v>1</v>
      </c>
      <c r="Q995" s="110" t="str">
        <f>IF(AND(Drops!$D$45&gt;1,OR(U995&lt;&gt;U994,AND(ROW()=5,U994=U995))),VLOOKUP(U995,Drops!$D$26:$E$44,2,FALSE),"")</f>
        <v/>
      </c>
      <c r="R995" s="2" t="str">
        <f t="shared" si="241"/>
        <v/>
      </c>
      <c r="S995" s="2">
        <f t="shared" ca="1" si="242"/>
        <v>1</v>
      </c>
      <c r="T995" s="2">
        <f t="shared" si="243"/>
        <v>0</v>
      </c>
      <c r="U995" s="110" t="s">
        <v>3102</v>
      </c>
      <c r="V995" s="110">
        <v>1</v>
      </c>
      <c r="W995" s="110">
        <v>10</v>
      </c>
      <c r="X995" s="110">
        <v>0</v>
      </c>
      <c r="Y995" s="110">
        <v>0</v>
      </c>
      <c r="Z995" s="110">
        <v>0</v>
      </c>
      <c r="AA995" s="2">
        <f t="shared" si="244"/>
        <v>1</v>
      </c>
      <c r="AB995" s="2">
        <f t="shared" si="245"/>
        <v>1</v>
      </c>
      <c r="AC995" s="2">
        <f t="shared" si="246"/>
        <v>1</v>
      </c>
      <c r="AD995" s="2">
        <f t="shared" si="247"/>
        <v>1</v>
      </c>
      <c r="AE995" s="2">
        <f t="shared" si="248"/>
        <v>0</v>
      </c>
      <c r="AF995" s="2">
        <f t="shared" si="249"/>
        <v>2</v>
      </c>
      <c r="AG995" s="2">
        <f t="shared" si="250"/>
        <v>2</v>
      </c>
      <c r="AH995" s="2">
        <f t="shared" si="251"/>
        <v>2</v>
      </c>
      <c r="AI995" s="2">
        <f t="shared" si="252"/>
        <v>2</v>
      </c>
      <c r="AJ995" s="2">
        <f t="shared" si="253"/>
        <v>0</v>
      </c>
      <c r="AK995" s="2">
        <f t="shared" si="254"/>
        <v>2</v>
      </c>
      <c r="AL995" s="2">
        <f t="shared" si="255"/>
        <v>0</v>
      </c>
      <c r="AM995" s="115"/>
      <c r="AN995" s="115"/>
      <c r="AO995" s="63"/>
    </row>
    <row r="996" spans="1:41" ht="28.8" x14ac:dyDescent="0.55000000000000004">
      <c r="A996" s="36">
        <v>4394</v>
      </c>
      <c r="B996" s="113" t="s">
        <v>3240</v>
      </c>
      <c r="C996" s="139" t="s">
        <v>3241</v>
      </c>
      <c r="D996" s="114" t="s">
        <v>55</v>
      </c>
      <c r="E996" s="115"/>
      <c r="F996" s="116"/>
      <c r="G996" s="113" t="s">
        <v>3239</v>
      </c>
      <c r="H996" s="113" t="s">
        <v>3242</v>
      </c>
      <c r="I996" s="113"/>
      <c r="J996" s="117"/>
      <c r="K996" s="118"/>
      <c r="L996" s="109">
        <v>3</v>
      </c>
      <c r="M996" s="109">
        <v>3</v>
      </c>
      <c r="N996" s="109"/>
      <c r="O996" s="119"/>
      <c r="P996" s="2">
        <f t="shared" si="240"/>
        <v>2</v>
      </c>
      <c r="Q996" s="110" t="str">
        <f>IF(AND(Drops!$D$45&gt;1,OR(U996&lt;&gt;U995,AND(ROW()=5,U995=U996))),VLOOKUP(U996,Drops!$D$26:$E$44,2,FALSE),"")</f>
        <v/>
      </c>
      <c r="R996" s="2" t="str">
        <f t="shared" si="241"/>
        <v/>
      </c>
      <c r="S996" s="2">
        <f t="shared" ca="1" si="242"/>
        <v>2</v>
      </c>
      <c r="T996" s="2">
        <f t="shared" si="243"/>
        <v>0</v>
      </c>
      <c r="U996" s="110" t="s">
        <v>3102</v>
      </c>
      <c r="V996" s="110">
        <v>1</v>
      </c>
      <c r="W996" s="110">
        <v>10</v>
      </c>
      <c r="X996" s="110">
        <v>1</v>
      </c>
      <c r="Y996" s="110">
        <v>0</v>
      </c>
      <c r="Z996" s="110">
        <v>0</v>
      </c>
      <c r="AA996" s="2">
        <f t="shared" si="244"/>
        <v>1</v>
      </c>
      <c r="AB996" s="2">
        <f t="shared" si="245"/>
        <v>0</v>
      </c>
      <c r="AC996" s="2">
        <f t="shared" si="246"/>
        <v>1</v>
      </c>
      <c r="AD996" s="2">
        <f t="shared" si="247"/>
        <v>1</v>
      </c>
      <c r="AE996" s="2">
        <f t="shared" si="248"/>
        <v>2</v>
      </c>
      <c r="AF996" s="2">
        <f t="shared" si="249"/>
        <v>2</v>
      </c>
      <c r="AG996" s="2">
        <f t="shared" si="250"/>
        <v>2</v>
      </c>
      <c r="AH996" s="2">
        <f t="shared" si="251"/>
        <v>2</v>
      </c>
      <c r="AI996" s="2">
        <f t="shared" si="252"/>
        <v>2</v>
      </c>
      <c r="AJ996" s="2">
        <f t="shared" si="253"/>
        <v>1</v>
      </c>
      <c r="AK996" s="2">
        <f t="shared" si="254"/>
        <v>2</v>
      </c>
      <c r="AL996" s="2">
        <f t="shared" si="255"/>
        <v>0</v>
      </c>
      <c r="AM996" s="115"/>
      <c r="AN996" s="115"/>
      <c r="AO996" s="63"/>
    </row>
    <row r="997" spans="1:41" ht="28.8" x14ac:dyDescent="0.55000000000000004">
      <c r="A997" s="36">
        <v>4395</v>
      </c>
      <c r="B997" s="113" t="s">
        <v>3243</v>
      </c>
      <c r="C997" s="139" t="s">
        <v>3244</v>
      </c>
      <c r="D997" s="114" t="s">
        <v>52</v>
      </c>
      <c r="E997" s="115"/>
      <c r="F997" s="116"/>
      <c r="G997" s="113" t="s">
        <v>3239</v>
      </c>
      <c r="H997" s="113" t="s">
        <v>3245</v>
      </c>
      <c r="I997" s="113" t="s">
        <v>1399</v>
      </c>
      <c r="J997" s="117"/>
      <c r="K997" s="118"/>
      <c r="L997" s="109">
        <v>3</v>
      </c>
      <c r="M997" s="109">
        <v>2</v>
      </c>
      <c r="N997" s="109"/>
      <c r="O997" s="119"/>
      <c r="P997" s="2">
        <f t="shared" si="240"/>
        <v>1</v>
      </c>
      <c r="Q997" s="110" t="str">
        <f>IF(AND(Drops!$D$45&gt;1,OR(U997&lt;&gt;U996,AND(ROW()=5,U996=U997))),VLOOKUP(U997,Drops!$D$26:$E$44,2,FALSE),"")</f>
        <v/>
      </c>
      <c r="R997" s="2" t="str">
        <f t="shared" si="241"/>
        <v/>
      </c>
      <c r="S997" s="2">
        <f t="shared" ca="1" si="242"/>
        <v>1</v>
      </c>
      <c r="T997" s="2">
        <f t="shared" si="243"/>
        <v>0</v>
      </c>
      <c r="U997" s="110" t="s">
        <v>3102</v>
      </c>
      <c r="V997" s="110">
        <v>1</v>
      </c>
      <c r="W997" s="110">
        <v>10</v>
      </c>
      <c r="X997" s="110">
        <v>2</v>
      </c>
      <c r="Y997" s="110">
        <v>0</v>
      </c>
      <c r="Z997" s="110">
        <v>0</v>
      </c>
      <c r="AA997" s="2">
        <f t="shared" si="244"/>
        <v>1</v>
      </c>
      <c r="AB997" s="2">
        <f t="shared" si="245"/>
        <v>0</v>
      </c>
      <c r="AC997" s="2">
        <f t="shared" si="246"/>
        <v>1</v>
      </c>
      <c r="AD997" s="2">
        <f t="shared" si="247"/>
        <v>1</v>
      </c>
      <c r="AE997" s="2">
        <f t="shared" si="248"/>
        <v>1</v>
      </c>
      <c r="AF997" s="2">
        <f t="shared" si="249"/>
        <v>2</v>
      </c>
      <c r="AG997" s="2">
        <f t="shared" si="250"/>
        <v>2</v>
      </c>
      <c r="AH997" s="2">
        <f t="shared" si="251"/>
        <v>2</v>
      </c>
      <c r="AI997" s="2">
        <f t="shared" si="252"/>
        <v>2</v>
      </c>
      <c r="AJ997" s="2">
        <f t="shared" si="253"/>
        <v>2</v>
      </c>
      <c r="AK997" s="2">
        <f t="shared" si="254"/>
        <v>2</v>
      </c>
      <c r="AL997" s="2">
        <f t="shared" si="255"/>
        <v>0</v>
      </c>
      <c r="AM997" s="115"/>
      <c r="AN997" s="115"/>
      <c r="AO997" s="63"/>
    </row>
    <row r="998" spans="1:41" ht="28.8" x14ac:dyDescent="0.55000000000000004">
      <c r="A998" s="36">
        <v>4396</v>
      </c>
      <c r="B998" s="113" t="s">
        <v>3246</v>
      </c>
      <c r="C998" s="139" t="s">
        <v>3247</v>
      </c>
      <c r="D998" s="114" t="s">
        <v>52</v>
      </c>
      <c r="E998" s="115"/>
      <c r="F998" s="116"/>
      <c r="G998" s="113" t="s">
        <v>3239</v>
      </c>
      <c r="H998" s="113" t="s">
        <v>3245</v>
      </c>
      <c r="I998" s="113" t="s">
        <v>1399</v>
      </c>
      <c r="J998" s="117"/>
      <c r="K998" s="118"/>
      <c r="L998" s="109">
        <v>3</v>
      </c>
      <c r="M998" s="109">
        <v>3</v>
      </c>
      <c r="N998" s="109"/>
      <c r="O998" s="119"/>
      <c r="P998" s="2">
        <f t="shared" si="240"/>
        <v>1</v>
      </c>
      <c r="Q998" s="110" t="str">
        <f>IF(AND(Drops!$D$45&gt;1,OR(U998&lt;&gt;U997,AND(ROW()=5,U997=U998))),VLOOKUP(U998,Drops!$D$26:$E$44,2,FALSE),"")</f>
        <v/>
      </c>
      <c r="R998" s="2" t="str">
        <f t="shared" si="241"/>
        <v/>
      </c>
      <c r="S998" s="2">
        <f t="shared" ca="1" si="242"/>
        <v>1</v>
      </c>
      <c r="T998" s="2">
        <f t="shared" si="243"/>
        <v>0</v>
      </c>
      <c r="U998" s="110" t="s">
        <v>3102</v>
      </c>
      <c r="V998" s="110">
        <v>1</v>
      </c>
      <c r="W998" s="110">
        <v>10</v>
      </c>
      <c r="X998" s="110">
        <v>3</v>
      </c>
      <c r="Y998" s="110">
        <v>0</v>
      </c>
      <c r="Z998" s="110">
        <v>0</v>
      </c>
      <c r="AA998" s="2">
        <f t="shared" si="244"/>
        <v>1</v>
      </c>
      <c r="AB998" s="2">
        <f t="shared" si="245"/>
        <v>0</v>
      </c>
      <c r="AC998" s="2">
        <f t="shared" si="246"/>
        <v>1</v>
      </c>
      <c r="AD998" s="2">
        <f t="shared" si="247"/>
        <v>1</v>
      </c>
      <c r="AE998" s="2">
        <f t="shared" si="248"/>
        <v>1</v>
      </c>
      <c r="AF998" s="2">
        <f t="shared" si="249"/>
        <v>2</v>
      </c>
      <c r="AG998" s="2">
        <f t="shared" si="250"/>
        <v>2</v>
      </c>
      <c r="AH998" s="2">
        <f t="shared" si="251"/>
        <v>2</v>
      </c>
      <c r="AI998" s="2">
        <f t="shared" si="252"/>
        <v>2</v>
      </c>
      <c r="AJ998" s="2">
        <f t="shared" si="253"/>
        <v>2</v>
      </c>
      <c r="AK998" s="2">
        <f t="shared" si="254"/>
        <v>2</v>
      </c>
      <c r="AL998" s="2">
        <f t="shared" si="255"/>
        <v>0</v>
      </c>
      <c r="AM998" s="115"/>
      <c r="AN998" s="115"/>
      <c r="AO998" s="63"/>
    </row>
    <row r="999" spans="1:41" ht="28.8" x14ac:dyDescent="0.55000000000000004">
      <c r="A999" s="36">
        <v>4397</v>
      </c>
      <c r="B999" s="113" t="s">
        <v>3248</v>
      </c>
      <c r="C999" s="139" t="s">
        <v>3249</v>
      </c>
      <c r="D999" s="114" t="s">
        <v>52</v>
      </c>
      <c r="E999" s="115"/>
      <c r="F999" s="116"/>
      <c r="G999" s="113" t="s">
        <v>3239</v>
      </c>
      <c r="H999" s="113" t="s">
        <v>3245</v>
      </c>
      <c r="I999" s="113" t="s">
        <v>1399</v>
      </c>
      <c r="J999" s="117"/>
      <c r="K999" s="118"/>
      <c r="L999" s="109">
        <v>3</v>
      </c>
      <c r="M999" s="109">
        <v>3</v>
      </c>
      <c r="N999" s="109"/>
      <c r="O999" s="119"/>
      <c r="P999" s="2">
        <f t="shared" si="240"/>
        <v>1</v>
      </c>
      <c r="Q999" s="110" t="str">
        <f>IF(AND(Drops!$D$45&gt;1,OR(U999&lt;&gt;U998,AND(ROW()=5,U998=U999))),VLOOKUP(U999,Drops!$D$26:$E$44,2,FALSE),"")</f>
        <v/>
      </c>
      <c r="R999" s="2" t="str">
        <f t="shared" si="241"/>
        <v/>
      </c>
      <c r="S999" s="2">
        <f t="shared" ca="1" si="242"/>
        <v>1</v>
      </c>
      <c r="T999" s="2">
        <f t="shared" si="243"/>
        <v>0</v>
      </c>
      <c r="U999" s="110" t="s">
        <v>3102</v>
      </c>
      <c r="V999" s="110">
        <v>1</v>
      </c>
      <c r="W999" s="110">
        <v>10</v>
      </c>
      <c r="X999" s="110">
        <v>4</v>
      </c>
      <c r="Y999" s="110">
        <v>0</v>
      </c>
      <c r="Z999" s="110">
        <v>0</v>
      </c>
      <c r="AA999" s="2">
        <f t="shared" si="244"/>
        <v>1</v>
      </c>
      <c r="AB999" s="2">
        <f t="shared" si="245"/>
        <v>0</v>
      </c>
      <c r="AC999" s="2">
        <f t="shared" si="246"/>
        <v>1</v>
      </c>
      <c r="AD999" s="2">
        <f t="shared" si="247"/>
        <v>1</v>
      </c>
      <c r="AE999" s="2">
        <f t="shared" si="248"/>
        <v>1</v>
      </c>
      <c r="AF999" s="2">
        <f t="shared" si="249"/>
        <v>2</v>
      </c>
      <c r="AG999" s="2">
        <f t="shared" si="250"/>
        <v>2</v>
      </c>
      <c r="AH999" s="2">
        <f t="shared" si="251"/>
        <v>2</v>
      </c>
      <c r="AI999" s="2">
        <f t="shared" si="252"/>
        <v>2</v>
      </c>
      <c r="AJ999" s="2">
        <f t="shared" si="253"/>
        <v>2</v>
      </c>
      <c r="AK999" s="2">
        <f t="shared" si="254"/>
        <v>2</v>
      </c>
      <c r="AL999" s="2">
        <f t="shared" si="255"/>
        <v>0</v>
      </c>
      <c r="AM999" s="115"/>
      <c r="AN999" s="115"/>
      <c r="AO999" s="63"/>
    </row>
    <row r="1000" spans="1:41" ht="28.8" x14ac:dyDescent="0.55000000000000004">
      <c r="A1000" s="36">
        <v>4398</v>
      </c>
      <c r="B1000" s="113" t="s">
        <v>3250</v>
      </c>
      <c r="C1000" s="139" t="s">
        <v>3251</v>
      </c>
      <c r="D1000" s="114" t="s">
        <v>52</v>
      </c>
      <c r="E1000" s="115"/>
      <c r="F1000" s="116"/>
      <c r="G1000" s="113" t="s">
        <v>3239</v>
      </c>
      <c r="H1000" s="113" t="s">
        <v>3245</v>
      </c>
      <c r="I1000" s="113" t="s">
        <v>1399</v>
      </c>
      <c r="J1000" s="117"/>
      <c r="K1000" s="118"/>
      <c r="L1000" s="109">
        <v>3</v>
      </c>
      <c r="M1000" s="109">
        <v>3</v>
      </c>
      <c r="N1000" s="109"/>
      <c r="O1000" s="119"/>
      <c r="P1000" s="2">
        <f t="shared" si="240"/>
        <v>1</v>
      </c>
      <c r="Q1000" s="110" t="str">
        <f>IF(AND(Drops!$D$45&gt;1,OR(U1000&lt;&gt;U999,AND(ROW()=5,U999=U1000))),VLOOKUP(U1000,Drops!$D$26:$E$44,2,FALSE),"")</f>
        <v/>
      </c>
      <c r="R1000" s="2" t="str">
        <f t="shared" si="241"/>
        <v/>
      </c>
      <c r="S1000" s="2">
        <f t="shared" ca="1" si="242"/>
        <v>1</v>
      </c>
      <c r="T1000" s="2">
        <f t="shared" si="243"/>
        <v>0</v>
      </c>
      <c r="U1000" s="110" t="s">
        <v>3102</v>
      </c>
      <c r="V1000" s="110">
        <v>1</v>
      </c>
      <c r="W1000" s="110">
        <v>10</v>
      </c>
      <c r="X1000" s="110">
        <v>5</v>
      </c>
      <c r="Y1000" s="110">
        <v>0</v>
      </c>
      <c r="Z1000" s="110">
        <v>0</v>
      </c>
      <c r="AA1000" s="2">
        <f t="shared" si="244"/>
        <v>1</v>
      </c>
      <c r="AB1000" s="2">
        <f t="shared" si="245"/>
        <v>0</v>
      </c>
      <c r="AC1000" s="2">
        <f t="shared" si="246"/>
        <v>1</v>
      </c>
      <c r="AD1000" s="2">
        <f t="shared" si="247"/>
        <v>1</v>
      </c>
      <c r="AE1000" s="2">
        <f t="shared" si="248"/>
        <v>1</v>
      </c>
      <c r="AF1000" s="2">
        <f t="shared" si="249"/>
        <v>2</v>
      </c>
      <c r="AG1000" s="2">
        <f t="shared" si="250"/>
        <v>2</v>
      </c>
      <c r="AH1000" s="2">
        <f t="shared" si="251"/>
        <v>2</v>
      </c>
      <c r="AI1000" s="2">
        <f t="shared" si="252"/>
        <v>2</v>
      </c>
      <c r="AJ1000" s="2">
        <f t="shared" si="253"/>
        <v>2</v>
      </c>
      <c r="AK1000" s="2">
        <f t="shared" si="254"/>
        <v>2</v>
      </c>
      <c r="AL1000" s="2">
        <f t="shared" si="255"/>
        <v>0</v>
      </c>
      <c r="AM1000" s="115"/>
      <c r="AN1000" s="115"/>
      <c r="AO1000" s="63"/>
    </row>
    <row r="1001" spans="1:41" ht="28.8" x14ac:dyDescent="0.55000000000000004">
      <c r="A1001" s="36">
        <v>4399</v>
      </c>
      <c r="B1001" s="113" t="s">
        <v>3252</v>
      </c>
      <c r="C1001" s="139" t="s">
        <v>3253</v>
      </c>
      <c r="D1001" s="114" t="s">
        <v>52</v>
      </c>
      <c r="E1001" s="115"/>
      <c r="F1001" s="116"/>
      <c r="G1001" s="113" t="s">
        <v>3239</v>
      </c>
      <c r="H1001" s="113" t="s">
        <v>3245</v>
      </c>
      <c r="I1001" s="113" t="s">
        <v>1399</v>
      </c>
      <c r="J1001" s="117"/>
      <c r="K1001" s="118"/>
      <c r="L1001" s="109">
        <v>3</v>
      </c>
      <c r="M1001" s="109">
        <v>3</v>
      </c>
      <c r="N1001" s="109"/>
      <c r="O1001" s="119"/>
      <c r="P1001" s="2">
        <f t="shared" si="240"/>
        <v>1</v>
      </c>
      <c r="Q1001" s="110" t="str">
        <f>IF(AND(Drops!$D$45&gt;1,OR(U1001&lt;&gt;U1000,AND(ROW()=5,U1000=U1001))),VLOOKUP(U1001,Drops!$D$26:$E$44,2,FALSE),"")</f>
        <v/>
      </c>
      <c r="R1001" s="2" t="str">
        <f t="shared" si="241"/>
        <v/>
      </c>
      <c r="S1001" s="2">
        <f t="shared" ca="1" si="242"/>
        <v>1</v>
      </c>
      <c r="T1001" s="2">
        <f t="shared" si="243"/>
        <v>0</v>
      </c>
      <c r="U1001" s="110" t="s">
        <v>3102</v>
      </c>
      <c r="V1001" s="110">
        <v>1</v>
      </c>
      <c r="W1001" s="110">
        <v>10</v>
      </c>
      <c r="X1001" s="110">
        <v>6</v>
      </c>
      <c r="Y1001" s="110">
        <v>0</v>
      </c>
      <c r="Z1001" s="110">
        <v>0</v>
      </c>
      <c r="AA1001" s="2">
        <f t="shared" si="244"/>
        <v>1</v>
      </c>
      <c r="AB1001" s="2">
        <f t="shared" si="245"/>
        <v>0</v>
      </c>
      <c r="AC1001" s="2">
        <f t="shared" si="246"/>
        <v>1</v>
      </c>
      <c r="AD1001" s="2">
        <f t="shared" si="247"/>
        <v>1</v>
      </c>
      <c r="AE1001" s="2">
        <f t="shared" si="248"/>
        <v>1</v>
      </c>
      <c r="AF1001" s="2">
        <f t="shared" si="249"/>
        <v>2</v>
      </c>
      <c r="AG1001" s="2">
        <f t="shared" si="250"/>
        <v>2</v>
      </c>
      <c r="AH1001" s="2">
        <f t="shared" si="251"/>
        <v>2</v>
      </c>
      <c r="AI1001" s="2">
        <f t="shared" si="252"/>
        <v>2</v>
      </c>
      <c r="AJ1001" s="2">
        <f t="shared" si="253"/>
        <v>2</v>
      </c>
      <c r="AK1001" s="2">
        <f t="shared" si="254"/>
        <v>2</v>
      </c>
      <c r="AL1001" s="2">
        <f t="shared" si="255"/>
        <v>0</v>
      </c>
      <c r="AM1001" s="115"/>
      <c r="AN1001" s="115"/>
      <c r="AO1001" s="63"/>
    </row>
    <row r="1002" spans="1:41" ht="28.8" x14ac:dyDescent="0.55000000000000004">
      <c r="A1002" s="36">
        <v>4400</v>
      </c>
      <c r="B1002" s="113" t="s">
        <v>3254</v>
      </c>
      <c r="C1002" s="139" t="s">
        <v>3255</v>
      </c>
      <c r="D1002" s="114" t="s">
        <v>55</v>
      </c>
      <c r="E1002" s="115"/>
      <c r="F1002" s="116"/>
      <c r="G1002" s="113" t="s">
        <v>3239</v>
      </c>
      <c r="H1002" s="113" t="s">
        <v>3245</v>
      </c>
      <c r="I1002" s="113" t="s">
        <v>1399</v>
      </c>
      <c r="J1002" s="117"/>
      <c r="K1002" s="118"/>
      <c r="L1002" s="109">
        <v>3</v>
      </c>
      <c r="M1002" s="109">
        <v>3</v>
      </c>
      <c r="N1002" s="109"/>
      <c r="O1002" s="119"/>
      <c r="P1002" s="2">
        <f t="shared" si="240"/>
        <v>2</v>
      </c>
      <c r="Q1002" s="110" t="str">
        <f>IF(AND(Drops!$D$45&gt;1,OR(U1002&lt;&gt;U1001,AND(ROW()=5,U1001=U1002))),VLOOKUP(U1002,Drops!$D$26:$E$44,2,FALSE),"")</f>
        <v/>
      </c>
      <c r="R1002" s="2" t="str">
        <f t="shared" si="241"/>
        <v/>
      </c>
      <c r="S1002" s="2">
        <f t="shared" ca="1" si="242"/>
        <v>2</v>
      </c>
      <c r="T1002" s="2">
        <f t="shared" si="243"/>
        <v>0</v>
      </c>
      <c r="U1002" s="110" t="s">
        <v>3102</v>
      </c>
      <c r="V1002" s="110">
        <v>1</v>
      </c>
      <c r="W1002" s="110">
        <v>10</v>
      </c>
      <c r="X1002" s="110">
        <v>7</v>
      </c>
      <c r="Y1002" s="110">
        <v>0</v>
      </c>
      <c r="Z1002" s="110">
        <v>0</v>
      </c>
      <c r="AA1002" s="2">
        <f t="shared" si="244"/>
        <v>1</v>
      </c>
      <c r="AB1002" s="2">
        <f t="shared" si="245"/>
        <v>0</v>
      </c>
      <c r="AC1002" s="2">
        <f t="shared" si="246"/>
        <v>1</v>
      </c>
      <c r="AD1002" s="2">
        <f t="shared" si="247"/>
        <v>1</v>
      </c>
      <c r="AE1002" s="2">
        <f t="shared" si="248"/>
        <v>2</v>
      </c>
      <c r="AF1002" s="2">
        <f t="shared" si="249"/>
        <v>2</v>
      </c>
      <c r="AG1002" s="2">
        <f t="shared" si="250"/>
        <v>2</v>
      </c>
      <c r="AH1002" s="2">
        <f t="shared" si="251"/>
        <v>2</v>
      </c>
      <c r="AI1002" s="2">
        <f t="shared" si="252"/>
        <v>2</v>
      </c>
      <c r="AJ1002" s="2">
        <f t="shared" si="253"/>
        <v>1</v>
      </c>
      <c r="AK1002" s="2">
        <f t="shared" si="254"/>
        <v>2</v>
      </c>
      <c r="AL1002" s="2">
        <f t="shared" si="255"/>
        <v>0</v>
      </c>
      <c r="AM1002" s="115"/>
      <c r="AN1002" s="115"/>
      <c r="AO1002" s="63"/>
    </row>
    <row r="1003" spans="1:41" ht="28.8" x14ac:dyDescent="0.55000000000000004">
      <c r="A1003" s="36">
        <v>4401</v>
      </c>
      <c r="B1003" s="113" t="s">
        <v>3256</v>
      </c>
      <c r="C1003" s="139" t="s">
        <v>3257</v>
      </c>
      <c r="D1003" s="114" t="s">
        <v>55</v>
      </c>
      <c r="E1003" s="115"/>
      <c r="F1003" s="116"/>
      <c r="G1003" s="113" t="s">
        <v>3239</v>
      </c>
      <c r="H1003" s="113" t="s">
        <v>3245</v>
      </c>
      <c r="I1003" s="113" t="s">
        <v>1399</v>
      </c>
      <c r="J1003" s="117"/>
      <c r="K1003" s="118"/>
      <c r="L1003" s="109">
        <v>3</v>
      </c>
      <c r="M1003" s="109">
        <v>3</v>
      </c>
      <c r="N1003" s="109"/>
      <c r="O1003" s="119"/>
      <c r="P1003" s="2">
        <f t="shared" si="240"/>
        <v>2</v>
      </c>
      <c r="Q1003" s="110" t="str">
        <f>IF(AND(Drops!$D$45&gt;1,OR(U1003&lt;&gt;U1002,AND(ROW()=5,U1002=U1003))),VLOOKUP(U1003,Drops!$D$26:$E$44,2,FALSE),"")</f>
        <v/>
      </c>
      <c r="R1003" s="2" t="str">
        <f t="shared" si="241"/>
        <v/>
      </c>
      <c r="S1003" s="2">
        <f t="shared" ca="1" si="242"/>
        <v>2</v>
      </c>
      <c r="T1003" s="2">
        <f t="shared" si="243"/>
        <v>0</v>
      </c>
      <c r="U1003" s="110" t="s">
        <v>3102</v>
      </c>
      <c r="V1003" s="110">
        <v>1</v>
      </c>
      <c r="W1003" s="110">
        <v>10</v>
      </c>
      <c r="X1003" s="110">
        <v>8</v>
      </c>
      <c r="Y1003" s="110">
        <v>0</v>
      </c>
      <c r="Z1003" s="110">
        <v>0</v>
      </c>
      <c r="AA1003" s="2">
        <f t="shared" si="244"/>
        <v>1</v>
      </c>
      <c r="AB1003" s="2">
        <f t="shared" si="245"/>
        <v>0</v>
      </c>
      <c r="AC1003" s="2">
        <f t="shared" si="246"/>
        <v>1</v>
      </c>
      <c r="AD1003" s="2">
        <f t="shared" si="247"/>
        <v>1</v>
      </c>
      <c r="AE1003" s="2">
        <f t="shared" si="248"/>
        <v>2</v>
      </c>
      <c r="AF1003" s="2">
        <f t="shared" si="249"/>
        <v>2</v>
      </c>
      <c r="AG1003" s="2">
        <f t="shared" si="250"/>
        <v>2</v>
      </c>
      <c r="AH1003" s="2">
        <f t="shared" si="251"/>
        <v>2</v>
      </c>
      <c r="AI1003" s="2">
        <f t="shared" si="252"/>
        <v>2</v>
      </c>
      <c r="AJ1003" s="2">
        <f t="shared" si="253"/>
        <v>1</v>
      </c>
      <c r="AK1003" s="2">
        <f t="shared" si="254"/>
        <v>2</v>
      </c>
      <c r="AL1003" s="2">
        <f t="shared" si="255"/>
        <v>0</v>
      </c>
      <c r="AM1003" s="115"/>
      <c r="AN1003" s="115"/>
      <c r="AO1003" s="63"/>
    </row>
    <row r="1004" spans="1:41" ht="43.2" x14ac:dyDescent="0.55000000000000004">
      <c r="A1004" s="36">
        <v>4402</v>
      </c>
      <c r="B1004" s="113" t="s">
        <v>3258</v>
      </c>
      <c r="C1004" s="139" t="s">
        <v>3259</v>
      </c>
      <c r="D1004" s="114" t="s">
        <v>52</v>
      </c>
      <c r="E1004" s="115"/>
      <c r="F1004" s="116"/>
      <c r="G1004" s="113" t="s">
        <v>3239</v>
      </c>
      <c r="H1004" s="113" t="s">
        <v>3245</v>
      </c>
      <c r="I1004" s="113" t="s">
        <v>1399</v>
      </c>
      <c r="J1004" s="117"/>
      <c r="K1004" s="118"/>
      <c r="L1004" s="109">
        <v>3</v>
      </c>
      <c r="M1004" s="109">
        <v>3</v>
      </c>
      <c r="N1004" s="109"/>
      <c r="O1004" s="119"/>
      <c r="P1004" s="2">
        <f t="shared" si="240"/>
        <v>1</v>
      </c>
      <c r="Q1004" s="110" t="str">
        <f>IF(AND(Drops!$D$45&gt;1,OR(U1004&lt;&gt;U1003,AND(ROW()=5,U1003=U1004))),VLOOKUP(U1004,Drops!$D$26:$E$44,2,FALSE),"")</f>
        <v/>
      </c>
      <c r="R1004" s="2" t="str">
        <f t="shared" si="241"/>
        <v/>
      </c>
      <c r="S1004" s="2">
        <f t="shared" ca="1" si="242"/>
        <v>1</v>
      </c>
      <c r="T1004" s="2">
        <f t="shared" si="243"/>
        <v>0</v>
      </c>
      <c r="U1004" s="110" t="s">
        <v>3102</v>
      </c>
      <c r="V1004" s="110">
        <v>1</v>
      </c>
      <c r="W1004" s="110">
        <v>10</v>
      </c>
      <c r="X1004" s="110">
        <v>9</v>
      </c>
      <c r="Y1004" s="110">
        <v>0</v>
      </c>
      <c r="Z1004" s="110">
        <v>0</v>
      </c>
      <c r="AA1004" s="2">
        <f t="shared" si="244"/>
        <v>1</v>
      </c>
      <c r="AB1004" s="2">
        <f t="shared" si="245"/>
        <v>0</v>
      </c>
      <c r="AC1004" s="2">
        <f t="shared" si="246"/>
        <v>1</v>
      </c>
      <c r="AD1004" s="2">
        <f t="shared" si="247"/>
        <v>1</v>
      </c>
      <c r="AE1004" s="2">
        <f t="shared" si="248"/>
        <v>1</v>
      </c>
      <c r="AF1004" s="2">
        <f t="shared" si="249"/>
        <v>2</v>
      </c>
      <c r="AG1004" s="2">
        <f t="shared" si="250"/>
        <v>2</v>
      </c>
      <c r="AH1004" s="2">
        <f t="shared" si="251"/>
        <v>2</v>
      </c>
      <c r="AI1004" s="2">
        <f t="shared" si="252"/>
        <v>2</v>
      </c>
      <c r="AJ1004" s="2">
        <f t="shared" si="253"/>
        <v>2</v>
      </c>
      <c r="AK1004" s="2">
        <f t="shared" si="254"/>
        <v>2</v>
      </c>
      <c r="AL1004" s="2">
        <f t="shared" si="255"/>
        <v>0</v>
      </c>
      <c r="AM1004" s="115"/>
      <c r="AN1004" s="115"/>
      <c r="AO1004" s="63"/>
    </row>
    <row r="1005" spans="1:41" ht="43.2" x14ac:dyDescent="0.55000000000000004">
      <c r="A1005" s="36">
        <v>4403</v>
      </c>
      <c r="B1005" s="113" t="s">
        <v>3260</v>
      </c>
      <c r="C1005" s="139" t="s">
        <v>3261</v>
      </c>
      <c r="D1005" s="114" t="s">
        <v>52</v>
      </c>
      <c r="E1005" s="115"/>
      <c r="F1005" s="116"/>
      <c r="G1005" s="113" t="s">
        <v>3239</v>
      </c>
      <c r="H1005" s="113" t="s">
        <v>3245</v>
      </c>
      <c r="I1005" s="113" t="s">
        <v>1399</v>
      </c>
      <c r="J1005" s="117"/>
      <c r="K1005" s="118"/>
      <c r="L1005" s="109">
        <v>3</v>
      </c>
      <c r="M1005" s="109">
        <v>3</v>
      </c>
      <c r="N1005" s="109"/>
      <c r="O1005" s="119"/>
      <c r="P1005" s="2">
        <f t="shared" si="240"/>
        <v>1</v>
      </c>
      <c r="Q1005" s="110" t="str">
        <f>IF(AND(Drops!$D$45&gt;1,OR(U1005&lt;&gt;U1004,AND(ROW()=5,U1004=U1005))),VLOOKUP(U1005,Drops!$D$26:$E$44,2,FALSE),"")</f>
        <v/>
      </c>
      <c r="R1005" s="2" t="str">
        <f t="shared" si="241"/>
        <v/>
      </c>
      <c r="S1005" s="2">
        <f t="shared" ca="1" si="242"/>
        <v>1</v>
      </c>
      <c r="T1005" s="2">
        <f t="shared" si="243"/>
        <v>0</v>
      </c>
      <c r="U1005" s="110" t="s">
        <v>3102</v>
      </c>
      <c r="V1005" s="110">
        <v>1</v>
      </c>
      <c r="W1005" s="110">
        <v>10</v>
      </c>
      <c r="X1005" s="110">
        <v>10</v>
      </c>
      <c r="Y1005" s="110">
        <v>0</v>
      </c>
      <c r="Z1005" s="110">
        <v>0</v>
      </c>
      <c r="AA1005" s="2">
        <f t="shared" si="244"/>
        <v>1</v>
      </c>
      <c r="AB1005" s="2">
        <f t="shared" si="245"/>
        <v>0</v>
      </c>
      <c r="AC1005" s="2">
        <f t="shared" si="246"/>
        <v>1</v>
      </c>
      <c r="AD1005" s="2">
        <f t="shared" si="247"/>
        <v>1</v>
      </c>
      <c r="AE1005" s="2">
        <f t="shared" si="248"/>
        <v>1</v>
      </c>
      <c r="AF1005" s="2">
        <f t="shared" si="249"/>
        <v>2</v>
      </c>
      <c r="AG1005" s="2">
        <f t="shared" si="250"/>
        <v>2</v>
      </c>
      <c r="AH1005" s="2">
        <f t="shared" si="251"/>
        <v>2</v>
      </c>
      <c r="AI1005" s="2">
        <f t="shared" si="252"/>
        <v>2</v>
      </c>
      <c r="AJ1005" s="2">
        <f t="shared" si="253"/>
        <v>2</v>
      </c>
      <c r="AK1005" s="2">
        <f t="shared" si="254"/>
        <v>2</v>
      </c>
      <c r="AL1005" s="2">
        <f t="shared" si="255"/>
        <v>0</v>
      </c>
      <c r="AM1005" s="115"/>
      <c r="AN1005" s="115"/>
      <c r="AO1005" s="63"/>
    </row>
    <row r="1006" spans="1:41" ht="28.8" x14ac:dyDescent="0.55000000000000004">
      <c r="A1006" s="36">
        <v>4577</v>
      </c>
      <c r="B1006" s="113" t="s">
        <v>3262</v>
      </c>
      <c r="C1006" s="139" t="s">
        <v>3263</v>
      </c>
      <c r="D1006" s="114" t="s">
        <v>52</v>
      </c>
      <c r="E1006" s="115"/>
      <c r="F1006" s="116"/>
      <c r="G1006" s="113" t="s">
        <v>3239</v>
      </c>
      <c r="H1006" s="113" t="s">
        <v>3051</v>
      </c>
      <c r="I1006" s="113" t="s">
        <v>1399</v>
      </c>
      <c r="J1006" s="117"/>
      <c r="K1006" s="118"/>
      <c r="L1006" s="109">
        <v>3</v>
      </c>
      <c r="M1006" s="109">
        <v>3</v>
      </c>
      <c r="N1006" s="109"/>
      <c r="O1006" s="119"/>
      <c r="P1006" s="2">
        <f t="shared" si="240"/>
        <v>1</v>
      </c>
      <c r="Q1006" s="110" t="str">
        <f>IF(AND(Drops!$D$45&gt;1,OR(U1006&lt;&gt;U1005,AND(ROW()=5,U1005=U1006))),VLOOKUP(U1006,Drops!$D$26:$E$44,2,FALSE),"")</f>
        <v/>
      </c>
      <c r="R1006" s="2" t="str">
        <f t="shared" si="241"/>
        <v/>
      </c>
      <c r="S1006" s="2">
        <f t="shared" ca="1" si="242"/>
        <v>1</v>
      </c>
      <c r="T1006" s="2">
        <f t="shared" si="243"/>
        <v>0</v>
      </c>
      <c r="U1006" s="110" t="s">
        <v>3102</v>
      </c>
      <c r="V1006" s="110">
        <v>1</v>
      </c>
      <c r="W1006" s="110">
        <v>10</v>
      </c>
      <c r="X1006" s="110">
        <v>11</v>
      </c>
      <c r="Y1006" s="110">
        <v>0</v>
      </c>
      <c r="Z1006" s="110">
        <v>0</v>
      </c>
      <c r="AA1006" s="2">
        <f t="shared" si="244"/>
        <v>1</v>
      </c>
      <c r="AB1006" s="2">
        <f t="shared" si="245"/>
        <v>0</v>
      </c>
      <c r="AC1006" s="2">
        <f t="shared" si="246"/>
        <v>1</v>
      </c>
      <c r="AD1006" s="2">
        <f t="shared" si="247"/>
        <v>1</v>
      </c>
      <c r="AE1006" s="2">
        <f t="shared" si="248"/>
        <v>1</v>
      </c>
      <c r="AF1006" s="2">
        <f t="shared" si="249"/>
        <v>2</v>
      </c>
      <c r="AG1006" s="2">
        <f t="shared" si="250"/>
        <v>2</v>
      </c>
      <c r="AH1006" s="2">
        <f t="shared" si="251"/>
        <v>2</v>
      </c>
      <c r="AI1006" s="2">
        <f t="shared" si="252"/>
        <v>2</v>
      </c>
      <c r="AJ1006" s="2">
        <f t="shared" si="253"/>
        <v>2</v>
      </c>
      <c r="AK1006" s="2">
        <f t="shared" si="254"/>
        <v>2</v>
      </c>
      <c r="AL1006" s="2">
        <f t="shared" si="255"/>
        <v>0</v>
      </c>
      <c r="AM1006" s="115"/>
      <c r="AN1006" s="115"/>
      <c r="AO1006" s="63"/>
    </row>
    <row r="1007" spans="1:41" ht="14.4" x14ac:dyDescent="0.55000000000000004">
      <c r="A1007" s="36">
        <v>3304</v>
      </c>
      <c r="B1007" s="113" t="s">
        <v>425</v>
      </c>
      <c r="C1007" s="113" t="s">
        <v>3264</v>
      </c>
      <c r="D1007" s="114" t="s">
        <v>52</v>
      </c>
      <c r="E1007" s="115"/>
      <c r="F1007" s="116"/>
      <c r="G1007" s="113" t="s">
        <v>3265</v>
      </c>
      <c r="H1007" s="113" t="s">
        <v>3266</v>
      </c>
      <c r="I1007" s="113"/>
      <c r="J1007" s="117"/>
      <c r="K1007" s="118"/>
      <c r="L1007" s="109">
        <v>1</v>
      </c>
      <c r="M1007" s="109">
        <v>1</v>
      </c>
      <c r="N1007" s="109"/>
      <c r="O1007" s="119"/>
      <c r="P1007" s="2">
        <f t="shared" si="240"/>
        <v>1</v>
      </c>
      <c r="Q1007" s="110" t="str">
        <f>IF(AND(Drops!$D$45&gt;1,OR(U1007&lt;&gt;U1006,AND(ROW()=5,U1006=U1007))),VLOOKUP(U1007,Drops!$D$26:$E$44,2,FALSE),"")</f>
        <v>V. Cloud Hosting</v>
      </c>
      <c r="R1007" s="2">
        <f t="shared" si="241"/>
        <v>1007</v>
      </c>
      <c r="S1007" s="2">
        <f t="shared" ca="1" si="242"/>
        <v>1</v>
      </c>
      <c r="T1007" s="2">
        <f t="shared" si="243"/>
        <v>1</v>
      </c>
      <c r="U1007" s="110" t="s">
        <v>3267</v>
      </c>
      <c r="V1007" s="110">
        <v>1</v>
      </c>
      <c r="W1007" s="110">
        <v>0</v>
      </c>
      <c r="X1007" s="110">
        <v>0</v>
      </c>
      <c r="Y1007" s="110">
        <v>0</v>
      </c>
      <c r="Z1007" s="110">
        <v>0</v>
      </c>
      <c r="AA1007" s="2">
        <f t="shared" si="244"/>
        <v>1</v>
      </c>
      <c r="AB1007" s="2">
        <f t="shared" si="245"/>
        <v>1</v>
      </c>
      <c r="AC1007" s="2">
        <f t="shared" si="246"/>
        <v>1</v>
      </c>
      <c r="AD1007" s="2">
        <f t="shared" si="247"/>
        <v>0</v>
      </c>
      <c r="AE1007" s="2">
        <f t="shared" si="248"/>
        <v>0</v>
      </c>
      <c r="AF1007" s="2">
        <f t="shared" si="249"/>
        <v>0</v>
      </c>
      <c r="AG1007" s="2">
        <f t="shared" si="250"/>
        <v>0</v>
      </c>
      <c r="AH1007" s="2">
        <f t="shared" si="251"/>
        <v>2</v>
      </c>
      <c r="AI1007" s="2">
        <f t="shared" si="252"/>
        <v>0</v>
      </c>
      <c r="AJ1007" s="2">
        <f t="shared" si="253"/>
        <v>0</v>
      </c>
      <c r="AK1007" s="2">
        <f t="shared" si="254"/>
        <v>0</v>
      </c>
      <c r="AL1007" s="2">
        <f t="shared" si="255"/>
        <v>0</v>
      </c>
      <c r="AM1007" s="115"/>
      <c r="AN1007" s="115"/>
      <c r="AO1007" s="63"/>
    </row>
    <row r="1008" spans="1:41" ht="43.2" x14ac:dyDescent="0.55000000000000004">
      <c r="A1008" s="36">
        <v>4388</v>
      </c>
      <c r="B1008" s="113" t="s">
        <v>3268</v>
      </c>
      <c r="C1008" s="138" t="s">
        <v>3269</v>
      </c>
      <c r="D1008" s="114" t="s">
        <v>52</v>
      </c>
      <c r="E1008" s="115" t="s">
        <v>3270</v>
      </c>
      <c r="F1008" s="116"/>
      <c r="G1008" s="113" t="s">
        <v>3271</v>
      </c>
      <c r="H1008" s="113" t="s">
        <v>910</v>
      </c>
      <c r="I1008" s="113"/>
      <c r="J1008" s="117" t="s">
        <v>2591</v>
      </c>
      <c r="K1008" s="118"/>
      <c r="L1008" s="109">
        <v>2</v>
      </c>
      <c r="M1008" s="109">
        <v>1</v>
      </c>
      <c r="N1008" s="109"/>
      <c r="O1008" s="119"/>
      <c r="P1008" s="2">
        <f t="shared" si="240"/>
        <v>1</v>
      </c>
      <c r="Q1008" s="110" t="str">
        <f>IF(AND(Drops!$D$45&gt;1,OR(U1008&lt;&gt;U1007,AND(ROW()=5,U1007=U1008))),VLOOKUP(U1008,Drops!$D$26:$E$44,2,FALSE),"")</f>
        <v/>
      </c>
      <c r="R1008" s="2" t="str">
        <f t="shared" si="241"/>
        <v/>
      </c>
      <c r="S1008" s="2">
        <f t="shared" ca="1" si="242"/>
        <v>1</v>
      </c>
      <c r="T1008" s="2">
        <f t="shared" si="243"/>
        <v>0</v>
      </c>
      <c r="U1008" s="110" t="s">
        <v>3267</v>
      </c>
      <c r="V1008" s="110">
        <v>1</v>
      </c>
      <c r="W1008" s="110">
        <v>1</v>
      </c>
      <c r="X1008" s="110">
        <v>0</v>
      </c>
      <c r="Y1008" s="110">
        <v>0</v>
      </c>
      <c r="Z1008" s="110">
        <v>0</v>
      </c>
      <c r="AA1008" s="2">
        <f t="shared" si="244"/>
        <v>1</v>
      </c>
      <c r="AB1008" s="2">
        <f t="shared" si="245"/>
        <v>1</v>
      </c>
      <c r="AC1008" s="2">
        <f t="shared" si="246"/>
        <v>1</v>
      </c>
      <c r="AD1008" s="2">
        <f t="shared" si="247"/>
        <v>1</v>
      </c>
      <c r="AE1008" s="2">
        <f t="shared" si="248"/>
        <v>0</v>
      </c>
      <c r="AF1008" s="2">
        <f t="shared" si="249"/>
        <v>0</v>
      </c>
      <c r="AG1008" s="2">
        <f t="shared" si="250"/>
        <v>0</v>
      </c>
      <c r="AH1008" s="2">
        <f t="shared" si="251"/>
        <v>2</v>
      </c>
      <c r="AI1008" s="2">
        <f t="shared" si="252"/>
        <v>2</v>
      </c>
      <c r="AJ1008" s="2">
        <f t="shared" si="253"/>
        <v>0</v>
      </c>
      <c r="AK1008" s="2">
        <f t="shared" si="254"/>
        <v>0</v>
      </c>
      <c r="AL1008" s="2">
        <f t="shared" si="255"/>
        <v>0</v>
      </c>
      <c r="AM1008" s="115"/>
      <c r="AN1008" s="115"/>
      <c r="AO1008" s="63"/>
    </row>
    <row r="1009" spans="1:41" ht="28.8" x14ac:dyDescent="0.55000000000000004">
      <c r="A1009" s="36">
        <v>3511</v>
      </c>
      <c r="B1009" s="113" t="s">
        <v>3272</v>
      </c>
      <c r="C1009" s="139" t="s">
        <v>3273</v>
      </c>
      <c r="D1009" s="114" t="s">
        <v>55</v>
      </c>
      <c r="E1009" s="115"/>
      <c r="F1009" s="116"/>
      <c r="G1009" s="113" t="s">
        <v>3271</v>
      </c>
      <c r="H1009" s="113" t="s">
        <v>3274</v>
      </c>
      <c r="I1009" s="113"/>
      <c r="J1009" s="117"/>
      <c r="K1009" s="118"/>
      <c r="L1009" s="109">
        <v>3</v>
      </c>
      <c r="M1009" s="109">
        <v>3</v>
      </c>
      <c r="N1009" s="109"/>
      <c r="O1009" s="119"/>
      <c r="P1009" s="2">
        <f t="shared" si="240"/>
        <v>2</v>
      </c>
      <c r="Q1009" s="110" t="str">
        <f>IF(AND(Drops!$D$45&gt;1,OR(U1009&lt;&gt;U1008,AND(ROW()=5,U1008=U1009))),VLOOKUP(U1009,Drops!$D$26:$E$44,2,FALSE),"")</f>
        <v/>
      </c>
      <c r="R1009" s="2" t="str">
        <f t="shared" si="241"/>
        <v/>
      </c>
      <c r="S1009" s="2">
        <f t="shared" ca="1" si="242"/>
        <v>2</v>
      </c>
      <c r="T1009" s="2">
        <f t="shared" si="243"/>
        <v>0</v>
      </c>
      <c r="U1009" s="110" t="s">
        <v>3267</v>
      </c>
      <c r="V1009" s="110">
        <v>1</v>
      </c>
      <c r="W1009" s="110">
        <v>1</v>
      </c>
      <c r="X1009" s="110">
        <v>8</v>
      </c>
      <c r="Y1009" s="110">
        <v>0</v>
      </c>
      <c r="Z1009" s="110">
        <v>0</v>
      </c>
      <c r="AA1009" s="2">
        <f t="shared" si="244"/>
        <v>1</v>
      </c>
      <c r="AB1009" s="2">
        <f t="shared" si="245"/>
        <v>0</v>
      </c>
      <c r="AC1009" s="2">
        <f t="shared" si="246"/>
        <v>1</v>
      </c>
      <c r="AD1009" s="2">
        <f t="shared" si="247"/>
        <v>1</v>
      </c>
      <c r="AE1009" s="2">
        <f t="shared" si="248"/>
        <v>2</v>
      </c>
      <c r="AF1009" s="2">
        <f t="shared" si="249"/>
        <v>2</v>
      </c>
      <c r="AG1009" s="2">
        <f t="shared" si="250"/>
        <v>2</v>
      </c>
      <c r="AH1009" s="2">
        <f t="shared" si="251"/>
        <v>2</v>
      </c>
      <c r="AI1009" s="2">
        <f t="shared" si="252"/>
        <v>2</v>
      </c>
      <c r="AJ1009" s="2">
        <f t="shared" si="253"/>
        <v>1</v>
      </c>
      <c r="AK1009" s="2">
        <f t="shared" si="254"/>
        <v>0</v>
      </c>
      <c r="AL1009" s="2">
        <f t="shared" si="255"/>
        <v>0</v>
      </c>
      <c r="AM1009" s="115"/>
      <c r="AN1009" s="115"/>
      <c r="AO1009" s="63"/>
    </row>
    <row r="1010" spans="1:41" ht="28.8" x14ac:dyDescent="0.55000000000000004">
      <c r="A1010" s="36">
        <v>4540</v>
      </c>
      <c r="B1010" s="113" t="s">
        <v>427</v>
      </c>
      <c r="C1010" s="113" t="s">
        <v>3275</v>
      </c>
      <c r="D1010" s="114" t="s">
        <v>52</v>
      </c>
      <c r="E1010" s="115"/>
      <c r="F1010" s="116"/>
      <c r="G1010" s="113" t="s">
        <v>3276</v>
      </c>
      <c r="H1010" s="113" t="s">
        <v>3277</v>
      </c>
      <c r="I1010" s="113"/>
      <c r="J1010" s="117"/>
      <c r="K1010" s="118"/>
      <c r="L1010" s="109">
        <v>1</v>
      </c>
      <c r="M1010" s="109">
        <v>2</v>
      </c>
      <c r="N1010" s="109"/>
      <c r="O1010" s="119"/>
      <c r="P1010" s="2">
        <f t="shared" si="240"/>
        <v>1</v>
      </c>
      <c r="Q1010" s="110" t="str">
        <f>IF(AND(Drops!$D$45&gt;1,OR(U1010&lt;&gt;U1009,AND(ROW()=5,U1009=U1010))),VLOOKUP(U1010,Drops!$D$26:$E$44,2,FALSE),"")</f>
        <v/>
      </c>
      <c r="R1010" s="2" t="str">
        <f t="shared" si="241"/>
        <v/>
      </c>
      <c r="S1010" s="2">
        <f t="shared" ca="1" si="242"/>
        <v>1</v>
      </c>
      <c r="T1010" s="2">
        <f t="shared" si="243"/>
        <v>1</v>
      </c>
      <c r="U1010" s="110" t="s">
        <v>3267</v>
      </c>
      <c r="V1010" s="110">
        <v>2</v>
      </c>
      <c r="W1010" s="110">
        <v>0</v>
      </c>
      <c r="X1010" s="110">
        <v>0</v>
      </c>
      <c r="Y1010" s="110">
        <v>0</v>
      </c>
      <c r="Z1010" s="110">
        <v>0</v>
      </c>
      <c r="AA1010" s="2">
        <f t="shared" si="244"/>
        <v>1</v>
      </c>
      <c r="AB1010" s="2">
        <f t="shared" si="245"/>
        <v>1</v>
      </c>
      <c r="AC1010" s="2">
        <f t="shared" si="246"/>
        <v>1</v>
      </c>
      <c r="AD1010" s="2">
        <f t="shared" si="247"/>
        <v>0</v>
      </c>
      <c r="AE1010" s="2">
        <f t="shared" si="248"/>
        <v>0</v>
      </c>
      <c r="AF1010" s="2">
        <f t="shared" si="249"/>
        <v>2</v>
      </c>
      <c r="AG1010" s="2">
        <f t="shared" si="250"/>
        <v>2</v>
      </c>
      <c r="AH1010" s="2">
        <f t="shared" si="251"/>
        <v>2</v>
      </c>
      <c r="AI1010" s="2">
        <f t="shared" si="252"/>
        <v>2</v>
      </c>
      <c r="AJ1010" s="2">
        <f t="shared" si="253"/>
        <v>0</v>
      </c>
      <c r="AK1010" s="2">
        <f t="shared" si="254"/>
        <v>0</v>
      </c>
      <c r="AL1010" s="2">
        <f t="shared" si="255"/>
        <v>0</v>
      </c>
      <c r="AM1010" s="115"/>
      <c r="AN1010" s="115"/>
      <c r="AO1010" s="63"/>
    </row>
    <row r="1011" spans="1:41" ht="28.8" x14ac:dyDescent="0.55000000000000004">
      <c r="A1011" s="36">
        <v>3384</v>
      </c>
      <c r="B1011" s="113" t="s">
        <v>3278</v>
      </c>
      <c r="C1011" s="138" t="s">
        <v>3279</v>
      </c>
      <c r="D1011" s="114" t="s">
        <v>52</v>
      </c>
      <c r="E1011" s="115"/>
      <c r="F1011" s="116"/>
      <c r="G1011" s="113" t="s">
        <v>3276</v>
      </c>
      <c r="H1011" s="113" t="s">
        <v>3280</v>
      </c>
      <c r="I1011" s="113" t="s">
        <v>976</v>
      </c>
      <c r="J1011" s="117"/>
      <c r="K1011" s="118"/>
      <c r="L1011" s="109">
        <v>2</v>
      </c>
      <c r="M1011" s="109">
        <v>3</v>
      </c>
      <c r="N1011" s="109"/>
      <c r="O1011" s="119"/>
      <c r="P1011" s="2">
        <f t="shared" si="240"/>
        <v>1</v>
      </c>
      <c r="Q1011" s="110" t="str">
        <f>IF(AND(Drops!$D$45&gt;1,OR(U1011&lt;&gt;U1010,AND(ROW()=5,U1010=U1011))),VLOOKUP(U1011,Drops!$D$26:$E$44,2,FALSE),"")</f>
        <v/>
      </c>
      <c r="R1011" s="2" t="str">
        <f t="shared" si="241"/>
        <v/>
      </c>
      <c r="S1011" s="2">
        <f t="shared" ca="1" si="242"/>
        <v>1</v>
      </c>
      <c r="T1011" s="2">
        <f t="shared" si="243"/>
        <v>0</v>
      </c>
      <c r="U1011" s="110" t="s">
        <v>3267</v>
      </c>
      <c r="V1011" s="110">
        <v>2</v>
      </c>
      <c r="W1011" s="110">
        <v>1</v>
      </c>
      <c r="X1011" s="110">
        <v>0</v>
      </c>
      <c r="Y1011" s="110">
        <v>0</v>
      </c>
      <c r="Z1011" s="110">
        <v>0</v>
      </c>
      <c r="AA1011" s="2">
        <f t="shared" si="244"/>
        <v>1</v>
      </c>
      <c r="AB1011" s="2">
        <f t="shared" si="245"/>
        <v>0</v>
      </c>
      <c r="AC1011" s="2">
        <f t="shared" si="246"/>
        <v>1</v>
      </c>
      <c r="AD1011" s="2">
        <f t="shared" si="247"/>
        <v>1</v>
      </c>
      <c r="AE1011" s="2">
        <f t="shared" si="248"/>
        <v>0</v>
      </c>
      <c r="AF1011" s="2">
        <f t="shared" si="249"/>
        <v>2</v>
      </c>
      <c r="AG1011" s="2">
        <f t="shared" si="250"/>
        <v>2</v>
      </c>
      <c r="AH1011" s="2">
        <f t="shared" si="251"/>
        <v>2</v>
      </c>
      <c r="AI1011" s="2">
        <f t="shared" si="252"/>
        <v>2</v>
      </c>
      <c r="AJ1011" s="2">
        <f t="shared" si="253"/>
        <v>0</v>
      </c>
      <c r="AK1011" s="2">
        <f t="shared" si="254"/>
        <v>0</v>
      </c>
      <c r="AL1011" s="2">
        <f t="shared" si="255"/>
        <v>0</v>
      </c>
      <c r="AM1011" s="115"/>
      <c r="AN1011" s="115"/>
      <c r="AO1011" s="63"/>
    </row>
    <row r="1012" spans="1:41" ht="43.2" x14ac:dyDescent="0.55000000000000004">
      <c r="A1012" s="36">
        <v>3373</v>
      </c>
      <c r="B1012" s="113" t="s">
        <v>429</v>
      </c>
      <c r="C1012" s="113" t="s">
        <v>3281</v>
      </c>
      <c r="D1012" s="114" t="s">
        <v>48</v>
      </c>
      <c r="E1012" s="115" t="s">
        <v>3282</v>
      </c>
      <c r="F1012" s="116"/>
      <c r="G1012" s="113" t="s">
        <v>1650</v>
      </c>
      <c r="H1012" s="113" t="s">
        <v>3283</v>
      </c>
      <c r="I1012" s="113" t="s">
        <v>976</v>
      </c>
      <c r="J1012" s="117"/>
      <c r="K1012" s="118"/>
      <c r="L1012" s="109">
        <v>1</v>
      </c>
      <c r="M1012" s="109">
        <v>2</v>
      </c>
      <c r="N1012" s="109"/>
      <c r="O1012" s="119"/>
      <c r="P1012" s="2">
        <f t="shared" si="240"/>
        <v>3</v>
      </c>
      <c r="Q1012" s="110" t="str">
        <f>IF(AND(Drops!$D$45&gt;1,OR(U1012&lt;&gt;U1011,AND(ROW()=5,U1011=U1012))),VLOOKUP(U1012,Drops!$D$26:$E$44,2,FALSE),"")</f>
        <v/>
      </c>
      <c r="R1012" s="2" t="str">
        <f t="shared" si="241"/>
        <v/>
      </c>
      <c r="S1012" s="2">
        <f t="shared" ca="1" si="242"/>
        <v>3</v>
      </c>
      <c r="T1012" s="2">
        <f t="shared" si="243"/>
        <v>1</v>
      </c>
      <c r="U1012" s="110" t="s">
        <v>3267</v>
      </c>
      <c r="V1012" s="110">
        <v>3</v>
      </c>
      <c r="W1012" s="110">
        <v>0</v>
      </c>
      <c r="X1012" s="110">
        <v>0</v>
      </c>
      <c r="Y1012" s="110">
        <v>0</v>
      </c>
      <c r="Z1012" s="110">
        <v>0</v>
      </c>
      <c r="AA1012" s="2">
        <f t="shared" si="244"/>
        <v>1</v>
      </c>
      <c r="AB1012" s="2">
        <f t="shared" si="245"/>
        <v>1</v>
      </c>
      <c r="AC1012" s="2">
        <f t="shared" si="246"/>
        <v>3</v>
      </c>
      <c r="AD1012" s="2">
        <f t="shared" si="247"/>
        <v>3</v>
      </c>
      <c r="AE1012" s="2">
        <f t="shared" si="248"/>
        <v>3</v>
      </c>
      <c r="AF1012" s="2">
        <f t="shared" si="249"/>
        <v>3</v>
      </c>
      <c r="AG1012" s="2">
        <f t="shared" si="250"/>
        <v>3</v>
      </c>
      <c r="AH1012" s="2">
        <f t="shared" si="251"/>
        <v>1</v>
      </c>
      <c r="AI1012" s="2">
        <f t="shared" si="252"/>
        <v>2</v>
      </c>
      <c r="AJ1012" s="2">
        <f t="shared" si="253"/>
        <v>0</v>
      </c>
      <c r="AK1012" s="2">
        <f t="shared" si="254"/>
        <v>0</v>
      </c>
      <c r="AL1012" s="2">
        <f t="shared" si="255"/>
        <v>0</v>
      </c>
      <c r="AM1012" s="115"/>
      <c r="AN1012" s="115"/>
      <c r="AO1012" s="63"/>
    </row>
    <row r="1013" spans="1:41" ht="43.2" x14ac:dyDescent="0.55000000000000004">
      <c r="A1013" s="36">
        <v>3374</v>
      </c>
      <c r="B1013" s="113" t="s">
        <v>3284</v>
      </c>
      <c r="C1013" s="138" t="s">
        <v>3285</v>
      </c>
      <c r="D1013" s="114" t="s">
        <v>48</v>
      </c>
      <c r="E1013" s="115" t="s">
        <v>3282</v>
      </c>
      <c r="F1013" s="116"/>
      <c r="G1013" s="113" t="s">
        <v>1650</v>
      </c>
      <c r="H1013" s="113" t="s">
        <v>3283</v>
      </c>
      <c r="I1013" s="113" t="s">
        <v>976</v>
      </c>
      <c r="J1013" s="117"/>
      <c r="K1013" s="118"/>
      <c r="L1013" s="109">
        <v>2</v>
      </c>
      <c r="M1013" s="109">
        <v>2</v>
      </c>
      <c r="N1013" s="109"/>
      <c r="O1013" s="119"/>
      <c r="P1013" s="2">
        <f t="shared" si="240"/>
        <v>3</v>
      </c>
      <c r="Q1013" s="110" t="str">
        <f>IF(AND(Drops!$D$45&gt;1,OR(U1013&lt;&gt;U1012,AND(ROW()=5,U1012=U1013))),VLOOKUP(U1013,Drops!$D$26:$E$44,2,FALSE),"")</f>
        <v/>
      </c>
      <c r="R1013" s="2" t="str">
        <f t="shared" si="241"/>
        <v/>
      </c>
      <c r="S1013" s="2">
        <f t="shared" ca="1" si="242"/>
        <v>3</v>
      </c>
      <c r="T1013" s="2">
        <f t="shared" si="243"/>
        <v>0</v>
      </c>
      <c r="U1013" s="110" t="s">
        <v>3267</v>
      </c>
      <c r="V1013" s="110">
        <v>3</v>
      </c>
      <c r="W1013" s="110">
        <v>1</v>
      </c>
      <c r="X1013" s="110">
        <v>0</v>
      </c>
      <c r="Y1013" s="110">
        <v>0</v>
      </c>
      <c r="Z1013" s="110">
        <v>0</v>
      </c>
      <c r="AA1013" s="2">
        <f t="shared" si="244"/>
        <v>1</v>
      </c>
      <c r="AB1013" s="2">
        <f t="shared" si="245"/>
        <v>0</v>
      </c>
      <c r="AC1013" s="2">
        <f t="shared" si="246"/>
        <v>3</v>
      </c>
      <c r="AD1013" s="2">
        <f t="shared" si="247"/>
        <v>3</v>
      </c>
      <c r="AE1013" s="2">
        <f t="shared" si="248"/>
        <v>3</v>
      </c>
      <c r="AF1013" s="2">
        <f t="shared" si="249"/>
        <v>3</v>
      </c>
      <c r="AG1013" s="2">
        <f t="shared" si="250"/>
        <v>3</v>
      </c>
      <c r="AH1013" s="2">
        <f t="shared" si="251"/>
        <v>0</v>
      </c>
      <c r="AI1013" s="2">
        <f t="shared" si="252"/>
        <v>1</v>
      </c>
      <c r="AJ1013" s="2">
        <f t="shared" si="253"/>
        <v>0</v>
      </c>
      <c r="AK1013" s="2">
        <f t="shared" si="254"/>
        <v>0</v>
      </c>
      <c r="AL1013" s="2">
        <f t="shared" si="255"/>
        <v>0</v>
      </c>
      <c r="AM1013" s="115"/>
      <c r="AN1013" s="115"/>
      <c r="AO1013" s="63"/>
    </row>
    <row r="1014" spans="1:41" ht="28.8" x14ac:dyDescent="0.55000000000000004">
      <c r="A1014" s="36">
        <v>3587</v>
      </c>
      <c r="B1014" s="113" t="s">
        <v>3286</v>
      </c>
      <c r="C1014" s="138" t="s">
        <v>3287</v>
      </c>
      <c r="D1014" s="114" t="s">
        <v>52</v>
      </c>
      <c r="E1014" s="115"/>
      <c r="F1014" s="116"/>
      <c r="G1014" s="113" t="s">
        <v>1650</v>
      </c>
      <c r="H1014" s="113" t="s">
        <v>3283</v>
      </c>
      <c r="I1014" s="113" t="s">
        <v>976</v>
      </c>
      <c r="J1014" s="117"/>
      <c r="K1014" s="118"/>
      <c r="L1014" s="109">
        <v>2</v>
      </c>
      <c r="M1014" s="109">
        <v>3</v>
      </c>
      <c r="N1014" s="109"/>
      <c r="O1014" s="119"/>
      <c r="P1014" s="2">
        <f t="shared" si="240"/>
        <v>1</v>
      </c>
      <c r="Q1014" s="110" t="str">
        <f>IF(AND(Drops!$D$45&gt;1,OR(U1014&lt;&gt;U1013,AND(ROW()=5,U1013=U1014))),VLOOKUP(U1014,Drops!$D$26:$E$44,2,FALSE),"")</f>
        <v/>
      </c>
      <c r="R1014" s="2" t="str">
        <f t="shared" si="241"/>
        <v/>
      </c>
      <c r="S1014" s="2">
        <f t="shared" ca="1" si="242"/>
        <v>3</v>
      </c>
      <c r="T1014" s="2">
        <f t="shared" si="243"/>
        <v>0</v>
      </c>
      <c r="U1014" s="110" t="s">
        <v>3267</v>
      </c>
      <c r="V1014" s="110">
        <v>3</v>
      </c>
      <c r="W1014" s="110">
        <v>2</v>
      </c>
      <c r="X1014" s="110">
        <v>0</v>
      </c>
      <c r="Y1014" s="110">
        <v>0</v>
      </c>
      <c r="Z1014" s="110">
        <v>0</v>
      </c>
      <c r="AA1014" s="2">
        <f t="shared" si="244"/>
        <v>1</v>
      </c>
      <c r="AB1014" s="2">
        <f t="shared" si="245"/>
        <v>0</v>
      </c>
      <c r="AC1014" s="2">
        <f t="shared" si="246"/>
        <v>3</v>
      </c>
      <c r="AD1014" s="2">
        <f t="shared" si="247"/>
        <v>3</v>
      </c>
      <c r="AE1014" s="2">
        <f t="shared" si="248"/>
        <v>3</v>
      </c>
      <c r="AF1014" s="2">
        <f t="shared" si="249"/>
        <v>3</v>
      </c>
      <c r="AG1014" s="2">
        <f t="shared" si="250"/>
        <v>3</v>
      </c>
      <c r="AH1014" s="2">
        <f t="shared" si="251"/>
        <v>0</v>
      </c>
      <c r="AI1014" s="2">
        <f t="shared" si="252"/>
        <v>2</v>
      </c>
      <c r="AJ1014" s="2">
        <f t="shared" si="253"/>
        <v>0</v>
      </c>
      <c r="AK1014" s="2">
        <f t="shared" si="254"/>
        <v>0</v>
      </c>
      <c r="AL1014" s="2">
        <f t="shared" si="255"/>
        <v>0</v>
      </c>
      <c r="AM1014" s="115"/>
      <c r="AN1014" s="115"/>
      <c r="AO1014" s="63"/>
    </row>
    <row r="1015" spans="1:41" ht="28.8" x14ac:dyDescent="0.55000000000000004">
      <c r="A1015" s="36">
        <v>3577</v>
      </c>
      <c r="B1015" s="113" t="s">
        <v>3288</v>
      </c>
      <c r="C1015" s="113" t="s">
        <v>3289</v>
      </c>
      <c r="D1015" s="114" t="s">
        <v>55</v>
      </c>
      <c r="E1015" s="115" t="s">
        <v>3290</v>
      </c>
      <c r="F1015" s="116"/>
      <c r="G1015" s="113" t="s">
        <v>1650</v>
      </c>
      <c r="H1015" s="113" t="s">
        <v>3291</v>
      </c>
      <c r="I1015" s="113" t="s">
        <v>3292</v>
      </c>
      <c r="J1015" s="117"/>
      <c r="K1015" s="118"/>
      <c r="L1015" s="109">
        <v>1</v>
      </c>
      <c r="M1015" s="109">
        <v>3</v>
      </c>
      <c r="N1015" s="109"/>
      <c r="O1015" s="119"/>
      <c r="P1015" s="2">
        <f t="shared" si="240"/>
        <v>2</v>
      </c>
      <c r="Q1015" s="110" t="str">
        <f>IF(AND(Drops!$D$45&gt;1,OR(U1015&lt;&gt;U1014,AND(ROW()=5,U1014=U1015))),VLOOKUP(U1015,Drops!$D$26:$E$44,2,FALSE),"")</f>
        <v/>
      </c>
      <c r="R1015" s="2" t="str">
        <f t="shared" si="241"/>
        <v/>
      </c>
      <c r="S1015" s="2">
        <f t="shared" ca="1" si="242"/>
        <v>2</v>
      </c>
      <c r="T1015" s="2">
        <f t="shared" si="243"/>
        <v>1</v>
      </c>
      <c r="U1015" s="110" t="s">
        <v>3267</v>
      </c>
      <c r="V1015" s="110">
        <v>4</v>
      </c>
      <c r="W1015" s="110">
        <v>0</v>
      </c>
      <c r="X1015" s="110">
        <v>0</v>
      </c>
      <c r="Y1015" s="110">
        <v>0</v>
      </c>
      <c r="Z1015" s="110">
        <v>0</v>
      </c>
      <c r="AA1015" s="2">
        <f t="shared" si="244"/>
        <v>1</v>
      </c>
      <c r="AB1015" s="2">
        <f t="shared" si="245"/>
        <v>1</v>
      </c>
      <c r="AC1015" s="2">
        <f t="shared" si="246"/>
        <v>2</v>
      </c>
      <c r="AD1015" s="2">
        <f t="shared" si="247"/>
        <v>2</v>
      </c>
      <c r="AE1015" s="2">
        <f t="shared" si="248"/>
        <v>2</v>
      </c>
      <c r="AF1015" s="2">
        <f t="shared" si="249"/>
        <v>2</v>
      </c>
      <c r="AG1015" s="2">
        <f t="shared" si="250"/>
        <v>2</v>
      </c>
      <c r="AH1015" s="2">
        <f t="shared" si="251"/>
        <v>1</v>
      </c>
      <c r="AI1015" s="2">
        <f t="shared" si="252"/>
        <v>2</v>
      </c>
      <c r="AJ1015" s="2">
        <f t="shared" si="253"/>
        <v>0</v>
      </c>
      <c r="AK1015" s="2">
        <f t="shared" si="254"/>
        <v>0</v>
      </c>
      <c r="AL1015" s="2">
        <f t="shared" si="255"/>
        <v>0</v>
      </c>
      <c r="AM1015" s="115"/>
      <c r="AN1015" s="115"/>
      <c r="AO1015" s="63"/>
    </row>
    <row r="1016" spans="1:41" ht="28.8" x14ac:dyDescent="0.55000000000000004">
      <c r="A1016" s="36">
        <v>3585</v>
      </c>
      <c r="B1016" s="113" t="s">
        <v>3293</v>
      </c>
      <c r="C1016" s="138" t="s">
        <v>3294</v>
      </c>
      <c r="D1016" s="114" t="s">
        <v>55</v>
      </c>
      <c r="E1016" s="115"/>
      <c r="F1016" s="116"/>
      <c r="G1016" s="113" t="s">
        <v>1650</v>
      </c>
      <c r="H1016" s="113" t="s">
        <v>3295</v>
      </c>
      <c r="I1016" s="113" t="s">
        <v>3292</v>
      </c>
      <c r="J1016" s="117"/>
      <c r="K1016" s="118"/>
      <c r="L1016" s="109">
        <v>2</v>
      </c>
      <c r="M1016" s="109">
        <v>3</v>
      </c>
      <c r="N1016" s="109"/>
      <c r="O1016" s="119"/>
      <c r="P1016" s="2">
        <f t="shared" si="240"/>
        <v>2</v>
      </c>
      <c r="Q1016" s="110" t="str">
        <f>IF(AND(Drops!$D$45&gt;1,OR(U1016&lt;&gt;U1015,AND(ROW()=5,U1015=U1016))),VLOOKUP(U1016,Drops!$D$26:$E$44,2,FALSE),"")</f>
        <v/>
      </c>
      <c r="R1016" s="2" t="str">
        <f t="shared" si="241"/>
        <v/>
      </c>
      <c r="S1016" s="2">
        <f t="shared" ca="1" si="242"/>
        <v>2</v>
      </c>
      <c r="T1016" s="2">
        <f t="shared" si="243"/>
        <v>0</v>
      </c>
      <c r="U1016" s="110" t="s">
        <v>3267</v>
      </c>
      <c r="V1016" s="110">
        <v>4</v>
      </c>
      <c r="W1016" s="110">
        <v>1</v>
      </c>
      <c r="X1016" s="110">
        <v>0</v>
      </c>
      <c r="Y1016" s="110">
        <v>0</v>
      </c>
      <c r="Z1016" s="110">
        <v>0</v>
      </c>
      <c r="AA1016" s="2">
        <f t="shared" si="244"/>
        <v>1</v>
      </c>
      <c r="AB1016" s="2">
        <f t="shared" si="245"/>
        <v>0</v>
      </c>
      <c r="AC1016" s="2">
        <f t="shared" si="246"/>
        <v>2</v>
      </c>
      <c r="AD1016" s="2">
        <f t="shared" si="247"/>
        <v>2</v>
      </c>
      <c r="AE1016" s="2">
        <f t="shared" si="248"/>
        <v>2</v>
      </c>
      <c r="AF1016" s="2">
        <f t="shared" si="249"/>
        <v>2</v>
      </c>
      <c r="AG1016" s="2">
        <f t="shared" si="250"/>
        <v>2</v>
      </c>
      <c r="AH1016" s="2">
        <f t="shared" si="251"/>
        <v>0</v>
      </c>
      <c r="AI1016" s="2">
        <f t="shared" si="252"/>
        <v>1</v>
      </c>
      <c r="AJ1016" s="2">
        <f t="shared" si="253"/>
        <v>0</v>
      </c>
      <c r="AK1016" s="2">
        <f t="shared" si="254"/>
        <v>0</v>
      </c>
      <c r="AL1016" s="2">
        <f t="shared" si="255"/>
        <v>0</v>
      </c>
      <c r="AM1016" s="115"/>
      <c r="AN1016" s="115"/>
      <c r="AO1016" s="63"/>
    </row>
    <row r="1017" spans="1:41" ht="28.8" x14ac:dyDescent="0.55000000000000004">
      <c r="A1017" s="36">
        <v>4541</v>
      </c>
      <c r="B1017" s="113" t="s">
        <v>3296</v>
      </c>
      <c r="C1017" s="138" t="s">
        <v>3297</v>
      </c>
      <c r="D1017" s="114" t="s">
        <v>55</v>
      </c>
      <c r="E1017" s="115"/>
      <c r="F1017" s="116"/>
      <c r="G1017" s="113" t="s">
        <v>1650</v>
      </c>
      <c r="H1017" s="113" t="s">
        <v>3291</v>
      </c>
      <c r="I1017" s="113" t="s">
        <v>3292</v>
      </c>
      <c r="J1017" s="117"/>
      <c r="K1017" s="118"/>
      <c r="L1017" s="109">
        <v>2</v>
      </c>
      <c r="M1017" s="109">
        <v>3</v>
      </c>
      <c r="N1017" s="109"/>
      <c r="O1017" s="119"/>
      <c r="P1017" s="2">
        <f t="shared" si="240"/>
        <v>2</v>
      </c>
      <c r="Q1017" s="110" t="str">
        <f>IF(AND(Drops!$D$45&gt;1,OR(U1017&lt;&gt;U1016,AND(ROW()=5,U1016=U1017))),VLOOKUP(U1017,Drops!$D$26:$E$44,2,FALSE),"")</f>
        <v/>
      </c>
      <c r="R1017" s="2" t="str">
        <f t="shared" si="241"/>
        <v/>
      </c>
      <c r="S1017" s="2">
        <f t="shared" ca="1" si="242"/>
        <v>2</v>
      </c>
      <c r="T1017" s="2">
        <f t="shared" si="243"/>
        <v>0</v>
      </c>
      <c r="U1017" s="110" t="s">
        <v>3267</v>
      </c>
      <c r="V1017" s="110">
        <v>4</v>
      </c>
      <c r="W1017" s="110">
        <v>2</v>
      </c>
      <c r="X1017" s="110">
        <v>0</v>
      </c>
      <c r="Y1017" s="110">
        <v>0</v>
      </c>
      <c r="Z1017" s="110">
        <v>0</v>
      </c>
      <c r="AA1017" s="2">
        <f t="shared" si="244"/>
        <v>1</v>
      </c>
      <c r="AB1017" s="2">
        <f t="shared" si="245"/>
        <v>0</v>
      </c>
      <c r="AC1017" s="2">
        <f t="shared" si="246"/>
        <v>2</v>
      </c>
      <c r="AD1017" s="2">
        <f t="shared" si="247"/>
        <v>2</v>
      </c>
      <c r="AE1017" s="2">
        <f t="shared" si="248"/>
        <v>2</v>
      </c>
      <c r="AF1017" s="2">
        <f t="shared" si="249"/>
        <v>2</v>
      </c>
      <c r="AG1017" s="2">
        <f t="shared" si="250"/>
        <v>2</v>
      </c>
      <c r="AH1017" s="2">
        <f t="shared" si="251"/>
        <v>0</v>
      </c>
      <c r="AI1017" s="2">
        <f t="shared" si="252"/>
        <v>1</v>
      </c>
      <c r="AJ1017" s="2">
        <f t="shared" si="253"/>
        <v>0</v>
      </c>
      <c r="AK1017" s="2">
        <f t="shared" si="254"/>
        <v>0</v>
      </c>
      <c r="AL1017" s="2">
        <f t="shared" si="255"/>
        <v>0</v>
      </c>
      <c r="AM1017" s="115"/>
      <c r="AN1017" s="115"/>
      <c r="AO1017" s="63"/>
    </row>
    <row r="1018" spans="1:41" ht="28.8" x14ac:dyDescent="0.55000000000000004">
      <c r="A1018" s="36">
        <v>4392</v>
      </c>
      <c r="B1018" s="113" t="s">
        <v>3298</v>
      </c>
      <c r="C1018" s="138" t="s">
        <v>3299</v>
      </c>
      <c r="D1018" s="114" t="s">
        <v>55</v>
      </c>
      <c r="E1018" s="115"/>
      <c r="F1018" s="116"/>
      <c r="G1018" s="113" t="s">
        <v>1650</v>
      </c>
      <c r="H1018" s="113" t="s">
        <v>3295</v>
      </c>
      <c r="I1018" s="113" t="s">
        <v>3292</v>
      </c>
      <c r="J1018" s="117"/>
      <c r="K1018" s="118"/>
      <c r="L1018" s="109">
        <v>2</v>
      </c>
      <c r="M1018" s="109">
        <v>3</v>
      </c>
      <c r="N1018" s="109"/>
      <c r="O1018" s="119"/>
      <c r="P1018" s="2">
        <f t="shared" si="240"/>
        <v>2</v>
      </c>
      <c r="Q1018" s="110" t="str">
        <f>IF(AND(Drops!$D$45&gt;1,OR(U1018&lt;&gt;U1017,AND(ROW()=5,U1017=U1018))),VLOOKUP(U1018,Drops!$D$26:$E$44,2,FALSE),"")</f>
        <v/>
      </c>
      <c r="R1018" s="2" t="str">
        <f t="shared" si="241"/>
        <v/>
      </c>
      <c r="S1018" s="2">
        <f t="shared" ca="1" si="242"/>
        <v>2</v>
      </c>
      <c r="T1018" s="2">
        <f t="shared" si="243"/>
        <v>0</v>
      </c>
      <c r="U1018" s="110" t="s">
        <v>3267</v>
      </c>
      <c r="V1018" s="110">
        <v>4</v>
      </c>
      <c r="W1018" s="110">
        <v>3</v>
      </c>
      <c r="X1018" s="110">
        <v>0</v>
      </c>
      <c r="Y1018" s="110">
        <v>0</v>
      </c>
      <c r="Z1018" s="110">
        <v>0</v>
      </c>
      <c r="AA1018" s="2">
        <f t="shared" si="244"/>
        <v>1</v>
      </c>
      <c r="AB1018" s="2">
        <f t="shared" si="245"/>
        <v>0</v>
      </c>
      <c r="AC1018" s="2">
        <f t="shared" si="246"/>
        <v>2</v>
      </c>
      <c r="AD1018" s="2">
        <f t="shared" si="247"/>
        <v>2</v>
      </c>
      <c r="AE1018" s="2">
        <f t="shared" si="248"/>
        <v>2</v>
      </c>
      <c r="AF1018" s="2">
        <f t="shared" si="249"/>
        <v>2</v>
      </c>
      <c r="AG1018" s="2">
        <f t="shared" si="250"/>
        <v>2</v>
      </c>
      <c r="AH1018" s="2">
        <f t="shared" si="251"/>
        <v>0</v>
      </c>
      <c r="AI1018" s="2">
        <f t="shared" si="252"/>
        <v>1</v>
      </c>
      <c r="AJ1018" s="2">
        <f t="shared" si="253"/>
        <v>0</v>
      </c>
      <c r="AK1018" s="2">
        <f t="shared" si="254"/>
        <v>0</v>
      </c>
      <c r="AL1018" s="2">
        <f t="shared" si="255"/>
        <v>0</v>
      </c>
      <c r="AM1018" s="115"/>
      <c r="AN1018" s="115"/>
      <c r="AO1018" s="63"/>
    </row>
    <row r="1019" spans="1:41" ht="28.8" x14ac:dyDescent="0.55000000000000004">
      <c r="A1019" s="36">
        <v>3568</v>
      </c>
      <c r="B1019" s="113" t="s">
        <v>3300</v>
      </c>
      <c r="C1019" s="113" t="s">
        <v>3301</v>
      </c>
      <c r="D1019" s="114" t="s">
        <v>52</v>
      </c>
      <c r="E1019" s="115"/>
      <c r="F1019" s="116"/>
      <c r="G1019" s="113" t="s">
        <v>1650</v>
      </c>
      <c r="H1019" s="113" t="s">
        <v>3295</v>
      </c>
      <c r="I1019" s="113" t="s">
        <v>976</v>
      </c>
      <c r="J1019" s="117"/>
      <c r="K1019" s="118"/>
      <c r="L1019" s="109">
        <v>1</v>
      </c>
      <c r="M1019" s="109">
        <v>2</v>
      </c>
      <c r="N1019" s="109"/>
      <c r="O1019" s="119"/>
      <c r="P1019" s="2">
        <f t="shared" si="240"/>
        <v>1</v>
      </c>
      <c r="Q1019" s="110" t="str">
        <f>IF(AND(Drops!$D$45&gt;1,OR(U1019&lt;&gt;U1018,AND(ROW()=5,U1018=U1019))),VLOOKUP(U1019,Drops!$D$26:$E$44,2,FALSE),"")</f>
        <v/>
      </c>
      <c r="R1019" s="2" t="str">
        <f t="shared" si="241"/>
        <v/>
      </c>
      <c r="S1019" s="2">
        <f t="shared" ca="1" si="242"/>
        <v>1</v>
      </c>
      <c r="T1019" s="2">
        <f t="shared" si="243"/>
        <v>1</v>
      </c>
      <c r="U1019" s="110" t="s">
        <v>3267</v>
      </c>
      <c r="V1019" s="110">
        <v>5</v>
      </c>
      <c r="W1019" s="110">
        <v>0</v>
      </c>
      <c r="X1019" s="110">
        <v>0</v>
      </c>
      <c r="Y1019" s="110">
        <v>0</v>
      </c>
      <c r="Z1019" s="110">
        <v>0</v>
      </c>
      <c r="AA1019" s="2">
        <f t="shared" si="244"/>
        <v>1</v>
      </c>
      <c r="AB1019" s="2">
        <f t="shared" si="245"/>
        <v>1</v>
      </c>
      <c r="AC1019" s="2">
        <f t="shared" si="246"/>
        <v>1</v>
      </c>
      <c r="AD1019" s="2">
        <f t="shared" si="247"/>
        <v>0</v>
      </c>
      <c r="AE1019" s="2">
        <f t="shared" si="248"/>
        <v>2</v>
      </c>
      <c r="AF1019" s="2">
        <f t="shared" si="249"/>
        <v>2</v>
      </c>
      <c r="AG1019" s="2">
        <f t="shared" si="250"/>
        <v>2</v>
      </c>
      <c r="AH1019" s="2">
        <f t="shared" si="251"/>
        <v>2</v>
      </c>
      <c r="AI1019" s="2">
        <f t="shared" si="252"/>
        <v>0</v>
      </c>
      <c r="AJ1019" s="2">
        <f t="shared" si="253"/>
        <v>0</v>
      </c>
      <c r="AK1019" s="2">
        <f t="shared" si="254"/>
        <v>0</v>
      </c>
      <c r="AL1019" s="2">
        <f t="shared" si="255"/>
        <v>0</v>
      </c>
      <c r="AM1019" s="115"/>
      <c r="AN1019" s="115"/>
      <c r="AO1019" s="63"/>
    </row>
    <row r="1020" spans="1:41" ht="28.8" x14ac:dyDescent="0.55000000000000004">
      <c r="A1020" s="36">
        <v>4390</v>
      </c>
      <c r="B1020" s="113" t="s">
        <v>3302</v>
      </c>
      <c r="C1020" s="138" t="s">
        <v>3303</v>
      </c>
      <c r="D1020" s="114" t="s">
        <v>52</v>
      </c>
      <c r="E1020" s="115"/>
      <c r="F1020" s="116"/>
      <c r="G1020" s="113" t="s">
        <v>1650</v>
      </c>
      <c r="H1020" s="113" t="s">
        <v>3295</v>
      </c>
      <c r="I1020" s="113"/>
      <c r="J1020" s="117"/>
      <c r="K1020" s="118"/>
      <c r="L1020" s="109">
        <v>2</v>
      </c>
      <c r="M1020" s="109">
        <v>3</v>
      </c>
      <c r="N1020" s="109"/>
      <c r="O1020" s="119"/>
      <c r="P1020" s="2">
        <f t="shared" si="240"/>
        <v>1</v>
      </c>
      <c r="Q1020" s="110" t="str">
        <f>IF(AND(Drops!$D$45&gt;1,OR(U1020&lt;&gt;U1019,AND(ROW()=5,U1019=U1020))),VLOOKUP(U1020,Drops!$D$26:$E$44,2,FALSE),"")</f>
        <v/>
      </c>
      <c r="R1020" s="2" t="str">
        <f t="shared" si="241"/>
        <v/>
      </c>
      <c r="S1020" s="2">
        <f t="shared" ca="1" si="242"/>
        <v>1</v>
      </c>
      <c r="T1020" s="2">
        <f t="shared" si="243"/>
        <v>0</v>
      </c>
      <c r="U1020" s="110" t="s">
        <v>3267</v>
      </c>
      <c r="V1020" s="110">
        <v>5</v>
      </c>
      <c r="W1020" s="110">
        <v>1</v>
      </c>
      <c r="X1020" s="110">
        <v>0</v>
      </c>
      <c r="Y1020" s="110">
        <v>0</v>
      </c>
      <c r="Z1020" s="110">
        <v>0</v>
      </c>
      <c r="AA1020" s="2">
        <f t="shared" si="244"/>
        <v>1</v>
      </c>
      <c r="AB1020" s="2">
        <f t="shared" si="245"/>
        <v>0</v>
      </c>
      <c r="AC1020" s="2">
        <f t="shared" si="246"/>
        <v>1</v>
      </c>
      <c r="AD1020" s="2">
        <f t="shared" si="247"/>
        <v>1</v>
      </c>
      <c r="AE1020" s="2">
        <f t="shared" si="248"/>
        <v>2</v>
      </c>
      <c r="AF1020" s="2">
        <f t="shared" si="249"/>
        <v>2</v>
      </c>
      <c r="AG1020" s="2">
        <f t="shared" si="250"/>
        <v>2</v>
      </c>
      <c r="AH1020" s="2">
        <f t="shared" si="251"/>
        <v>2</v>
      </c>
      <c r="AI1020" s="2">
        <f t="shared" si="252"/>
        <v>2</v>
      </c>
      <c r="AJ1020" s="2">
        <f t="shared" si="253"/>
        <v>0</v>
      </c>
      <c r="AK1020" s="2">
        <f t="shared" si="254"/>
        <v>0</v>
      </c>
      <c r="AL1020" s="2">
        <f t="shared" si="255"/>
        <v>0</v>
      </c>
      <c r="AM1020" s="115"/>
      <c r="AN1020" s="115"/>
      <c r="AO1020" s="63"/>
    </row>
    <row r="1021" spans="1:41" ht="28.8" x14ac:dyDescent="0.55000000000000004">
      <c r="A1021" s="36">
        <v>4542</v>
      </c>
      <c r="B1021" s="113" t="s">
        <v>3304</v>
      </c>
      <c r="C1021" s="138" t="s">
        <v>3305</v>
      </c>
      <c r="D1021" s="114" t="s">
        <v>52</v>
      </c>
      <c r="E1021" s="115"/>
      <c r="F1021" s="116"/>
      <c r="G1021" s="113" t="s">
        <v>1650</v>
      </c>
      <c r="H1021" s="113" t="s">
        <v>3306</v>
      </c>
      <c r="I1021" s="113"/>
      <c r="J1021" s="117"/>
      <c r="K1021" s="118"/>
      <c r="L1021" s="109">
        <v>2</v>
      </c>
      <c r="M1021" s="109">
        <v>3</v>
      </c>
      <c r="N1021" s="109"/>
      <c r="O1021" s="119"/>
      <c r="P1021" s="2">
        <f t="shared" si="240"/>
        <v>1</v>
      </c>
      <c r="Q1021" s="110" t="str">
        <f>IF(AND(Drops!$D$45&gt;1,OR(U1021&lt;&gt;U1020,AND(ROW()=5,U1020=U1021))),VLOOKUP(U1021,Drops!$D$26:$E$44,2,FALSE),"")</f>
        <v/>
      </c>
      <c r="R1021" s="2" t="str">
        <f t="shared" si="241"/>
        <v/>
      </c>
      <c r="S1021" s="2">
        <f t="shared" ca="1" si="242"/>
        <v>1</v>
      </c>
      <c r="T1021" s="2">
        <f t="shared" si="243"/>
        <v>0</v>
      </c>
      <c r="U1021" s="110" t="s">
        <v>3267</v>
      </c>
      <c r="V1021" s="110">
        <v>5</v>
      </c>
      <c r="W1021" s="110">
        <v>2</v>
      </c>
      <c r="X1021" s="110">
        <v>0</v>
      </c>
      <c r="Y1021" s="110">
        <v>0</v>
      </c>
      <c r="Z1021" s="110">
        <v>0</v>
      </c>
      <c r="AA1021" s="2">
        <f t="shared" si="244"/>
        <v>1</v>
      </c>
      <c r="AB1021" s="2">
        <f t="shared" si="245"/>
        <v>1</v>
      </c>
      <c r="AC1021" s="2">
        <f t="shared" si="246"/>
        <v>1</v>
      </c>
      <c r="AD1021" s="2">
        <f t="shared" si="247"/>
        <v>1</v>
      </c>
      <c r="AE1021" s="2">
        <f t="shared" si="248"/>
        <v>2</v>
      </c>
      <c r="AF1021" s="2">
        <f t="shared" si="249"/>
        <v>2</v>
      </c>
      <c r="AG1021" s="2">
        <f t="shared" si="250"/>
        <v>2</v>
      </c>
      <c r="AH1021" s="2">
        <f t="shared" si="251"/>
        <v>2</v>
      </c>
      <c r="AI1021" s="2">
        <f t="shared" si="252"/>
        <v>2</v>
      </c>
      <c r="AJ1021" s="2">
        <f t="shared" si="253"/>
        <v>0</v>
      </c>
      <c r="AK1021" s="2">
        <f t="shared" si="254"/>
        <v>0</v>
      </c>
      <c r="AL1021" s="2">
        <f t="shared" si="255"/>
        <v>0</v>
      </c>
      <c r="AM1021" s="115"/>
      <c r="AN1021" s="115"/>
      <c r="AO1021" s="63"/>
    </row>
    <row r="1022" spans="1:41" ht="28.8" x14ac:dyDescent="0.55000000000000004">
      <c r="A1022" s="36">
        <v>3570</v>
      </c>
      <c r="B1022" s="113" t="s">
        <v>3307</v>
      </c>
      <c r="C1022" s="139" t="s">
        <v>3308</v>
      </c>
      <c r="D1022" s="114" t="s">
        <v>55</v>
      </c>
      <c r="E1022" s="115"/>
      <c r="F1022" s="116"/>
      <c r="G1022" s="113" t="s">
        <v>1650</v>
      </c>
      <c r="H1022" s="113" t="s">
        <v>3306</v>
      </c>
      <c r="I1022" s="113" t="s">
        <v>976</v>
      </c>
      <c r="J1022" s="117"/>
      <c r="K1022" s="118"/>
      <c r="L1022" s="109">
        <v>3</v>
      </c>
      <c r="M1022" s="109">
        <v>3</v>
      </c>
      <c r="N1022" s="109"/>
      <c r="O1022" s="119"/>
      <c r="P1022" s="2">
        <f t="shared" si="240"/>
        <v>2</v>
      </c>
      <c r="Q1022" s="110" t="str">
        <f>IF(AND(Drops!$D$45&gt;1,OR(U1022&lt;&gt;U1021,AND(ROW()=5,U1021=U1022))),VLOOKUP(U1022,Drops!$D$26:$E$44,2,FALSE),"")</f>
        <v/>
      </c>
      <c r="R1022" s="2" t="str">
        <f t="shared" si="241"/>
        <v/>
      </c>
      <c r="S1022" s="2">
        <f t="shared" ca="1" si="242"/>
        <v>2</v>
      </c>
      <c r="T1022" s="2">
        <f t="shared" si="243"/>
        <v>0</v>
      </c>
      <c r="U1022" s="110" t="s">
        <v>3267</v>
      </c>
      <c r="V1022" s="110">
        <v>5</v>
      </c>
      <c r="W1022" s="110">
        <v>2</v>
      </c>
      <c r="X1022" s="110">
        <v>1</v>
      </c>
      <c r="Y1022" s="110">
        <v>0</v>
      </c>
      <c r="Z1022" s="110">
        <v>0</v>
      </c>
      <c r="AA1022" s="2">
        <f t="shared" si="244"/>
        <v>1</v>
      </c>
      <c r="AB1022" s="2">
        <f t="shared" si="245"/>
        <v>0</v>
      </c>
      <c r="AC1022" s="2">
        <f t="shared" si="246"/>
        <v>1</v>
      </c>
      <c r="AD1022" s="2">
        <f t="shared" si="247"/>
        <v>1</v>
      </c>
      <c r="AE1022" s="2">
        <f t="shared" si="248"/>
        <v>2</v>
      </c>
      <c r="AF1022" s="2">
        <f t="shared" si="249"/>
        <v>2</v>
      </c>
      <c r="AG1022" s="2">
        <f t="shared" si="250"/>
        <v>2</v>
      </c>
      <c r="AH1022" s="2">
        <f t="shared" si="251"/>
        <v>2</v>
      </c>
      <c r="AI1022" s="2">
        <f t="shared" si="252"/>
        <v>2</v>
      </c>
      <c r="AJ1022" s="2">
        <f t="shared" si="253"/>
        <v>1</v>
      </c>
      <c r="AK1022" s="2">
        <f t="shared" si="254"/>
        <v>0</v>
      </c>
      <c r="AL1022" s="2">
        <f t="shared" si="255"/>
        <v>0</v>
      </c>
      <c r="AM1022" s="115"/>
      <c r="AN1022" s="115"/>
      <c r="AO1022" s="63"/>
    </row>
    <row r="1023" spans="1:41" ht="28.8" x14ac:dyDescent="0.55000000000000004">
      <c r="A1023" s="36">
        <v>3579</v>
      </c>
      <c r="B1023" s="113" t="s">
        <v>3309</v>
      </c>
      <c r="C1023" s="138" t="s">
        <v>3310</v>
      </c>
      <c r="D1023" s="114" t="s">
        <v>52</v>
      </c>
      <c r="E1023" s="115"/>
      <c r="F1023" s="116"/>
      <c r="G1023" s="113" t="s">
        <v>1650</v>
      </c>
      <c r="H1023" s="113" t="s">
        <v>3291</v>
      </c>
      <c r="I1023" s="113" t="s">
        <v>3292</v>
      </c>
      <c r="J1023" s="117"/>
      <c r="K1023" s="118"/>
      <c r="L1023" s="109">
        <v>2</v>
      </c>
      <c r="M1023" s="109">
        <v>3</v>
      </c>
      <c r="N1023" s="109"/>
      <c r="O1023" s="119"/>
      <c r="P1023" s="2">
        <f t="shared" si="240"/>
        <v>1</v>
      </c>
      <c r="Q1023" s="110" t="str">
        <f>IF(AND(Drops!$D$45&gt;1,OR(U1023&lt;&gt;U1022,AND(ROW()=5,U1022=U1023))),VLOOKUP(U1023,Drops!$D$26:$E$44,2,FALSE),"")</f>
        <v/>
      </c>
      <c r="R1023" s="2" t="str">
        <f t="shared" si="241"/>
        <v/>
      </c>
      <c r="S1023" s="2">
        <f t="shared" ca="1" si="242"/>
        <v>1</v>
      </c>
      <c r="T1023" s="2">
        <f t="shared" si="243"/>
        <v>0</v>
      </c>
      <c r="U1023" s="110" t="s">
        <v>3267</v>
      </c>
      <c r="V1023" s="110">
        <v>5</v>
      </c>
      <c r="W1023" s="110">
        <v>3</v>
      </c>
      <c r="X1023" s="110">
        <v>0</v>
      </c>
      <c r="Y1023" s="110">
        <v>0</v>
      </c>
      <c r="Z1023" s="110">
        <v>0</v>
      </c>
      <c r="AA1023" s="2">
        <f t="shared" si="244"/>
        <v>1</v>
      </c>
      <c r="AB1023" s="2">
        <f t="shared" si="245"/>
        <v>0</v>
      </c>
      <c r="AC1023" s="2">
        <f t="shared" si="246"/>
        <v>1</v>
      </c>
      <c r="AD1023" s="2">
        <f t="shared" si="247"/>
        <v>1</v>
      </c>
      <c r="AE1023" s="2">
        <f t="shared" si="248"/>
        <v>0</v>
      </c>
      <c r="AF1023" s="2">
        <f t="shared" si="249"/>
        <v>2</v>
      </c>
      <c r="AG1023" s="2">
        <f t="shared" si="250"/>
        <v>2</v>
      </c>
      <c r="AH1023" s="2">
        <f t="shared" si="251"/>
        <v>2</v>
      </c>
      <c r="AI1023" s="2">
        <f t="shared" si="252"/>
        <v>2</v>
      </c>
      <c r="AJ1023" s="2">
        <f t="shared" si="253"/>
        <v>0</v>
      </c>
      <c r="AK1023" s="2">
        <f t="shared" si="254"/>
        <v>0</v>
      </c>
      <c r="AL1023" s="2">
        <f t="shared" si="255"/>
        <v>0</v>
      </c>
      <c r="AM1023" s="115"/>
      <c r="AN1023" s="115"/>
      <c r="AO1023" s="63"/>
    </row>
    <row r="1024" spans="1:41" ht="28.8" x14ac:dyDescent="0.55000000000000004">
      <c r="A1024" s="36">
        <v>4543</v>
      </c>
      <c r="B1024" s="113" t="s">
        <v>3311</v>
      </c>
      <c r="C1024" s="113" t="s">
        <v>3312</v>
      </c>
      <c r="D1024" s="114" t="s">
        <v>52</v>
      </c>
      <c r="E1024" s="115" t="s">
        <v>3313</v>
      </c>
      <c r="F1024" s="116"/>
      <c r="G1024" s="113" t="s">
        <v>3314</v>
      </c>
      <c r="H1024" s="113" t="s">
        <v>3315</v>
      </c>
      <c r="I1024" s="113" t="s">
        <v>3292</v>
      </c>
      <c r="J1024" s="117"/>
      <c r="K1024" s="118"/>
      <c r="L1024" s="109">
        <v>1</v>
      </c>
      <c r="M1024" s="109">
        <v>2</v>
      </c>
      <c r="N1024" s="109"/>
      <c r="O1024" s="119"/>
      <c r="P1024" s="2">
        <f t="shared" si="240"/>
        <v>1</v>
      </c>
      <c r="Q1024" s="110" t="str">
        <f>IF(AND(Drops!$D$45&gt;1,OR(U1024&lt;&gt;U1023,AND(ROW()=5,U1023=U1024))),VLOOKUP(U1024,Drops!$D$26:$E$44,2,FALSE),"")</f>
        <v/>
      </c>
      <c r="R1024" s="2" t="str">
        <f t="shared" si="241"/>
        <v/>
      </c>
      <c r="S1024" s="2">
        <f t="shared" ca="1" si="242"/>
        <v>1</v>
      </c>
      <c r="T1024" s="2">
        <f t="shared" si="243"/>
        <v>1</v>
      </c>
      <c r="U1024" s="110" t="s">
        <v>3267</v>
      </c>
      <c r="V1024" s="110">
        <v>6</v>
      </c>
      <c r="W1024" s="110">
        <v>0</v>
      </c>
      <c r="X1024" s="110">
        <v>0</v>
      </c>
      <c r="Y1024" s="110">
        <v>0</v>
      </c>
      <c r="Z1024" s="110">
        <v>0</v>
      </c>
      <c r="AA1024" s="2">
        <f t="shared" si="244"/>
        <v>1</v>
      </c>
      <c r="AB1024" s="2">
        <f t="shared" si="245"/>
        <v>1</v>
      </c>
      <c r="AC1024" s="2">
        <f t="shared" si="246"/>
        <v>1</v>
      </c>
      <c r="AD1024" s="2">
        <f t="shared" si="247"/>
        <v>0</v>
      </c>
      <c r="AE1024" s="2">
        <f t="shared" si="248"/>
        <v>0</v>
      </c>
      <c r="AF1024" s="2">
        <f t="shared" si="249"/>
        <v>2</v>
      </c>
      <c r="AG1024" s="2">
        <f t="shared" si="250"/>
        <v>2</v>
      </c>
      <c r="AH1024" s="2">
        <f t="shared" si="251"/>
        <v>2</v>
      </c>
      <c r="AI1024" s="2">
        <f t="shared" si="252"/>
        <v>2</v>
      </c>
      <c r="AJ1024" s="2">
        <f t="shared" si="253"/>
        <v>0</v>
      </c>
      <c r="AK1024" s="2">
        <f t="shared" si="254"/>
        <v>0</v>
      </c>
      <c r="AL1024" s="2">
        <f t="shared" si="255"/>
        <v>0</v>
      </c>
      <c r="AM1024" s="115"/>
      <c r="AN1024" s="115"/>
      <c r="AO1024" s="63"/>
    </row>
    <row r="1025" spans="1:41" ht="43.2" x14ac:dyDescent="0.55000000000000004">
      <c r="A1025" s="36">
        <v>4544</v>
      </c>
      <c r="B1025" s="113" t="s">
        <v>3316</v>
      </c>
      <c r="C1025" s="138" t="s">
        <v>3317</v>
      </c>
      <c r="D1025" s="114" t="s">
        <v>52</v>
      </c>
      <c r="E1025" s="115"/>
      <c r="F1025" s="116"/>
      <c r="G1025" s="113" t="s">
        <v>3314</v>
      </c>
      <c r="H1025" s="113" t="s">
        <v>3315</v>
      </c>
      <c r="I1025" s="113" t="s">
        <v>3292</v>
      </c>
      <c r="J1025" s="117"/>
      <c r="K1025" s="118"/>
      <c r="L1025" s="109">
        <v>2</v>
      </c>
      <c r="M1025" s="109">
        <v>3</v>
      </c>
      <c r="N1025" s="109"/>
      <c r="O1025" s="119"/>
      <c r="P1025" s="2">
        <f t="shared" si="240"/>
        <v>1</v>
      </c>
      <c r="Q1025" s="110" t="str">
        <f>IF(AND(Drops!$D$45&gt;1,OR(U1025&lt;&gt;U1024,AND(ROW()=5,U1024=U1025))),VLOOKUP(U1025,Drops!$D$26:$E$44,2,FALSE),"")</f>
        <v/>
      </c>
      <c r="R1025" s="2" t="str">
        <f t="shared" si="241"/>
        <v/>
      </c>
      <c r="S1025" s="2">
        <f t="shared" ca="1" si="242"/>
        <v>1</v>
      </c>
      <c r="T1025" s="2">
        <f t="shared" si="243"/>
        <v>0</v>
      </c>
      <c r="U1025" s="110" t="s">
        <v>3267</v>
      </c>
      <c r="V1025" s="110">
        <v>6</v>
      </c>
      <c r="W1025" s="110">
        <v>1</v>
      </c>
      <c r="X1025" s="110">
        <v>0</v>
      </c>
      <c r="Y1025" s="110">
        <v>0</v>
      </c>
      <c r="Z1025" s="110">
        <v>0</v>
      </c>
      <c r="AA1025" s="2">
        <f t="shared" si="244"/>
        <v>1</v>
      </c>
      <c r="AB1025" s="2">
        <f t="shared" si="245"/>
        <v>0</v>
      </c>
      <c r="AC1025" s="2">
        <f t="shared" si="246"/>
        <v>1</v>
      </c>
      <c r="AD1025" s="2">
        <f t="shared" si="247"/>
        <v>1</v>
      </c>
      <c r="AE1025" s="2">
        <f t="shared" si="248"/>
        <v>0</v>
      </c>
      <c r="AF1025" s="2">
        <f t="shared" si="249"/>
        <v>2</v>
      </c>
      <c r="AG1025" s="2">
        <f t="shared" si="250"/>
        <v>2</v>
      </c>
      <c r="AH1025" s="2">
        <f t="shared" si="251"/>
        <v>2</v>
      </c>
      <c r="AI1025" s="2">
        <f t="shared" si="252"/>
        <v>2</v>
      </c>
      <c r="AJ1025" s="2">
        <f t="shared" si="253"/>
        <v>0</v>
      </c>
      <c r="AK1025" s="2">
        <f t="shared" si="254"/>
        <v>0</v>
      </c>
      <c r="AL1025" s="2">
        <f t="shared" si="255"/>
        <v>0</v>
      </c>
      <c r="AM1025" s="115"/>
      <c r="AN1025" s="115"/>
      <c r="AO1025" s="63"/>
    </row>
    <row r="1026" spans="1:41" ht="57.6" x14ac:dyDescent="0.55000000000000004">
      <c r="A1026" s="36">
        <v>4545</v>
      </c>
      <c r="B1026" s="113" t="s">
        <v>3318</v>
      </c>
      <c r="C1026" s="138" t="s">
        <v>3319</v>
      </c>
      <c r="D1026" s="114" t="s">
        <v>52</v>
      </c>
      <c r="E1026" s="115" t="s">
        <v>3320</v>
      </c>
      <c r="F1026" s="116"/>
      <c r="G1026" s="113" t="s">
        <v>3314</v>
      </c>
      <c r="H1026" s="113" t="s">
        <v>3315</v>
      </c>
      <c r="I1026" s="113" t="s">
        <v>3292</v>
      </c>
      <c r="J1026" s="117"/>
      <c r="K1026" s="118"/>
      <c r="L1026" s="109">
        <v>2</v>
      </c>
      <c r="M1026" s="109">
        <v>2</v>
      </c>
      <c r="N1026" s="109"/>
      <c r="O1026" s="119"/>
      <c r="P1026" s="2">
        <f t="shared" si="240"/>
        <v>1</v>
      </c>
      <c r="Q1026" s="110" t="str">
        <f>IF(AND(Drops!$D$45&gt;1,OR(U1026&lt;&gt;U1025,AND(ROW()=5,U1025=U1026))),VLOOKUP(U1026,Drops!$D$26:$E$44,2,FALSE),"")</f>
        <v/>
      </c>
      <c r="R1026" s="2" t="str">
        <f t="shared" si="241"/>
        <v/>
      </c>
      <c r="S1026" s="2">
        <f t="shared" ca="1" si="242"/>
        <v>1</v>
      </c>
      <c r="T1026" s="2">
        <f t="shared" si="243"/>
        <v>0</v>
      </c>
      <c r="U1026" s="110" t="s">
        <v>3267</v>
      </c>
      <c r="V1026" s="110">
        <v>6</v>
      </c>
      <c r="W1026" s="110">
        <v>2</v>
      </c>
      <c r="X1026" s="110">
        <v>0</v>
      </c>
      <c r="Y1026" s="110">
        <v>0</v>
      </c>
      <c r="Z1026" s="110">
        <v>0</v>
      </c>
      <c r="AA1026" s="2">
        <f t="shared" si="244"/>
        <v>1</v>
      </c>
      <c r="AB1026" s="2">
        <f t="shared" si="245"/>
        <v>1</v>
      </c>
      <c r="AC1026" s="2">
        <f t="shared" si="246"/>
        <v>1</v>
      </c>
      <c r="AD1026" s="2">
        <f t="shared" si="247"/>
        <v>1</v>
      </c>
      <c r="AE1026" s="2">
        <f t="shared" si="248"/>
        <v>0</v>
      </c>
      <c r="AF1026" s="2">
        <f t="shared" si="249"/>
        <v>2</v>
      </c>
      <c r="AG1026" s="2">
        <f t="shared" si="250"/>
        <v>2</v>
      </c>
      <c r="AH1026" s="2">
        <f t="shared" si="251"/>
        <v>2</v>
      </c>
      <c r="AI1026" s="2">
        <f t="shared" si="252"/>
        <v>2</v>
      </c>
      <c r="AJ1026" s="2">
        <f t="shared" si="253"/>
        <v>0</v>
      </c>
      <c r="AK1026" s="2">
        <f t="shared" si="254"/>
        <v>0</v>
      </c>
      <c r="AL1026" s="2">
        <f t="shared" si="255"/>
        <v>0</v>
      </c>
      <c r="AM1026" s="115"/>
      <c r="AN1026" s="115"/>
      <c r="AO1026" s="63"/>
    </row>
    <row r="1027" spans="1:41" ht="43.2" x14ac:dyDescent="0.55000000000000004">
      <c r="A1027" s="36">
        <v>4546</v>
      </c>
      <c r="B1027" s="113" t="s">
        <v>3321</v>
      </c>
      <c r="C1027" s="139" t="s">
        <v>3322</v>
      </c>
      <c r="D1027" s="114" t="s">
        <v>52</v>
      </c>
      <c r="E1027" s="115"/>
      <c r="F1027" s="116"/>
      <c r="G1027" s="113" t="s">
        <v>3314</v>
      </c>
      <c r="H1027" s="113" t="s">
        <v>3315</v>
      </c>
      <c r="I1027" s="113" t="s">
        <v>3292</v>
      </c>
      <c r="J1027" s="117"/>
      <c r="K1027" s="118"/>
      <c r="L1027" s="109">
        <v>3</v>
      </c>
      <c r="M1027" s="109">
        <v>3</v>
      </c>
      <c r="N1027" s="109"/>
      <c r="O1027" s="119"/>
      <c r="P1027" s="2">
        <f t="shared" si="240"/>
        <v>1</v>
      </c>
      <c r="Q1027" s="110" t="str">
        <f>IF(AND(Drops!$D$45&gt;1,OR(U1027&lt;&gt;U1026,AND(ROW()=5,U1026=U1027))),VLOOKUP(U1027,Drops!$D$26:$E$44,2,FALSE),"")</f>
        <v/>
      </c>
      <c r="R1027" s="2" t="str">
        <f t="shared" si="241"/>
        <v/>
      </c>
      <c r="S1027" s="2">
        <f t="shared" ca="1" si="242"/>
        <v>1</v>
      </c>
      <c r="T1027" s="2">
        <f t="shared" si="243"/>
        <v>0</v>
      </c>
      <c r="U1027" s="110" t="s">
        <v>3267</v>
      </c>
      <c r="V1027" s="110">
        <v>6</v>
      </c>
      <c r="W1027" s="110">
        <v>2</v>
      </c>
      <c r="X1027" s="110">
        <v>1</v>
      </c>
      <c r="Y1027" s="110">
        <v>0</v>
      </c>
      <c r="Z1027" s="110">
        <v>0</v>
      </c>
      <c r="AA1027" s="2">
        <f t="shared" si="244"/>
        <v>1</v>
      </c>
      <c r="AB1027" s="2">
        <f t="shared" si="245"/>
        <v>0</v>
      </c>
      <c r="AC1027" s="2">
        <f t="shared" si="246"/>
        <v>1</v>
      </c>
      <c r="AD1027" s="2">
        <f t="shared" si="247"/>
        <v>1</v>
      </c>
      <c r="AE1027" s="2">
        <f t="shared" si="248"/>
        <v>1</v>
      </c>
      <c r="AF1027" s="2">
        <f t="shared" si="249"/>
        <v>2</v>
      </c>
      <c r="AG1027" s="2">
        <f t="shared" si="250"/>
        <v>2</v>
      </c>
      <c r="AH1027" s="2">
        <f t="shared" si="251"/>
        <v>2</v>
      </c>
      <c r="AI1027" s="2">
        <f t="shared" si="252"/>
        <v>2</v>
      </c>
      <c r="AJ1027" s="2">
        <f t="shared" si="253"/>
        <v>2</v>
      </c>
      <c r="AK1027" s="2">
        <f t="shared" si="254"/>
        <v>0</v>
      </c>
      <c r="AL1027" s="2">
        <f t="shared" si="255"/>
        <v>0</v>
      </c>
      <c r="AM1027" s="115"/>
      <c r="AN1027" s="115"/>
      <c r="AO1027" s="63"/>
    </row>
    <row r="1028" spans="1:41" ht="72" x14ac:dyDescent="0.55000000000000004">
      <c r="A1028" s="36">
        <v>4547</v>
      </c>
      <c r="B1028" s="113" t="s">
        <v>3323</v>
      </c>
      <c r="C1028" s="138" t="s">
        <v>3324</v>
      </c>
      <c r="D1028" s="114" t="s">
        <v>52</v>
      </c>
      <c r="E1028" s="115" t="s">
        <v>3325</v>
      </c>
      <c r="F1028" s="116"/>
      <c r="G1028" s="113" t="s">
        <v>3314</v>
      </c>
      <c r="H1028" s="113" t="s">
        <v>3326</v>
      </c>
      <c r="I1028" s="113" t="s">
        <v>3292</v>
      </c>
      <c r="J1028" s="117"/>
      <c r="K1028" s="118"/>
      <c r="L1028" s="109">
        <v>2</v>
      </c>
      <c r="M1028" s="109">
        <v>3</v>
      </c>
      <c r="N1028" s="109"/>
      <c r="O1028" s="119"/>
      <c r="P1028" s="2">
        <f t="shared" si="240"/>
        <v>1</v>
      </c>
      <c r="Q1028" s="110" t="str">
        <f>IF(AND(Drops!$D$45&gt;1,OR(U1028&lt;&gt;U1027,AND(ROW()=5,U1027=U1028))),VLOOKUP(U1028,Drops!$D$26:$E$44,2,FALSE),"")</f>
        <v/>
      </c>
      <c r="R1028" s="2" t="str">
        <f t="shared" si="241"/>
        <v/>
      </c>
      <c r="S1028" s="2">
        <f t="shared" ca="1" si="242"/>
        <v>1</v>
      </c>
      <c r="T1028" s="2">
        <f t="shared" si="243"/>
        <v>0</v>
      </c>
      <c r="U1028" s="110" t="s">
        <v>3267</v>
      </c>
      <c r="V1028" s="110">
        <v>6</v>
      </c>
      <c r="W1028" s="110">
        <v>3</v>
      </c>
      <c r="X1028" s="110">
        <v>0</v>
      </c>
      <c r="Y1028" s="110">
        <v>0</v>
      </c>
      <c r="Z1028" s="110">
        <v>0</v>
      </c>
      <c r="AA1028" s="2">
        <f t="shared" si="244"/>
        <v>1</v>
      </c>
      <c r="AB1028" s="2">
        <f t="shared" si="245"/>
        <v>1</v>
      </c>
      <c r="AC1028" s="2">
        <f t="shared" si="246"/>
        <v>1</v>
      </c>
      <c r="AD1028" s="2">
        <f t="shared" si="247"/>
        <v>1</v>
      </c>
      <c r="AE1028" s="2">
        <f t="shared" si="248"/>
        <v>0</v>
      </c>
      <c r="AF1028" s="2">
        <f t="shared" si="249"/>
        <v>2</v>
      </c>
      <c r="AG1028" s="2">
        <f t="shared" si="250"/>
        <v>2</v>
      </c>
      <c r="AH1028" s="2">
        <f t="shared" si="251"/>
        <v>2</v>
      </c>
      <c r="AI1028" s="2">
        <f t="shared" si="252"/>
        <v>2</v>
      </c>
      <c r="AJ1028" s="2">
        <f t="shared" si="253"/>
        <v>2</v>
      </c>
      <c r="AK1028" s="2">
        <f t="shared" si="254"/>
        <v>0</v>
      </c>
      <c r="AL1028" s="2">
        <f t="shared" si="255"/>
        <v>0</v>
      </c>
      <c r="AM1028" s="115"/>
      <c r="AN1028" s="115"/>
      <c r="AO1028" s="63"/>
    </row>
    <row r="1029" spans="1:41" ht="28.8" x14ac:dyDescent="0.55000000000000004">
      <c r="A1029" s="36">
        <v>4548</v>
      </c>
      <c r="B1029" s="113" t="s">
        <v>3327</v>
      </c>
      <c r="C1029" s="139" t="s">
        <v>3328</v>
      </c>
      <c r="D1029" s="114" t="s">
        <v>55</v>
      </c>
      <c r="E1029" s="115" t="s">
        <v>3329</v>
      </c>
      <c r="F1029" s="116"/>
      <c r="G1029" s="113" t="s">
        <v>3314</v>
      </c>
      <c r="H1029" s="113" t="s">
        <v>3326</v>
      </c>
      <c r="I1029" s="113" t="s">
        <v>3292</v>
      </c>
      <c r="J1029" s="117"/>
      <c r="K1029" s="118"/>
      <c r="L1029" s="109">
        <v>3</v>
      </c>
      <c r="M1029" s="109">
        <v>3</v>
      </c>
      <c r="N1029" s="109"/>
      <c r="O1029" s="119"/>
      <c r="P1029" s="2">
        <f t="shared" si="240"/>
        <v>2</v>
      </c>
      <c r="Q1029" s="110" t="str">
        <f>IF(AND(Drops!$D$45&gt;1,OR(U1029&lt;&gt;U1028,AND(ROW()=5,U1028=U1029))),VLOOKUP(U1029,Drops!$D$26:$E$44,2,FALSE),"")</f>
        <v/>
      </c>
      <c r="R1029" s="2" t="str">
        <f t="shared" si="241"/>
        <v/>
      </c>
      <c r="S1029" s="2">
        <f t="shared" ca="1" si="242"/>
        <v>2</v>
      </c>
      <c r="T1029" s="2">
        <f t="shared" si="243"/>
        <v>0</v>
      </c>
      <c r="U1029" s="110" t="s">
        <v>3267</v>
      </c>
      <c r="V1029" s="110">
        <v>6</v>
      </c>
      <c r="W1029" s="110">
        <v>3</v>
      </c>
      <c r="X1029" s="110">
        <v>1</v>
      </c>
      <c r="Y1029" s="110">
        <v>0</v>
      </c>
      <c r="Z1029" s="110">
        <v>0</v>
      </c>
      <c r="AA1029" s="2">
        <f t="shared" si="244"/>
        <v>1</v>
      </c>
      <c r="AB1029" s="2">
        <f t="shared" si="245"/>
        <v>0</v>
      </c>
      <c r="AC1029" s="2">
        <f t="shared" si="246"/>
        <v>1</v>
      </c>
      <c r="AD1029" s="2">
        <f t="shared" si="247"/>
        <v>1</v>
      </c>
      <c r="AE1029" s="2">
        <f t="shared" si="248"/>
        <v>2</v>
      </c>
      <c r="AF1029" s="2">
        <f t="shared" si="249"/>
        <v>2</v>
      </c>
      <c r="AG1029" s="2">
        <f t="shared" si="250"/>
        <v>2</v>
      </c>
      <c r="AH1029" s="2">
        <f t="shared" si="251"/>
        <v>2</v>
      </c>
      <c r="AI1029" s="2">
        <f t="shared" si="252"/>
        <v>2</v>
      </c>
      <c r="AJ1029" s="2">
        <f t="shared" si="253"/>
        <v>1</v>
      </c>
      <c r="AK1029" s="2">
        <f t="shared" si="254"/>
        <v>0</v>
      </c>
      <c r="AL1029" s="2">
        <f t="shared" si="255"/>
        <v>0</v>
      </c>
      <c r="AM1029" s="115"/>
      <c r="AN1029" s="115"/>
      <c r="AO1029" s="63"/>
    </row>
  </sheetData>
  <sheetProtection algorithmName="SHA-512" hashValue="pRCs/CG4lm+WY3WQNU4/trWlrjVKSrNzWc7a0ZahNQXFvP4e1vvENnOr8Zs5ef+Nx9RKM6iKmY2Yj02VDimV2Q==" saltValue="JK+fgt4pn41W5o1rXpGpIQ==" spinCount="100000" sheet="1" objects="1" scenarios="1"/>
  <autoFilter ref="AA4:AA1029" xr:uid="{1F431E5C-201F-4DC5-8FDF-64CED9035983}">
    <filterColumn colId="0">
      <filters>
        <filter val="1"/>
      </filters>
    </filterColumn>
  </autoFilter>
  <mergeCells count="1">
    <mergeCell ref="B3:K3"/>
  </mergeCells>
  <conditionalFormatting sqref="C5:C1029">
    <cfRule type="expression" dxfId="5" priority="3">
      <formula>$AB5=1</formula>
    </cfRule>
  </conditionalFormatting>
  <conditionalFormatting sqref="D5:D1029">
    <cfRule type="expression" dxfId="4" priority="4">
      <formula>S5=1</formula>
    </cfRule>
    <cfRule type="expression" dxfId="3" priority="5">
      <formula>S5=3</formula>
    </cfRule>
    <cfRule type="expression" dxfId="2" priority="6">
      <formula>S5=2</formula>
    </cfRule>
  </conditionalFormatting>
  <conditionalFormatting sqref="E2">
    <cfRule type="dataBar" priority="2">
      <dataBar>
        <cfvo type="num" val="0"/>
        <cfvo type="num" val="1"/>
        <color rgb="FFA7A9AC"/>
      </dataBar>
      <extLst>
        <ext xmlns:x14="http://schemas.microsoft.com/office/spreadsheetml/2009/9/main" uri="{B025F937-C7B1-47D3-B67F-A62EFF666E3E}">
          <x14:id>{B1045B5E-DB30-46FA-9C61-CE58315D508A}</x14:id>
        </ext>
      </extLst>
    </cfRule>
  </conditionalFormatting>
  <conditionalFormatting sqref="H1">
    <cfRule type="expression" dxfId="1" priority="1">
      <formula>$H$1=""</formula>
    </cfRule>
  </conditionalFormatting>
  <dataValidations count="5">
    <dataValidation allowBlank="1" showErrorMessage="1" errorTitle="INVALID ANSWER!!" error="Please answer only Yes, No or N/A in this field.  Any additional information should be provided in the &quot;SP-Additional Information&quot; cell to the right." promptTitle="Select Yes, No or N/A" prompt="If N/A is chosen additional information MUST be provided in the &quot;SP- Additional Information&quot; cell to the right." sqref="E5:E1029" xr:uid="{20A2C594-F406-4466-B97D-61A92F13C496}"/>
    <dataValidation type="list" allowBlank="1" showInputMessage="1" showErrorMessage="1" promptTitle="Select 1 - 5" prompt="1 - Informal, ad hoc process without formal implementation_x000a_ 2 - Partially in place with no approved plans to further implement_x000a_3 - Partially in place with approved plans to further implement_x000a_4 - In place with exclusions_x000a_5 - In place with no exclusions" sqref="F5:F1029" xr:uid="{104F7AFA-103C-42F6-BB8C-407040C8C131}">
      <formula1>$V$2:$AB$2</formula1>
    </dataValidation>
    <dataValidation type="list" allowBlank="1" showInputMessage="1" showErrorMessage="1" promptTitle="Select Yes, No or N/A" prompt="If N/A is chosen an explanation MUST be provided in the Additional Information cell." sqref="D5:D1029" xr:uid="{5A560980-7926-498C-872B-531407B15328}">
      <formula1>$V$1:$Y$1</formula1>
    </dataValidation>
    <dataValidation allowBlank="1" sqref="J4" xr:uid="{D8566849-0815-4426-8F17-D6F0387C3BE5}"/>
    <dataValidation type="list" allowBlank="1" showInputMessage="1" showErrorMessage="1" sqref="I2" xr:uid="{356AC554-1EBF-4F02-B729-F774E04A1178}">
      <formula1>$AA$1:$AB$1</formula1>
    </dataValidation>
  </dataValidations>
  <pageMargins left="0.25" right="0.25" top="0.75" bottom="0.75" header="0.3" footer="0.3"/>
  <pageSetup scale="61" fitToHeight="0" orientation="landscape" r:id="rId1"/>
  <headerFooter>
    <oddHeader>&amp;L&amp;K756762Shared Assessments Program&amp;C&amp;K756762Standardized Information Gathering (SIG) Questionnaire&amp;R&amp;R Version 2021</oddHeader>
    <oddFooter>&amp;L&amp;K756762&amp;A&amp;C&amp;K756762Page &amp;P of &amp;N Page(s)</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Jump To">
              <controlPr defaultSize="0" autoLine="0" autoPict="0" macro="[0]!Sheet26.JumpTo">
                <anchor moveWithCells="1">
                  <from>
                    <xdr:col>7</xdr:col>
                    <xdr:colOff>1283970</xdr:colOff>
                    <xdr:row>0</xdr:row>
                    <xdr:rowOff>49530</xdr:rowOff>
                  </from>
                  <to>
                    <xdr:col>9</xdr:col>
                    <xdr:colOff>190500</xdr:colOff>
                    <xdr:row>0</xdr:row>
                    <xdr:rowOff>240030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B1045B5E-DB30-46FA-9C61-CE58315D508A}">
            <x14:dataBar minLength="0" maxLength="100" gradient="0">
              <x14:cfvo type="num">
                <xm:f>0</xm:f>
              </x14:cfvo>
              <x14:cfvo type="num">
                <xm:f>1</xm:f>
              </x14:cfvo>
              <x14:negativeFillColor rgb="FFFF0000"/>
              <x14:axisColor rgb="FF000000"/>
            </x14:dataBar>
          </x14:cfRule>
          <xm:sqref>E2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D75D6-983C-4720-A0FD-5AE65B374603}">
  <sheetPr codeName="Sheet28">
    <pageSetUpPr fitToPage="1"/>
  </sheetPr>
  <dimension ref="B1:E51"/>
  <sheetViews>
    <sheetView showGridLines="0" showZeros="0" topLeftCell="A37" zoomScale="85" workbookViewId="0">
      <selection activeCell="C58" sqref="C58"/>
    </sheetView>
  </sheetViews>
  <sheetFormatPr defaultColWidth="8.68359375" defaultRowHeight="14.4" x14ac:dyDescent="0.55000000000000004"/>
  <cols>
    <col min="1" max="1" width="0.68359375" style="50" customWidth="1"/>
    <col min="2" max="2" width="34.83984375" style="50" customWidth="1"/>
    <col min="3" max="3" width="104.47265625" style="120" customWidth="1"/>
    <col min="4" max="4" width="14.15625" style="50" customWidth="1"/>
    <col min="5" max="5" width="33.47265625" style="50" customWidth="1"/>
    <col min="6" max="11" width="8.68359375" style="50"/>
    <col min="12" max="30" width="8.68359375" style="50" customWidth="1"/>
    <col min="31" max="31" width="8.68359375" style="50"/>
    <col min="32" max="33" width="8.68359375" style="50" customWidth="1"/>
    <col min="34" max="16384" width="8.68359375" style="50"/>
  </cols>
  <sheetData>
    <row r="1" spans="2:5" ht="3.75" customHeight="1" x14ac:dyDescent="0.55000000000000004"/>
    <row r="2" spans="2:5" ht="23.1" x14ac:dyDescent="0.55000000000000004">
      <c r="B2" s="77" t="s">
        <v>81</v>
      </c>
      <c r="C2" s="121"/>
    </row>
    <row r="3" spans="2:5" x14ac:dyDescent="0.55000000000000004">
      <c r="B3" s="122" t="s">
        <v>3330</v>
      </c>
      <c r="C3" s="123" t="s">
        <v>3331</v>
      </c>
    </row>
    <row r="4" spans="2:5" ht="43.2" x14ac:dyDescent="0.55000000000000004">
      <c r="B4" s="124" t="s">
        <v>3332</v>
      </c>
      <c r="C4" s="125" t="s">
        <v>3333</v>
      </c>
      <c r="D4" s="36"/>
    </row>
    <row r="5" spans="2:5" ht="28.8" x14ac:dyDescent="0.5">
      <c r="B5" s="126" t="s">
        <v>3334</v>
      </c>
      <c r="C5" s="125" t="s">
        <v>3335</v>
      </c>
      <c r="E5" s="2"/>
    </row>
    <row r="6" spans="2:5" ht="28.8" x14ac:dyDescent="0.5">
      <c r="B6" s="124" t="s">
        <v>3336</v>
      </c>
      <c r="C6" s="125" t="s">
        <v>3337</v>
      </c>
      <c r="E6" s="2"/>
    </row>
    <row r="7" spans="2:5" ht="72" x14ac:dyDescent="0.5">
      <c r="B7" s="124" t="s">
        <v>3338</v>
      </c>
      <c r="C7" s="125" t="s">
        <v>3339</v>
      </c>
      <c r="E7" s="2"/>
    </row>
    <row r="8" spans="2:5" ht="43.2" x14ac:dyDescent="0.5">
      <c r="B8" s="124" t="s">
        <v>3340</v>
      </c>
      <c r="C8" s="125" t="s">
        <v>3341</v>
      </c>
      <c r="E8" s="2"/>
    </row>
    <row r="9" spans="2:5" x14ac:dyDescent="0.5">
      <c r="B9" s="124" t="s">
        <v>3342</v>
      </c>
      <c r="C9" s="125" t="s">
        <v>3343</v>
      </c>
      <c r="E9" s="2"/>
    </row>
    <row r="10" spans="2:5" ht="28.8" x14ac:dyDescent="0.5">
      <c r="B10" s="124" t="s">
        <v>3344</v>
      </c>
      <c r="C10" s="125" t="s">
        <v>3345</v>
      </c>
      <c r="E10" s="2"/>
    </row>
    <row r="11" spans="2:5" ht="28.8" x14ac:dyDescent="0.55000000000000004">
      <c r="B11" s="124" t="s">
        <v>3346</v>
      </c>
      <c r="C11" s="125" t="s">
        <v>3347</v>
      </c>
    </row>
    <row r="12" spans="2:5" ht="43.2" x14ac:dyDescent="0.55000000000000004">
      <c r="B12" s="124" t="s">
        <v>3348</v>
      </c>
      <c r="C12" s="125" t="s">
        <v>3349</v>
      </c>
    </row>
    <row r="13" spans="2:5" ht="57.6" x14ac:dyDescent="0.55000000000000004">
      <c r="B13" s="124" t="s">
        <v>3350</v>
      </c>
      <c r="C13" s="125" t="s">
        <v>3351</v>
      </c>
    </row>
    <row r="14" spans="2:5" ht="57.6" x14ac:dyDescent="0.55000000000000004">
      <c r="B14" s="124" t="s">
        <v>3352</v>
      </c>
      <c r="C14" s="125" t="s">
        <v>3353</v>
      </c>
    </row>
    <row r="15" spans="2:5" ht="43.2" x14ac:dyDescent="0.55000000000000004">
      <c r="B15" s="124" t="s">
        <v>3354</v>
      </c>
      <c r="C15" s="125" t="s">
        <v>3355</v>
      </c>
    </row>
    <row r="16" spans="2:5" ht="28.8" x14ac:dyDescent="0.55000000000000004">
      <c r="B16" s="124" t="s">
        <v>3356</v>
      </c>
      <c r="C16" s="125" t="s">
        <v>3357</v>
      </c>
    </row>
    <row r="17" spans="2:3" ht="28.8" x14ac:dyDescent="0.55000000000000004">
      <c r="B17" s="124" t="s">
        <v>3358</v>
      </c>
      <c r="C17" s="125" t="s">
        <v>3359</v>
      </c>
    </row>
    <row r="18" spans="2:3" ht="28.8" x14ac:dyDescent="0.55000000000000004">
      <c r="B18" s="124" t="s">
        <v>3360</v>
      </c>
      <c r="C18" s="125" t="s">
        <v>3361</v>
      </c>
    </row>
    <row r="19" spans="2:3" ht="57.6" x14ac:dyDescent="0.55000000000000004">
      <c r="B19" s="124" t="s">
        <v>3362</v>
      </c>
      <c r="C19" s="125" t="s">
        <v>3363</v>
      </c>
    </row>
    <row r="20" spans="2:3" ht="43.2" x14ac:dyDescent="0.55000000000000004">
      <c r="B20" s="124" t="s">
        <v>3364</v>
      </c>
      <c r="C20" s="125" t="s">
        <v>3365</v>
      </c>
    </row>
    <row r="21" spans="2:3" ht="28.8" x14ac:dyDescent="0.55000000000000004">
      <c r="B21" s="124" t="s">
        <v>3366</v>
      </c>
      <c r="C21" s="125" t="s">
        <v>3367</v>
      </c>
    </row>
    <row r="22" spans="2:3" ht="28.8" x14ac:dyDescent="0.55000000000000004">
      <c r="B22" s="124" t="s">
        <v>3368</v>
      </c>
      <c r="C22" s="125" t="s">
        <v>3369</v>
      </c>
    </row>
    <row r="23" spans="2:3" ht="28.8" x14ac:dyDescent="0.55000000000000004">
      <c r="B23" s="124" t="s">
        <v>3370</v>
      </c>
      <c r="C23" s="125" t="s">
        <v>3371</v>
      </c>
    </row>
    <row r="24" spans="2:3" x14ac:dyDescent="0.55000000000000004">
      <c r="B24" s="124" t="s">
        <v>3372</v>
      </c>
      <c r="C24" s="125" t="s">
        <v>3373</v>
      </c>
    </row>
    <row r="25" spans="2:3" ht="72" x14ac:dyDescent="0.55000000000000004">
      <c r="B25" s="124" t="s">
        <v>3374</v>
      </c>
      <c r="C25" s="125" t="s">
        <v>3375</v>
      </c>
    </row>
    <row r="26" spans="2:3" ht="28.8" x14ac:dyDescent="0.55000000000000004">
      <c r="B26" s="124" t="s">
        <v>3376</v>
      </c>
      <c r="C26" s="125" t="s">
        <v>3377</v>
      </c>
    </row>
    <row r="27" spans="2:3" ht="28.8" x14ac:dyDescent="0.55000000000000004">
      <c r="B27" s="124" t="s">
        <v>3378</v>
      </c>
      <c r="C27" s="125" t="s">
        <v>3379</v>
      </c>
    </row>
    <row r="28" spans="2:3" ht="28.8" x14ac:dyDescent="0.55000000000000004">
      <c r="B28" s="124" t="s">
        <v>3380</v>
      </c>
      <c r="C28" s="125" t="s">
        <v>3381</v>
      </c>
    </row>
    <row r="29" spans="2:3" ht="43.2" x14ac:dyDescent="0.55000000000000004">
      <c r="B29" s="124" t="s">
        <v>3382</v>
      </c>
      <c r="C29" s="125" t="s">
        <v>3383</v>
      </c>
    </row>
    <row r="30" spans="2:3" ht="28.8" x14ac:dyDescent="0.55000000000000004">
      <c r="B30" s="124" t="s">
        <v>3384</v>
      </c>
      <c r="C30" s="125" t="s">
        <v>3385</v>
      </c>
    </row>
    <row r="31" spans="2:3" ht="28.8" x14ac:dyDescent="0.55000000000000004">
      <c r="B31" s="124" t="s">
        <v>3386</v>
      </c>
      <c r="C31" s="125" t="s">
        <v>3387</v>
      </c>
    </row>
    <row r="32" spans="2:3" ht="28.8" x14ac:dyDescent="0.55000000000000004">
      <c r="B32" s="124" t="s">
        <v>3388</v>
      </c>
      <c r="C32" s="125" t="s">
        <v>3389</v>
      </c>
    </row>
    <row r="33" spans="2:4" x14ac:dyDescent="0.5">
      <c r="B33" s="127" t="s">
        <v>3390</v>
      </c>
      <c r="C33" s="128" t="s">
        <v>3391</v>
      </c>
      <c r="D33" s="2"/>
    </row>
    <row r="34" spans="2:4" x14ac:dyDescent="0.5">
      <c r="B34" s="126" t="s">
        <v>483</v>
      </c>
      <c r="C34" s="125" t="s">
        <v>3392</v>
      </c>
      <c r="D34" s="2"/>
    </row>
    <row r="35" spans="2:4" x14ac:dyDescent="0.55000000000000004">
      <c r="B35" s="126" t="s">
        <v>3393</v>
      </c>
      <c r="C35" s="125" t="s">
        <v>3394</v>
      </c>
    </row>
    <row r="36" spans="2:4" x14ac:dyDescent="0.55000000000000004">
      <c r="B36" s="126" t="s">
        <v>3395</v>
      </c>
      <c r="C36" s="125"/>
    </row>
    <row r="37" spans="2:4" x14ac:dyDescent="0.55000000000000004">
      <c r="B37" s="126" t="s">
        <v>3396</v>
      </c>
      <c r="C37" s="125"/>
    </row>
    <row r="38" spans="2:4" x14ac:dyDescent="0.55000000000000004">
      <c r="B38" s="126" t="s">
        <v>1442</v>
      </c>
      <c r="C38" s="125" t="s">
        <v>3397</v>
      </c>
    </row>
    <row r="39" spans="2:4" x14ac:dyDescent="0.55000000000000004">
      <c r="B39" s="126" t="s">
        <v>1744</v>
      </c>
      <c r="C39" s="125" t="s">
        <v>3398</v>
      </c>
    </row>
    <row r="40" spans="2:4" x14ac:dyDescent="0.55000000000000004">
      <c r="B40" s="126" t="s">
        <v>1846</v>
      </c>
      <c r="C40" s="125" t="s">
        <v>3399</v>
      </c>
    </row>
    <row r="41" spans="2:4" x14ac:dyDescent="0.55000000000000004">
      <c r="B41" s="126" t="s">
        <v>3400</v>
      </c>
      <c r="C41" s="125" t="s">
        <v>3401</v>
      </c>
    </row>
    <row r="42" spans="2:4" x14ac:dyDescent="0.55000000000000004">
      <c r="B42" s="126" t="s">
        <v>2694</v>
      </c>
      <c r="C42" s="125" t="s">
        <v>3402</v>
      </c>
    </row>
    <row r="43" spans="2:4" x14ac:dyDescent="0.55000000000000004">
      <c r="B43" s="126" t="s">
        <v>3403</v>
      </c>
      <c r="C43" s="125" t="s">
        <v>3404</v>
      </c>
    </row>
    <row r="44" spans="2:4" x14ac:dyDescent="0.55000000000000004">
      <c r="B44" s="126" t="s">
        <v>3405</v>
      </c>
      <c r="C44" s="125" t="s">
        <v>3406</v>
      </c>
    </row>
    <row r="45" spans="2:4" x14ac:dyDescent="0.55000000000000004">
      <c r="B45" s="126" t="s">
        <v>3407</v>
      </c>
      <c r="C45" s="125" t="s">
        <v>3408</v>
      </c>
    </row>
    <row r="46" spans="2:4" x14ac:dyDescent="0.55000000000000004">
      <c r="B46" s="126" t="s">
        <v>3019</v>
      </c>
      <c r="C46" s="125" t="s">
        <v>3409</v>
      </c>
    </row>
    <row r="47" spans="2:4" x14ac:dyDescent="0.55000000000000004">
      <c r="B47" s="126" t="s">
        <v>3102</v>
      </c>
      <c r="C47" s="125" t="s">
        <v>3410</v>
      </c>
    </row>
    <row r="48" spans="2:4" x14ac:dyDescent="0.55000000000000004">
      <c r="B48" s="126" t="s">
        <v>3267</v>
      </c>
      <c r="C48" s="125" t="s">
        <v>3411</v>
      </c>
    </row>
    <row r="49" spans="2:3" x14ac:dyDescent="0.55000000000000004">
      <c r="B49" s="126" t="s">
        <v>3412</v>
      </c>
      <c r="C49" s="125" t="s">
        <v>3413</v>
      </c>
    </row>
    <row r="50" spans="2:3" x14ac:dyDescent="0.55000000000000004">
      <c r="B50" s="126" t="s">
        <v>3414</v>
      </c>
      <c r="C50" s="125" t="s">
        <v>3415</v>
      </c>
    </row>
    <row r="51" spans="2:3" x14ac:dyDescent="0.55000000000000004">
      <c r="B51" s="126" t="s">
        <v>3416</v>
      </c>
      <c r="C51" s="129" t="s">
        <v>3417</v>
      </c>
    </row>
  </sheetData>
  <sheetProtection algorithmName="SHA-512" hashValue="pzF+zLWHt6xI3gcX2lyKCE3DkiF8hpLVqrmeOJnFO4H7IXbVSbTJlqu7eMfoAg8kRBVQkqg8rIjfHZjvozzsBg==" saltValue="4lfbBTDE0Wt4f9oDsWePiw==" spinCount="100000" sheet="1" objects="1" scenarios="1"/>
  <pageMargins left="0.25" right="0.25" top="0.75" bottom="0.75" header="0.3" footer="0.3"/>
  <pageSetup scale="92" fitToHeight="0" orientation="landscape" r:id="rId1"/>
  <headerFooter>
    <oddHeader>&amp;L&amp;K756762Shared Assessments Program&amp;C&amp;K756762Standardized Information Gathering (SIG) Questionnaire&amp;R&amp;K756762 Version 2019</oddHeader>
    <oddFooter>&amp;L&amp;K756762&amp;A&amp;C&amp;K756762Page &amp;P of &amp;N Page(s)</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69" r:id="rId4" name="ExportJSON">
              <controlPr defaultSize="0" print="0" autoFill="0" autoPict="0">
                <anchor moveWithCells="1">
                  <from>
                    <xdr:col>2</xdr:col>
                    <xdr:colOff>5932170</xdr:colOff>
                    <xdr:row>1</xdr:row>
                    <xdr:rowOff>125730</xdr:rowOff>
                  </from>
                  <to>
                    <xdr:col>3</xdr:col>
                    <xdr:colOff>0</xdr:colOff>
                    <xdr:row>2</xdr:row>
                    <xdr:rowOff>64770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439D-AABD-4A12-93BE-6E97BA7BBFA9}">
  <sheetPr codeName="Sheet30"/>
  <dimension ref="A1:M1026"/>
  <sheetViews>
    <sheetView showGridLines="0" zoomScale="85" zoomScaleNormal="85" workbookViewId="0">
      <pane ySplit="1" topLeftCell="A2" activePane="bottomLeft" state="frozen"/>
      <selection sqref="A1:XFD1048576"/>
      <selection pane="bottomLeft"/>
    </sheetView>
  </sheetViews>
  <sheetFormatPr defaultColWidth="8.68359375" defaultRowHeight="12.9" x14ac:dyDescent="0.5"/>
  <cols>
    <col min="1" max="1" width="12.68359375" style="2" bestFit="1" customWidth="1"/>
    <col min="2" max="2" width="15.47265625" style="2" bestFit="1" customWidth="1"/>
    <col min="3" max="3" width="41.3125" style="2" bestFit="1" customWidth="1"/>
    <col min="4" max="4" width="15.3125" style="2" bestFit="1" customWidth="1"/>
    <col min="5" max="5" width="29.15625" style="2" customWidth="1"/>
    <col min="6" max="6" width="13.47265625" style="2" hidden="1" customWidth="1"/>
    <col min="7" max="7" width="18.15625" style="2" customWidth="1"/>
    <col min="8" max="8" width="18.47265625" style="2" bestFit="1" customWidth="1"/>
    <col min="9" max="9" width="21" style="2" bestFit="1" customWidth="1"/>
    <col min="10" max="10" width="45.47265625" style="2" customWidth="1"/>
    <col min="11" max="12" width="28.3125" style="2" hidden="1" customWidth="1"/>
    <col min="13" max="13" width="17.3125" style="2" hidden="1" customWidth="1"/>
    <col min="14" max="16384" width="8.68359375" style="2"/>
  </cols>
  <sheetData>
    <row r="1" spans="1:13" ht="14.4" x14ac:dyDescent="0.5">
      <c r="A1" s="40" t="s">
        <v>3418</v>
      </c>
      <c r="B1" s="60" t="s">
        <v>467</v>
      </c>
      <c r="C1" s="60" t="s">
        <v>3419</v>
      </c>
      <c r="D1" s="60" t="s">
        <v>468</v>
      </c>
      <c r="E1" s="60" t="s">
        <v>469</v>
      </c>
      <c r="F1" s="60" t="s">
        <v>470</v>
      </c>
      <c r="G1" s="60" t="s">
        <v>471</v>
      </c>
      <c r="H1" s="60" t="s">
        <v>3420</v>
      </c>
      <c r="I1" s="106" t="s">
        <v>3421</v>
      </c>
      <c r="J1" s="106" t="s">
        <v>473</v>
      </c>
      <c r="K1" s="106" t="s">
        <v>3422</v>
      </c>
      <c r="L1" s="106" t="s">
        <v>3423</v>
      </c>
      <c r="M1" s="106" t="s">
        <v>3424</v>
      </c>
    </row>
    <row r="2" spans="1:13" ht="172.8" x14ac:dyDescent="0.5">
      <c r="A2" s="130">
        <v>5643</v>
      </c>
      <c r="B2" s="130" t="s">
        <v>161</v>
      </c>
      <c r="C2" s="130" t="s">
        <v>477</v>
      </c>
      <c r="D2" s="130" t="str">
        <f>IF('SIG 2021'!$D5="","",'SIG 2021'!$D5)</f>
        <v>Yes</v>
      </c>
      <c r="E2" s="130" t="str">
        <f>IF('SIG 2021'!$E5="","",'SIG 2021'!$E5)</f>
        <v xml:space="preserve">Seismic has an established Risk Governance Program based off ISO 27005 controls. The program is run by Seismic's internal Information Security team. Seismic performs Enterprise Risk Assessment at least annually and communicate risk findings to executive management. Where risks are identified, appropriate controls are established to remove or reduce the risk to an acceptable level. </v>
      </c>
      <c r="F2" s="130" t="str">
        <f>IF('SIG 2021'!$F5="","",'SIG 2021'!F5)</f>
        <v/>
      </c>
      <c r="G2" s="130" t="s">
        <v>479</v>
      </c>
      <c r="H2" s="130" t="s">
        <v>480</v>
      </c>
      <c r="I2" s="130" t="s">
        <v>481</v>
      </c>
      <c r="J2" s="130" t="s">
        <v>482</v>
      </c>
      <c r="K2" s="130" t="str">
        <f>IF('SIG 2021'!$AM5="","",'SIG 2021'!$AM5)</f>
        <v/>
      </c>
      <c r="L2" s="130" t="str">
        <f>IF('SIG 2021'!$AN5="","",'SIG 2021'!$AN5)</f>
        <v/>
      </c>
      <c r="M2" s="130" t="str">
        <f>IF('SIG 2021'!$AO5="","",'SIG 2021'!$AO5)</f>
        <v/>
      </c>
    </row>
    <row r="3" spans="1:13" ht="43.2" x14ac:dyDescent="0.5">
      <c r="A3" s="130">
        <v>2325</v>
      </c>
      <c r="B3" s="130" t="s">
        <v>484</v>
      </c>
      <c r="C3" s="130" t="s">
        <v>485</v>
      </c>
      <c r="D3" s="130" t="str">
        <f>IF('SIG 2021'!$D6="","",'SIG 2021'!$D6)</f>
        <v>Yes</v>
      </c>
      <c r="E3" s="130" t="str">
        <f>IF('SIG 2021'!$E6="","",'SIG 2021'!$E6)</f>
        <v/>
      </c>
      <c r="F3" s="130" t="str">
        <f>IF('SIG 2021'!$F6="","",'SIG 2021'!F6)</f>
        <v/>
      </c>
      <c r="G3" s="130" t="s">
        <v>479</v>
      </c>
      <c r="H3" s="130" t="s">
        <v>480</v>
      </c>
      <c r="I3" s="130" t="s">
        <v>481</v>
      </c>
      <c r="J3" s="130"/>
      <c r="K3" s="130" t="str">
        <f>IF('SIG 2021'!$AM6="","",'SIG 2021'!$AM6)</f>
        <v/>
      </c>
      <c r="L3" s="130" t="str">
        <f>IF('SIG 2021'!$AN6="","",'SIG 2021'!$AN6)</f>
        <v/>
      </c>
      <c r="M3" s="130" t="str">
        <f>IF('SIG 2021'!$AO6="","",'SIG 2021'!$AO6)</f>
        <v/>
      </c>
    </row>
    <row r="4" spans="1:13" ht="43.2" x14ac:dyDescent="0.5">
      <c r="A4" s="130">
        <v>2326</v>
      </c>
      <c r="B4" s="130" t="s">
        <v>486</v>
      </c>
      <c r="C4" s="130" t="s">
        <v>487</v>
      </c>
      <c r="D4" s="130" t="str">
        <f>IF('SIG 2021'!$D7="","",'SIG 2021'!$D7)</f>
        <v>Yes</v>
      </c>
      <c r="E4" s="130" t="str">
        <f>IF('SIG 2021'!$E7="","",'SIG 2021'!$E7)</f>
        <v/>
      </c>
      <c r="F4" s="130" t="str">
        <f>IF('SIG 2021'!$F7="","",'SIG 2021'!F7)</f>
        <v/>
      </c>
      <c r="G4" s="130" t="s">
        <v>479</v>
      </c>
      <c r="H4" s="130" t="s">
        <v>480</v>
      </c>
      <c r="I4" s="130" t="s">
        <v>481</v>
      </c>
      <c r="J4" s="130"/>
      <c r="K4" s="130" t="str">
        <f>IF('SIG 2021'!$AM7="","",'SIG 2021'!$AM7)</f>
        <v/>
      </c>
      <c r="L4" s="130" t="str">
        <f>IF('SIG 2021'!$AN7="","",'SIG 2021'!$AN7)</f>
        <v/>
      </c>
      <c r="M4" s="130" t="str">
        <f>IF('SIG 2021'!$AO7="","",'SIG 2021'!$AO7)</f>
        <v/>
      </c>
    </row>
    <row r="5" spans="1:13" ht="57.6" x14ac:dyDescent="0.5">
      <c r="A5" s="130">
        <v>2420</v>
      </c>
      <c r="B5" s="130" t="s">
        <v>488</v>
      </c>
      <c r="C5" s="130" t="s">
        <v>489</v>
      </c>
      <c r="D5" s="130" t="str">
        <f>IF('SIG 2021'!$D8="","",'SIG 2021'!$D8)</f>
        <v>Yes</v>
      </c>
      <c r="E5" s="130" t="str">
        <f>IF('SIG 2021'!$E8="","",'SIG 2021'!$E8)</f>
        <v/>
      </c>
      <c r="F5" s="130" t="str">
        <f>IF('SIG 2021'!$F8="","",'SIG 2021'!F8)</f>
        <v/>
      </c>
      <c r="G5" s="130" t="s">
        <v>479</v>
      </c>
      <c r="H5" s="130" t="s">
        <v>480</v>
      </c>
      <c r="I5" s="130" t="s">
        <v>481</v>
      </c>
      <c r="J5" s="130"/>
      <c r="K5" s="130" t="str">
        <f>IF('SIG 2021'!$AM8="","",'SIG 2021'!$AM8)</f>
        <v/>
      </c>
      <c r="L5" s="130" t="str">
        <f>IF('SIG 2021'!$AN8="","",'SIG 2021'!$AN8)</f>
        <v/>
      </c>
      <c r="M5" s="130" t="str">
        <f>IF('SIG 2021'!$AO8="","",'SIG 2021'!$AO8)</f>
        <v/>
      </c>
    </row>
    <row r="6" spans="1:13" ht="57.6" x14ac:dyDescent="0.5">
      <c r="A6" s="130">
        <v>2429</v>
      </c>
      <c r="B6" s="130" t="s">
        <v>490</v>
      </c>
      <c r="C6" s="130" t="s">
        <v>491</v>
      </c>
      <c r="D6" s="130" t="str">
        <f>IF('SIG 2021'!$D9="","",'SIG 2021'!$D9)</f>
        <v>Yes</v>
      </c>
      <c r="E6" s="130" t="str">
        <f>IF('SIG 2021'!$E9="","",'SIG 2021'!$E9)</f>
        <v/>
      </c>
      <c r="F6" s="130" t="str">
        <f>IF('SIG 2021'!$F9="","",'SIG 2021'!F9)</f>
        <v/>
      </c>
      <c r="G6" s="130" t="s">
        <v>479</v>
      </c>
      <c r="H6" s="130" t="s">
        <v>480</v>
      </c>
      <c r="I6" s="130" t="s">
        <v>481</v>
      </c>
      <c r="J6" s="130"/>
      <c r="K6" s="130" t="str">
        <f>IF('SIG 2021'!$AM9="","",'SIG 2021'!$AM9)</f>
        <v/>
      </c>
      <c r="L6" s="130" t="str">
        <f>IF('SIG 2021'!$AN9="","",'SIG 2021'!$AN9)</f>
        <v/>
      </c>
      <c r="M6" s="130" t="str">
        <f>IF('SIG 2021'!$AO9="","",'SIG 2021'!$AO9)</f>
        <v/>
      </c>
    </row>
    <row r="7" spans="1:13" ht="28.8" x14ac:dyDescent="0.5">
      <c r="A7" s="130">
        <v>4633</v>
      </c>
      <c r="B7" s="130" t="s">
        <v>492</v>
      </c>
      <c r="C7" s="130" t="s">
        <v>493</v>
      </c>
      <c r="D7" s="130" t="str">
        <f>IF('SIG 2021'!$D10="","",'SIG 2021'!$D10)</f>
        <v>Yes</v>
      </c>
      <c r="E7" s="130" t="str">
        <f>IF('SIG 2021'!$E10="","",'SIG 2021'!$E10)</f>
        <v/>
      </c>
      <c r="F7" s="130" t="str">
        <f>IF('SIG 2021'!$F10="","",'SIG 2021'!F10)</f>
        <v/>
      </c>
      <c r="G7" s="130" t="s">
        <v>479</v>
      </c>
      <c r="H7" s="130" t="s">
        <v>480</v>
      </c>
      <c r="I7" s="130" t="s">
        <v>481</v>
      </c>
      <c r="J7" s="130"/>
      <c r="K7" s="130" t="str">
        <f>IF('SIG 2021'!$AM10="","",'SIG 2021'!$AM10)</f>
        <v/>
      </c>
      <c r="L7" s="130" t="str">
        <f>IF('SIG 2021'!$AN10="","",'SIG 2021'!$AN10)</f>
        <v/>
      </c>
      <c r="M7" s="130" t="str">
        <f>IF('SIG 2021'!$AO10="","",'SIG 2021'!$AO10)</f>
        <v/>
      </c>
    </row>
    <row r="8" spans="1:13" ht="28.8" x14ac:dyDescent="0.5">
      <c r="A8" s="130">
        <v>4635</v>
      </c>
      <c r="B8" s="130" t="s">
        <v>494</v>
      </c>
      <c r="C8" s="130" t="s">
        <v>495</v>
      </c>
      <c r="D8" s="130" t="str">
        <f>IF('SIG 2021'!$D11="","",'SIG 2021'!$D11)</f>
        <v>Yes</v>
      </c>
      <c r="E8" s="130" t="str">
        <f>IF('SIG 2021'!$E11="","",'SIG 2021'!$E11)</f>
        <v/>
      </c>
      <c r="F8" s="130" t="str">
        <f>IF('SIG 2021'!$F11="","",'SIG 2021'!F11)</f>
        <v/>
      </c>
      <c r="G8" s="130" t="s">
        <v>479</v>
      </c>
      <c r="H8" s="130" t="s">
        <v>480</v>
      </c>
      <c r="I8" s="130" t="s">
        <v>481</v>
      </c>
      <c r="J8" s="130"/>
      <c r="K8" s="130" t="str">
        <f>IF('SIG 2021'!$AM11="","",'SIG 2021'!$AM11)</f>
        <v/>
      </c>
      <c r="L8" s="130" t="str">
        <f>IF('SIG 2021'!$AN11="","",'SIG 2021'!$AN11)</f>
        <v/>
      </c>
      <c r="M8" s="130" t="str">
        <f>IF('SIG 2021'!$AO11="","",'SIG 2021'!$AO11)</f>
        <v/>
      </c>
    </row>
    <row r="9" spans="1:13" ht="28.8" x14ac:dyDescent="0.5">
      <c r="A9" s="130">
        <v>4636</v>
      </c>
      <c r="B9" s="130" t="s">
        <v>496</v>
      </c>
      <c r="C9" s="130" t="s">
        <v>497</v>
      </c>
      <c r="D9" s="130" t="str">
        <f>IF('SIG 2021'!$D12="","",'SIG 2021'!$D12)</f>
        <v>Yes</v>
      </c>
      <c r="E9" s="130" t="str">
        <f>IF('SIG 2021'!$E12="","",'SIG 2021'!$E12)</f>
        <v/>
      </c>
      <c r="F9" s="130" t="str">
        <f>IF('SIG 2021'!$F12="","",'SIG 2021'!F12)</f>
        <v/>
      </c>
      <c r="G9" s="130" t="s">
        <v>479</v>
      </c>
      <c r="H9" s="130" t="s">
        <v>480</v>
      </c>
      <c r="I9" s="130" t="s">
        <v>481</v>
      </c>
      <c r="J9" s="130"/>
      <c r="K9" s="130" t="str">
        <f>IF('SIG 2021'!$AM12="","",'SIG 2021'!$AM12)</f>
        <v/>
      </c>
      <c r="L9" s="130" t="str">
        <f>IF('SIG 2021'!$AN12="","",'SIG 2021'!$AN12)</f>
        <v/>
      </c>
      <c r="M9" s="130" t="str">
        <f>IF('SIG 2021'!$AO12="","",'SIG 2021'!$AO12)</f>
        <v/>
      </c>
    </row>
    <row r="10" spans="1:13" ht="43.2" x14ac:dyDescent="0.5">
      <c r="A10" s="130">
        <v>5837</v>
      </c>
      <c r="B10" s="130" t="s">
        <v>498</v>
      </c>
      <c r="C10" s="130" t="s">
        <v>499</v>
      </c>
      <c r="D10" s="130" t="str">
        <f>IF('SIG 2021'!$D13="","",'SIG 2021'!$D13)</f>
        <v>Yes</v>
      </c>
      <c r="E10" s="130" t="str">
        <f>IF('SIG 2021'!$E13="","",'SIG 2021'!$E13)</f>
        <v/>
      </c>
      <c r="F10" s="130" t="str">
        <f>IF('SIG 2021'!$F13="","",'SIG 2021'!F13)</f>
        <v/>
      </c>
      <c r="G10" s="130" t="s">
        <v>479</v>
      </c>
      <c r="H10" s="130" t="s">
        <v>480</v>
      </c>
      <c r="I10" s="130"/>
      <c r="J10" s="130"/>
      <c r="K10" s="130" t="str">
        <f>IF('SIG 2021'!$AM13="","",'SIG 2021'!$AM13)</f>
        <v/>
      </c>
      <c r="L10" s="130" t="str">
        <f>IF('SIG 2021'!$AN13="","",'SIG 2021'!$AN13)</f>
        <v/>
      </c>
      <c r="M10" s="130" t="str">
        <f>IF('SIG 2021'!$AO13="","",'SIG 2021'!$AO13)</f>
        <v/>
      </c>
    </row>
    <row r="11" spans="1:13" ht="57.6" x14ac:dyDescent="0.5">
      <c r="A11" s="130">
        <v>5838</v>
      </c>
      <c r="B11" s="130" t="s">
        <v>500</v>
      </c>
      <c r="C11" s="130" t="s">
        <v>501</v>
      </c>
      <c r="D11" s="130" t="str">
        <f>IF('SIG 2021'!$D14="","",'SIG 2021'!$D14)</f>
        <v>Yes</v>
      </c>
      <c r="E11" s="130" t="str">
        <f>IF('SIG 2021'!$E14="","",'SIG 2021'!$E14)</f>
        <v/>
      </c>
      <c r="F11" s="130" t="str">
        <f>IF('SIG 2021'!$F14="","",'SIG 2021'!F14)</f>
        <v/>
      </c>
      <c r="G11" s="130" t="s">
        <v>479</v>
      </c>
      <c r="H11" s="130" t="s">
        <v>480</v>
      </c>
      <c r="I11" s="130"/>
      <c r="J11" s="130"/>
      <c r="K11" s="130" t="str">
        <f>IF('SIG 2021'!$AM14="","",'SIG 2021'!$AM14)</f>
        <v/>
      </c>
      <c r="L11" s="130" t="str">
        <f>IF('SIG 2021'!$AN14="","",'SIG 2021'!$AN14)</f>
        <v/>
      </c>
      <c r="M11" s="130" t="str">
        <f>IF('SIG 2021'!$AO14="","",'SIG 2021'!$AO14)</f>
        <v/>
      </c>
    </row>
    <row r="12" spans="1:13" ht="43.2" x14ac:dyDescent="0.5">
      <c r="A12" s="130">
        <v>5839</v>
      </c>
      <c r="B12" s="130" t="s">
        <v>502</v>
      </c>
      <c r="C12" s="130" t="s">
        <v>503</v>
      </c>
      <c r="D12" s="130" t="str">
        <f>IF('SIG 2021'!$D15="","",'SIG 2021'!$D15)</f>
        <v>Yes</v>
      </c>
      <c r="E12" s="130" t="str">
        <f>IF('SIG 2021'!$E15="","",'SIG 2021'!$E15)</f>
        <v/>
      </c>
      <c r="F12" s="130" t="str">
        <f>IF('SIG 2021'!$F15="","",'SIG 2021'!F15)</f>
        <v/>
      </c>
      <c r="G12" s="130" t="s">
        <v>479</v>
      </c>
      <c r="H12" s="130" t="s">
        <v>480</v>
      </c>
      <c r="I12" s="130"/>
      <c r="J12" s="130"/>
      <c r="K12" s="130" t="str">
        <f>IF('SIG 2021'!$AM15="","",'SIG 2021'!$AM15)</f>
        <v/>
      </c>
      <c r="L12" s="130" t="str">
        <f>IF('SIG 2021'!$AN15="","",'SIG 2021'!$AN15)</f>
        <v/>
      </c>
      <c r="M12" s="130" t="str">
        <f>IF('SIG 2021'!$AO15="","",'SIG 2021'!$AO15)</f>
        <v/>
      </c>
    </row>
    <row r="13" spans="1:13" ht="72" x14ac:dyDescent="0.5">
      <c r="A13" s="130">
        <v>4412</v>
      </c>
      <c r="B13" s="130" t="s">
        <v>163</v>
      </c>
      <c r="C13" s="130" t="s">
        <v>504</v>
      </c>
      <c r="D13" s="130" t="str">
        <f>IF('SIG 2021'!$D16="","",'SIG 2021'!$D16)</f>
        <v>Yes</v>
      </c>
      <c r="E13" s="130" t="str">
        <f>IF('SIG 2021'!$E16="","",'SIG 2021'!$E16)</f>
        <v/>
      </c>
      <c r="F13" s="130" t="str">
        <f>IF('SIG 2021'!$F16="","",'SIG 2021'!F16)</f>
        <v/>
      </c>
      <c r="G13" s="130" t="s">
        <v>479</v>
      </c>
      <c r="H13" s="130" t="s">
        <v>505</v>
      </c>
      <c r="I13" s="130" t="s">
        <v>481</v>
      </c>
      <c r="J13" s="130" t="s">
        <v>506</v>
      </c>
      <c r="K13" s="130" t="str">
        <f>IF('SIG 2021'!$AM16="","",'SIG 2021'!$AM16)</f>
        <v/>
      </c>
      <c r="L13" s="130" t="str">
        <f>IF('SIG 2021'!$AN16="","",'SIG 2021'!$AN16)</f>
        <v/>
      </c>
      <c r="M13" s="130" t="str">
        <f>IF('SIG 2021'!$AO16="","",'SIG 2021'!$AO16)</f>
        <v/>
      </c>
    </row>
    <row r="14" spans="1:13" ht="28.8" x14ac:dyDescent="0.5">
      <c r="A14" s="130">
        <v>4637</v>
      </c>
      <c r="B14" s="130" t="s">
        <v>507</v>
      </c>
      <c r="C14" s="130" t="s">
        <v>508</v>
      </c>
      <c r="D14" s="130" t="str">
        <f>IF('SIG 2021'!$D17="","",'SIG 2021'!$D17)</f>
        <v>Yes</v>
      </c>
      <c r="E14" s="130" t="str">
        <f>IF('SIG 2021'!$E17="","",'SIG 2021'!$E17)</f>
        <v/>
      </c>
      <c r="F14" s="130" t="str">
        <f>IF('SIG 2021'!$F17="","",'SIG 2021'!F17)</f>
        <v/>
      </c>
      <c r="G14" s="130" t="s">
        <v>479</v>
      </c>
      <c r="H14" s="130" t="s">
        <v>505</v>
      </c>
      <c r="I14" s="130"/>
      <c r="J14" s="130"/>
      <c r="K14" s="130" t="str">
        <f>IF('SIG 2021'!$AM17="","",'SIG 2021'!$AM17)</f>
        <v/>
      </c>
      <c r="L14" s="130" t="str">
        <f>IF('SIG 2021'!$AN17="","",'SIG 2021'!$AN17)</f>
        <v/>
      </c>
      <c r="M14" s="130" t="str">
        <f>IF('SIG 2021'!$AO17="","",'SIG 2021'!$AO17)</f>
        <v/>
      </c>
    </row>
    <row r="15" spans="1:13" ht="43.2" x14ac:dyDescent="0.5">
      <c r="A15" s="130">
        <v>4638</v>
      </c>
      <c r="B15" s="130" t="s">
        <v>509</v>
      </c>
      <c r="C15" s="130" t="s">
        <v>510</v>
      </c>
      <c r="D15" s="130" t="str">
        <f>IF('SIG 2021'!$D18="","",'SIG 2021'!$D18)</f>
        <v>Yes</v>
      </c>
      <c r="E15" s="130" t="str">
        <f>IF('SIG 2021'!$E18="","",'SIG 2021'!$E18)</f>
        <v/>
      </c>
      <c r="F15" s="130" t="str">
        <f>IF('SIG 2021'!$F18="","",'SIG 2021'!F18)</f>
        <v/>
      </c>
      <c r="G15" s="130" t="s">
        <v>479</v>
      </c>
      <c r="H15" s="130" t="s">
        <v>505</v>
      </c>
      <c r="I15" s="130"/>
      <c r="J15" s="130"/>
      <c r="K15" s="130" t="str">
        <f>IF('SIG 2021'!$AM18="","",'SIG 2021'!$AM18)</f>
        <v/>
      </c>
      <c r="L15" s="130" t="str">
        <f>IF('SIG 2021'!$AN18="","",'SIG 2021'!$AN18)</f>
        <v/>
      </c>
      <c r="M15" s="130" t="str">
        <f>IF('SIG 2021'!$AO18="","",'SIG 2021'!$AO18)</f>
        <v/>
      </c>
    </row>
    <row r="16" spans="1:13" ht="43.2" x14ac:dyDescent="0.5">
      <c r="A16" s="130">
        <v>4639</v>
      </c>
      <c r="B16" s="130" t="s">
        <v>511</v>
      </c>
      <c r="C16" s="130" t="s">
        <v>512</v>
      </c>
      <c r="D16" s="130" t="str">
        <f>IF('SIG 2021'!$D19="","",'SIG 2021'!$D19)</f>
        <v>Yes</v>
      </c>
      <c r="E16" s="130" t="str">
        <f>IF('SIG 2021'!$E19="","",'SIG 2021'!$E19)</f>
        <v/>
      </c>
      <c r="F16" s="130" t="str">
        <f>IF('SIG 2021'!$F19="","",'SIG 2021'!F19)</f>
        <v/>
      </c>
      <c r="G16" s="130" t="s">
        <v>479</v>
      </c>
      <c r="H16" s="130" t="s">
        <v>505</v>
      </c>
      <c r="I16" s="130"/>
      <c r="J16" s="130"/>
      <c r="K16" s="130" t="str">
        <f>IF('SIG 2021'!$AM19="","",'SIG 2021'!$AM19)</f>
        <v/>
      </c>
      <c r="L16" s="130" t="str">
        <f>IF('SIG 2021'!$AN19="","",'SIG 2021'!$AN19)</f>
        <v/>
      </c>
      <c r="M16" s="130" t="str">
        <f>IF('SIG 2021'!$AO19="","",'SIG 2021'!$AO19)</f>
        <v/>
      </c>
    </row>
    <row r="17" spans="1:13" ht="28.8" x14ac:dyDescent="0.5">
      <c r="A17" s="130">
        <v>4413</v>
      </c>
      <c r="B17" s="130" t="s">
        <v>513</v>
      </c>
      <c r="C17" s="130" t="s">
        <v>514</v>
      </c>
      <c r="D17" s="130" t="str">
        <f>IF('SIG 2021'!$D20="","",'SIG 2021'!$D20)</f>
        <v>Yes</v>
      </c>
      <c r="E17" s="130" t="str">
        <f>IF('SIG 2021'!$E20="","",'SIG 2021'!$E20)</f>
        <v>Seismic's Risk Management Program is based off ISO 27005.</v>
      </c>
      <c r="F17" s="130" t="str">
        <f>IF('SIG 2021'!$F20="","",'SIG 2021'!F20)</f>
        <v/>
      </c>
      <c r="G17" s="130" t="s">
        <v>479</v>
      </c>
      <c r="H17" s="130" t="s">
        <v>505</v>
      </c>
      <c r="I17" s="130"/>
      <c r="J17" s="130" t="s">
        <v>506</v>
      </c>
      <c r="K17" s="130" t="str">
        <f>IF('SIG 2021'!$AM20="","",'SIG 2021'!$AM20)</f>
        <v/>
      </c>
      <c r="L17" s="130" t="str">
        <f>IF('SIG 2021'!$AN20="","",'SIG 2021'!$AN20)</f>
        <v/>
      </c>
      <c r="M17" s="130" t="str">
        <f>IF('SIG 2021'!$AO20="","",'SIG 2021'!$AO20)</f>
        <v/>
      </c>
    </row>
    <row r="18" spans="1:13" ht="57.6" x14ac:dyDescent="0.5">
      <c r="A18" s="130">
        <v>4640</v>
      </c>
      <c r="B18" s="130" t="s">
        <v>165</v>
      </c>
      <c r="C18" s="130" t="s">
        <v>516</v>
      </c>
      <c r="D18" s="130" t="str">
        <f>IF('SIG 2021'!$D21="","",'SIG 2021'!$D21)</f>
        <v>Yes</v>
      </c>
      <c r="E18" s="130" t="str">
        <f>IF('SIG 2021'!$E21="","",'SIG 2021'!$E21)</f>
        <v/>
      </c>
      <c r="F18" s="130" t="str">
        <f>IF('SIG 2021'!$F21="","",'SIG 2021'!F21)</f>
        <v/>
      </c>
      <c r="G18" s="130" t="s">
        <v>479</v>
      </c>
      <c r="H18" s="130" t="s">
        <v>517</v>
      </c>
      <c r="I18" s="130" t="s">
        <v>518</v>
      </c>
      <c r="J18" s="130" t="s">
        <v>506</v>
      </c>
      <c r="K18" s="130" t="str">
        <f>IF('SIG 2021'!$AM21="","",'SIG 2021'!$AM21)</f>
        <v/>
      </c>
      <c r="L18" s="130" t="str">
        <f>IF('SIG 2021'!$AN21="","",'SIG 2021'!$AN21)</f>
        <v/>
      </c>
      <c r="M18" s="130" t="str">
        <f>IF('SIG 2021'!$AO21="","",'SIG 2021'!$AO21)</f>
        <v/>
      </c>
    </row>
    <row r="19" spans="1:13" ht="43.2" x14ac:dyDescent="0.5">
      <c r="A19" s="130">
        <v>4641</v>
      </c>
      <c r="B19" s="130" t="s">
        <v>519</v>
      </c>
      <c r="C19" s="130" t="s">
        <v>520</v>
      </c>
      <c r="D19" s="130" t="str">
        <f>IF('SIG 2021'!$D22="","",'SIG 2021'!$D22)</f>
        <v>Yes</v>
      </c>
      <c r="E19" s="130" t="str">
        <f>IF('SIG 2021'!$E22="","",'SIG 2021'!$E22)</f>
        <v/>
      </c>
      <c r="F19" s="130" t="str">
        <f>IF('SIG 2021'!$F22="","",'SIG 2021'!F22)</f>
        <v/>
      </c>
      <c r="G19" s="130" t="s">
        <v>479</v>
      </c>
      <c r="H19" s="130" t="s">
        <v>517</v>
      </c>
      <c r="I19" s="130" t="s">
        <v>521</v>
      </c>
      <c r="J19" s="130" t="s">
        <v>522</v>
      </c>
      <c r="K19" s="130" t="str">
        <f>IF('SIG 2021'!$AM22="","",'SIG 2021'!$AM22)</f>
        <v/>
      </c>
      <c r="L19" s="130" t="str">
        <f>IF('SIG 2021'!$AN22="","",'SIG 2021'!$AN22)</f>
        <v/>
      </c>
      <c r="M19" s="130" t="str">
        <f>IF('SIG 2021'!$AO22="","",'SIG 2021'!$AO22)</f>
        <v/>
      </c>
    </row>
    <row r="20" spans="1:13" ht="28.8" x14ac:dyDescent="0.5">
      <c r="A20" s="130">
        <v>2409</v>
      </c>
      <c r="B20" s="130" t="s">
        <v>523</v>
      </c>
      <c r="C20" s="130" t="s">
        <v>524</v>
      </c>
      <c r="D20" s="130" t="str">
        <f>IF('SIG 2021'!$D23="","",'SIG 2021'!$D23)</f>
        <v>Yes</v>
      </c>
      <c r="E20" s="130" t="str">
        <f>IF('SIG 2021'!$E23="","",'SIG 2021'!$E23)</f>
        <v/>
      </c>
      <c r="F20" s="130" t="str">
        <f>IF('SIG 2021'!$F23="","",'SIG 2021'!F23)</f>
        <v/>
      </c>
      <c r="G20" s="130" t="s">
        <v>479</v>
      </c>
      <c r="H20" s="130" t="s">
        <v>517</v>
      </c>
      <c r="I20" s="130" t="s">
        <v>518</v>
      </c>
      <c r="J20" s="130" t="s">
        <v>522</v>
      </c>
      <c r="K20" s="130" t="str">
        <f>IF('SIG 2021'!$AM23="","",'SIG 2021'!$AM23)</f>
        <v/>
      </c>
      <c r="L20" s="130" t="str">
        <f>IF('SIG 2021'!$AN23="","",'SIG 2021'!$AN23)</f>
        <v/>
      </c>
      <c r="M20" s="130" t="str">
        <f>IF('SIG 2021'!$AO23="","",'SIG 2021'!$AO23)</f>
        <v/>
      </c>
    </row>
    <row r="21" spans="1:13" ht="57.6" x14ac:dyDescent="0.5">
      <c r="A21" s="130">
        <v>5843</v>
      </c>
      <c r="B21" s="130" t="s">
        <v>525</v>
      </c>
      <c r="C21" s="130" t="s">
        <v>526</v>
      </c>
      <c r="D21" s="130" t="str">
        <f>IF('SIG 2021'!$D24="","",'SIG 2021'!$D24)</f>
        <v>Yes</v>
      </c>
      <c r="E21" s="130" t="str">
        <f>IF('SIG 2021'!$E24="","",'SIG 2021'!$E24)</f>
        <v/>
      </c>
      <c r="F21" s="130" t="str">
        <f>IF('SIG 2021'!$F24="","",'SIG 2021'!F24)</f>
        <v/>
      </c>
      <c r="G21" s="130" t="s">
        <v>479</v>
      </c>
      <c r="H21" s="130" t="s">
        <v>517</v>
      </c>
      <c r="I21" s="130"/>
      <c r="J21" s="130" t="s">
        <v>527</v>
      </c>
      <c r="K21" s="130" t="str">
        <f>IF('SIG 2021'!$AM24="","",'SIG 2021'!$AM24)</f>
        <v/>
      </c>
      <c r="L21" s="130" t="str">
        <f>IF('SIG 2021'!$AN24="","",'SIG 2021'!$AN24)</f>
        <v/>
      </c>
      <c r="M21" s="130" t="str">
        <f>IF('SIG 2021'!$AO24="","",'SIG 2021'!$AO24)</f>
        <v/>
      </c>
    </row>
    <row r="22" spans="1:13" ht="230.4" x14ac:dyDescent="0.5">
      <c r="A22" s="130">
        <v>3286</v>
      </c>
      <c r="B22" s="130" t="s">
        <v>528</v>
      </c>
      <c r="C22" s="130" t="s">
        <v>529</v>
      </c>
      <c r="D22" s="130" t="str">
        <f>IF('SIG 2021'!$D25="","",'SIG 2021'!$D25)</f>
        <v>Yes</v>
      </c>
      <c r="E22" s="130" t="str">
        <f>IF('SIG 2021'!$E25="","",'SIG 2021'!$E25)</f>
        <v>For areas where new risks are identified or existing controls are assessed as insufficient, the risk may be dealt with by: eliminating the risk by discontinuing the activity associated with the risk or declining to begin a new activity associated with the risk; removing the source of the risk; putting measures in place (policies, procedures, tools, patches) to mitigate the risk and reduce it to acceptable levels; sharing the risk with other parties; and/or proceeding with an informed decision and plan to monitor risk.</v>
      </c>
      <c r="F22" s="130" t="str">
        <f>IF('SIG 2021'!$F25="","",'SIG 2021'!F25)</f>
        <v/>
      </c>
      <c r="G22" s="130" t="s">
        <v>479</v>
      </c>
      <c r="H22" s="130" t="s">
        <v>531</v>
      </c>
      <c r="I22" s="130" t="s">
        <v>518</v>
      </c>
      <c r="J22" s="130" t="s">
        <v>532</v>
      </c>
      <c r="K22" s="130" t="str">
        <f>IF('SIG 2021'!$AM25="","",'SIG 2021'!$AM25)</f>
        <v/>
      </c>
      <c r="L22" s="130" t="str">
        <f>IF('SIG 2021'!$AN25="","",'SIG 2021'!$AN25)</f>
        <v/>
      </c>
      <c r="M22" s="130" t="str">
        <f>IF('SIG 2021'!$AO25="","",'SIG 2021'!$AO25)</f>
        <v/>
      </c>
    </row>
    <row r="23" spans="1:13" ht="43.2" x14ac:dyDescent="0.5">
      <c r="A23" s="130">
        <v>4158</v>
      </c>
      <c r="B23" s="130" t="s">
        <v>533</v>
      </c>
      <c r="C23" s="130" t="s">
        <v>534</v>
      </c>
      <c r="D23" s="130" t="str">
        <f>IF('SIG 2021'!$D26="","",'SIG 2021'!$D26)</f>
        <v>Yes</v>
      </c>
      <c r="E23" s="130" t="str">
        <f>IF('SIG 2021'!$E26="","",'SIG 2021'!$E26)</f>
        <v/>
      </c>
      <c r="F23" s="130" t="str">
        <f>IF('SIG 2021'!$F26="","",'SIG 2021'!F26)</f>
        <v/>
      </c>
      <c r="G23" s="130" t="s">
        <v>479</v>
      </c>
      <c r="H23" s="130" t="s">
        <v>531</v>
      </c>
      <c r="I23" s="130" t="s">
        <v>481</v>
      </c>
      <c r="J23" s="130" t="s">
        <v>535</v>
      </c>
      <c r="K23" s="130" t="str">
        <f>IF('SIG 2021'!$AM26="","",'SIG 2021'!$AM26)</f>
        <v/>
      </c>
      <c r="L23" s="130" t="str">
        <f>IF('SIG 2021'!$AN26="","",'SIG 2021'!$AN26)</f>
        <v/>
      </c>
      <c r="M23" s="130" t="str">
        <f>IF('SIG 2021'!$AO26="","",'SIG 2021'!$AO26)</f>
        <v/>
      </c>
    </row>
    <row r="24" spans="1:13" ht="43.2" x14ac:dyDescent="0.5">
      <c r="A24" s="130">
        <v>4159</v>
      </c>
      <c r="B24" s="130" t="s">
        <v>536</v>
      </c>
      <c r="C24" s="130" t="s">
        <v>537</v>
      </c>
      <c r="D24" s="130" t="str">
        <f>IF('SIG 2021'!$D27="","",'SIG 2021'!$D27)</f>
        <v>Yes</v>
      </c>
      <c r="E24" s="130" t="str">
        <f>IF('SIG 2021'!$E27="","",'SIG 2021'!$E27)</f>
        <v/>
      </c>
      <c r="F24" s="130" t="str">
        <f>IF('SIG 2021'!$F27="","",'SIG 2021'!F27)</f>
        <v/>
      </c>
      <c r="G24" s="130" t="s">
        <v>479</v>
      </c>
      <c r="H24" s="130" t="s">
        <v>531</v>
      </c>
      <c r="I24" s="130" t="s">
        <v>521</v>
      </c>
      <c r="J24" s="130" t="s">
        <v>535</v>
      </c>
      <c r="K24" s="130" t="str">
        <f>IF('SIG 2021'!$AM27="","",'SIG 2021'!$AM27)</f>
        <v/>
      </c>
      <c r="L24" s="130" t="str">
        <f>IF('SIG 2021'!$AN27="","",'SIG 2021'!$AN27)</f>
        <v/>
      </c>
      <c r="M24" s="130" t="str">
        <f>IF('SIG 2021'!$AO27="","",'SIG 2021'!$AO27)</f>
        <v/>
      </c>
    </row>
    <row r="25" spans="1:13" ht="43.2" x14ac:dyDescent="0.5">
      <c r="A25" s="130">
        <v>4160</v>
      </c>
      <c r="B25" s="130" t="s">
        <v>538</v>
      </c>
      <c r="C25" s="130" t="s">
        <v>539</v>
      </c>
      <c r="D25" s="130" t="str">
        <f>IF('SIG 2021'!$D28="","",'SIG 2021'!$D28)</f>
        <v>Yes</v>
      </c>
      <c r="E25" s="130" t="str">
        <f>IF('SIG 2021'!$E28="","",'SIG 2021'!$E28)</f>
        <v/>
      </c>
      <c r="F25" s="130" t="str">
        <f>IF('SIG 2021'!$F28="","",'SIG 2021'!F28)</f>
        <v/>
      </c>
      <c r="G25" s="130" t="s">
        <v>479</v>
      </c>
      <c r="H25" s="130" t="s">
        <v>531</v>
      </c>
      <c r="I25" s="130" t="s">
        <v>481</v>
      </c>
      <c r="J25" s="130" t="s">
        <v>532</v>
      </c>
      <c r="K25" s="130" t="str">
        <f>IF('SIG 2021'!$AM28="","",'SIG 2021'!$AM28)</f>
        <v/>
      </c>
      <c r="L25" s="130" t="str">
        <f>IF('SIG 2021'!$AN28="","",'SIG 2021'!$AN28)</f>
        <v/>
      </c>
      <c r="M25" s="130" t="str">
        <f>IF('SIG 2021'!$AO28="","",'SIG 2021'!$AO28)</f>
        <v/>
      </c>
    </row>
    <row r="26" spans="1:13" ht="28.8" x14ac:dyDescent="0.5">
      <c r="A26" s="130">
        <v>4161</v>
      </c>
      <c r="B26" s="130" t="s">
        <v>540</v>
      </c>
      <c r="C26" s="130" t="s">
        <v>541</v>
      </c>
      <c r="D26" s="130" t="str">
        <f>IF('SIG 2021'!$D29="","",'SIG 2021'!$D29)</f>
        <v>Yes</v>
      </c>
      <c r="E26" s="130" t="str">
        <f>IF('SIG 2021'!$E29="","",'SIG 2021'!$E29)</f>
        <v/>
      </c>
      <c r="F26" s="130" t="str">
        <f>IF('SIG 2021'!$F29="","",'SIG 2021'!F29)</f>
        <v/>
      </c>
      <c r="G26" s="130" t="s">
        <v>479</v>
      </c>
      <c r="H26" s="130" t="s">
        <v>531</v>
      </c>
      <c r="I26" s="130"/>
      <c r="J26" s="130" t="s">
        <v>535</v>
      </c>
      <c r="K26" s="130" t="str">
        <f>IF('SIG 2021'!$AM29="","",'SIG 2021'!$AM29)</f>
        <v/>
      </c>
      <c r="L26" s="130" t="str">
        <f>IF('SIG 2021'!$AN29="","",'SIG 2021'!$AN29)</f>
        <v/>
      </c>
      <c r="M26" s="130" t="str">
        <f>IF('SIG 2021'!$AO29="","",'SIG 2021'!$AO29)</f>
        <v/>
      </c>
    </row>
    <row r="27" spans="1:13" ht="43.2" x14ac:dyDescent="0.5">
      <c r="A27" s="130">
        <v>4162</v>
      </c>
      <c r="B27" s="130" t="s">
        <v>167</v>
      </c>
      <c r="C27" s="130" t="s">
        <v>542</v>
      </c>
      <c r="D27" s="130" t="str">
        <f>IF('SIG 2021'!$D30="","",'SIG 2021'!$D30)</f>
        <v>Yes</v>
      </c>
      <c r="E27" s="130" t="str">
        <f>IF('SIG 2021'!$E30="","",'SIG 2021'!$E30)</f>
        <v/>
      </c>
      <c r="F27" s="130" t="str">
        <f>IF('SIG 2021'!$F30="","",'SIG 2021'!F30)</f>
        <v/>
      </c>
      <c r="G27" s="130" t="s">
        <v>479</v>
      </c>
      <c r="H27" s="130" t="s">
        <v>543</v>
      </c>
      <c r="I27" s="130" t="s">
        <v>481</v>
      </c>
      <c r="J27" s="130" t="s">
        <v>544</v>
      </c>
      <c r="K27" s="130" t="str">
        <f>IF('SIG 2021'!$AM30="","",'SIG 2021'!$AM30)</f>
        <v/>
      </c>
      <c r="L27" s="130" t="str">
        <f>IF('SIG 2021'!$AN30="","",'SIG 2021'!$AN30)</f>
        <v/>
      </c>
      <c r="M27" s="130" t="str">
        <f>IF('SIG 2021'!$AO30="","",'SIG 2021'!$AO30)</f>
        <v/>
      </c>
    </row>
    <row r="28" spans="1:13" ht="72" x14ac:dyDescent="0.5">
      <c r="A28" s="130">
        <v>71</v>
      </c>
      <c r="B28" s="130" t="s">
        <v>169</v>
      </c>
      <c r="C28" s="130" t="s">
        <v>545</v>
      </c>
      <c r="D28" s="130" t="str">
        <f>IF('SIG 2021'!$D31="","",'SIG 2021'!$D31)</f>
        <v>Yes</v>
      </c>
      <c r="E28" s="130" t="str">
        <f>IF('SIG 2021'!$E31="","",'SIG 2021'!$E31)</f>
        <v>AWS provides data center hosting</v>
      </c>
      <c r="F28" s="130" t="str">
        <f>IF('SIG 2021'!$F31="","",'SIG 2021'!F31)</f>
        <v/>
      </c>
      <c r="G28" s="130" t="s">
        <v>547</v>
      </c>
      <c r="H28" s="130" t="s">
        <v>548</v>
      </c>
      <c r="I28" s="130"/>
      <c r="J28" s="130"/>
      <c r="K28" s="130" t="str">
        <f>IF('SIG 2021'!$AM31="","",'SIG 2021'!$AM31)</f>
        <v/>
      </c>
      <c r="L28" s="130" t="str">
        <f>IF('SIG 2021'!$AN31="","",'SIG 2021'!$AN31)</f>
        <v/>
      </c>
      <c r="M28" s="130" t="str">
        <f>IF('SIG 2021'!$AO31="","",'SIG 2021'!$AO31)</f>
        <v/>
      </c>
    </row>
    <row r="29" spans="1:13" ht="72" x14ac:dyDescent="0.5">
      <c r="A29" s="130">
        <v>3897</v>
      </c>
      <c r="B29" s="130" t="s">
        <v>549</v>
      </c>
      <c r="C29" s="130" t="s">
        <v>550</v>
      </c>
      <c r="D29" s="130" t="str">
        <f>IF('SIG 2021'!$D32="","",'SIG 2021'!$D32)</f>
        <v>Yes</v>
      </c>
      <c r="E29" s="130" t="str">
        <f>IF('SIG 2021'!$E32="","",'SIG 2021'!$E32)</f>
        <v/>
      </c>
      <c r="F29" s="130" t="str">
        <f>IF('SIG 2021'!$F32="","",'SIG 2021'!F32)</f>
        <v/>
      </c>
      <c r="G29" s="130" t="s">
        <v>547</v>
      </c>
      <c r="H29" s="130" t="s">
        <v>548</v>
      </c>
      <c r="I29" s="130" t="s">
        <v>551</v>
      </c>
      <c r="J29" s="130" t="s">
        <v>552</v>
      </c>
      <c r="K29" s="130" t="str">
        <f>IF('SIG 2021'!$AM32="","",'SIG 2021'!$AM32)</f>
        <v/>
      </c>
      <c r="L29" s="130" t="str">
        <f>IF('SIG 2021'!$AN32="","",'SIG 2021'!$AN32)</f>
        <v/>
      </c>
      <c r="M29" s="130" t="str">
        <f>IF('SIG 2021'!$AO32="","",'SIG 2021'!$AO32)</f>
        <v/>
      </c>
    </row>
    <row r="30" spans="1:13" ht="57.6" x14ac:dyDescent="0.5">
      <c r="A30" s="130">
        <v>4647</v>
      </c>
      <c r="B30" s="130" t="s">
        <v>553</v>
      </c>
      <c r="C30" s="130" t="s">
        <v>554</v>
      </c>
      <c r="D30" s="130" t="str">
        <f>IF('SIG 2021'!$D33="","",'SIG 2021'!$D33)</f>
        <v>Yes</v>
      </c>
      <c r="E30" s="130" t="str">
        <f>IF('SIG 2021'!$E33="","",'SIG 2021'!$E33)</f>
        <v/>
      </c>
      <c r="F30" s="130" t="str">
        <f>IF('SIG 2021'!$F33="","",'SIG 2021'!F33)</f>
        <v/>
      </c>
      <c r="G30" s="130" t="s">
        <v>547</v>
      </c>
      <c r="H30" s="130" t="s">
        <v>548</v>
      </c>
      <c r="I30" s="130" t="s">
        <v>551</v>
      </c>
      <c r="J30" s="130"/>
      <c r="K30" s="130" t="str">
        <f>IF('SIG 2021'!$AM33="","",'SIG 2021'!$AM33)</f>
        <v/>
      </c>
      <c r="L30" s="130" t="str">
        <f>IF('SIG 2021'!$AN33="","",'SIG 2021'!$AN33)</f>
        <v/>
      </c>
      <c r="M30" s="130" t="str">
        <f>IF('SIG 2021'!$AO33="","",'SIG 2021'!$AO33)</f>
        <v/>
      </c>
    </row>
    <row r="31" spans="1:13" ht="57.6" x14ac:dyDescent="0.5">
      <c r="A31" s="130">
        <v>4648</v>
      </c>
      <c r="B31" s="130" t="s">
        <v>555</v>
      </c>
      <c r="C31" s="130" t="s">
        <v>556</v>
      </c>
      <c r="D31" s="130" t="str">
        <f>IF('SIG 2021'!$D34="","",'SIG 2021'!$D34)</f>
        <v>Yes</v>
      </c>
      <c r="E31" s="130" t="str">
        <f>IF('SIG 2021'!$E34="","",'SIG 2021'!$E34)</f>
        <v/>
      </c>
      <c r="F31" s="130" t="str">
        <f>IF('SIG 2021'!$F34="","",'SIG 2021'!F34)</f>
        <v/>
      </c>
      <c r="G31" s="130" t="s">
        <v>547</v>
      </c>
      <c r="H31" s="130" t="s">
        <v>548</v>
      </c>
      <c r="I31" s="130" t="s">
        <v>551</v>
      </c>
      <c r="J31" s="130"/>
      <c r="K31" s="130" t="str">
        <f>IF('SIG 2021'!$AM34="","",'SIG 2021'!$AM34)</f>
        <v/>
      </c>
      <c r="L31" s="130" t="str">
        <f>IF('SIG 2021'!$AN34="","",'SIG 2021'!$AN34)</f>
        <v/>
      </c>
      <c r="M31" s="130" t="str">
        <f>IF('SIG 2021'!$AO34="","",'SIG 2021'!$AO34)</f>
        <v/>
      </c>
    </row>
    <row r="32" spans="1:13" ht="57.6" x14ac:dyDescent="0.5">
      <c r="A32" s="130">
        <v>4649</v>
      </c>
      <c r="B32" s="130" t="s">
        <v>557</v>
      </c>
      <c r="C32" s="130" t="s">
        <v>558</v>
      </c>
      <c r="D32" s="130" t="str">
        <f>IF('SIG 2021'!$D35="","",'SIG 2021'!$D35)</f>
        <v>Yes</v>
      </c>
      <c r="E32" s="130" t="str">
        <f>IF('SIG 2021'!$E35="","",'SIG 2021'!$E35)</f>
        <v/>
      </c>
      <c r="F32" s="130" t="str">
        <f>IF('SIG 2021'!$F35="","",'SIG 2021'!F35)</f>
        <v/>
      </c>
      <c r="G32" s="130" t="s">
        <v>547</v>
      </c>
      <c r="H32" s="130" t="s">
        <v>548</v>
      </c>
      <c r="I32" s="130" t="s">
        <v>551</v>
      </c>
      <c r="J32" s="130"/>
      <c r="K32" s="130" t="str">
        <f>IF('SIG 2021'!$AM35="","",'SIG 2021'!$AM35)</f>
        <v/>
      </c>
      <c r="L32" s="130" t="str">
        <f>IF('SIG 2021'!$AN35="","",'SIG 2021'!$AN35)</f>
        <v/>
      </c>
      <c r="M32" s="130" t="str">
        <f>IF('SIG 2021'!$AO35="","",'SIG 2021'!$AO35)</f>
        <v/>
      </c>
    </row>
    <row r="33" spans="1:13" ht="43.2" x14ac:dyDescent="0.5">
      <c r="A33" s="130">
        <v>4650</v>
      </c>
      <c r="B33" s="130" t="s">
        <v>559</v>
      </c>
      <c r="C33" s="130" t="s">
        <v>560</v>
      </c>
      <c r="D33" s="130" t="str">
        <f>IF('SIG 2021'!$D36="","",'SIG 2021'!$D36)</f>
        <v>Yes</v>
      </c>
      <c r="E33" s="130" t="str">
        <f>IF('SIG 2021'!$E36="","",'SIG 2021'!$E36)</f>
        <v/>
      </c>
      <c r="F33" s="130" t="str">
        <f>IF('SIG 2021'!$F36="","",'SIG 2021'!F36)</f>
        <v/>
      </c>
      <c r="G33" s="130" t="s">
        <v>547</v>
      </c>
      <c r="H33" s="130" t="s">
        <v>548</v>
      </c>
      <c r="I33" s="130" t="s">
        <v>551</v>
      </c>
      <c r="J33" s="130"/>
      <c r="K33" s="130" t="str">
        <f>IF('SIG 2021'!$AM36="","",'SIG 2021'!$AM36)</f>
        <v/>
      </c>
      <c r="L33" s="130" t="str">
        <f>IF('SIG 2021'!$AN36="","",'SIG 2021'!$AN36)</f>
        <v/>
      </c>
      <c r="M33" s="130" t="str">
        <f>IF('SIG 2021'!$AO36="","",'SIG 2021'!$AO36)</f>
        <v/>
      </c>
    </row>
    <row r="34" spans="1:13" ht="43.2" x14ac:dyDescent="0.5">
      <c r="A34" s="130">
        <v>4651</v>
      </c>
      <c r="B34" s="130" t="s">
        <v>561</v>
      </c>
      <c r="C34" s="130" t="s">
        <v>562</v>
      </c>
      <c r="D34" s="130" t="str">
        <f>IF('SIG 2021'!$D37="","",'SIG 2021'!$D37)</f>
        <v>Yes</v>
      </c>
      <c r="E34" s="130" t="str">
        <f>IF('SIG 2021'!$E37="","",'SIG 2021'!$E37)</f>
        <v/>
      </c>
      <c r="F34" s="130" t="str">
        <f>IF('SIG 2021'!$F37="","",'SIG 2021'!F37)</f>
        <v/>
      </c>
      <c r="G34" s="130" t="s">
        <v>547</v>
      </c>
      <c r="H34" s="130" t="s">
        <v>548</v>
      </c>
      <c r="I34" s="130" t="s">
        <v>551</v>
      </c>
      <c r="J34" s="130"/>
      <c r="K34" s="130" t="str">
        <f>IF('SIG 2021'!$AM37="","",'SIG 2021'!$AM37)</f>
        <v/>
      </c>
      <c r="L34" s="130" t="str">
        <f>IF('SIG 2021'!$AN37="","",'SIG 2021'!$AN37)</f>
        <v/>
      </c>
      <c r="M34" s="130" t="str">
        <f>IF('SIG 2021'!$AO37="","",'SIG 2021'!$AO37)</f>
        <v/>
      </c>
    </row>
    <row r="35" spans="1:13" ht="43.2" x14ac:dyDescent="0.5">
      <c r="A35" s="130">
        <v>4652</v>
      </c>
      <c r="B35" s="130" t="s">
        <v>563</v>
      </c>
      <c r="C35" s="130" t="s">
        <v>564</v>
      </c>
      <c r="D35" s="130" t="str">
        <f>IF('SIG 2021'!$D38="","",'SIG 2021'!$D38)</f>
        <v>Yes</v>
      </c>
      <c r="E35" s="130" t="str">
        <f>IF('SIG 2021'!$E38="","",'SIG 2021'!$E38)</f>
        <v/>
      </c>
      <c r="F35" s="130" t="str">
        <f>IF('SIG 2021'!$F38="","",'SIG 2021'!F38)</f>
        <v/>
      </c>
      <c r="G35" s="130" t="s">
        <v>547</v>
      </c>
      <c r="H35" s="130" t="s">
        <v>548</v>
      </c>
      <c r="I35" s="130"/>
      <c r="J35" s="130"/>
      <c r="K35" s="130" t="str">
        <f>IF('SIG 2021'!$AM38="","",'SIG 2021'!$AM38)</f>
        <v/>
      </c>
      <c r="L35" s="130" t="str">
        <f>IF('SIG 2021'!$AN38="","",'SIG 2021'!$AN38)</f>
        <v/>
      </c>
      <c r="M35" s="130" t="str">
        <f>IF('SIG 2021'!$AO38="","",'SIG 2021'!$AO38)</f>
        <v/>
      </c>
    </row>
    <row r="36" spans="1:13" ht="43.2" x14ac:dyDescent="0.5">
      <c r="A36" s="130">
        <v>4653</v>
      </c>
      <c r="B36" s="130" t="s">
        <v>565</v>
      </c>
      <c r="C36" s="130" t="s">
        <v>566</v>
      </c>
      <c r="D36" s="130" t="str">
        <f>IF('SIG 2021'!$D39="","",'SIG 2021'!$D39)</f>
        <v>Yes</v>
      </c>
      <c r="E36" s="130" t="str">
        <f>IF('SIG 2021'!$E39="","",'SIG 2021'!$E39)</f>
        <v/>
      </c>
      <c r="F36" s="130" t="str">
        <f>IF('SIG 2021'!$F39="","",'SIG 2021'!F39)</f>
        <v/>
      </c>
      <c r="G36" s="130" t="s">
        <v>547</v>
      </c>
      <c r="H36" s="130" t="s">
        <v>548</v>
      </c>
      <c r="I36" s="130" t="s">
        <v>551</v>
      </c>
      <c r="J36" s="130"/>
      <c r="K36" s="130" t="str">
        <f>IF('SIG 2021'!$AM39="","",'SIG 2021'!$AM39)</f>
        <v/>
      </c>
      <c r="L36" s="130" t="str">
        <f>IF('SIG 2021'!$AN39="","",'SIG 2021'!$AN39)</f>
        <v/>
      </c>
      <c r="M36" s="130" t="str">
        <f>IF('SIG 2021'!$AO39="","",'SIG 2021'!$AO39)</f>
        <v/>
      </c>
    </row>
    <row r="37" spans="1:13" ht="158.4" x14ac:dyDescent="0.5">
      <c r="A37" s="130">
        <v>2514</v>
      </c>
      <c r="B37" s="130" t="s">
        <v>567</v>
      </c>
      <c r="C37" s="130" t="s">
        <v>568</v>
      </c>
      <c r="D37" s="130" t="str">
        <f>IF('SIG 2021'!$D40="","",'SIG 2021'!$D40)</f>
        <v>Yes</v>
      </c>
      <c r="E37" s="130" t="str">
        <f>IF('SIG 2021'!$E40="","",'SIG 2021'!$E40)</f>
        <v>Information Security reviews all potential subcontractors before entering into contract through an established vendor risk management program. This includes assessment of security controls, negotiation of contract agreements, risk assessments, and identifying any security and privacy provisions required to comply with applicable laws and regulations.</v>
      </c>
      <c r="F37" s="130" t="str">
        <f>IF('SIG 2021'!$F40="","",'SIG 2021'!F40)</f>
        <v/>
      </c>
      <c r="G37" s="130" t="s">
        <v>547</v>
      </c>
      <c r="H37" s="130" t="s">
        <v>548</v>
      </c>
      <c r="I37" s="130" t="s">
        <v>570</v>
      </c>
      <c r="J37" s="130"/>
      <c r="K37" s="130" t="str">
        <f>IF('SIG 2021'!$AM40="","",'SIG 2021'!$AM40)</f>
        <v/>
      </c>
      <c r="L37" s="130" t="str">
        <f>IF('SIG 2021'!$AN40="","",'SIG 2021'!$AN40)</f>
        <v/>
      </c>
      <c r="M37" s="130" t="str">
        <f>IF('SIG 2021'!$AO40="","",'SIG 2021'!$AO40)</f>
        <v/>
      </c>
    </row>
    <row r="38" spans="1:13" ht="43.2" x14ac:dyDescent="0.5">
      <c r="A38" s="130">
        <v>4168</v>
      </c>
      <c r="B38" s="130" t="s">
        <v>571</v>
      </c>
      <c r="C38" s="130" t="s">
        <v>572</v>
      </c>
      <c r="D38" s="130" t="str">
        <f>IF('SIG 2021'!$D41="","",'SIG 2021'!$D41)</f>
        <v>Yes</v>
      </c>
      <c r="E38" s="130" t="str">
        <f>IF('SIG 2021'!$E41="","",'SIG 2021'!$E41)</f>
        <v/>
      </c>
      <c r="F38" s="130" t="str">
        <f>IF('SIG 2021'!$F41="","",'SIG 2021'!F41)</f>
        <v/>
      </c>
      <c r="G38" s="130" t="s">
        <v>547</v>
      </c>
      <c r="H38" s="130" t="s">
        <v>548</v>
      </c>
      <c r="I38" s="130"/>
      <c r="J38" s="130" t="s">
        <v>573</v>
      </c>
      <c r="K38" s="130" t="str">
        <f>IF('SIG 2021'!$AM41="","",'SIG 2021'!$AM41)</f>
        <v/>
      </c>
      <c r="L38" s="130" t="str">
        <f>IF('SIG 2021'!$AN41="","",'SIG 2021'!$AN41)</f>
        <v/>
      </c>
      <c r="M38" s="130" t="str">
        <f>IF('SIG 2021'!$AO41="","",'SIG 2021'!$AO41)</f>
        <v/>
      </c>
    </row>
    <row r="39" spans="1:13" ht="43.2" x14ac:dyDescent="0.5">
      <c r="A39" s="130">
        <v>3909</v>
      </c>
      <c r="B39" s="130" t="s">
        <v>574</v>
      </c>
      <c r="C39" s="130" t="s">
        <v>575</v>
      </c>
      <c r="D39" s="130" t="str">
        <f>IF('SIG 2021'!$D42="","",'SIG 2021'!$D42)</f>
        <v>Yes</v>
      </c>
      <c r="E39" s="130" t="str">
        <f>IF('SIG 2021'!$E42="","",'SIG 2021'!$E42)</f>
        <v/>
      </c>
      <c r="F39" s="130" t="str">
        <f>IF('SIG 2021'!$F42="","",'SIG 2021'!F42)</f>
        <v/>
      </c>
      <c r="G39" s="130" t="s">
        <v>547</v>
      </c>
      <c r="H39" s="130" t="s">
        <v>548</v>
      </c>
      <c r="I39" s="130" t="s">
        <v>570</v>
      </c>
      <c r="J39" s="130" t="s">
        <v>573</v>
      </c>
      <c r="K39" s="130" t="str">
        <f>IF('SIG 2021'!$AM42="","",'SIG 2021'!$AM42)</f>
        <v/>
      </c>
      <c r="L39" s="130" t="str">
        <f>IF('SIG 2021'!$AN42="","",'SIG 2021'!$AN42)</f>
        <v/>
      </c>
      <c r="M39" s="130" t="str">
        <f>IF('SIG 2021'!$AO42="","",'SIG 2021'!$AO42)</f>
        <v/>
      </c>
    </row>
    <row r="40" spans="1:13" ht="43.2" x14ac:dyDescent="0.5">
      <c r="A40" s="130">
        <v>3910</v>
      </c>
      <c r="B40" s="130" t="s">
        <v>576</v>
      </c>
      <c r="C40" s="130" t="s">
        <v>577</v>
      </c>
      <c r="D40" s="130" t="str">
        <f>IF('SIG 2021'!$D43="","",'SIG 2021'!$D43)</f>
        <v>Yes</v>
      </c>
      <c r="E40" s="130" t="str">
        <f>IF('SIG 2021'!$E43="","",'SIG 2021'!$E43)</f>
        <v/>
      </c>
      <c r="F40" s="130" t="str">
        <f>IF('SIG 2021'!$F43="","",'SIG 2021'!F43)</f>
        <v/>
      </c>
      <c r="G40" s="130" t="s">
        <v>547</v>
      </c>
      <c r="H40" s="130" t="s">
        <v>548</v>
      </c>
      <c r="I40" s="130" t="s">
        <v>570</v>
      </c>
      <c r="J40" s="130" t="s">
        <v>578</v>
      </c>
      <c r="K40" s="130" t="str">
        <f>IF('SIG 2021'!$AM43="","",'SIG 2021'!$AM43)</f>
        <v/>
      </c>
      <c r="L40" s="130" t="str">
        <f>IF('SIG 2021'!$AN43="","",'SIG 2021'!$AN43)</f>
        <v/>
      </c>
      <c r="M40" s="130" t="str">
        <f>IF('SIG 2021'!$AO43="","",'SIG 2021'!$AO43)</f>
        <v/>
      </c>
    </row>
    <row r="41" spans="1:13" ht="57.6" x14ac:dyDescent="0.5">
      <c r="A41" s="130">
        <v>3900</v>
      </c>
      <c r="B41" s="130" t="s">
        <v>579</v>
      </c>
      <c r="C41" s="130" t="s">
        <v>580</v>
      </c>
      <c r="D41" s="130" t="str">
        <f>IF('SIG 2021'!$D44="","",'SIG 2021'!$D44)</f>
        <v>Yes</v>
      </c>
      <c r="E41" s="130" t="str">
        <f>IF('SIG 2021'!$E44="","",'SIG 2021'!$E44)</f>
        <v/>
      </c>
      <c r="F41" s="130" t="str">
        <f>IF('SIG 2021'!$F44="","",'SIG 2021'!F44)</f>
        <v/>
      </c>
      <c r="G41" s="130" t="s">
        <v>547</v>
      </c>
      <c r="H41" s="130" t="s">
        <v>581</v>
      </c>
      <c r="I41" s="130" t="s">
        <v>582</v>
      </c>
      <c r="J41" s="130" t="s">
        <v>583</v>
      </c>
      <c r="K41" s="130" t="str">
        <f>IF('SIG 2021'!$AM44="","",'SIG 2021'!$AM44)</f>
        <v/>
      </c>
      <c r="L41" s="130" t="str">
        <f>IF('SIG 2021'!$AN44="","",'SIG 2021'!$AN44)</f>
        <v/>
      </c>
      <c r="M41" s="130" t="str">
        <f>IF('SIG 2021'!$AO44="","",'SIG 2021'!$AO44)</f>
        <v/>
      </c>
    </row>
    <row r="42" spans="1:13" ht="72" x14ac:dyDescent="0.5">
      <c r="A42" s="130">
        <v>5644</v>
      </c>
      <c r="B42" s="130" t="s">
        <v>584</v>
      </c>
      <c r="C42" s="130" t="s">
        <v>585</v>
      </c>
      <c r="D42" s="130" t="str">
        <f>IF('SIG 2021'!$D45="","",'SIG 2021'!$D45)</f>
        <v>Yes</v>
      </c>
      <c r="E42" s="130" t="str">
        <f>IF('SIG 2021'!$E45="","",'SIG 2021'!$E45)</f>
        <v/>
      </c>
      <c r="F42" s="130" t="str">
        <f>IF('SIG 2021'!$F45="","",'SIG 2021'!F45)</f>
        <v/>
      </c>
      <c r="G42" s="130" t="s">
        <v>547</v>
      </c>
      <c r="H42" s="130" t="s">
        <v>581</v>
      </c>
      <c r="I42" s="130" t="s">
        <v>582</v>
      </c>
      <c r="J42" s="130"/>
      <c r="K42" s="130" t="str">
        <f>IF('SIG 2021'!$AM45="","",'SIG 2021'!$AM45)</f>
        <v/>
      </c>
      <c r="L42" s="130" t="str">
        <f>IF('SIG 2021'!$AN45="","",'SIG 2021'!$AN45)</f>
        <v/>
      </c>
      <c r="M42" s="130" t="str">
        <f>IF('SIG 2021'!$AO45="","",'SIG 2021'!$AO45)</f>
        <v/>
      </c>
    </row>
    <row r="43" spans="1:13" ht="43.2" x14ac:dyDescent="0.5">
      <c r="A43" s="130">
        <v>5647</v>
      </c>
      <c r="B43" s="130" t="s">
        <v>586</v>
      </c>
      <c r="C43" s="130" t="s">
        <v>587</v>
      </c>
      <c r="D43" s="130" t="str">
        <f>IF('SIG 2021'!$D46="","",'SIG 2021'!$D46)</f>
        <v>Yes</v>
      </c>
      <c r="E43" s="130" t="str">
        <f>IF('SIG 2021'!$E46="","",'SIG 2021'!$E46)</f>
        <v/>
      </c>
      <c r="F43" s="130" t="str">
        <f>IF('SIG 2021'!$F46="","",'SIG 2021'!F46)</f>
        <v/>
      </c>
      <c r="G43" s="130" t="s">
        <v>547</v>
      </c>
      <c r="H43" s="130" t="s">
        <v>581</v>
      </c>
      <c r="I43" s="130" t="s">
        <v>588</v>
      </c>
      <c r="J43" s="130" t="s">
        <v>589</v>
      </c>
      <c r="K43" s="130" t="str">
        <f>IF('SIG 2021'!$AM46="","",'SIG 2021'!$AM46)</f>
        <v/>
      </c>
      <c r="L43" s="130" t="str">
        <f>IF('SIG 2021'!$AN46="","",'SIG 2021'!$AN46)</f>
        <v/>
      </c>
      <c r="M43" s="130" t="str">
        <f>IF('SIG 2021'!$AO46="","",'SIG 2021'!$AO46)</f>
        <v/>
      </c>
    </row>
    <row r="44" spans="1:13" ht="43.2" x14ac:dyDescent="0.5">
      <c r="A44" s="130">
        <v>5648</v>
      </c>
      <c r="B44" s="130" t="s">
        <v>590</v>
      </c>
      <c r="C44" s="130" t="s">
        <v>591</v>
      </c>
      <c r="D44" s="130" t="str">
        <f>IF('SIG 2021'!$D47="","",'SIG 2021'!$D47)</f>
        <v>Yes</v>
      </c>
      <c r="E44" s="130" t="str">
        <f>IF('SIG 2021'!$E47="","",'SIG 2021'!$E47)</f>
        <v/>
      </c>
      <c r="F44" s="130" t="str">
        <f>IF('SIG 2021'!$F47="","",'SIG 2021'!F47)</f>
        <v/>
      </c>
      <c r="G44" s="130" t="s">
        <v>547</v>
      </c>
      <c r="H44" s="130" t="s">
        <v>581</v>
      </c>
      <c r="I44" s="130"/>
      <c r="J44" s="130"/>
      <c r="K44" s="130" t="str">
        <f>IF('SIG 2021'!$AM47="","",'SIG 2021'!$AM47)</f>
        <v/>
      </c>
      <c r="L44" s="130" t="str">
        <f>IF('SIG 2021'!$AN47="","",'SIG 2021'!$AN47)</f>
        <v/>
      </c>
      <c r="M44" s="130" t="str">
        <f>IF('SIG 2021'!$AO47="","",'SIG 2021'!$AO47)</f>
        <v/>
      </c>
    </row>
    <row r="45" spans="1:13" ht="43.2" x14ac:dyDescent="0.5">
      <c r="A45" s="130">
        <v>5649</v>
      </c>
      <c r="B45" s="130" t="s">
        <v>592</v>
      </c>
      <c r="C45" s="130" t="s">
        <v>593</v>
      </c>
      <c r="D45" s="130" t="str">
        <f>IF('SIG 2021'!$D48="","",'SIG 2021'!$D48)</f>
        <v>Yes</v>
      </c>
      <c r="E45" s="130" t="str">
        <f>IF('SIG 2021'!$E48="","",'SIG 2021'!$E48)</f>
        <v/>
      </c>
      <c r="F45" s="130" t="str">
        <f>IF('SIG 2021'!$F48="","",'SIG 2021'!F48)</f>
        <v/>
      </c>
      <c r="G45" s="130" t="s">
        <v>547</v>
      </c>
      <c r="H45" s="130" t="s">
        <v>594</v>
      </c>
      <c r="I45" s="130"/>
      <c r="J45" s="130" t="s">
        <v>595</v>
      </c>
      <c r="K45" s="130" t="str">
        <f>IF('SIG 2021'!$AM48="","",'SIG 2021'!$AM48)</f>
        <v/>
      </c>
      <c r="L45" s="130" t="str">
        <f>IF('SIG 2021'!$AN48="","",'SIG 2021'!$AN48)</f>
        <v/>
      </c>
      <c r="M45" s="130" t="str">
        <f>IF('SIG 2021'!$AO48="","",'SIG 2021'!$AO48)</f>
        <v/>
      </c>
    </row>
    <row r="46" spans="1:13" ht="28.8" x14ac:dyDescent="0.5">
      <c r="A46" s="130">
        <v>3522</v>
      </c>
      <c r="B46" s="130" t="s">
        <v>596</v>
      </c>
      <c r="C46" s="130" t="s">
        <v>597</v>
      </c>
      <c r="D46" s="130" t="str">
        <f>IF('SIG 2021'!$D49="","",'SIG 2021'!$D49)</f>
        <v>Yes</v>
      </c>
      <c r="E46" s="130" t="str">
        <f>IF('SIG 2021'!$E49="","",'SIG 2021'!$E49)</f>
        <v/>
      </c>
      <c r="F46" s="130" t="str">
        <f>IF('SIG 2021'!$F49="","",'SIG 2021'!F49)</f>
        <v/>
      </c>
      <c r="G46" s="130" t="s">
        <v>547</v>
      </c>
      <c r="H46" s="130" t="s">
        <v>594</v>
      </c>
      <c r="I46" s="130"/>
      <c r="J46" s="130" t="s">
        <v>595</v>
      </c>
      <c r="K46" s="130" t="str">
        <f>IF('SIG 2021'!$AM49="","",'SIG 2021'!$AM49)</f>
        <v/>
      </c>
      <c r="L46" s="130" t="str">
        <f>IF('SIG 2021'!$AN49="","",'SIG 2021'!$AN49)</f>
        <v/>
      </c>
      <c r="M46" s="130" t="str">
        <f>IF('SIG 2021'!$AO49="","",'SIG 2021'!$AO49)</f>
        <v/>
      </c>
    </row>
    <row r="47" spans="1:13" ht="43.2" x14ac:dyDescent="0.5">
      <c r="A47" s="130">
        <v>3525</v>
      </c>
      <c r="B47" s="130" t="s">
        <v>598</v>
      </c>
      <c r="C47" s="130" t="s">
        <v>599</v>
      </c>
      <c r="D47" s="130" t="str">
        <f>IF('SIG 2021'!$D50="","",'SIG 2021'!$D50)</f>
        <v>N/A</v>
      </c>
      <c r="E47" s="130" t="str">
        <f>IF('SIG 2021'!$E50="","",'SIG 2021'!$E50)</f>
        <v>Seismic is not required by regulations to complete background checks after hire.</v>
      </c>
      <c r="F47" s="130" t="str">
        <f>IF('SIG 2021'!$F50="","",'SIG 2021'!F50)</f>
        <v/>
      </c>
      <c r="G47" s="130" t="s">
        <v>547</v>
      </c>
      <c r="H47" s="130" t="s">
        <v>594</v>
      </c>
      <c r="I47" s="130"/>
      <c r="J47" s="130" t="s">
        <v>595</v>
      </c>
      <c r="K47" s="130" t="str">
        <f>IF('SIG 2021'!$AM50="","",'SIG 2021'!$AM50)</f>
        <v/>
      </c>
      <c r="L47" s="130" t="str">
        <f>IF('SIG 2021'!$AN50="","",'SIG 2021'!$AN50)</f>
        <v/>
      </c>
      <c r="M47" s="130" t="str">
        <f>IF('SIG 2021'!$AO50="","",'SIG 2021'!$AO50)</f>
        <v/>
      </c>
    </row>
    <row r="48" spans="1:13" ht="86.4" x14ac:dyDescent="0.5">
      <c r="A48" s="130">
        <v>72</v>
      </c>
      <c r="B48" s="130" t="s">
        <v>601</v>
      </c>
      <c r="C48" s="130" t="s">
        <v>602</v>
      </c>
      <c r="D48" s="130" t="str">
        <f>IF('SIG 2021'!$D51="","",'SIG 2021'!$D51)</f>
        <v>Yes</v>
      </c>
      <c r="E48" s="130" t="str">
        <f>IF('SIG 2021'!$E51="","",'SIG 2021'!$E51)</f>
        <v>AWS provides data center hosting</v>
      </c>
      <c r="F48" s="130" t="str">
        <f>IF('SIG 2021'!$F51="","",'SIG 2021'!F51)</f>
        <v/>
      </c>
      <c r="G48" s="130" t="s">
        <v>547</v>
      </c>
      <c r="H48" s="130" t="s">
        <v>603</v>
      </c>
      <c r="I48" s="130" t="s">
        <v>604</v>
      </c>
      <c r="J48" s="130" t="s">
        <v>605</v>
      </c>
      <c r="K48" s="130" t="str">
        <f>IF('SIG 2021'!$AM51="","",'SIG 2021'!$AM51)</f>
        <v/>
      </c>
      <c r="L48" s="130" t="str">
        <f>IF('SIG 2021'!$AN51="","",'SIG 2021'!$AN51)</f>
        <v/>
      </c>
      <c r="M48" s="130" t="str">
        <f>IF('SIG 2021'!$AO51="","",'SIG 2021'!$AO51)</f>
        <v/>
      </c>
    </row>
    <row r="49" spans="1:13" ht="72" x14ac:dyDescent="0.5">
      <c r="A49" s="130">
        <v>74</v>
      </c>
      <c r="B49" s="130" t="s">
        <v>606</v>
      </c>
      <c r="C49" s="130" t="s">
        <v>607</v>
      </c>
      <c r="D49" s="130" t="str">
        <f>IF('SIG 2021'!$D52="","",'SIG 2021'!$D52)</f>
        <v>Yes</v>
      </c>
      <c r="E49" s="130" t="str">
        <f>IF('SIG 2021'!$E52="","",'SIG 2021'!$E52)</f>
        <v/>
      </c>
      <c r="F49" s="130" t="str">
        <f>IF('SIG 2021'!$F52="","",'SIG 2021'!F52)</f>
        <v/>
      </c>
      <c r="G49" s="130" t="s">
        <v>547</v>
      </c>
      <c r="H49" s="130" t="s">
        <v>603</v>
      </c>
      <c r="I49" s="130" t="s">
        <v>604</v>
      </c>
      <c r="J49" s="130" t="s">
        <v>608</v>
      </c>
      <c r="K49" s="130" t="str">
        <f>IF('SIG 2021'!$AM52="","",'SIG 2021'!$AM52)</f>
        <v/>
      </c>
      <c r="L49" s="130" t="str">
        <f>IF('SIG 2021'!$AN52="","",'SIG 2021'!$AN52)</f>
        <v/>
      </c>
      <c r="M49" s="130" t="str">
        <f>IF('SIG 2021'!$AO52="","",'SIG 2021'!$AO52)</f>
        <v/>
      </c>
    </row>
    <row r="50" spans="1:13" ht="100.8" x14ac:dyDescent="0.5">
      <c r="A50" s="130">
        <v>2506</v>
      </c>
      <c r="B50" s="130" t="s">
        <v>609</v>
      </c>
      <c r="C50" s="130" t="s">
        <v>610</v>
      </c>
      <c r="D50" s="130" t="str">
        <f>IF('SIG 2021'!$D53="","",'SIG 2021'!$D53)</f>
        <v>Yes</v>
      </c>
      <c r="E50" s="130" t="str">
        <f>IF('SIG 2021'!$E53="","",'SIG 2021'!$E53)</f>
        <v/>
      </c>
      <c r="F50" s="130" t="str">
        <f>IF('SIG 2021'!$F53="","",'SIG 2021'!F53)</f>
        <v/>
      </c>
      <c r="G50" s="130" t="s">
        <v>547</v>
      </c>
      <c r="H50" s="130" t="s">
        <v>603</v>
      </c>
      <c r="I50" s="130" t="s">
        <v>604</v>
      </c>
      <c r="J50" s="130" t="s">
        <v>611</v>
      </c>
      <c r="K50" s="130" t="str">
        <f>IF('SIG 2021'!$AM53="","",'SIG 2021'!$AM53)</f>
        <v/>
      </c>
      <c r="L50" s="130" t="str">
        <f>IF('SIG 2021'!$AN53="","",'SIG 2021'!$AN53)</f>
        <v/>
      </c>
      <c r="M50" s="130" t="str">
        <f>IF('SIG 2021'!$AO53="","",'SIG 2021'!$AO53)</f>
        <v/>
      </c>
    </row>
    <row r="51" spans="1:13" ht="86.4" x14ac:dyDescent="0.5">
      <c r="A51" s="130">
        <v>4170</v>
      </c>
      <c r="B51" s="130" t="s">
        <v>612</v>
      </c>
      <c r="C51" s="130" t="s">
        <v>613</v>
      </c>
      <c r="D51" s="130" t="str">
        <f>IF('SIG 2021'!$D54="","",'SIG 2021'!$D54)</f>
        <v>Yes</v>
      </c>
      <c r="E51" s="130" t="str">
        <f>IF('SIG 2021'!$E54="","",'SIG 2021'!$E54)</f>
        <v/>
      </c>
      <c r="F51" s="130" t="str">
        <f>IF('SIG 2021'!$F54="","",'SIG 2021'!F54)</f>
        <v/>
      </c>
      <c r="G51" s="130" t="s">
        <v>547</v>
      </c>
      <c r="H51" s="130" t="s">
        <v>603</v>
      </c>
      <c r="I51" s="130" t="s">
        <v>604</v>
      </c>
      <c r="J51" s="130" t="s">
        <v>614</v>
      </c>
      <c r="K51" s="130" t="str">
        <f>IF('SIG 2021'!$AM54="","",'SIG 2021'!$AM54)</f>
        <v/>
      </c>
      <c r="L51" s="130" t="str">
        <f>IF('SIG 2021'!$AN54="","",'SIG 2021'!$AN54)</f>
        <v/>
      </c>
      <c r="M51" s="130" t="str">
        <f>IF('SIG 2021'!$AO54="","",'SIG 2021'!$AO54)</f>
        <v/>
      </c>
    </row>
    <row r="52" spans="1:13" ht="100.8" x14ac:dyDescent="0.5">
      <c r="A52" s="130">
        <v>4171</v>
      </c>
      <c r="B52" s="130" t="s">
        <v>615</v>
      </c>
      <c r="C52" s="130" t="s">
        <v>616</v>
      </c>
      <c r="D52" s="130" t="str">
        <f>IF('SIG 2021'!$D55="","",'SIG 2021'!$D55)</f>
        <v>Yes</v>
      </c>
      <c r="E52" s="130" t="str">
        <f>IF('SIG 2021'!$E55="","",'SIG 2021'!$E55)</f>
        <v/>
      </c>
      <c r="F52" s="130" t="str">
        <f>IF('SIG 2021'!$F55="","",'SIG 2021'!F55)</f>
        <v/>
      </c>
      <c r="G52" s="130" t="s">
        <v>547</v>
      </c>
      <c r="H52" s="130" t="s">
        <v>603</v>
      </c>
      <c r="I52" s="130"/>
      <c r="J52" s="130" t="s">
        <v>611</v>
      </c>
      <c r="K52" s="130" t="str">
        <f>IF('SIG 2021'!$AM55="","",'SIG 2021'!$AM55)</f>
        <v/>
      </c>
      <c r="L52" s="130" t="str">
        <f>IF('SIG 2021'!$AN55="","",'SIG 2021'!$AN55)</f>
        <v/>
      </c>
      <c r="M52" s="130" t="str">
        <f>IF('SIG 2021'!$AO55="","",'SIG 2021'!$AO55)</f>
        <v/>
      </c>
    </row>
    <row r="53" spans="1:13" ht="86.4" x14ac:dyDescent="0.5">
      <c r="A53" s="130">
        <v>81</v>
      </c>
      <c r="B53" s="130" t="s">
        <v>617</v>
      </c>
      <c r="C53" s="130" t="s">
        <v>618</v>
      </c>
      <c r="D53" s="130" t="str">
        <f>IF('SIG 2021'!$D56="","",'SIG 2021'!$D56)</f>
        <v>Yes</v>
      </c>
      <c r="E53" s="130" t="str">
        <f>IF('SIG 2021'!$E56="","",'SIG 2021'!$E56)</f>
        <v/>
      </c>
      <c r="F53" s="130" t="str">
        <f>IF('SIG 2021'!$F56="","",'SIG 2021'!F56)</f>
        <v/>
      </c>
      <c r="G53" s="130" t="s">
        <v>547</v>
      </c>
      <c r="H53" s="130" t="s">
        <v>603</v>
      </c>
      <c r="I53" s="130" t="s">
        <v>604</v>
      </c>
      <c r="J53" s="130" t="s">
        <v>619</v>
      </c>
      <c r="K53" s="130" t="str">
        <f>IF('SIG 2021'!$AM56="","",'SIG 2021'!$AM56)</f>
        <v/>
      </c>
      <c r="L53" s="130" t="str">
        <f>IF('SIG 2021'!$AN56="","",'SIG 2021'!$AN56)</f>
        <v/>
      </c>
      <c r="M53" s="130" t="str">
        <f>IF('SIG 2021'!$AO56="","",'SIG 2021'!$AO56)</f>
        <v/>
      </c>
    </row>
    <row r="54" spans="1:13" ht="57.6" x14ac:dyDescent="0.5">
      <c r="A54" s="130">
        <v>78</v>
      </c>
      <c r="B54" s="130" t="s">
        <v>620</v>
      </c>
      <c r="C54" s="130" t="s">
        <v>621</v>
      </c>
      <c r="D54" s="130" t="str">
        <f>IF('SIG 2021'!$D57="","",'SIG 2021'!$D57)</f>
        <v>Yes</v>
      </c>
      <c r="E54" s="130" t="str">
        <f>IF('SIG 2021'!$E57="","",'SIG 2021'!$E57)</f>
        <v/>
      </c>
      <c r="F54" s="130" t="str">
        <f>IF('SIG 2021'!$F57="","",'SIG 2021'!F57)</f>
        <v/>
      </c>
      <c r="G54" s="130" t="s">
        <v>547</v>
      </c>
      <c r="H54" s="130" t="s">
        <v>603</v>
      </c>
      <c r="I54" s="130" t="s">
        <v>604</v>
      </c>
      <c r="J54" s="130" t="s">
        <v>622</v>
      </c>
      <c r="K54" s="130" t="str">
        <f>IF('SIG 2021'!$AM57="","",'SIG 2021'!$AM57)</f>
        <v/>
      </c>
      <c r="L54" s="130" t="str">
        <f>IF('SIG 2021'!$AN57="","",'SIG 2021'!$AN57)</f>
        <v/>
      </c>
      <c r="M54" s="130" t="str">
        <f>IF('SIG 2021'!$AO57="","",'SIG 2021'!$AO57)</f>
        <v/>
      </c>
    </row>
    <row r="55" spans="1:13" ht="43.2" x14ac:dyDescent="0.5">
      <c r="A55" s="130">
        <v>82</v>
      </c>
      <c r="B55" s="130" t="s">
        <v>623</v>
      </c>
      <c r="C55" s="130" t="s">
        <v>624</v>
      </c>
      <c r="D55" s="130" t="str">
        <f>IF('SIG 2021'!$D58="","",'SIG 2021'!$D58)</f>
        <v>Yes</v>
      </c>
      <c r="E55" s="130" t="str">
        <f>IF('SIG 2021'!$E58="","",'SIG 2021'!$E58)</f>
        <v/>
      </c>
      <c r="F55" s="130" t="str">
        <f>IF('SIG 2021'!$F58="","",'SIG 2021'!F58)</f>
        <v/>
      </c>
      <c r="G55" s="130" t="s">
        <v>547</v>
      </c>
      <c r="H55" s="130" t="s">
        <v>603</v>
      </c>
      <c r="I55" s="130" t="s">
        <v>604</v>
      </c>
      <c r="J55" s="130" t="s">
        <v>625</v>
      </c>
      <c r="K55" s="130" t="str">
        <f>IF('SIG 2021'!$AM58="","",'SIG 2021'!$AM58)</f>
        <v/>
      </c>
      <c r="L55" s="130" t="str">
        <f>IF('SIG 2021'!$AN58="","",'SIG 2021'!$AN58)</f>
        <v/>
      </c>
      <c r="M55" s="130" t="str">
        <f>IF('SIG 2021'!$AO58="","",'SIG 2021'!$AO58)</f>
        <v/>
      </c>
    </row>
    <row r="56" spans="1:13" ht="43.2" x14ac:dyDescent="0.5">
      <c r="A56" s="130">
        <v>85</v>
      </c>
      <c r="B56" s="130" t="s">
        <v>626</v>
      </c>
      <c r="C56" s="130" t="s">
        <v>627</v>
      </c>
      <c r="D56" s="130" t="str">
        <f>IF('SIG 2021'!$D59="","",'SIG 2021'!$D59)</f>
        <v>Yes</v>
      </c>
      <c r="E56" s="130" t="str">
        <f>IF('SIG 2021'!$E59="","",'SIG 2021'!$E59)</f>
        <v/>
      </c>
      <c r="F56" s="130" t="str">
        <f>IF('SIG 2021'!$F59="","",'SIG 2021'!F59)</f>
        <v/>
      </c>
      <c r="G56" s="130" t="s">
        <v>547</v>
      </c>
      <c r="H56" s="130" t="s">
        <v>603</v>
      </c>
      <c r="I56" s="130"/>
      <c r="J56" s="130" t="s">
        <v>628</v>
      </c>
      <c r="K56" s="130" t="str">
        <f>IF('SIG 2021'!$AM59="","",'SIG 2021'!$AM59)</f>
        <v/>
      </c>
      <c r="L56" s="130" t="str">
        <f>IF('SIG 2021'!$AN59="","",'SIG 2021'!$AN59)</f>
        <v/>
      </c>
      <c r="M56" s="130" t="str">
        <f>IF('SIG 2021'!$AO59="","",'SIG 2021'!$AO59)</f>
        <v/>
      </c>
    </row>
    <row r="57" spans="1:13" ht="43.2" x14ac:dyDescent="0.5">
      <c r="A57" s="130">
        <v>86</v>
      </c>
      <c r="B57" s="130" t="s">
        <v>629</v>
      </c>
      <c r="C57" s="130" t="s">
        <v>630</v>
      </c>
      <c r="D57" s="130" t="str">
        <f>IF('SIG 2021'!$D60="","",'SIG 2021'!$D60)</f>
        <v>Yes</v>
      </c>
      <c r="E57" s="130" t="str">
        <f>IF('SIG 2021'!$E60="","",'SIG 2021'!$E60)</f>
        <v/>
      </c>
      <c r="F57" s="130" t="str">
        <f>IF('SIG 2021'!$F60="","",'SIG 2021'!F60)</f>
        <v/>
      </c>
      <c r="G57" s="130" t="s">
        <v>547</v>
      </c>
      <c r="H57" s="130" t="s">
        <v>603</v>
      </c>
      <c r="I57" s="130" t="s">
        <v>588</v>
      </c>
      <c r="J57" s="130" t="s">
        <v>631</v>
      </c>
      <c r="K57" s="130" t="str">
        <f>IF('SIG 2021'!$AM60="","",'SIG 2021'!$AM60)</f>
        <v/>
      </c>
      <c r="L57" s="130" t="str">
        <f>IF('SIG 2021'!$AN60="","",'SIG 2021'!$AN60)</f>
        <v/>
      </c>
      <c r="M57" s="130" t="str">
        <f>IF('SIG 2021'!$AO60="","",'SIG 2021'!$AO60)</f>
        <v/>
      </c>
    </row>
    <row r="58" spans="1:13" ht="43.2" x14ac:dyDescent="0.5">
      <c r="A58" s="130">
        <v>4172</v>
      </c>
      <c r="B58" s="130" t="s">
        <v>632</v>
      </c>
      <c r="C58" s="130" t="s">
        <v>633</v>
      </c>
      <c r="D58" s="130" t="str">
        <f>IF('SIG 2021'!$D61="","",'SIG 2021'!$D61)</f>
        <v>Yes</v>
      </c>
      <c r="E58" s="130" t="str">
        <f>IF('SIG 2021'!$E61="","",'SIG 2021'!$E61)</f>
        <v/>
      </c>
      <c r="F58" s="130" t="str">
        <f>IF('SIG 2021'!$F61="","",'SIG 2021'!F61)</f>
        <v/>
      </c>
      <c r="G58" s="130" t="s">
        <v>547</v>
      </c>
      <c r="H58" s="130" t="s">
        <v>603</v>
      </c>
      <c r="I58" s="130"/>
      <c r="J58" s="130" t="s">
        <v>628</v>
      </c>
      <c r="K58" s="130" t="str">
        <f>IF('SIG 2021'!$AM61="","",'SIG 2021'!$AM61)</f>
        <v/>
      </c>
      <c r="L58" s="130" t="str">
        <f>IF('SIG 2021'!$AN61="","",'SIG 2021'!$AN61)</f>
        <v/>
      </c>
      <c r="M58" s="130" t="str">
        <f>IF('SIG 2021'!$AO61="","",'SIG 2021'!$AO61)</f>
        <v/>
      </c>
    </row>
    <row r="59" spans="1:13" ht="72" x14ac:dyDescent="0.5">
      <c r="A59" s="130">
        <v>2524</v>
      </c>
      <c r="B59" s="130" t="s">
        <v>634</v>
      </c>
      <c r="C59" s="130" t="s">
        <v>635</v>
      </c>
      <c r="D59" s="130" t="str">
        <f>IF('SIG 2021'!$D62="","",'SIG 2021'!$D62)</f>
        <v>Yes</v>
      </c>
      <c r="E59" s="130" t="str">
        <f>IF('SIG 2021'!$E62="","",'SIG 2021'!$E62)</f>
        <v/>
      </c>
      <c r="F59" s="130" t="str">
        <f>IF('SIG 2021'!$F62="","",'SIG 2021'!F62)</f>
        <v/>
      </c>
      <c r="G59" s="130" t="s">
        <v>547</v>
      </c>
      <c r="H59" s="130" t="s">
        <v>603</v>
      </c>
      <c r="I59" s="130"/>
      <c r="J59" s="130" t="s">
        <v>636</v>
      </c>
      <c r="K59" s="130" t="str">
        <f>IF('SIG 2021'!$AM62="","",'SIG 2021'!$AM62)</f>
        <v/>
      </c>
      <c r="L59" s="130" t="str">
        <f>IF('SIG 2021'!$AN62="","",'SIG 2021'!$AN62)</f>
        <v/>
      </c>
      <c r="M59" s="130" t="str">
        <f>IF('SIG 2021'!$AO62="","",'SIG 2021'!$AO62)</f>
        <v/>
      </c>
    </row>
    <row r="60" spans="1:13" ht="43.2" x14ac:dyDescent="0.5">
      <c r="A60" s="130">
        <v>4655</v>
      </c>
      <c r="B60" s="130" t="s">
        <v>637</v>
      </c>
      <c r="C60" s="130" t="s">
        <v>638</v>
      </c>
      <c r="D60" s="130" t="str">
        <f>IF('SIG 2021'!$D63="","",'SIG 2021'!$D63)</f>
        <v>Yes</v>
      </c>
      <c r="E60" s="130" t="str">
        <f>IF('SIG 2021'!$E63="","",'SIG 2021'!$E63)</f>
        <v/>
      </c>
      <c r="F60" s="130" t="str">
        <f>IF('SIG 2021'!$F63="","",'SIG 2021'!F63)</f>
        <v/>
      </c>
      <c r="G60" s="130" t="s">
        <v>547</v>
      </c>
      <c r="H60" s="130" t="s">
        <v>603</v>
      </c>
      <c r="I60" s="130"/>
      <c r="J60" s="130" t="s">
        <v>639</v>
      </c>
      <c r="K60" s="130" t="str">
        <f>IF('SIG 2021'!$AM63="","",'SIG 2021'!$AM63)</f>
        <v/>
      </c>
      <c r="L60" s="130" t="str">
        <f>IF('SIG 2021'!$AN63="","",'SIG 2021'!$AN63)</f>
        <v/>
      </c>
      <c r="M60" s="130" t="str">
        <f>IF('SIG 2021'!$AO63="","",'SIG 2021'!$AO63)</f>
        <v/>
      </c>
    </row>
    <row r="61" spans="1:13" ht="72" x14ac:dyDescent="0.5">
      <c r="A61" s="130">
        <v>3887</v>
      </c>
      <c r="B61" s="130" t="s">
        <v>640</v>
      </c>
      <c r="C61" s="130" t="s">
        <v>641</v>
      </c>
      <c r="D61" s="130" t="str">
        <f>IF('SIG 2021'!$D64="","",'SIG 2021'!$D64)</f>
        <v>Yes</v>
      </c>
      <c r="E61" s="130" t="str">
        <f>IF('SIG 2021'!$E64="","",'SIG 2021'!$E64)</f>
        <v/>
      </c>
      <c r="F61" s="130" t="str">
        <f>IF('SIG 2021'!$F64="","",'SIG 2021'!F64)</f>
        <v/>
      </c>
      <c r="G61" s="130" t="s">
        <v>547</v>
      </c>
      <c r="H61" s="130" t="s">
        <v>642</v>
      </c>
      <c r="I61" s="130" t="s">
        <v>551</v>
      </c>
      <c r="J61" s="130"/>
      <c r="K61" s="130" t="str">
        <f>IF('SIG 2021'!$AM64="","",'SIG 2021'!$AM64)</f>
        <v/>
      </c>
      <c r="L61" s="130" t="str">
        <f>IF('SIG 2021'!$AN64="","",'SIG 2021'!$AN64)</f>
        <v/>
      </c>
      <c r="M61" s="130" t="str">
        <f>IF('SIG 2021'!$AO64="","",'SIG 2021'!$AO64)</f>
        <v/>
      </c>
    </row>
    <row r="62" spans="1:13" ht="57.6" x14ac:dyDescent="0.5">
      <c r="A62" s="130">
        <v>3901</v>
      </c>
      <c r="B62" s="130" t="s">
        <v>643</v>
      </c>
      <c r="C62" s="130" t="s">
        <v>644</v>
      </c>
      <c r="D62" s="130" t="str">
        <f>IF('SIG 2021'!$D65="","",'SIG 2021'!$D65)</f>
        <v>Yes</v>
      </c>
      <c r="E62" s="130" t="str">
        <f>IF('SIG 2021'!$E65="","",'SIG 2021'!$E65)</f>
        <v/>
      </c>
      <c r="F62" s="130" t="str">
        <f>IF('SIG 2021'!$F65="","",'SIG 2021'!F65)</f>
        <v/>
      </c>
      <c r="G62" s="130" t="s">
        <v>547</v>
      </c>
      <c r="H62" s="130" t="s">
        <v>642</v>
      </c>
      <c r="I62" s="130" t="s">
        <v>645</v>
      </c>
      <c r="J62" s="130" t="s">
        <v>646</v>
      </c>
      <c r="K62" s="130" t="str">
        <f>IF('SIG 2021'!$AM65="","",'SIG 2021'!$AM65)</f>
        <v/>
      </c>
      <c r="L62" s="130" t="str">
        <f>IF('SIG 2021'!$AN65="","",'SIG 2021'!$AN65)</f>
        <v/>
      </c>
      <c r="M62" s="130" t="str">
        <f>IF('SIG 2021'!$AO65="","",'SIG 2021'!$AO65)</f>
        <v/>
      </c>
    </row>
    <row r="63" spans="1:13" ht="288" x14ac:dyDescent="0.5">
      <c r="A63" s="130">
        <v>3199</v>
      </c>
      <c r="B63" s="130" t="s">
        <v>183</v>
      </c>
      <c r="C63" s="130" t="s">
        <v>647</v>
      </c>
      <c r="D63" s="130" t="str">
        <f>IF('SIG 2021'!$D66="","",'SIG 2021'!$D66)</f>
        <v>Yes</v>
      </c>
      <c r="E63" s="130" t="str">
        <f>IF('SIG 2021'!$E66="","",'SIG 2021'!$E66)</f>
        <v>Seismic's Information Security team manage over 15 different information security and privacy policies related to all aspects of business, to include but not limited to, Human Resource Management, Acceptable Use, Secure Technology Standards, Access Control Standards, Information Security Policy, Privacy Protection, and more.  Seismic reviews policies at least annually or upon significant change to business structure. Policies are approved by a member of executive management before release. Policies and procedures are communicated through Seismic's intranet, and are acknowledged employees and contractors at least annually.</v>
      </c>
      <c r="F63" s="130" t="str">
        <f>IF('SIG 2021'!$F66="","",'SIG 2021'!F66)</f>
        <v/>
      </c>
      <c r="G63" s="130" t="s">
        <v>649</v>
      </c>
      <c r="H63" s="130" t="s">
        <v>649</v>
      </c>
      <c r="I63" s="130" t="s">
        <v>650</v>
      </c>
      <c r="J63" s="130" t="s">
        <v>651</v>
      </c>
      <c r="K63" s="130" t="str">
        <f>IF('SIG 2021'!$AM66="","",'SIG 2021'!$AM66)</f>
        <v/>
      </c>
      <c r="L63" s="130" t="str">
        <f>IF('SIG 2021'!$AN66="","",'SIG 2021'!$AN66)</f>
        <v/>
      </c>
      <c r="M63" s="130" t="str">
        <f>IF('SIG 2021'!$AO66="","",'SIG 2021'!$AO66)</f>
        <v/>
      </c>
    </row>
    <row r="64" spans="1:13" ht="43.2" x14ac:dyDescent="0.5">
      <c r="A64" s="130">
        <v>2482</v>
      </c>
      <c r="B64" s="130" t="s">
        <v>653</v>
      </c>
      <c r="C64" s="130" t="s">
        <v>654</v>
      </c>
      <c r="D64" s="130" t="str">
        <f>IF('SIG 2021'!$D67="","",'SIG 2021'!$D67)</f>
        <v>Yes</v>
      </c>
      <c r="E64" s="130" t="str">
        <f>IF('SIG 2021'!$E67="","",'SIG 2021'!$E67)</f>
        <v>Policies and Standards are based on industry accepted standards such as ISO 27002</v>
      </c>
      <c r="F64" s="130" t="str">
        <f>IF('SIG 2021'!$F67="","",'SIG 2021'!F67)</f>
        <v/>
      </c>
      <c r="G64" s="130" t="s">
        <v>649</v>
      </c>
      <c r="H64" s="130" t="s">
        <v>649</v>
      </c>
      <c r="I64" s="130"/>
      <c r="J64" s="130" t="s">
        <v>656</v>
      </c>
      <c r="K64" s="130" t="str">
        <f>IF('SIG 2021'!$AM67="","",'SIG 2021'!$AM67)</f>
        <v/>
      </c>
      <c r="L64" s="130" t="str">
        <f>IF('SIG 2021'!$AN67="","",'SIG 2021'!$AN67)</f>
        <v/>
      </c>
      <c r="M64" s="130" t="str">
        <f>IF('SIG 2021'!$AO67="","",'SIG 2021'!$AO67)</f>
        <v/>
      </c>
    </row>
    <row r="65" spans="1:13" ht="28.8" x14ac:dyDescent="0.5">
      <c r="A65" s="130">
        <v>4414</v>
      </c>
      <c r="B65" s="130" t="s">
        <v>657</v>
      </c>
      <c r="C65" s="130" t="s">
        <v>658</v>
      </c>
      <c r="D65" s="130" t="str">
        <f>IF('SIG 2021'!$D68="","",'SIG 2021'!$D68)</f>
        <v>Yes</v>
      </c>
      <c r="E65" s="130" t="str">
        <f>IF('SIG 2021'!$E68="","",'SIG 2021'!$E68)</f>
        <v/>
      </c>
      <c r="F65" s="130" t="str">
        <f>IF('SIG 2021'!$F68="","",'SIG 2021'!F68)</f>
        <v/>
      </c>
      <c r="G65" s="130" t="s">
        <v>649</v>
      </c>
      <c r="H65" s="130" t="s">
        <v>649</v>
      </c>
      <c r="I65" s="130" t="s">
        <v>650</v>
      </c>
      <c r="J65" s="130" t="s">
        <v>656</v>
      </c>
      <c r="K65" s="130" t="str">
        <f>IF('SIG 2021'!$AM68="","",'SIG 2021'!$AM68)</f>
        <v/>
      </c>
      <c r="L65" s="130" t="str">
        <f>IF('SIG 2021'!$AN68="","",'SIG 2021'!$AN68)</f>
        <v/>
      </c>
      <c r="M65" s="130" t="str">
        <f>IF('SIG 2021'!$AO68="","",'SIG 2021'!$AO68)</f>
        <v/>
      </c>
    </row>
    <row r="66" spans="1:13" ht="72" x14ac:dyDescent="0.5">
      <c r="A66" s="130">
        <v>4415</v>
      </c>
      <c r="B66" s="130" t="s">
        <v>659</v>
      </c>
      <c r="C66" s="130" t="s">
        <v>660</v>
      </c>
      <c r="D66" s="130" t="str">
        <f>IF('SIG 2021'!$D69="","",'SIG 2021'!$D69)</f>
        <v>Yes</v>
      </c>
      <c r="E66" s="130" t="str">
        <f>IF('SIG 2021'!$E69="","",'SIG 2021'!$E69)</f>
        <v/>
      </c>
      <c r="F66" s="130" t="str">
        <f>IF('SIG 2021'!$F69="","",'SIG 2021'!F69)</f>
        <v/>
      </c>
      <c r="G66" s="130" t="s">
        <v>649</v>
      </c>
      <c r="H66" s="130" t="s">
        <v>649</v>
      </c>
      <c r="I66" s="130"/>
      <c r="J66" s="130" t="s">
        <v>661</v>
      </c>
      <c r="K66" s="130" t="str">
        <f>IF('SIG 2021'!$AM69="","",'SIG 2021'!$AM69)</f>
        <v/>
      </c>
      <c r="L66" s="130" t="str">
        <f>IF('SIG 2021'!$AN69="","",'SIG 2021'!$AN69)</f>
        <v/>
      </c>
      <c r="M66" s="130" t="str">
        <f>IF('SIG 2021'!$AO69="","",'SIG 2021'!$AO69)</f>
        <v/>
      </c>
    </row>
    <row r="67" spans="1:13" ht="72" x14ac:dyDescent="0.5">
      <c r="A67" s="130">
        <v>4173</v>
      </c>
      <c r="B67" s="130" t="s">
        <v>662</v>
      </c>
      <c r="C67" s="130" t="s">
        <v>663</v>
      </c>
      <c r="D67" s="130" t="str">
        <f>IF('SIG 2021'!$D70="","",'SIG 2021'!$D70)</f>
        <v>Yes</v>
      </c>
      <c r="E67" s="130" t="str">
        <f>IF('SIG 2021'!$E70="","",'SIG 2021'!$E70)</f>
        <v>All policies have been assigned for review and approved by the Director of Information Security.</v>
      </c>
      <c r="F67" s="130" t="str">
        <f>IF('SIG 2021'!$F70="","",'SIG 2021'!F70)</f>
        <v/>
      </c>
      <c r="G67" s="130" t="s">
        <v>649</v>
      </c>
      <c r="H67" s="130" t="s">
        <v>649</v>
      </c>
      <c r="I67" s="130"/>
      <c r="J67" s="130" t="s">
        <v>665</v>
      </c>
      <c r="K67" s="130" t="str">
        <f>IF('SIG 2021'!$AM70="","",'SIG 2021'!$AM70)</f>
        <v/>
      </c>
      <c r="L67" s="130" t="str">
        <f>IF('SIG 2021'!$AN70="","",'SIG 2021'!$AN70)</f>
        <v/>
      </c>
      <c r="M67" s="130" t="str">
        <f>IF('SIG 2021'!$AO70="","",'SIG 2021'!$AO70)</f>
        <v/>
      </c>
    </row>
    <row r="68" spans="1:13" ht="72" x14ac:dyDescent="0.5">
      <c r="A68" s="130">
        <v>4174</v>
      </c>
      <c r="B68" s="130" t="s">
        <v>666</v>
      </c>
      <c r="C68" s="130" t="s">
        <v>667</v>
      </c>
      <c r="D68" s="130" t="str">
        <f>IF('SIG 2021'!$D71="","",'SIG 2021'!$D71)</f>
        <v>Yes</v>
      </c>
      <c r="E68" s="130" t="str">
        <f>IF('SIG 2021'!$E71="","",'SIG 2021'!$E71)</f>
        <v/>
      </c>
      <c r="F68" s="130" t="str">
        <f>IF('SIG 2021'!$F71="","",'SIG 2021'!F71)</f>
        <v/>
      </c>
      <c r="G68" s="130" t="s">
        <v>649</v>
      </c>
      <c r="H68" s="130" t="s">
        <v>649</v>
      </c>
      <c r="I68" s="130"/>
      <c r="J68" s="130" t="s">
        <v>668</v>
      </c>
      <c r="K68" s="130" t="str">
        <f>IF('SIG 2021'!$AM71="","",'SIG 2021'!$AM71)</f>
        <v/>
      </c>
      <c r="L68" s="130" t="str">
        <f>IF('SIG 2021'!$AN71="","",'SIG 2021'!$AN71)</f>
        <v/>
      </c>
      <c r="M68" s="130" t="str">
        <f>IF('SIG 2021'!$AO71="","",'SIG 2021'!$AO71)</f>
        <v/>
      </c>
    </row>
    <row r="69" spans="1:13" ht="72" x14ac:dyDescent="0.5">
      <c r="A69" s="130">
        <v>2471</v>
      </c>
      <c r="B69" s="130" t="s">
        <v>669</v>
      </c>
      <c r="C69" s="130" t="s">
        <v>670</v>
      </c>
      <c r="D69" s="130" t="str">
        <f>IF('SIG 2021'!$D72="","",'SIG 2021'!$D72)</f>
        <v>Yes</v>
      </c>
      <c r="E69" s="130" t="str">
        <f>IF('SIG 2021'!$E72="","",'SIG 2021'!$E72)</f>
        <v/>
      </c>
      <c r="F69" s="130" t="str">
        <f>IF('SIG 2021'!$F72="","",'SIG 2021'!F72)</f>
        <v/>
      </c>
      <c r="G69" s="130" t="s">
        <v>649</v>
      </c>
      <c r="H69" s="130" t="s">
        <v>649</v>
      </c>
      <c r="I69" s="130" t="s">
        <v>671</v>
      </c>
      <c r="J69" s="130" t="s">
        <v>672</v>
      </c>
      <c r="K69" s="130" t="str">
        <f>IF('SIG 2021'!$AM72="","",'SIG 2021'!$AM72)</f>
        <v/>
      </c>
      <c r="L69" s="130" t="str">
        <f>IF('SIG 2021'!$AN72="","",'SIG 2021'!$AN72)</f>
        <v/>
      </c>
      <c r="M69" s="130" t="str">
        <f>IF('SIG 2021'!$AO72="","",'SIG 2021'!$AO72)</f>
        <v/>
      </c>
    </row>
    <row r="70" spans="1:13" ht="57.6" x14ac:dyDescent="0.5">
      <c r="A70" s="130">
        <v>4417</v>
      </c>
      <c r="B70" s="130" t="s">
        <v>187</v>
      </c>
      <c r="C70" s="130" t="s">
        <v>673</v>
      </c>
      <c r="D70" s="130" t="str">
        <f>IF('SIG 2021'!$D73="","",'SIG 2021'!$D73)</f>
        <v>Yes</v>
      </c>
      <c r="E70" s="130" t="str">
        <f>IF('SIG 2021'!$E73="","",'SIG 2021'!$E73)</f>
        <v>Seismic has a written Information Security Policy all employees must acknowledge on an annual basis.</v>
      </c>
      <c r="F70" s="130" t="str">
        <f>IF('SIG 2021'!$F73="","",'SIG 2021'!F73)</f>
        <v/>
      </c>
      <c r="G70" s="130" t="s">
        <v>675</v>
      </c>
      <c r="H70" s="130" t="s">
        <v>676</v>
      </c>
      <c r="I70" s="130" t="s">
        <v>677</v>
      </c>
      <c r="J70" s="130" t="s">
        <v>678</v>
      </c>
      <c r="K70" s="130" t="str">
        <f>IF('SIG 2021'!$AM73="","",'SIG 2021'!$AM73)</f>
        <v/>
      </c>
      <c r="L70" s="130" t="str">
        <f>IF('SIG 2021'!$AN73="","",'SIG 2021'!$AN73)</f>
        <v/>
      </c>
      <c r="M70" s="130" t="str">
        <f>IF('SIG 2021'!$AO73="","",'SIG 2021'!$AO73)</f>
        <v/>
      </c>
    </row>
    <row r="71" spans="1:13" ht="43.2" x14ac:dyDescent="0.5">
      <c r="A71" s="130">
        <v>4418</v>
      </c>
      <c r="B71" s="130" t="s">
        <v>680</v>
      </c>
      <c r="C71" s="130" t="s">
        <v>681</v>
      </c>
      <c r="D71" s="130" t="str">
        <f>IF('SIG 2021'!$D74="","",'SIG 2021'!$D74)</f>
        <v>Yes</v>
      </c>
      <c r="E71" s="130" t="str">
        <f>IF('SIG 2021'!$E74="","",'SIG 2021'!$E74)</f>
        <v/>
      </c>
      <c r="F71" s="130" t="str">
        <f>IF('SIG 2021'!$F74="","",'SIG 2021'!F74)</f>
        <v/>
      </c>
      <c r="G71" s="130" t="s">
        <v>675</v>
      </c>
      <c r="H71" s="130" t="s">
        <v>676</v>
      </c>
      <c r="I71" s="130"/>
      <c r="J71" s="130" t="s">
        <v>682</v>
      </c>
      <c r="K71" s="130" t="str">
        <f>IF('SIG 2021'!$AM74="","",'SIG 2021'!$AM74)</f>
        <v/>
      </c>
      <c r="L71" s="130" t="str">
        <f>IF('SIG 2021'!$AN74="","",'SIG 2021'!$AN74)</f>
        <v/>
      </c>
      <c r="M71" s="130" t="str">
        <f>IF('SIG 2021'!$AO74="","",'SIG 2021'!$AO74)</f>
        <v/>
      </c>
    </row>
    <row r="72" spans="1:13" ht="86.4" x14ac:dyDescent="0.5">
      <c r="A72" s="130">
        <v>4656</v>
      </c>
      <c r="B72" s="130" t="s">
        <v>683</v>
      </c>
      <c r="C72" s="130" t="s">
        <v>684</v>
      </c>
      <c r="D72" s="130" t="str">
        <f>IF('SIG 2021'!$D75="","",'SIG 2021'!$D75)</f>
        <v>Yes</v>
      </c>
      <c r="E72" s="130" t="str">
        <f>IF('SIG 2021'!$E75="","",'SIG 2021'!$E75)</f>
        <v>Seismic's Information Security Policy is reviewed and approved by the CEO on an annual basis.</v>
      </c>
      <c r="F72" s="130" t="str">
        <f>IF('SIG 2021'!$F75="","",'SIG 2021'!F75)</f>
        <v/>
      </c>
      <c r="G72" s="130" t="s">
        <v>675</v>
      </c>
      <c r="H72" s="130" t="s">
        <v>686</v>
      </c>
      <c r="I72" s="130"/>
      <c r="J72" s="130" t="s">
        <v>687</v>
      </c>
      <c r="K72" s="130" t="str">
        <f>IF('SIG 2021'!$AM75="","",'SIG 2021'!$AM75)</f>
        <v/>
      </c>
      <c r="L72" s="130" t="str">
        <f>IF('SIG 2021'!$AN75="","",'SIG 2021'!$AN75)</f>
        <v/>
      </c>
      <c r="M72" s="130" t="str">
        <f>IF('SIG 2021'!$AO75="","",'SIG 2021'!$AO75)</f>
        <v/>
      </c>
    </row>
    <row r="73" spans="1:13" ht="57.6" x14ac:dyDescent="0.5">
      <c r="A73" s="130">
        <v>4657</v>
      </c>
      <c r="B73" s="130" t="s">
        <v>688</v>
      </c>
      <c r="C73" s="130" t="s">
        <v>689</v>
      </c>
      <c r="D73" s="130" t="str">
        <f>IF('SIG 2021'!$D76="","",'SIG 2021'!$D76)</f>
        <v>Yes</v>
      </c>
      <c r="E73" s="130" t="str">
        <f>IF('SIG 2021'!$E76="","",'SIG 2021'!$E76)</f>
        <v/>
      </c>
      <c r="F73" s="130" t="str">
        <f>IF('SIG 2021'!$F76="","",'SIG 2021'!F76)</f>
        <v/>
      </c>
      <c r="G73" s="130" t="s">
        <v>675</v>
      </c>
      <c r="H73" s="130" t="s">
        <v>686</v>
      </c>
      <c r="I73" s="130"/>
      <c r="J73" s="130" t="s">
        <v>690</v>
      </c>
      <c r="K73" s="130" t="str">
        <f>IF('SIG 2021'!$AM76="","",'SIG 2021'!$AM76)</f>
        <v/>
      </c>
      <c r="L73" s="130" t="str">
        <f>IF('SIG 2021'!$AN76="","",'SIG 2021'!$AN76)</f>
        <v/>
      </c>
      <c r="M73" s="130" t="str">
        <f>IF('SIG 2021'!$AO76="","",'SIG 2021'!$AO76)</f>
        <v/>
      </c>
    </row>
    <row r="74" spans="1:13" ht="57.6" x14ac:dyDescent="0.5">
      <c r="A74" s="130">
        <v>4658</v>
      </c>
      <c r="B74" s="130" t="s">
        <v>691</v>
      </c>
      <c r="C74" s="130" t="s">
        <v>692</v>
      </c>
      <c r="D74" s="130" t="str">
        <f>IF('SIG 2021'!$D77="","",'SIG 2021'!$D77)</f>
        <v>Yes</v>
      </c>
      <c r="E74" s="130" t="str">
        <f>IF('SIG 2021'!$E77="","",'SIG 2021'!$E77)</f>
        <v/>
      </c>
      <c r="F74" s="130" t="str">
        <f>IF('SIG 2021'!$F77="","",'SIG 2021'!F77)</f>
        <v/>
      </c>
      <c r="G74" s="130" t="s">
        <v>675</v>
      </c>
      <c r="H74" s="130" t="s">
        <v>686</v>
      </c>
      <c r="I74" s="130"/>
      <c r="J74" s="130" t="s">
        <v>693</v>
      </c>
      <c r="K74" s="130" t="str">
        <f>IF('SIG 2021'!$AM77="","",'SIG 2021'!$AM77)</f>
        <v/>
      </c>
      <c r="L74" s="130" t="str">
        <f>IF('SIG 2021'!$AN77="","",'SIG 2021'!$AN77)</f>
        <v/>
      </c>
      <c r="M74" s="130" t="str">
        <f>IF('SIG 2021'!$AO77="","",'SIG 2021'!$AO77)</f>
        <v/>
      </c>
    </row>
    <row r="75" spans="1:13" ht="129.6" x14ac:dyDescent="0.5">
      <c r="A75" s="130">
        <v>4659</v>
      </c>
      <c r="B75" s="130" t="s">
        <v>694</v>
      </c>
      <c r="C75" s="130" t="s">
        <v>695</v>
      </c>
      <c r="D75" s="130" t="str">
        <f>IF('SIG 2021'!$D78="","",'SIG 2021'!$D78)</f>
        <v>Yes</v>
      </c>
      <c r="E75" s="130" t="str">
        <f>IF('SIG 2021'!$E78="","",'SIG 2021'!$E78)</f>
        <v/>
      </c>
      <c r="F75" s="130" t="str">
        <f>IF('SIG 2021'!$F78="","",'SIG 2021'!F78)</f>
        <v/>
      </c>
      <c r="G75" s="130" t="s">
        <v>675</v>
      </c>
      <c r="H75" s="130" t="s">
        <v>686</v>
      </c>
      <c r="I75" s="130"/>
      <c r="J75" s="130" t="s">
        <v>696</v>
      </c>
      <c r="K75" s="130" t="str">
        <f>IF('SIG 2021'!$AM78="","",'SIG 2021'!$AM78)</f>
        <v/>
      </c>
      <c r="L75" s="130" t="str">
        <f>IF('SIG 2021'!$AN78="","",'SIG 2021'!$AN78)</f>
        <v/>
      </c>
      <c r="M75" s="130" t="str">
        <f>IF('SIG 2021'!$AO78="","",'SIG 2021'!$AO78)</f>
        <v/>
      </c>
    </row>
    <row r="76" spans="1:13" ht="72" x14ac:dyDescent="0.5">
      <c r="A76" s="130">
        <v>4551</v>
      </c>
      <c r="B76" s="130" t="s">
        <v>697</v>
      </c>
      <c r="C76" s="130" t="s">
        <v>698</v>
      </c>
      <c r="D76" s="130" t="str">
        <f>IF('SIG 2021'!$D79="","",'SIG 2021'!$D79)</f>
        <v>No</v>
      </c>
      <c r="E76" s="130" t="str">
        <f>IF('SIG 2021'!$E79="","",'SIG 2021'!$E79)</f>
        <v>Seismic does not have a CISO by title, but the Director of Information Security is assigned the responsibility for Seismic's Information Security Program.</v>
      </c>
      <c r="F76" s="130" t="str">
        <f>IF('SIG 2021'!$F79="","",'SIG 2021'!F79)</f>
        <v/>
      </c>
      <c r="G76" s="130" t="s">
        <v>675</v>
      </c>
      <c r="H76" s="130" t="s">
        <v>700</v>
      </c>
      <c r="I76" s="130"/>
      <c r="J76" s="130" t="s">
        <v>701</v>
      </c>
      <c r="K76" s="130" t="str">
        <f>IF('SIG 2021'!$AM79="","",'SIG 2021'!$AM79)</f>
        <v/>
      </c>
      <c r="L76" s="130" t="str">
        <f>IF('SIG 2021'!$AN79="","",'SIG 2021'!$AN79)</f>
        <v/>
      </c>
      <c r="M76" s="130" t="str">
        <f>IF('SIG 2021'!$AO79="","",'SIG 2021'!$AO79)</f>
        <v/>
      </c>
    </row>
    <row r="77" spans="1:13" ht="72" x14ac:dyDescent="0.5">
      <c r="A77" s="130">
        <v>4552</v>
      </c>
      <c r="B77" s="130" t="s">
        <v>702</v>
      </c>
      <c r="C77" s="130" t="s">
        <v>703</v>
      </c>
      <c r="D77" s="130" t="str">
        <f>IF('SIG 2021'!$D80="","",'SIG 2021'!$D80)</f>
        <v>Yes</v>
      </c>
      <c r="E77" s="130" t="str">
        <f>IF('SIG 2021'!$E80="","",'SIG 2021'!$E80)</f>
        <v>The Director of Information Security meets with executives at least annually.</v>
      </c>
      <c r="F77" s="130" t="str">
        <f>IF('SIG 2021'!$F80="","",'SIG 2021'!F80)</f>
        <v/>
      </c>
      <c r="G77" s="130" t="s">
        <v>675</v>
      </c>
      <c r="H77" s="130" t="s">
        <v>700</v>
      </c>
      <c r="I77" s="130"/>
      <c r="J77" s="130"/>
      <c r="K77" s="130" t="str">
        <f>IF('SIG 2021'!$AM80="","",'SIG 2021'!$AM80)</f>
        <v/>
      </c>
      <c r="L77" s="130" t="str">
        <f>IF('SIG 2021'!$AN80="","",'SIG 2021'!$AN80)</f>
        <v/>
      </c>
      <c r="M77" s="130" t="str">
        <f>IF('SIG 2021'!$AO80="","",'SIG 2021'!$AO80)</f>
        <v/>
      </c>
    </row>
    <row r="78" spans="1:13" ht="100.8" x14ac:dyDescent="0.5">
      <c r="A78" s="130">
        <v>58</v>
      </c>
      <c r="B78" s="130" t="s">
        <v>705</v>
      </c>
      <c r="C78" s="130" t="s">
        <v>706</v>
      </c>
      <c r="D78" s="130" t="str">
        <f>IF('SIG 2021'!$D81="","",'SIG 2021'!$D81)</f>
        <v>Yes</v>
      </c>
      <c r="E78" s="130" t="str">
        <f>IF('SIG 2021'!$E81="","",'SIG 2021'!$E81)</f>
        <v>Seismic has an internal Information Security Team.</v>
      </c>
      <c r="F78" s="130" t="str">
        <f>IF('SIG 2021'!$F81="","",'SIG 2021'!F81)</f>
        <v/>
      </c>
      <c r="G78" s="130" t="s">
        <v>675</v>
      </c>
      <c r="H78" s="130" t="s">
        <v>708</v>
      </c>
      <c r="I78" s="130"/>
      <c r="J78" s="130" t="s">
        <v>709</v>
      </c>
      <c r="K78" s="130" t="str">
        <f>IF('SIG 2021'!$AM81="","",'SIG 2021'!$AM81)</f>
        <v/>
      </c>
      <c r="L78" s="130" t="str">
        <f>IF('SIG 2021'!$AN81="","",'SIG 2021'!$AN81)</f>
        <v/>
      </c>
      <c r="M78" s="130" t="str">
        <f>IF('SIG 2021'!$AO81="","",'SIG 2021'!$AO81)</f>
        <v/>
      </c>
    </row>
    <row r="79" spans="1:13" ht="86.4" x14ac:dyDescent="0.5">
      <c r="A79" s="130">
        <v>4421</v>
      </c>
      <c r="B79" s="130" t="s">
        <v>710</v>
      </c>
      <c r="C79" s="130" t="s">
        <v>711</v>
      </c>
      <c r="D79" s="130" t="str">
        <f>IF('SIG 2021'!$D82="","",'SIG 2021'!$D82)</f>
        <v>Yes</v>
      </c>
      <c r="E79" s="130" t="str">
        <f>IF('SIG 2021'!$E82="","",'SIG 2021'!$E82)</f>
        <v/>
      </c>
      <c r="F79" s="130" t="str">
        <f>IF('SIG 2021'!$F82="","",'SIG 2021'!F82)</f>
        <v/>
      </c>
      <c r="G79" s="130" t="s">
        <v>675</v>
      </c>
      <c r="H79" s="130" t="s">
        <v>708</v>
      </c>
      <c r="I79" s="130"/>
      <c r="J79" s="130" t="s">
        <v>712</v>
      </c>
      <c r="K79" s="130" t="str">
        <f>IF('SIG 2021'!$AM82="","",'SIG 2021'!$AM82)</f>
        <v/>
      </c>
      <c r="L79" s="130" t="str">
        <f>IF('SIG 2021'!$AN82="","",'SIG 2021'!$AN82)</f>
        <v/>
      </c>
      <c r="M79" s="130" t="str">
        <f>IF('SIG 2021'!$AO82="","",'SIG 2021'!$AO82)</f>
        <v/>
      </c>
    </row>
    <row r="80" spans="1:13" ht="100.8" x14ac:dyDescent="0.5">
      <c r="A80" s="130">
        <v>61</v>
      </c>
      <c r="B80" s="130" t="s">
        <v>713</v>
      </c>
      <c r="C80" s="130" t="s">
        <v>714</v>
      </c>
      <c r="D80" s="130" t="str">
        <f>IF('SIG 2021'!$D83="","",'SIG 2021'!$D83)</f>
        <v>Yes</v>
      </c>
      <c r="E80" s="130" t="str">
        <f>IF('SIG 2021'!$E83="","",'SIG 2021'!$E83)</f>
        <v/>
      </c>
      <c r="F80" s="130" t="str">
        <f>IF('SIG 2021'!$F83="","",'SIG 2021'!F83)</f>
        <v/>
      </c>
      <c r="G80" s="130" t="s">
        <v>675</v>
      </c>
      <c r="H80" s="130" t="s">
        <v>708</v>
      </c>
      <c r="I80" s="130"/>
      <c r="J80" s="130" t="s">
        <v>715</v>
      </c>
      <c r="K80" s="130" t="str">
        <f>IF('SIG 2021'!$AM83="","",'SIG 2021'!$AM83)</f>
        <v/>
      </c>
      <c r="L80" s="130" t="str">
        <f>IF('SIG 2021'!$AN83="","",'SIG 2021'!$AN83)</f>
        <v/>
      </c>
      <c r="M80" s="130" t="str">
        <f>IF('SIG 2021'!$AO83="","",'SIG 2021'!$AO83)</f>
        <v/>
      </c>
    </row>
    <row r="81" spans="1:13" ht="129.6" x14ac:dyDescent="0.5">
      <c r="A81" s="130">
        <v>4422</v>
      </c>
      <c r="B81" s="130" t="s">
        <v>716</v>
      </c>
      <c r="C81" s="130" t="s">
        <v>717</v>
      </c>
      <c r="D81" s="130" t="str">
        <f>IF('SIG 2021'!$D84="","",'SIG 2021'!$D84)</f>
        <v>Yes</v>
      </c>
      <c r="E81" s="130" t="str">
        <f>IF('SIG 2021'!$E84="","",'SIG 2021'!$E84)</f>
        <v/>
      </c>
      <c r="F81" s="130" t="str">
        <f>IF('SIG 2021'!$F84="","",'SIG 2021'!F84)</f>
        <v/>
      </c>
      <c r="G81" s="130" t="s">
        <v>675</v>
      </c>
      <c r="H81" s="130" t="s">
        <v>708</v>
      </c>
      <c r="I81" s="130"/>
      <c r="J81" s="130" t="s">
        <v>718</v>
      </c>
      <c r="K81" s="130" t="str">
        <f>IF('SIG 2021'!$AM84="","",'SIG 2021'!$AM84)</f>
        <v/>
      </c>
      <c r="L81" s="130" t="str">
        <f>IF('SIG 2021'!$AN84="","",'SIG 2021'!$AN84)</f>
        <v/>
      </c>
      <c r="M81" s="130" t="str">
        <f>IF('SIG 2021'!$AO84="","",'SIG 2021'!$AO84)</f>
        <v/>
      </c>
    </row>
    <row r="82" spans="1:13" ht="72" x14ac:dyDescent="0.5">
      <c r="A82" s="130">
        <v>62</v>
      </c>
      <c r="B82" s="130" t="s">
        <v>719</v>
      </c>
      <c r="C82" s="130" t="s">
        <v>720</v>
      </c>
      <c r="D82" s="130" t="str">
        <f>IF('SIG 2021'!$D85="","",'SIG 2021'!$D85)</f>
        <v>Yes</v>
      </c>
      <c r="E82" s="130" t="str">
        <f>IF('SIG 2021'!$E85="","",'SIG 2021'!$E85)</f>
        <v/>
      </c>
      <c r="F82" s="130" t="str">
        <f>IF('SIG 2021'!$F85="","",'SIG 2021'!F85)</f>
        <v/>
      </c>
      <c r="G82" s="130" t="s">
        <v>675</v>
      </c>
      <c r="H82" s="130" t="s">
        <v>708</v>
      </c>
      <c r="I82" s="130"/>
      <c r="J82" s="130" t="s">
        <v>721</v>
      </c>
      <c r="K82" s="130" t="str">
        <f>IF('SIG 2021'!$AM85="","",'SIG 2021'!$AM85)</f>
        <v/>
      </c>
      <c r="L82" s="130" t="str">
        <f>IF('SIG 2021'!$AN85="","",'SIG 2021'!$AN85)</f>
        <v/>
      </c>
      <c r="M82" s="130" t="str">
        <f>IF('SIG 2021'!$AO85="","",'SIG 2021'!$AO85)</f>
        <v/>
      </c>
    </row>
    <row r="83" spans="1:13" ht="57.6" x14ac:dyDescent="0.5">
      <c r="A83" s="130">
        <v>63</v>
      </c>
      <c r="B83" s="130" t="s">
        <v>722</v>
      </c>
      <c r="C83" s="130" t="s">
        <v>723</v>
      </c>
      <c r="D83" s="130" t="str">
        <f>IF('SIG 2021'!$D86="","",'SIG 2021'!$D86)</f>
        <v>Yes</v>
      </c>
      <c r="E83" s="130" t="str">
        <f>IF('SIG 2021'!$E86="","",'SIG 2021'!$E86)</f>
        <v/>
      </c>
      <c r="F83" s="130" t="str">
        <f>IF('SIG 2021'!$F86="","",'SIG 2021'!F86)</f>
        <v/>
      </c>
      <c r="G83" s="130" t="s">
        <v>675</v>
      </c>
      <c r="H83" s="130" t="s">
        <v>708</v>
      </c>
      <c r="I83" s="130"/>
      <c r="J83" s="130" t="s">
        <v>724</v>
      </c>
      <c r="K83" s="130" t="str">
        <f>IF('SIG 2021'!$AM86="","",'SIG 2021'!$AM86)</f>
        <v/>
      </c>
      <c r="L83" s="130" t="str">
        <f>IF('SIG 2021'!$AN86="","",'SIG 2021'!$AN86)</f>
        <v/>
      </c>
      <c r="M83" s="130" t="str">
        <f>IF('SIG 2021'!$AO86="","",'SIG 2021'!$AO86)</f>
        <v/>
      </c>
    </row>
    <row r="84" spans="1:13" ht="86.4" x14ac:dyDescent="0.5">
      <c r="A84" s="130">
        <v>2500</v>
      </c>
      <c r="B84" s="130" t="s">
        <v>725</v>
      </c>
      <c r="C84" s="130" t="s">
        <v>726</v>
      </c>
      <c r="D84" s="130" t="str">
        <f>IF('SIG 2021'!$D87="","",'SIG 2021'!$D87)</f>
        <v>Yes</v>
      </c>
      <c r="E84" s="130" t="str">
        <f>IF('SIG 2021'!$E87="","",'SIG 2021'!$E87)</f>
        <v>Information Security continuously research security forums, special interest groups and professional associations to ensure we are staying ahead of related security trends and new vulnerabilities.</v>
      </c>
      <c r="F84" s="130" t="str">
        <f>IF('SIG 2021'!$F87="","",'SIG 2021'!F87)</f>
        <v/>
      </c>
      <c r="G84" s="130" t="s">
        <v>675</v>
      </c>
      <c r="H84" s="130" t="s">
        <v>728</v>
      </c>
      <c r="I84" s="130" t="s">
        <v>677</v>
      </c>
      <c r="J84" s="130" t="s">
        <v>729</v>
      </c>
      <c r="K84" s="130" t="str">
        <f>IF('SIG 2021'!$AM87="","",'SIG 2021'!$AM87)</f>
        <v/>
      </c>
      <c r="L84" s="130" t="str">
        <f>IF('SIG 2021'!$AN87="","",'SIG 2021'!$AN87)</f>
        <v/>
      </c>
      <c r="M84" s="130" t="str">
        <f>IF('SIG 2021'!$AO87="","",'SIG 2021'!$AO87)</f>
        <v/>
      </c>
    </row>
    <row r="85" spans="1:13" ht="43.2" x14ac:dyDescent="0.5">
      <c r="A85" s="130">
        <v>4200</v>
      </c>
      <c r="B85" s="130" t="s">
        <v>730</v>
      </c>
      <c r="C85" s="130" t="s">
        <v>731</v>
      </c>
      <c r="D85" s="130" t="str">
        <f>IF('SIG 2021'!$D88="","",'SIG 2021'!$D88)</f>
        <v>Yes</v>
      </c>
      <c r="E85" s="130" t="str">
        <f>IF('SIG 2021'!$E88="","",'SIG 2021'!$E88)</f>
        <v/>
      </c>
      <c r="F85" s="130" t="str">
        <f>IF('SIG 2021'!$F88="","",'SIG 2021'!F88)</f>
        <v/>
      </c>
      <c r="G85" s="130" t="s">
        <v>675</v>
      </c>
      <c r="H85" s="130" t="s">
        <v>728</v>
      </c>
      <c r="I85" s="130" t="s">
        <v>677</v>
      </c>
      <c r="J85" s="130" t="s">
        <v>732</v>
      </c>
      <c r="K85" s="130" t="str">
        <f>IF('SIG 2021'!$AM88="","",'SIG 2021'!$AM88)</f>
        <v/>
      </c>
      <c r="L85" s="130" t="str">
        <f>IF('SIG 2021'!$AN88="","",'SIG 2021'!$AN88)</f>
        <v/>
      </c>
      <c r="M85" s="130" t="str">
        <f>IF('SIG 2021'!$AO88="","",'SIG 2021'!$AO88)</f>
        <v/>
      </c>
    </row>
    <row r="86" spans="1:13" ht="43.2" x14ac:dyDescent="0.5">
      <c r="A86" s="130">
        <v>220</v>
      </c>
      <c r="B86" s="130" t="s">
        <v>733</v>
      </c>
      <c r="C86" s="130" t="s">
        <v>734</v>
      </c>
      <c r="D86" s="130" t="str">
        <f>IF('SIG 2021'!$D89="","",'SIG 2021'!$D89)</f>
        <v>Yes</v>
      </c>
      <c r="E86" s="130" t="str">
        <f>IF('SIG 2021'!$E89="","",'SIG 2021'!$E89)</f>
        <v>All personnel have adequate information security certifications to perform their job functions.</v>
      </c>
      <c r="F86" s="130" t="str">
        <f>IF('SIG 2021'!$F89="","",'SIG 2021'!F89)</f>
        <v/>
      </c>
      <c r="G86" s="130" t="s">
        <v>675</v>
      </c>
      <c r="H86" s="130" t="s">
        <v>728</v>
      </c>
      <c r="I86" s="130" t="s">
        <v>677</v>
      </c>
      <c r="J86" s="130" t="s">
        <v>732</v>
      </c>
      <c r="K86" s="130" t="str">
        <f>IF('SIG 2021'!$AM89="","",'SIG 2021'!$AM89)</f>
        <v/>
      </c>
      <c r="L86" s="130" t="str">
        <f>IF('SIG 2021'!$AN89="","",'SIG 2021'!$AN89)</f>
        <v/>
      </c>
      <c r="M86" s="130" t="str">
        <f>IF('SIG 2021'!$AO89="","",'SIG 2021'!$AO89)</f>
        <v/>
      </c>
    </row>
    <row r="87" spans="1:13" ht="43.2" x14ac:dyDescent="0.5">
      <c r="A87" s="130">
        <v>4420</v>
      </c>
      <c r="B87" s="130" t="s">
        <v>736</v>
      </c>
      <c r="C87" s="130" t="s">
        <v>737</v>
      </c>
      <c r="D87" s="130" t="str">
        <f>IF('SIG 2021'!$D90="","",'SIG 2021'!$D90)</f>
        <v>Yes</v>
      </c>
      <c r="E87" s="130" t="str">
        <f>IF('SIG 2021'!$E90="","",'SIG 2021'!$E90)</f>
        <v/>
      </c>
      <c r="F87" s="130" t="str">
        <f>IF('SIG 2021'!$F90="","",'SIG 2021'!F90)</f>
        <v/>
      </c>
      <c r="G87" s="130" t="s">
        <v>738</v>
      </c>
      <c r="H87" s="130" t="s">
        <v>739</v>
      </c>
      <c r="I87" s="130"/>
      <c r="J87" s="130" t="s">
        <v>740</v>
      </c>
      <c r="K87" s="130" t="str">
        <f>IF('SIG 2021'!$AM90="","",'SIG 2021'!$AM90)</f>
        <v/>
      </c>
      <c r="L87" s="130" t="str">
        <f>IF('SIG 2021'!$AN90="","",'SIG 2021'!$AN90)</f>
        <v/>
      </c>
      <c r="M87" s="130" t="str">
        <f>IF('SIG 2021'!$AO90="","",'SIG 2021'!$AO90)</f>
        <v/>
      </c>
    </row>
    <row r="88" spans="1:13" ht="158.4" x14ac:dyDescent="0.5">
      <c r="A88" s="130">
        <v>3200</v>
      </c>
      <c r="B88" s="130" t="s">
        <v>189</v>
      </c>
      <c r="C88" s="130" t="s">
        <v>741</v>
      </c>
      <c r="D88" s="130" t="str">
        <f>IF('SIG 2021'!$D91="","",'SIG 2021'!$D91)</f>
        <v>Yes</v>
      </c>
      <c r="E88" s="130" t="str">
        <f>IF('SIG 2021'!$E91="","",'SIG 2021'!$E91)</f>
        <v>Seismic has a written Asset Management Standard establishing required responsibilities for assets within Seismic's control. To include establishing Asset Owners for all systems, asset configuration requirements, and inventory requirements. The standard is updated at least annually or upon significant change to business structure.</v>
      </c>
      <c r="F88" s="130" t="str">
        <f>IF('SIG 2021'!$F91="","",'SIG 2021'!F91)</f>
        <v/>
      </c>
      <c r="G88" s="130" t="s">
        <v>743</v>
      </c>
      <c r="H88" s="130" t="s">
        <v>744</v>
      </c>
      <c r="I88" s="130" t="s">
        <v>745</v>
      </c>
      <c r="J88" s="130" t="s">
        <v>746</v>
      </c>
      <c r="K88" s="130" t="str">
        <f>IF('SIG 2021'!$AM91="","",'SIG 2021'!$AM91)</f>
        <v/>
      </c>
      <c r="L88" s="130" t="str">
        <f>IF('SIG 2021'!$AN91="","",'SIG 2021'!$AN91)</f>
        <v/>
      </c>
      <c r="M88" s="130" t="str">
        <f>IF('SIG 2021'!$AO91="","",'SIG 2021'!$AO91)</f>
        <v/>
      </c>
    </row>
    <row r="89" spans="1:13" ht="28.8" x14ac:dyDescent="0.5">
      <c r="A89" s="130">
        <v>4423</v>
      </c>
      <c r="B89" s="130" t="s">
        <v>748</v>
      </c>
      <c r="C89" s="130" t="s">
        <v>749</v>
      </c>
      <c r="D89" s="130" t="str">
        <f>IF('SIG 2021'!$D92="","",'SIG 2021'!$D92)</f>
        <v>Yes</v>
      </c>
      <c r="E89" s="130" t="str">
        <f>IF('SIG 2021'!$E92="","",'SIG 2021'!$E92)</f>
        <v/>
      </c>
      <c r="F89" s="130" t="str">
        <f>IF('SIG 2021'!$F92="","",'SIG 2021'!F92)</f>
        <v/>
      </c>
      <c r="G89" s="130" t="s">
        <v>743</v>
      </c>
      <c r="H89" s="130" t="s">
        <v>744</v>
      </c>
      <c r="I89" s="130" t="s">
        <v>745</v>
      </c>
      <c r="J89" s="130" t="s">
        <v>746</v>
      </c>
      <c r="K89" s="130" t="str">
        <f>IF('SIG 2021'!$AM92="","",'SIG 2021'!$AM92)</f>
        <v/>
      </c>
      <c r="L89" s="130" t="str">
        <f>IF('SIG 2021'!$AN92="","",'SIG 2021'!$AN92)</f>
        <v/>
      </c>
      <c r="M89" s="130" t="str">
        <f>IF('SIG 2021'!$AO92="","",'SIG 2021'!$AO92)</f>
        <v/>
      </c>
    </row>
    <row r="90" spans="1:13" ht="43.2" x14ac:dyDescent="0.5">
      <c r="A90" s="130">
        <v>4424</v>
      </c>
      <c r="B90" s="130" t="s">
        <v>750</v>
      </c>
      <c r="C90" s="130" t="s">
        <v>751</v>
      </c>
      <c r="D90" s="130" t="str">
        <f>IF('SIG 2021'!$D93="","",'SIG 2021'!$D93)</f>
        <v>Yes</v>
      </c>
      <c r="E90" s="130" t="str">
        <f>IF('SIG 2021'!$E93="","",'SIG 2021'!$E93)</f>
        <v/>
      </c>
      <c r="F90" s="130" t="str">
        <f>IF('SIG 2021'!$F93="","",'SIG 2021'!F93)</f>
        <v/>
      </c>
      <c r="G90" s="130" t="s">
        <v>743</v>
      </c>
      <c r="H90" s="130" t="s">
        <v>744</v>
      </c>
      <c r="I90" s="130" t="s">
        <v>745</v>
      </c>
      <c r="J90" s="130" t="s">
        <v>746</v>
      </c>
      <c r="K90" s="130" t="str">
        <f>IF('SIG 2021'!$AM93="","",'SIG 2021'!$AM93)</f>
        <v/>
      </c>
      <c r="L90" s="130" t="str">
        <f>IF('SIG 2021'!$AN93="","",'SIG 2021'!$AN93)</f>
        <v/>
      </c>
      <c r="M90" s="130" t="str">
        <f>IF('SIG 2021'!$AO93="","",'SIG 2021'!$AO93)</f>
        <v/>
      </c>
    </row>
    <row r="91" spans="1:13" ht="72" x14ac:dyDescent="0.5">
      <c r="A91" s="130">
        <v>4425</v>
      </c>
      <c r="B91" s="130" t="s">
        <v>752</v>
      </c>
      <c r="C91" s="130" t="s">
        <v>753</v>
      </c>
      <c r="D91" s="130" t="str">
        <f>IF('SIG 2021'!$D94="","",'SIG 2021'!$D94)</f>
        <v>Yes</v>
      </c>
      <c r="E91" s="130" t="str">
        <f>IF('SIG 2021'!$E94="","",'SIG 2021'!$E94)</f>
        <v/>
      </c>
      <c r="F91" s="130" t="str">
        <f>IF('SIG 2021'!$F94="","",'SIG 2021'!F94)</f>
        <v/>
      </c>
      <c r="G91" s="130" t="s">
        <v>743</v>
      </c>
      <c r="H91" s="130" t="s">
        <v>744</v>
      </c>
      <c r="I91" s="130" t="s">
        <v>745</v>
      </c>
      <c r="J91" s="130" t="s">
        <v>754</v>
      </c>
      <c r="K91" s="130" t="str">
        <f>IF('SIG 2021'!$AM94="","",'SIG 2021'!$AM94)</f>
        <v/>
      </c>
      <c r="L91" s="130" t="str">
        <f>IF('SIG 2021'!$AN94="","",'SIG 2021'!$AN94)</f>
        <v/>
      </c>
      <c r="M91" s="130" t="str">
        <f>IF('SIG 2021'!$AO94="","",'SIG 2021'!$AO94)</f>
        <v/>
      </c>
    </row>
    <row r="92" spans="1:13" ht="28.8" x14ac:dyDescent="0.5">
      <c r="A92" s="130">
        <v>110</v>
      </c>
      <c r="B92" s="130" t="s">
        <v>755</v>
      </c>
      <c r="C92" s="130" t="s">
        <v>756</v>
      </c>
      <c r="D92" s="130" t="str">
        <f>IF('SIG 2021'!$D95="","",'SIG 2021'!$D95)</f>
        <v>Yes</v>
      </c>
      <c r="E92" s="130" t="str">
        <f>IF('SIG 2021'!$E95="","",'SIG 2021'!$E95)</f>
        <v/>
      </c>
      <c r="F92" s="130" t="str">
        <f>IF('SIG 2021'!$F95="","",'SIG 2021'!F95)</f>
        <v/>
      </c>
      <c r="G92" s="130" t="s">
        <v>743</v>
      </c>
      <c r="H92" s="130" t="s">
        <v>744</v>
      </c>
      <c r="I92" s="130" t="s">
        <v>745</v>
      </c>
      <c r="J92" s="130" t="s">
        <v>757</v>
      </c>
      <c r="K92" s="130" t="str">
        <f>IF('SIG 2021'!$AM95="","",'SIG 2021'!$AM95)</f>
        <v/>
      </c>
      <c r="L92" s="130" t="str">
        <f>IF('SIG 2021'!$AN95="","",'SIG 2021'!$AN95)</f>
        <v/>
      </c>
      <c r="M92" s="130" t="str">
        <f>IF('SIG 2021'!$AO95="","",'SIG 2021'!$AO95)</f>
        <v/>
      </c>
    </row>
    <row r="93" spans="1:13" ht="28.8" x14ac:dyDescent="0.5">
      <c r="A93" s="130">
        <v>4426</v>
      </c>
      <c r="B93" s="130" t="s">
        <v>758</v>
      </c>
      <c r="C93" s="130" t="s">
        <v>759</v>
      </c>
      <c r="D93" s="130" t="str">
        <f>IF('SIG 2021'!$D96="","",'SIG 2021'!$D96)</f>
        <v>Yes</v>
      </c>
      <c r="E93" s="130" t="str">
        <f>IF('SIG 2021'!$E96="","",'SIG 2021'!$E96)</f>
        <v/>
      </c>
      <c r="F93" s="130" t="str">
        <f>IF('SIG 2021'!$F96="","",'SIG 2021'!F96)</f>
        <v/>
      </c>
      <c r="G93" s="130" t="s">
        <v>743</v>
      </c>
      <c r="H93" s="130" t="s">
        <v>744</v>
      </c>
      <c r="I93" s="130" t="s">
        <v>745</v>
      </c>
      <c r="J93" s="130" t="s">
        <v>757</v>
      </c>
      <c r="K93" s="130" t="str">
        <f>IF('SIG 2021'!$AM96="","",'SIG 2021'!$AM96)</f>
        <v/>
      </c>
      <c r="L93" s="130" t="str">
        <f>IF('SIG 2021'!$AN96="","",'SIG 2021'!$AN96)</f>
        <v/>
      </c>
      <c r="M93" s="130" t="str">
        <f>IF('SIG 2021'!$AO96="","",'SIG 2021'!$AO96)</f>
        <v/>
      </c>
    </row>
    <row r="94" spans="1:13" ht="216" x14ac:dyDescent="0.5">
      <c r="A94" s="130">
        <v>4427</v>
      </c>
      <c r="B94" s="130" t="s">
        <v>760</v>
      </c>
      <c r="C94" s="130" t="s">
        <v>761</v>
      </c>
      <c r="D94" s="130" t="str">
        <f>IF('SIG 2021'!$D97="","",'SIG 2021'!$D97)</f>
        <v>Yes</v>
      </c>
      <c r="E94" s="130" t="str">
        <f>IF('SIG 2021'!$E97="","",'SIG 2021'!$E97)</f>
        <v xml:space="preserve">Information assets are assigned a sensitivity level based on the appropriate audience for the information. If the information has been previously classified by regulatory, legal, contractual or Company directive, then that classification takes precedence. The sensitivity level then guides the selection of protective measures to secure the information. All data are to be assigned to one of the following four sensitivity levels: public, internal use, confidential, or restricted. </v>
      </c>
      <c r="F94" s="130" t="str">
        <f>IF('SIG 2021'!$F97="","",'SIG 2021'!F97)</f>
        <v/>
      </c>
      <c r="G94" s="130" t="s">
        <v>743</v>
      </c>
      <c r="H94" s="130" t="s">
        <v>744</v>
      </c>
      <c r="I94" s="130" t="s">
        <v>745</v>
      </c>
      <c r="J94" s="130" t="s">
        <v>757</v>
      </c>
      <c r="K94" s="130" t="str">
        <f>IF('SIG 2021'!$AM97="","",'SIG 2021'!$AM97)</f>
        <v/>
      </c>
      <c r="L94" s="130" t="str">
        <f>IF('SIG 2021'!$AN97="","",'SIG 2021'!$AN97)</f>
        <v/>
      </c>
      <c r="M94" s="130" t="str">
        <f>IF('SIG 2021'!$AO97="","",'SIG 2021'!$AO97)</f>
        <v/>
      </c>
    </row>
    <row r="95" spans="1:13" ht="28.8" x14ac:dyDescent="0.5">
      <c r="A95" s="130">
        <v>4660</v>
      </c>
      <c r="B95" s="130" t="s">
        <v>763</v>
      </c>
      <c r="C95" s="130" t="s">
        <v>764</v>
      </c>
      <c r="D95" s="130" t="str">
        <f>IF('SIG 2021'!$D98="","",'SIG 2021'!$D98)</f>
        <v>Yes</v>
      </c>
      <c r="E95" s="130" t="str">
        <f>IF('SIG 2021'!$E98="","",'SIG 2021'!$E98)</f>
        <v/>
      </c>
      <c r="F95" s="130" t="str">
        <f>IF('SIG 2021'!$F98="","",'SIG 2021'!F98)</f>
        <v/>
      </c>
      <c r="G95" s="130" t="s">
        <v>743</v>
      </c>
      <c r="H95" s="130" t="s">
        <v>744</v>
      </c>
      <c r="I95" s="130"/>
      <c r="J95" s="130" t="s">
        <v>746</v>
      </c>
      <c r="K95" s="130" t="str">
        <f>IF('SIG 2021'!$AM98="","",'SIG 2021'!$AM98)</f>
        <v/>
      </c>
      <c r="L95" s="130" t="str">
        <f>IF('SIG 2021'!$AN98="","",'SIG 2021'!$AN98)</f>
        <v/>
      </c>
      <c r="M95" s="130" t="str">
        <f>IF('SIG 2021'!$AO98="","",'SIG 2021'!$AO98)</f>
        <v/>
      </c>
    </row>
    <row r="96" spans="1:13" ht="28.8" x14ac:dyDescent="0.5">
      <c r="A96" s="130">
        <v>4428</v>
      </c>
      <c r="B96" s="130" t="s">
        <v>765</v>
      </c>
      <c r="C96" s="130" t="s">
        <v>766</v>
      </c>
      <c r="D96" s="130" t="str">
        <f>IF('SIG 2021'!$D99="","",'SIG 2021'!$D99)</f>
        <v>Yes</v>
      </c>
      <c r="E96" s="130" t="str">
        <f>IF('SIG 2021'!$E99="","",'SIG 2021'!$E99)</f>
        <v/>
      </c>
      <c r="F96" s="130" t="str">
        <f>IF('SIG 2021'!$F99="","",'SIG 2021'!F99)</f>
        <v/>
      </c>
      <c r="G96" s="130" t="s">
        <v>743</v>
      </c>
      <c r="H96" s="130" t="s">
        <v>767</v>
      </c>
      <c r="I96" s="130"/>
      <c r="J96" s="130" t="s">
        <v>746</v>
      </c>
      <c r="K96" s="130" t="str">
        <f>IF('SIG 2021'!$AM99="","",'SIG 2021'!$AM99)</f>
        <v/>
      </c>
      <c r="L96" s="130" t="str">
        <f>IF('SIG 2021'!$AN99="","",'SIG 2021'!$AN99)</f>
        <v/>
      </c>
      <c r="M96" s="130" t="str">
        <f>IF('SIG 2021'!$AO99="","",'SIG 2021'!$AO99)</f>
        <v/>
      </c>
    </row>
    <row r="97" spans="1:13" ht="86.4" x14ac:dyDescent="0.5">
      <c r="A97" s="130">
        <v>4175</v>
      </c>
      <c r="B97" s="130" t="s">
        <v>191</v>
      </c>
      <c r="C97" s="130" t="s">
        <v>768</v>
      </c>
      <c r="D97" s="130" t="str">
        <f>IF('SIG 2021'!$D100="","",'SIG 2021'!$D100)</f>
        <v>Yes</v>
      </c>
      <c r="E97" s="130" t="str">
        <f>IF('SIG 2021'!$E100="","",'SIG 2021'!$E100)</f>
        <v>Seismic's Acceptable Use Policy is reviewed and updated at least annually by Information Security, and reviewed and acknowledged by all employees and contractors at least annually.</v>
      </c>
      <c r="F97" s="130" t="str">
        <f>IF('SIG 2021'!$F100="","",'SIG 2021'!F100)</f>
        <v/>
      </c>
      <c r="G97" s="130" t="s">
        <v>743</v>
      </c>
      <c r="H97" s="130" t="s">
        <v>770</v>
      </c>
      <c r="I97" s="130" t="s">
        <v>771</v>
      </c>
      <c r="J97" s="130" t="s">
        <v>772</v>
      </c>
      <c r="K97" s="130" t="str">
        <f>IF('SIG 2021'!$AM100="","",'SIG 2021'!$AM100)</f>
        <v/>
      </c>
      <c r="L97" s="130" t="str">
        <f>IF('SIG 2021'!$AN100="","",'SIG 2021'!$AN100)</f>
        <v/>
      </c>
      <c r="M97" s="130" t="str">
        <f>IF('SIG 2021'!$AO100="","",'SIG 2021'!$AO100)</f>
        <v/>
      </c>
    </row>
    <row r="98" spans="1:13" ht="28.8" x14ac:dyDescent="0.5">
      <c r="A98" s="130">
        <v>4431</v>
      </c>
      <c r="B98" s="130" t="s">
        <v>773</v>
      </c>
      <c r="C98" s="130" t="s">
        <v>774</v>
      </c>
      <c r="D98" s="130" t="str">
        <f>IF('SIG 2021'!$D101="","",'SIG 2021'!$D101)</f>
        <v>Yes</v>
      </c>
      <c r="E98" s="130" t="str">
        <f>IF('SIG 2021'!$E101="","",'SIG 2021'!$E101)</f>
        <v/>
      </c>
      <c r="F98" s="130" t="str">
        <f>IF('SIG 2021'!$F101="","",'SIG 2021'!F101)</f>
        <v/>
      </c>
      <c r="G98" s="130" t="s">
        <v>743</v>
      </c>
      <c r="H98" s="130" t="s">
        <v>770</v>
      </c>
      <c r="I98" s="130" t="s">
        <v>771</v>
      </c>
      <c r="J98" s="130" t="s">
        <v>772</v>
      </c>
      <c r="K98" s="130" t="str">
        <f>IF('SIG 2021'!$AM101="","",'SIG 2021'!$AM101)</f>
        <v/>
      </c>
      <c r="L98" s="130" t="str">
        <f>IF('SIG 2021'!$AN101="","",'SIG 2021'!$AN101)</f>
        <v/>
      </c>
      <c r="M98" s="130" t="str">
        <f>IF('SIG 2021'!$AO101="","",'SIG 2021'!$AO101)</f>
        <v/>
      </c>
    </row>
    <row r="99" spans="1:13" ht="43.2" x14ac:dyDescent="0.5">
      <c r="A99" s="130">
        <v>4199</v>
      </c>
      <c r="B99" s="130" t="s">
        <v>193</v>
      </c>
      <c r="C99" s="130" t="s">
        <v>775</v>
      </c>
      <c r="D99" s="130" t="str">
        <f>IF('SIG 2021'!$D102="","",'SIG 2021'!$D102)</f>
        <v>Yes</v>
      </c>
      <c r="E99" s="130" t="str">
        <f>IF('SIG 2021'!$E102="","",'SIG 2021'!$E102)</f>
        <v/>
      </c>
      <c r="F99" s="130" t="str">
        <f>IF('SIG 2021'!$F102="","",'SIG 2021'!F102)</f>
        <v/>
      </c>
      <c r="G99" s="130" t="s">
        <v>743</v>
      </c>
      <c r="H99" s="130" t="s">
        <v>776</v>
      </c>
      <c r="I99" s="130"/>
      <c r="J99" s="130" t="s">
        <v>777</v>
      </c>
      <c r="K99" s="130" t="str">
        <f>IF('SIG 2021'!$AM102="","",'SIG 2021'!$AM102)</f>
        <v/>
      </c>
      <c r="L99" s="130" t="str">
        <f>IF('SIG 2021'!$AN102="","",'SIG 2021'!$AN102)</f>
        <v/>
      </c>
      <c r="M99" s="130" t="str">
        <f>IF('SIG 2021'!$AO102="","",'SIG 2021'!$AO102)</f>
        <v/>
      </c>
    </row>
    <row r="100" spans="1:13" ht="216" x14ac:dyDescent="0.5">
      <c r="A100" s="130">
        <v>2532</v>
      </c>
      <c r="B100" s="130" t="s">
        <v>197</v>
      </c>
      <c r="C100" s="130" t="s">
        <v>778</v>
      </c>
      <c r="D100" s="130" t="str">
        <f>IF('SIG 2021'!$D103="","",'SIG 2021'!$D103)</f>
        <v>Yes</v>
      </c>
      <c r="E100" s="130" t="str">
        <f>IF('SIG 2021'!$E103="","",'SIG 2021'!$E103)</f>
        <v xml:space="preserve">Information assets are assigned a sensitivity level based on the appropriate audience for the information. If the information has been previously classified by regulatory, legal, contractual or Company directive, then that classification takes precedence. The sensitivity level then guides the selection of protective measures to secure the information. All data are to be assigned to one of the following four sensitivity levels: public, internal use, confidential, or restricted. </v>
      </c>
      <c r="F100" s="130" t="str">
        <f>IF('SIG 2021'!$F103="","",'SIG 2021'!F103)</f>
        <v/>
      </c>
      <c r="G100" s="130" t="s">
        <v>779</v>
      </c>
      <c r="H100" s="130" t="s">
        <v>780</v>
      </c>
      <c r="I100" s="130" t="s">
        <v>745</v>
      </c>
      <c r="J100" s="130" t="s">
        <v>781</v>
      </c>
      <c r="K100" s="130" t="str">
        <f>IF('SIG 2021'!$AM103="","",'SIG 2021'!$AM103)</f>
        <v/>
      </c>
      <c r="L100" s="130" t="str">
        <f>IF('SIG 2021'!$AN103="","",'SIG 2021'!$AN103)</f>
        <v/>
      </c>
      <c r="M100" s="130" t="str">
        <f>IF('SIG 2021'!$AO103="","",'SIG 2021'!$AO103)</f>
        <v/>
      </c>
    </row>
    <row r="101" spans="1:13" ht="28.8" x14ac:dyDescent="0.5">
      <c r="A101" s="130">
        <v>4432</v>
      </c>
      <c r="B101" s="130" t="s">
        <v>782</v>
      </c>
      <c r="C101" s="130" t="s">
        <v>783</v>
      </c>
      <c r="D101" s="130" t="str">
        <f>IF('SIG 2021'!$D104="","",'SIG 2021'!$D104)</f>
        <v>Yes</v>
      </c>
      <c r="E101" s="130" t="str">
        <f>IF('SIG 2021'!$E104="","",'SIG 2021'!$E104)</f>
        <v/>
      </c>
      <c r="F101" s="130" t="str">
        <f>IF('SIG 2021'!$F104="","",'SIG 2021'!F104)</f>
        <v/>
      </c>
      <c r="G101" s="130" t="s">
        <v>779</v>
      </c>
      <c r="H101" s="130" t="s">
        <v>780</v>
      </c>
      <c r="I101" s="130" t="s">
        <v>745</v>
      </c>
      <c r="J101" s="130" t="s">
        <v>781</v>
      </c>
      <c r="K101" s="130" t="str">
        <f>IF('SIG 2021'!$AM104="","",'SIG 2021'!$AM104)</f>
        <v/>
      </c>
      <c r="L101" s="130" t="str">
        <f>IF('SIG 2021'!$AN104="","",'SIG 2021'!$AN104)</f>
        <v/>
      </c>
      <c r="M101" s="130" t="str">
        <f>IF('SIG 2021'!$AO104="","",'SIG 2021'!$AO104)</f>
        <v/>
      </c>
    </row>
    <row r="102" spans="1:13" ht="28.8" x14ac:dyDescent="0.5">
      <c r="A102" s="130">
        <v>120</v>
      </c>
      <c r="B102" s="130" t="s">
        <v>784</v>
      </c>
      <c r="C102" s="130" t="s">
        <v>785</v>
      </c>
      <c r="D102" s="130" t="str">
        <f>IF('SIG 2021'!$D105="","",'SIG 2021'!$D105)</f>
        <v>Yes</v>
      </c>
      <c r="E102" s="130" t="str">
        <f>IF('SIG 2021'!$E105="","",'SIG 2021'!$E105)</f>
        <v/>
      </c>
      <c r="F102" s="130" t="str">
        <f>IF('SIG 2021'!$F105="","",'SIG 2021'!F105)</f>
        <v/>
      </c>
      <c r="G102" s="130" t="s">
        <v>779</v>
      </c>
      <c r="H102" s="130" t="s">
        <v>786</v>
      </c>
      <c r="I102" s="130" t="s">
        <v>745</v>
      </c>
      <c r="J102" s="130" t="s">
        <v>787</v>
      </c>
      <c r="K102" s="130" t="str">
        <f>IF('SIG 2021'!$AM105="","",'SIG 2021'!$AM105)</f>
        <v/>
      </c>
      <c r="L102" s="130" t="str">
        <f>IF('SIG 2021'!$AN105="","",'SIG 2021'!$AN105)</f>
        <v/>
      </c>
      <c r="M102" s="130" t="str">
        <f>IF('SIG 2021'!$AO105="","",'SIG 2021'!$AO105)</f>
        <v/>
      </c>
    </row>
    <row r="103" spans="1:13" ht="43.2" x14ac:dyDescent="0.5">
      <c r="A103" s="130">
        <v>4434</v>
      </c>
      <c r="B103" s="130" t="s">
        <v>788</v>
      </c>
      <c r="C103" s="130" t="s">
        <v>789</v>
      </c>
      <c r="D103" s="130" t="str">
        <f>IF('SIG 2021'!$D106="","",'SIG 2021'!$D106)</f>
        <v>Yes</v>
      </c>
      <c r="E103" s="130" t="str">
        <f>IF('SIG 2021'!$E106="","",'SIG 2021'!$E106)</f>
        <v/>
      </c>
      <c r="F103" s="130" t="str">
        <f>IF('SIG 2021'!$F106="","",'SIG 2021'!F106)</f>
        <v/>
      </c>
      <c r="G103" s="130" t="s">
        <v>779</v>
      </c>
      <c r="H103" s="130" t="s">
        <v>786</v>
      </c>
      <c r="I103" s="130" t="s">
        <v>745</v>
      </c>
      <c r="J103" s="130" t="s">
        <v>787</v>
      </c>
      <c r="K103" s="130" t="str">
        <f>IF('SIG 2021'!$AM106="","",'SIG 2021'!$AM106)</f>
        <v/>
      </c>
      <c r="L103" s="130" t="str">
        <f>IF('SIG 2021'!$AN106="","",'SIG 2021'!$AN106)</f>
        <v/>
      </c>
      <c r="M103" s="130" t="str">
        <f>IF('SIG 2021'!$AO106="","",'SIG 2021'!$AO106)</f>
        <v/>
      </c>
    </row>
    <row r="104" spans="1:13" ht="28.8" x14ac:dyDescent="0.5">
      <c r="A104" s="130">
        <v>121</v>
      </c>
      <c r="B104" s="130" t="s">
        <v>790</v>
      </c>
      <c r="C104" s="130" t="s">
        <v>791</v>
      </c>
      <c r="D104" s="130" t="str">
        <f>IF('SIG 2021'!$D107="","",'SIG 2021'!$D107)</f>
        <v>Yes</v>
      </c>
      <c r="E104" s="130" t="str">
        <f>IF('SIG 2021'!$E107="","",'SIG 2021'!$E107)</f>
        <v/>
      </c>
      <c r="F104" s="130" t="str">
        <f>IF('SIG 2021'!$F107="","",'SIG 2021'!F107)</f>
        <v/>
      </c>
      <c r="G104" s="130" t="s">
        <v>779</v>
      </c>
      <c r="H104" s="130" t="s">
        <v>786</v>
      </c>
      <c r="I104" s="130" t="s">
        <v>792</v>
      </c>
      <c r="J104" s="130" t="s">
        <v>793</v>
      </c>
      <c r="K104" s="130" t="str">
        <f>IF('SIG 2021'!$AM107="","",'SIG 2021'!$AM107)</f>
        <v/>
      </c>
      <c r="L104" s="130" t="str">
        <f>IF('SIG 2021'!$AN107="","",'SIG 2021'!$AN107)</f>
        <v/>
      </c>
      <c r="M104" s="130" t="str">
        <f>IF('SIG 2021'!$AO107="","",'SIG 2021'!$AO107)</f>
        <v/>
      </c>
    </row>
    <row r="105" spans="1:13" ht="187.2" x14ac:dyDescent="0.5">
      <c r="A105" s="130">
        <v>4435</v>
      </c>
      <c r="B105" s="130" t="s">
        <v>794</v>
      </c>
      <c r="C105" s="130" t="s">
        <v>795</v>
      </c>
      <c r="D105" s="130" t="str">
        <f>IF('SIG 2021'!$D108="","",'SIG 2021'!$D108)</f>
        <v>Yes</v>
      </c>
      <c r="E105" s="130" t="str">
        <f>IF('SIG 2021'!$E108="","",'SIG 2021'!$E108)</f>
        <v>Seismic has a formal Data Handling &amp; Classification Standard that is reviewed at least annually by Information Security. The standard provides labeling, handling, processing, and destruction requirements for four different levels of classification. Public, Internal Use, Confidential, and Restricted. All customer data is considered Confidential information and is protected with encryption in-transit and at-rest.</v>
      </c>
      <c r="F105" s="130" t="str">
        <f>IF('SIG 2021'!$F108="","",'SIG 2021'!F108)</f>
        <v/>
      </c>
      <c r="G105" s="130" t="s">
        <v>779</v>
      </c>
      <c r="H105" s="130" t="s">
        <v>797</v>
      </c>
      <c r="I105" s="130" t="s">
        <v>745</v>
      </c>
      <c r="J105" s="130" t="s">
        <v>798</v>
      </c>
      <c r="K105" s="130" t="str">
        <f>IF('SIG 2021'!$AM108="","",'SIG 2021'!$AM108)</f>
        <v/>
      </c>
      <c r="L105" s="130" t="str">
        <f>IF('SIG 2021'!$AN108="","",'SIG 2021'!$AN108)</f>
        <v/>
      </c>
      <c r="M105" s="130" t="str">
        <f>IF('SIG 2021'!$AO108="","",'SIG 2021'!$AO108)</f>
        <v/>
      </c>
    </row>
    <row r="106" spans="1:13" ht="43.2" x14ac:dyDescent="0.5">
      <c r="A106" s="130">
        <v>128</v>
      </c>
      <c r="B106" s="130" t="s">
        <v>799</v>
      </c>
      <c r="C106" s="130" t="s">
        <v>800</v>
      </c>
      <c r="D106" s="130" t="str">
        <f>IF('SIG 2021'!$D109="","",'SIG 2021'!$D109)</f>
        <v>Yes</v>
      </c>
      <c r="E106" s="130" t="str">
        <f>IF('SIG 2021'!$E109="","",'SIG 2021'!$E109)</f>
        <v/>
      </c>
      <c r="F106" s="130" t="str">
        <f>IF('SIG 2021'!$F109="","",'SIG 2021'!F109)</f>
        <v/>
      </c>
      <c r="G106" s="130" t="s">
        <v>779</v>
      </c>
      <c r="H106" s="130" t="s">
        <v>797</v>
      </c>
      <c r="I106" s="130"/>
      <c r="J106" s="130" t="s">
        <v>801</v>
      </c>
      <c r="K106" s="130" t="str">
        <f>IF('SIG 2021'!$AM109="","",'SIG 2021'!$AM109)</f>
        <v/>
      </c>
      <c r="L106" s="130" t="str">
        <f>IF('SIG 2021'!$AN109="","",'SIG 2021'!$AN109)</f>
        <v/>
      </c>
      <c r="M106" s="130" t="str">
        <f>IF('SIG 2021'!$AO109="","",'SIG 2021'!$AO109)</f>
        <v/>
      </c>
    </row>
    <row r="107" spans="1:13" ht="57.6" x14ac:dyDescent="0.5">
      <c r="A107" s="130">
        <v>131</v>
      </c>
      <c r="B107" s="130" t="s">
        <v>802</v>
      </c>
      <c r="C107" s="130" t="s">
        <v>803</v>
      </c>
      <c r="D107" s="130" t="str">
        <f>IF('SIG 2021'!$D110="","",'SIG 2021'!$D110)</f>
        <v>Yes</v>
      </c>
      <c r="E107" s="130" t="str">
        <f>IF('SIG 2021'!$E110="","",'SIG 2021'!$E110)</f>
        <v/>
      </c>
      <c r="F107" s="130" t="str">
        <f>IF('SIG 2021'!$F110="","",'SIG 2021'!F110)</f>
        <v/>
      </c>
      <c r="G107" s="130" t="s">
        <v>779</v>
      </c>
      <c r="H107" s="130" t="s">
        <v>797</v>
      </c>
      <c r="I107" s="130" t="s">
        <v>804</v>
      </c>
      <c r="J107" s="130" t="s">
        <v>805</v>
      </c>
      <c r="K107" s="130" t="str">
        <f>IF('SIG 2021'!$AM110="","",'SIG 2021'!$AM110)</f>
        <v/>
      </c>
      <c r="L107" s="130" t="str">
        <f>IF('SIG 2021'!$AN110="","",'SIG 2021'!$AN110)</f>
        <v/>
      </c>
      <c r="M107" s="130" t="str">
        <f>IF('SIG 2021'!$AO110="","",'SIG 2021'!$AO110)</f>
        <v/>
      </c>
    </row>
    <row r="108" spans="1:13" ht="43.2" x14ac:dyDescent="0.5">
      <c r="A108" s="130">
        <v>132</v>
      </c>
      <c r="B108" s="130" t="s">
        <v>806</v>
      </c>
      <c r="C108" s="130" t="s">
        <v>807</v>
      </c>
      <c r="D108" s="130" t="str">
        <f>IF('SIG 2021'!$D111="","",'SIG 2021'!$D111)</f>
        <v>Yes</v>
      </c>
      <c r="E108" s="130" t="str">
        <f>IF('SIG 2021'!$E111="","",'SIG 2021'!$E111)</f>
        <v>Only approved enterprise cloud storage is authorized.</v>
      </c>
      <c r="F108" s="130" t="str">
        <f>IF('SIG 2021'!$F111="","",'SIG 2021'!F111)</f>
        <v/>
      </c>
      <c r="G108" s="130" t="s">
        <v>779</v>
      </c>
      <c r="H108" s="130" t="s">
        <v>797</v>
      </c>
      <c r="I108" s="130" t="s">
        <v>804</v>
      </c>
      <c r="J108" s="130" t="s">
        <v>801</v>
      </c>
      <c r="K108" s="130" t="str">
        <f>IF('SIG 2021'!$AM111="","",'SIG 2021'!$AM111)</f>
        <v/>
      </c>
      <c r="L108" s="130" t="str">
        <f>IF('SIG 2021'!$AN111="","",'SIG 2021'!$AN111)</f>
        <v/>
      </c>
      <c r="M108" s="130" t="str">
        <f>IF('SIG 2021'!$AO111="","",'SIG 2021'!$AO111)</f>
        <v/>
      </c>
    </row>
    <row r="109" spans="1:13" ht="57.6" x14ac:dyDescent="0.5">
      <c r="A109" s="130">
        <v>133</v>
      </c>
      <c r="B109" s="130" t="s">
        <v>809</v>
      </c>
      <c r="C109" s="130" t="s">
        <v>810</v>
      </c>
      <c r="D109" s="130" t="str">
        <f>IF('SIG 2021'!$D112="","",'SIG 2021'!$D112)</f>
        <v>Yes</v>
      </c>
      <c r="E109" s="130" t="str">
        <f>IF('SIG 2021'!$E112="","",'SIG 2021'!$E112)</f>
        <v>Encryption requirements for all modes of transmission.</v>
      </c>
      <c r="F109" s="130" t="str">
        <f>IF('SIG 2021'!$F112="","",'SIG 2021'!F112)</f>
        <v/>
      </c>
      <c r="G109" s="130" t="s">
        <v>779</v>
      </c>
      <c r="H109" s="130" t="s">
        <v>797</v>
      </c>
      <c r="I109" s="130" t="s">
        <v>804</v>
      </c>
      <c r="J109" s="130" t="s">
        <v>812</v>
      </c>
      <c r="K109" s="130" t="str">
        <f>IF('SIG 2021'!$AM112="","",'SIG 2021'!$AM112)</f>
        <v/>
      </c>
      <c r="L109" s="130" t="str">
        <f>IF('SIG 2021'!$AN112="","",'SIG 2021'!$AN112)</f>
        <v/>
      </c>
      <c r="M109" s="130" t="str">
        <f>IF('SIG 2021'!$AO112="","",'SIG 2021'!$AO112)</f>
        <v/>
      </c>
    </row>
    <row r="110" spans="1:13" ht="43.2" x14ac:dyDescent="0.5">
      <c r="A110" s="130">
        <v>135</v>
      </c>
      <c r="B110" s="130" t="s">
        <v>813</v>
      </c>
      <c r="C110" s="130" t="s">
        <v>814</v>
      </c>
      <c r="D110" s="130" t="str">
        <f>IF('SIG 2021'!$D113="","",'SIG 2021'!$D113)</f>
        <v>Yes</v>
      </c>
      <c r="E110" s="130" t="str">
        <f>IF('SIG 2021'!$E113="","",'SIG 2021'!$E113)</f>
        <v/>
      </c>
      <c r="F110" s="130" t="str">
        <f>IF('SIG 2021'!$F113="","",'SIG 2021'!F113)</f>
        <v/>
      </c>
      <c r="G110" s="130" t="s">
        <v>779</v>
      </c>
      <c r="H110" s="130" t="s">
        <v>797</v>
      </c>
      <c r="I110" s="130" t="s">
        <v>804</v>
      </c>
      <c r="J110" s="130" t="s">
        <v>815</v>
      </c>
      <c r="K110" s="130" t="str">
        <f>IF('SIG 2021'!$AM113="","",'SIG 2021'!$AM113)</f>
        <v/>
      </c>
      <c r="L110" s="130" t="str">
        <f>IF('SIG 2021'!$AN113="","",'SIG 2021'!$AN113)</f>
        <v/>
      </c>
      <c r="M110" s="130" t="str">
        <f>IF('SIG 2021'!$AO113="","",'SIG 2021'!$AO113)</f>
        <v/>
      </c>
    </row>
    <row r="111" spans="1:13" ht="57.6" x14ac:dyDescent="0.5">
      <c r="A111" s="130">
        <v>134</v>
      </c>
      <c r="B111" s="130" t="s">
        <v>816</v>
      </c>
      <c r="C111" s="130" t="s">
        <v>817</v>
      </c>
      <c r="D111" s="130" t="str">
        <f>IF('SIG 2021'!$D114="","",'SIG 2021'!$D114)</f>
        <v>Yes</v>
      </c>
      <c r="E111" s="130" t="str">
        <f>IF('SIG 2021'!$E114="","",'SIG 2021'!$E114)</f>
        <v/>
      </c>
      <c r="F111" s="130" t="str">
        <f>IF('SIG 2021'!$F114="","",'SIG 2021'!F114)</f>
        <v/>
      </c>
      <c r="G111" s="130" t="s">
        <v>779</v>
      </c>
      <c r="H111" s="130" t="s">
        <v>797</v>
      </c>
      <c r="I111" s="130"/>
      <c r="J111" s="130" t="s">
        <v>818</v>
      </c>
      <c r="K111" s="130" t="str">
        <f>IF('SIG 2021'!$AM114="","",'SIG 2021'!$AM114)</f>
        <v/>
      </c>
      <c r="L111" s="130" t="str">
        <f>IF('SIG 2021'!$AN114="","",'SIG 2021'!$AN114)</f>
        <v/>
      </c>
      <c r="M111" s="130" t="str">
        <f>IF('SIG 2021'!$AO114="","",'SIG 2021'!$AO114)</f>
        <v/>
      </c>
    </row>
    <row r="112" spans="1:13" ht="57.6" x14ac:dyDescent="0.5">
      <c r="A112" s="130">
        <v>3484</v>
      </c>
      <c r="B112" s="130" t="s">
        <v>819</v>
      </c>
      <c r="C112" s="130" t="s">
        <v>820</v>
      </c>
      <c r="D112" s="130" t="str">
        <f>IF('SIG 2021'!$D115="","",'SIG 2021'!$D115)</f>
        <v>Yes</v>
      </c>
      <c r="E112" s="130" t="str">
        <f>IF('SIG 2021'!$E115="","",'SIG 2021'!$E115)</f>
        <v/>
      </c>
      <c r="F112" s="130" t="str">
        <f>IF('SIG 2021'!$F115="","",'SIG 2021'!F115)</f>
        <v/>
      </c>
      <c r="G112" s="130" t="s">
        <v>779</v>
      </c>
      <c r="H112" s="130" t="s">
        <v>797</v>
      </c>
      <c r="I112" s="130" t="s">
        <v>745</v>
      </c>
      <c r="J112" s="130" t="s">
        <v>821</v>
      </c>
      <c r="K112" s="130" t="str">
        <f>IF('SIG 2021'!$AM115="","",'SIG 2021'!$AM115)</f>
        <v/>
      </c>
      <c r="L112" s="130" t="str">
        <f>IF('SIG 2021'!$AN115="","",'SIG 2021'!$AN115)</f>
        <v/>
      </c>
      <c r="M112" s="130" t="str">
        <f>IF('SIG 2021'!$AO115="","",'SIG 2021'!$AO115)</f>
        <v/>
      </c>
    </row>
    <row r="113" spans="1:13" ht="86.4" x14ac:dyDescent="0.5">
      <c r="A113" s="130">
        <v>1138</v>
      </c>
      <c r="B113" s="130" t="s">
        <v>822</v>
      </c>
      <c r="C113" s="130" t="s">
        <v>823</v>
      </c>
      <c r="D113" s="130" t="str">
        <f>IF('SIG 2021'!$D116="","",'SIG 2021'!$D116)</f>
        <v>Yes</v>
      </c>
      <c r="E113" s="130" t="str">
        <f>IF('SIG 2021'!$E116="","",'SIG 2021'!$E116)</f>
        <v>Data is destroyed logically by destroying encryption keys. Scoped data is destroyed within 90 days after contract termination, or as specified in contract. Destroyed using NIST 800-88 standards.</v>
      </c>
      <c r="F113" s="130" t="str">
        <f>IF('SIG 2021'!$F116="","",'SIG 2021'!F116)</f>
        <v/>
      </c>
      <c r="G113" s="130" t="s">
        <v>825</v>
      </c>
      <c r="H113" s="130" t="s">
        <v>826</v>
      </c>
      <c r="I113" s="130" t="s">
        <v>827</v>
      </c>
      <c r="J113" s="130" t="s">
        <v>828</v>
      </c>
      <c r="K113" s="130" t="str">
        <f>IF('SIG 2021'!$AM116="","",'SIG 2021'!$AM116)</f>
        <v/>
      </c>
      <c r="L113" s="130" t="str">
        <f>IF('SIG 2021'!$AN116="","",'SIG 2021'!$AN116)</f>
        <v/>
      </c>
      <c r="M113" s="130" t="str">
        <f>IF('SIG 2021'!$AO116="","",'SIG 2021'!$AO116)</f>
        <v/>
      </c>
    </row>
    <row r="114" spans="1:13" ht="43.2" x14ac:dyDescent="0.5">
      <c r="A114" s="130">
        <v>2624</v>
      </c>
      <c r="B114" s="130" t="s">
        <v>829</v>
      </c>
      <c r="C114" s="130" t="s">
        <v>830</v>
      </c>
      <c r="D114" s="130" t="str">
        <f>IF('SIG 2021'!$D117="","",'SIG 2021'!$D117)</f>
        <v>Yes</v>
      </c>
      <c r="E114" s="130" t="str">
        <f>IF('SIG 2021'!$E117="","",'SIG 2021'!$E117)</f>
        <v/>
      </c>
      <c r="F114" s="130" t="str">
        <f>IF('SIG 2021'!$F117="","",'SIG 2021'!F117)</f>
        <v/>
      </c>
      <c r="G114" s="130" t="s">
        <v>825</v>
      </c>
      <c r="H114" s="130" t="s">
        <v>826</v>
      </c>
      <c r="I114" s="130"/>
      <c r="J114" s="130" t="s">
        <v>828</v>
      </c>
      <c r="K114" s="130" t="str">
        <f>IF('SIG 2021'!$AM117="","",'SIG 2021'!$AM117)</f>
        <v/>
      </c>
      <c r="L114" s="130" t="str">
        <f>IF('SIG 2021'!$AN117="","",'SIG 2021'!$AN117)</f>
        <v/>
      </c>
      <c r="M114" s="130" t="str">
        <f>IF('SIG 2021'!$AO117="","",'SIG 2021'!$AO117)</f>
        <v/>
      </c>
    </row>
    <row r="115" spans="1:13" ht="28.8" x14ac:dyDescent="0.5">
      <c r="A115" s="130">
        <v>1153</v>
      </c>
      <c r="B115" s="130" t="s">
        <v>831</v>
      </c>
      <c r="C115" s="130" t="s">
        <v>832</v>
      </c>
      <c r="D115" s="130" t="str">
        <f>IF('SIG 2021'!$D118="","",'SIG 2021'!$D118)</f>
        <v>Yes</v>
      </c>
      <c r="E115" s="130" t="str">
        <f>IF('SIG 2021'!$E118="","",'SIG 2021'!$E118)</f>
        <v/>
      </c>
      <c r="F115" s="130" t="str">
        <f>IF('SIG 2021'!$F118="","",'SIG 2021'!F118)</f>
        <v/>
      </c>
      <c r="G115" s="130" t="s">
        <v>825</v>
      </c>
      <c r="H115" s="130" t="s">
        <v>826</v>
      </c>
      <c r="I115" s="130" t="s">
        <v>827</v>
      </c>
      <c r="J115" s="130" t="s">
        <v>833</v>
      </c>
      <c r="K115" s="130" t="str">
        <f>IF('SIG 2021'!$AM118="","",'SIG 2021'!$AM118)</f>
        <v/>
      </c>
      <c r="L115" s="130" t="str">
        <f>IF('SIG 2021'!$AN118="","",'SIG 2021'!$AN118)</f>
        <v/>
      </c>
      <c r="M115" s="130" t="str">
        <f>IF('SIG 2021'!$AO118="","",'SIG 2021'!$AO118)</f>
        <v/>
      </c>
    </row>
    <row r="116" spans="1:13" ht="28.8" x14ac:dyDescent="0.5">
      <c r="A116" s="130">
        <v>1208</v>
      </c>
      <c r="B116" s="130" t="s">
        <v>199</v>
      </c>
      <c r="C116" s="130" t="s">
        <v>834</v>
      </c>
      <c r="D116" s="130" t="str">
        <f>IF('SIG 2021'!$D119="","",'SIG 2021'!$D119)</f>
        <v>No</v>
      </c>
      <c r="E116" s="130" t="str">
        <f>IF('SIG 2021'!$E119="","",'SIG 2021'!$E119)</f>
        <v/>
      </c>
      <c r="F116" s="130" t="str">
        <f>IF('SIG 2021'!$F119="","",'SIG 2021'!F119)</f>
        <v/>
      </c>
      <c r="G116" s="130" t="s">
        <v>835</v>
      </c>
      <c r="H116" s="130" t="s">
        <v>836</v>
      </c>
      <c r="I116" s="130"/>
      <c r="J116" s="130" t="s">
        <v>837</v>
      </c>
      <c r="K116" s="130" t="str">
        <f>IF('SIG 2021'!$AM119="","",'SIG 2021'!$AM119)</f>
        <v/>
      </c>
      <c r="L116" s="130" t="str">
        <f>IF('SIG 2021'!$AN119="","",'SIG 2021'!$AN119)</f>
        <v/>
      </c>
      <c r="M116" s="130" t="str">
        <f>IF('SIG 2021'!$AO119="","",'SIG 2021'!$AO119)</f>
        <v/>
      </c>
    </row>
    <row r="117" spans="1:13" ht="28.8" x14ac:dyDescent="0.5">
      <c r="A117" s="130">
        <v>2634</v>
      </c>
      <c r="B117" s="130" t="s">
        <v>838</v>
      </c>
      <c r="C117" s="130" t="s">
        <v>839</v>
      </c>
      <c r="D117" s="130" t="str">
        <f>IF('SIG 2021'!$D120="","",'SIG 2021'!$D120)</f>
        <v>No</v>
      </c>
      <c r="E117" s="130" t="str">
        <f>IF('SIG 2021'!$E120="","",'SIG 2021'!$E120)</f>
        <v/>
      </c>
      <c r="F117" s="130" t="str">
        <f>IF('SIG 2021'!$F120="","",'SIG 2021'!F120)</f>
        <v/>
      </c>
      <c r="G117" s="130" t="s">
        <v>835</v>
      </c>
      <c r="H117" s="130" t="s">
        <v>836</v>
      </c>
      <c r="I117" s="130" t="s">
        <v>840</v>
      </c>
      <c r="J117" s="130" t="s">
        <v>837</v>
      </c>
      <c r="K117" s="130" t="str">
        <f>IF('SIG 2021'!$AM120="","",'SIG 2021'!$AM120)</f>
        <v/>
      </c>
      <c r="L117" s="130" t="str">
        <f>IF('SIG 2021'!$AN120="","",'SIG 2021'!$AN120)</f>
        <v/>
      </c>
      <c r="M117" s="130" t="str">
        <f>IF('SIG 2021'!$AO120="","",'SIG 2021'!$AO120)</f>
        <v/>
      </c>
    </row>
    <row r="118" spans="1:13" ht="43.2" x14ac:dyDescent="0.5">
      <c r="A118" s="130">
        <v>2635</v>
      </c>
      <c r="B118" s="130" t="s">
        <v>841</v>
      </c>
      <c r="C118" s="130" t="s">
        <v>842</v>
      </c>
      <c r="D118" s="130" t="str">
        <f>IF('SIG 2021'!$D121="","",'SIG 2021'!$D121)</f>
        <v>No</v>
      </c>
      <c r="E118" s="130" t="str">
        <f>IF('SIG 2021'!$E121="","",'SIG 2021'!$E121)</f>
        <v/>
      </c>
      <c r="F118" s="130" t="str">
        <f>IF('SIG 2021'!$F121="","",'SIG 2021'!F121)</f>
        <v/>
      </c>
      <c r="G118" s="130" t="s">
        <v>835</v>
      </c>
      <c r="H118" s="130" t="s">
        <v>836</v>
      </c>
      <c r="I118" s="130" t="s">
        <v>840</v>
      </c>
      <c r="J118" s="130" t="s">
        <v>843</v>
      </c>
      <c r="K118" s="130" t="str">
        <f>IF('SIG 2021'!$AM121="","",'SIG 2021'!$AM121)</f>
        <v/>
      </c>
      <c r="L118" s="130" t="str">
        <f>IF('SIG 2021'!$AN121="","",'SIG 2021'!$AN121)</f>
        <v/>
      </c>
      <c r="M118" s="130" t="str">
        <f>IF('SIG 2021'!$AO121="","",'SIG 2021'!$AO121)</f>
        <v/>
      </c>
    </row>
    <row r="119" spans="1:13" ht="57.6" x14ac:dyDescent="0.5">
      <c r="A119" s="130">
        <v>1209</v>
      </c>
      <c r="B119" s="130" t="s">
        <v>844</v>
      </c>
      <c r="C119" s="130" t="s">
        <v>845</v>
      </c>
      <c r="D119" s="130" t="str">
        <f>IF('SIG 2021'!$D122="","",'SIG 2021'!$D122)</f>
        <v>No</v>
      </c>
      <c r="E119" s="130" t="str">
        <f>IF('SIG 2021'!$E122="","",'SIG 2021'!$E122)</f>
        <v/>
      </c>
      <c r="F119" s="130" t="str">
        <f>IF('SIG 2021'!$F122="","",'SIG 2021'!F122)</f>
        <v/>
      </c>
      <c r="G119" s="130" t="s">
        <v>835</v>
      </c>
      <c r="H119" s="130" t="s">
        <v>836</v>
      </c>
      <c r="I119" s="130" t="s">
        <v>846</v>
      </c>
      <c r="J119" s="130" t="s">
        <v>847</v>
      </c>
      <c r="K119" s="130" t="str">
        <f>IF('SIG 2021'!$AM122="","",'SIG 2021'!$AM122)</f>
        <v/>
      </c>
      <c r="L119" s="130" t="str">
        <f>IF('SIG 2021'!$AN122="","",'SIG 2021'!$AN122)</f>
        <v/>
      </c>
      <c r="M119" s="130" t="str">
        <f>IF('SIG 2021'!$AO122="","",'SIG 2021'!$AO122)</f>
        <v/>
      </c>
    </row>
    <row r="120" spans="1:13" ht="43.2" x14ac:dyDescent="0.5">
      <c r="A120" s="130">
        <v>4178</v>
      </c>
      <c r="B120" s="130" t="s">
        <v>201</v>
      </c>
      <c r="C120" s="130" t="s">
        <v>848</v>
      </c>
      <c r="D120" s="130" t="str">
        <f>IF('SIG 2021'!$D123="","",'SIG 2021'!$D123)</f>
        <v>Yes</v>
      </c>
      <c r="E120" s="130" t="str">
        <f>IF('SIG 2021'!$E123="","",'SIG 2021'!$E123)</f>
        <v/>
      </c>
      <c r="F120" s="130" t="str">
        <f>IF('SIG 2021'!$F123="","",'SIG 2021'!F123)</f>
        <v/>
      </c>
      <c r="G120" s="130" t="s">
        <v>849</v>
      </c>
      <c r="H120" s="130" t="s">
        <v>850</v>
      </c>
      <c r="I120" s="130"/>
      <c r="J120" s="130" t="s">
        <v>851</v>
      </c>
      <c r="K120" s="130" t="str">
        <f>IF('SIG 2021'!$AM123="","",'SIG 2021'!$AM123)</f>
        <v/>
      </c>
      <c r="L120" s="130" t="str">
        <f>IF('SIG 2021'!$AN123="","",'SIG 2021'!$AN123)</f>
        <v/>
      </c>
      <c r="M120" s="130" t="str">
        <f>IF('SIG 2021'!$AO123="","",'SIG 2021'!$AO123)</f>
        <v/>
      </c>
    </row>
    <row r="121" spans="1:13" ht="43.2" x14ac:dyDescent="0.5">
      <c r="A121" s="130">
        <v>4179</v>
      </c>
      <c r="B121" s="130" t="s">
        <v>852</v>
      </c>
      <c r="C121" s="130" t="s">
        <v>853</v>
      </c>
      <c r="D121" s="130" t="str">
        <f>IF('SIG 2021'!$D124="","",'SIG 2021'!$D124)</f>
        <v>Yes</v>
      </c>
      <c r="E121" s="130" t="str">
        <f>IF('SIG 2021'!$E124="","",'SIG 2021'!$E124)</f>
        <v/>
      </c>
      <c r="F121" s="130" t="str">
        <f>IF('SIG 2021'!$F124="","",'SIG 2021'!F124)</f>
        <v/>
      </c>
      <c r="G121" s="130" t="s">
        <v>849</v>
      </c>
      <c r="H121" s="130" t="s">
        <v>850</v>
      </c>
      <c r="I121" s="130"/>
      <c r="J121" s="130" t="s">
        <v>851</v>
      </c>
      <c r="K121" s="130" t="str">
        <f>IF('SIG 2021'!$AM124="","",'SIG 2021'!$AM124)</f>
        <v/>
      </c>
      <c r="L121" s="130" t="str">
        <f>IF('SIG 2021'!$AN124="","",'SIG 2021'!$AN124)</f>
        <v/>
      </c>
      <c r="M121" s="130" t="str">
        <f>IF('SIG 2021'!$AO124="","",'SIG 2021'!$AO124)</f>
        <v/>
      </c>
    </row>
    <row r="122" spans="1:13" ht="43.2" x14ac:dyDescent="0.5">
      <c r="A122" s="130">
        <v>1871</v>
      </c>
      <c r="B122" s="130" t="s">
        <v>854</v>
      </c>
      <c r="C122" s="130" t="s">
        <v>855</v>
      </c>
      <c r="D122" s="130" t="str">
        <f>IF('SIG 2021'!$D125="","",'SIG 2021'!$D125)</f>
        <v>Yes</v>
      </c>
      <c r="E122" s="130" t="str">
        <f>IF('SIG 2021'!$E125="","",'SIG 2021'!$E125)</f>
        <v/>
      </c>
      <c r="F122" s="130" t="str">
        <f>IF('SIG 2021'!$F125="","",'SIG 2021'!F125)</f>
        <v/>
      </c>
      <c r="G122" s="130" t="s">
        <v>849</v>
      </c>
      <c r="H122" s="130" t="s">
        <v>856</v>
      </c>
      <c r="I122" s="130" t="s">
        <v>804</v>
      </c>
      <c r="J122" s="130" t="s">
        <v>857</v>
      </c>
      <c r="K122" s="130" t="str">
        <f>IF('SIG 2021'!$AM125="","",'SIG 2021'!$AM125)</f>
        <v/>
      </c>
      <c r="L122" s="130" t="str">
        <f>IF('SIG 2021'!$AN125="","",'SIG 2021'!$AN125)</f>
        <v/>
      </c>
      <c r="M122" s="130" t="str">
        <f>IF('SIG 2021'!$AO125="","",'SIG 2021'!$AO125)</f>
        <v/>
      </c>
    </row>
    <row r="123" spans="1:13" ht="57.6" x14ac:dyDescent="0.5">
      <c r="A123" s="130">
        <v>1243</v>
      </c>
      <c r="B123" s="130" t="s">
        <v>858</v>
      </c>
      <c r="C123" s="130" t="s">
        <v>859</v>
      </c>
      <c r="D123" s="130" t="str">
        <f>IF('SIG 2021'!$D126="","",'SIG 2021'!$D126)</f>
        <v>N/A</v>
      </c>
      <c r="E123" s="130" t="str">
        <f>IF('SIG 2021'!$E126="","",'SIG 2021'!$E126)</f>
        <v>All electronic transfers are over secure web connections.</v>
      </c>
      <c r="F123" s="130" t="str">
        <f>IF('SIG 2021'!$F126="","",'SIG 2021'!F126)</f>
        <v/>
      </c>
      <c r="G123" s="130" t="s">
        <v>849</v>
      </c>
      <c r="H123" s="130" t="s">
        <v>856</v>
      </c>
      <c r="I123" s="130" t="s">
        <v>804</v>
      </c>
      <c r="J123" s="130" t="s">
        <v>861</v>
      </c>
      <c r="K123" s="130" t="str">
        <f>IF('SIG 2021'!$AM126="","",'SIG 2021'!$AM126)</f>
        <v/>
      </c>
      <c r="L123" s="130" t="str">
        <f>IF('SIG 2021'!$AN126="","",'SIG 2021'!$AN126)</f>
        <v/>
      </c>
      <c r="M123" s="130" t="str">
        <f>IF('SIG 2021'!$AO126="","",'SIG 2021'!$AO126)</f>
        <v/>
      </c>
    </row>
    <row r="124" spans="1:13" ht="43.2" x14ac:dyDescent="0.5">
      <c r="A124" s="130">
        <v>1247</v>
      </c>
      <c r="B124" s="130" t="s">
        <v>862</v>
      </c>
      <c r="C124" s="130" t="s">
        <v>863</v>
      </c>
      <c r="D124" s="130" t="str">
        <f>IF('SIG 2021'!$D127="","",'SIG 2021'!$D127)</f>
        <v>N/A</v>
      </c>
      <c r="E124" s="130" t="str">
        <f>IF('SIG 2021'!$E127="","",'SIG 2021'!$E127)</f>
        <v>All electronic transfers are over secure web connections.</v>
      </c>
      <c r="F124" s="130" t="str">
        <f>IF('SIG 2021'!$F127="","",'SIG 2021'!F127)</f>
        <v/>
      </c>
      <c r="G124" s="130" t="s">
        <v>849</v>
      </c>
      <c r="H124" s="130" t="s">
        <v>864</v>
      </c>
      <c r="I124" s="130" t="s">
        <v>865</v>
      </c>
      <c r="J124" s="130" t="s">
        <v>866</v>
      </c>
      <c r="K124" s="130" t="str">
        <f>IF('SIG 2021'!$AM127="","",'SIG 2021'!$AM127)</f>
        <v/>
      </c>
      <c r="L124" s="130" t="str">
        <f>IF('SIG 2021'!$AN127="","",'SIG 2021'!$AN127)</f>
        <v/>
      </c>
      <c r="M124" s="130" t="str">
        <f>IF('SIG 2021'!$AO127="","",'SIG 2021'!$AO127)</f>
        <v/>
      </c>
    </row>
    <row r="125" spans="1:13" ht="57.6" x14ac:dyDescent="0.5">
      <c r="A125" s="130">
        <v>2629</v>
      </c>
      <c r="B125" s="130" t="s">
        <v>867</v>
      </c>
      <c r="C125" s="130" t="s">
        <v>868</v>
      </c>
      <c r="D125" s="130" t="str">
        <f>IF('SIG 2021'!$D128="","",'SIG 2021'!$D128)</f>
        <v>Yes</v>
      </c>
      <c r="E125" s="130" t="str">
        <f>IF('SIG 2021'!$E128="","",'SIG 2021'!$E128)</f>
        <v/>
      </c>
      <c r="F125" s="130" t="str">
        <f>IF('SIG 2021'!$F128="","",'SIG 2021'!F128)</f>
        <v/>
      </c>
      <c r="G125" s="130" t="s">
        <v>849</v>
      </c>
      <c r="H125" s="130" t="s">
        <v>864</v>
      </c>
      <c r="I125" s="130" t="s">
        <v>869</v>
      </c>
      <c r="J125" s="130" t="s">
        <v>866</v>
      </c>
      <c r="K125" s="130" t="str">
        <f>IF('SIG 2021'!$AM128="","",'SIG 2021'!$AM128)</f>
        <v/>
      </c>
      <c r="L125" s="130" t="str">
        <f>IF('SIG 2021'!$AN128="","",'SIG 2021'!$AN128)</f>
        <v/>
      </c>
      <c r="M125" s="130" t="str">
        <f>IF('SIG 2021'!$AO128="","",'SIG 2021'!$AO128)</f>
        <v/>
      </c>
    </row>
    <row r="126" spans="1:13" ht="28.8" x14ac:dyDescent="0.5">
      <c r="A126" s="130">
        <v>4607</v>
      </c>
      <c r="B126" s="130" t="s">
        <v>870</v>
      </c>
      <c r="C126" s="130" t="s">
        <v>871</v>
      </c>
      <c r="D126" s="130" t="str">
        <f>IF('SIG 2021'!$D129="","",'SIG 2021'!$D129)</f>
        <v>Yes</v>
      </c>
      <c r="E126" s="130" t="str">
        <f>IF('SIG 2021'!$E129="","",'SIG 2021'!$E129)</f>
        <v/>
      </c>
      <c r="F126" s="130" t="str">
        <f>IF('SIG 2021'!$F129="","",'SIG 2021'!F129)</f>
        <v/>
      </c>
      <c r="G126" s="130" t="s">
        <v>849</v>
      </c>
      <c r="H126" s="130" t="s">
        <v>872</v>
      </c>
      <c r="I126" s="130"/>
      <c r="J126" s="130"/>
      <c r="K126" s="130" t="str">
        <f>IF('SIG 2021'!$AM129="","",'SIG 2021'!$AM129)</f>
        <v/>
      </c>
      <c r="L126" s="130" t="str">
        <f>IF('SIG 2021'!$AN129="","",'SIG 2021'!$AN129)</f>
        <v/>
      </c>
      <c r="M126" s="130" t="str">
        <f>IF('SIG 2021'!$AO129="","",'SIG 2021'!$AO129)</f>
        <v/>
      </c>
    </row>
    <row r="127" spans="1:13" ht="43.2" x14ac:dyDescent="0.5">
      <c r="A127" s="130">
        <v>4662</v>
      </c>
      <c r="B127" s="130" t="s">
        <v>873</v>
      </c>
      <c r="C127" s="130" t="s">
        <v>874</v>
      </c>
      <c r="D127" s="130" t="str">
        <f>IF('SIG 2021'!$D130="","",'SIG 2021'!$D130)</f>
        <v>Yes</v>
      </c>
      <c r="E127" s="130" t="str">
        <f>IF('SIG 2021'!$E130="","",'SIG 2021'!$E130)</f>
        <v>Seismic uses Digital Guardian for DLP.</v>
      </c>
      <c r="F127" s="130" t="str">
        <f>IF('SIG 2021'!$F130="","",'SIG 2021'!F130)</f>
        <v/>
      </c>
      <c r="G127" s="130" t="s">
        <v>849</v>
      </c>
      <c r="H127" s="130" t="s">
        <v>876</v>
      </c>
      <c r="I127" s="130" t="s">
        <v>877</v>
      </c>
      <c r="J127" s="130" t="s">
        <v>878</v>
      </c>
      <c r="K127" s="130" t="str">
        <f>IF('SIG 2021'!$AM130="","",'SIG 2021'!$AM130)</f>
        <v/>
      </c>
      <c r="L127" s="130" t="str">
        <f>IF('SIG 2021'!$AN130="","",'SIG 2021'!$AN130)</f>
        <v/>
      </c>
      <c r="M127" s="130" t="str">
        <f>IF('SIG 2021'!$AO130="","",'SIG 2021'!$AO130)</f>
        <v/>
      </c>
    </row>
    <row r="128" spans="1:13" ht="28.8" x14ac:dyDescent="0.5">
      <c r="A128" s="130">
        <v>5815</v>
      </c>
      <c r="B128" s="130" t="s">
        <v>879</v>
      </c>
      <c r="C128" s="130" t="s">
        <v>880</v>
      </c>
      <c r="D128" s="130" t="str">
        <f>IF('SIG 2021'!$D131="","",'SIG 2021'!$D131)</f>
        <v>Yes</v>
      </c>
      <c r="E128" s="130" t="str">
        <f>IF('SIG 2021'!$E131="","",'SIG 2021'!$E131)</f>
        <v/>
      </c>
      <c r="F128" s="130" t="str">
        <f>IF('SIG 2021'!$F131="","",'SIG 2021'!F131)</f>
        <v/>
      </c>
      <c r="G128" s="130" t="s">
        <v>849</v>
      </c>
      <c r="H128" s="130" t="s">
        <v>876</v>
      </c>
      <c r="I128" s="130" t="s">
        <v>877</v>
      </c>
      <c r="J128" s="130"/>
      <c r="K128" s="130" t="str">
        <f>IF('SIG 2021'!$AM131="","",'SIG 2021'!$AM131)</f>
        <v/>
      </c>
      <c r="L128" s="130" t="str">
        <f>IF('SIG 2021'!$AN131="","",'SIG 2021'!$AN131)</f>
        <v/>
      </c>
      <c r="M128" s="130" t="str">
        <f>IF('SIG 2021'!$AO131="","",'SIG 2021'!$AO131)</f>
        <v/>
      </c>
    </row>
    <row r="129" spans="1:13" ht="28.8" x14ac:dyDescent="0.5">
      <c r="A129" s="130">
        <v>5819</v>
      </c>
      <c r="B129" s="130" t="s">
        <v>881</v>
      </c>
      <c r="C129" s="130" t="s">
        <v>882</v>
      </c>
      <c r="D129" s="130" t="str">
        <f>IF('SIG 2021'!$D132="","",'SIG 2021'!$D132)</f>
        <v>Yes</v>
      </c>
      <c r="E129" s="130" t="str">
        <f>IF('SIG 2021'!$E132="","",'SIG 2021'!$E132)</f>
        <v/>
      </c>
      <c r="F129" s="130" t="str">
        <f>IF('SIG 2021'!$F132="","",'SIG 2021'!F132)</f>
        <v/>
      </c>
      <c r="G129" s="130" t="s">
        <v>849</v>
      </c>
      <c r="H129" s="130" t="s">
        <v>876</v>
      </c>
      <c r="I129" s="130" t="s">
        <v>877</v>
      </c>
      <c r="J129" s="130"/>
      <c r="K129" s="130" t="str">
        <f>IF('SIG 2021'!$AM132="","",'SIG 2021'!$AM132)</f>
        <v/>
      </c>
      <c r="L129" s="130" t="str">
        <f>IF('SIG 2021'!$AN132="","",'SIG 2021'!$AN132)</f>
        <v/>
      </c>
      <c r="M129" s="130" t="str">
        <f>IF('SIG 2021'!$AO132="","",'SIG 2021'!$AO132)</f>
        <v/>
      </c>
    </row>
    <row r="130" spans="1:13" ht="28.8" x14ac:dyDescent="0.5">
      <c r="A130" s="130">
        <v>5821</v>
      </c>
      <c r="B130" s="130" t="s">
        <v>883</v>
      </c>
      <c r="C130" s="130" t="s">
        <v>884</v>
      </c>
      <c r="D130" s="130" t="str">
        <f>IF('SIG 2021'!$D133="","",'SIG 2021'!$D133)</f>
        <v>Yes</v>
      </c>
      <c r="E130" s="130" t="str">
        <f>IF('SIG 2021'!$E133="","",'SIG 2021'!$E133)</f>
        <v/>
      </c>
      <c r="F130" s="130" t="str">
        <f>IF('SIG 2021'!$F133="","",'SIG 2021'!F133)</f>
        <v/>
      </c>
      <c r="G130" s="130" t="s">
        <v>849</v>
      </c>
      <c r="H130" s="130" t="s">
        <v>876</v>
      </c>
      <c r="I130" s="130" t="s">
        <v>877</v>
      </c>
      <c r="J130" s="130"/>
      <c r="K130" s="130" t="str">
        <f>IF('SIG 2021'!$AM133="","",'SIG 2021'!$AM133)</f>
        <v/>
      </c>
      <c r="L130" s="130" t="str">
        <f>IF('SIG 2021'!$AN133="","",'SIG 2021'!$AN133)</f>
        <v/>
      </c>
      <c r="M130" s="130" t="str">
        <f>IF('SIG 2021'!$AO133="","",'SIG 2021'!$AO133)</f>
        <v/>
      </c>
    </row>
    <row r="131" spans="1:13" ht="28.8" x14ac:dyDescent="0.5">
      <c r="A131" s="130">
        <v>5822</v>
      </c>
      <c r="B131" s="130" t="s">
        <v>885</v>
      </c>
      <c r="C131" s="130" t="s">
        <v>886</v>
      </c>
      <c r="D131" s="130" t="str">
        <f>IF('SIG 2021'!$D134="","",'SIG 2021'!$D134)</f>
        <v>Yes</v>
      </c>
      <c r="E131" s="130" t="str">
        <f>IF('SIG 2021'!$E134="","",'SIG 2021'!$E134)</f>
        <v/>
      </c>
      <c r="F131" s="130" t="str">
        <f>IF('SIG 2021'!$F134="","",'SIG 2021'!F134)</f>
        <v/>
      </c>
      <c r="G131" s="130" t="s">
        <v>849</v>
      </c>
      <c r="H131" s="130" t="s">
        <v>876</v>
      </c>
      <c r="I131" s="130" t="s">
        <v>877</v>
      </c>
      <c r="J131" s="130"/>
      <c r="K131" s="130" t="str">
        <f>IF('SIG 2021'!$AM134="","",'SIG 2021'!$AM134)</f>
        <v/>
      </c>
      <c r="L131" s="130" t="str">
        <f>IF('SIG 2021'!$AN134="","",'SIG 2021'!$AN134)</f>
        <v/>
      </c>
      <c r="M131" s="130" t="str">
        <f>IF('SIG 2021'!$AO134="","",'SIG 2021'!$AO134)</f>
        <v/>
      </c>
    </row>
    <row r="132" spans="1:13" ht="28.8" x14ac:dyDescent="0.5">
      <c r="A132" s="130">
        <v>5823</v>
      </c>
      <c r="B132" s="130" t="s">
        <v>887</v>
      </c>
      <c r="C132" s="130" t="s">
        <v>888</v>
      </c>
      <c r="D132" s="130" t="str">
        <f>IF('SIG 2021'!$D135="","",'SIG 2021'!$D135)</f>
        <v>Yes</v>
      </c>
      <c r="E132" s="130" t="str">
        <f>IF('SIG 2021'!$E135="","",'SIG 2021'!$E135)</f>
        <v/>
      </c>
      <c r="F132" s="130" t="str">
        <f>IF('SIG 2021'!$F135="","",'SIG 2021'!F135)</f>
        <v/>
      </c>
      <c r="G132" s="130" t="s">
        <v>849</v>
      </c>
      <c r="H132" s="130" t="s">
        <v>876</v>
      </c>
      <c r="I132" s="130" t="s">
        <v>877</v>
      </c>
      <c r="J132" s="130"/>
      <c r="K132" s="130" t="str">
        <f>IF('SIG 2021'!$AM135="","",'SIG 2021'!$AM135)</f>
        <v/>
      </c>
      <c r="L132" s="130" t="str">
        <f>IF('SIG 2021'!$AN135="","",'SIG 2021'!$AN135)</f>
        <v/>
      </c>
      <c r="M132" s="130" t="str">
        <f>IF('SIG 2021'!$AO135="","",'SIG 2021'!$AO135)</f>
        <v/>
      </c>
    </row>
    <row r="133" spans="1:13" ht="28.8" x14ac:dyDescent="0.5">
      <c r="A133" s="130">
        <v>5824</v>
      </c>
      <c r="B133" s="130" t="s">
        <v>889</v>
      </c>
      <c r="C133" s="130" t="s">
        <v>890</v>
      </c>
      <c r="D133" s="130" t="str">
        <f>IF('SIG 2021'!$D136="","",'SIG 2021'!$D136)</f>
        <v>Yes</v>
      </c>
      <c r="E133" s="130" t="str">
        <f>IF('SIG 2021'!$E136="","",'SIG 2021'!$E136)</f>
        <v/>
      </c>
      <c r="F133" s="130" t="str">
        <f>IF('SIG 2021'!$F136="","",'SIG 2021'!F136)</f>
        <v/>
      </c>
      <c r="G133" s="130" t="s">
        <v>849</v>
      </c>
      <c r="H133" s="130" t="s">
        <v>876</v>
      </c>
      <c r="I133" s="130" t="s">
        <v>877</v>
      </c>
      <c r="J133" s="130"/>
      <c r="K133" s="130" t="str">
        <f>IF('SIG 2021'!$AM136="","",'SIG 2021'!$AM136)</f>
        <v/>
      </c>
      <c r="L133" s="130" t="str">
        <f>IF('SIG 2021'!$AN136="","",'SIG 2021'!$AN136)</f>
        <v/>
      </c>
      <c r="M133" s="130" t="str">
        <f>IF('SIG 2021'!$AO136="","",'SIG 2021'!$AO136)</f>
        <v/>
      </c>
    </row>
    <row r="134" spans="1:13" ht="43.2" x14ac:dyDescent="0.5">
      <c r="A134" s="130">
        <v>4663</v>
      </c>
      <c r="B134" s="130" t="s">
        <v>891</v>
      </c>
      <c r="C134" s="130" t="s">
        <v>892</v>
      </c>
      <c r="D134" s="130" t="str">
        <f>IF('SIG 2021'!$D137="","",'SIG 2021'!$D137)</f>
        <v>Yes</v>
      </c>
      <c r="E134" s="130" t="str">
        <f>IF('SIG 2021'!$E137="","",'SIG 2021'!$E137)</f>
        <v/>
      </c>
      <c r="F134" s="130" t="str">
        <f>IF('SIG 2021'!$F137="","",'SIG 2021'!F137)</f>
        <v/>
      </c>
      <c r="G134" s="130" t="s">
        <v>849</v>
      </c>
      <c r="H134" s="130" t="s">
        <v>893</v>
      </c>
      <c r="I134" s="130" t="s">
        <v>865</v>
      </c>
      <c r="J134" s="130"/>
      <c r="K134" s="130" t="str">
        <f>IF('SIG 2021'!$AM137="","",'SIG 2021'!$AM137)</f>
        <v/>
      </c>
      <c r="L134" s="130" t="str">
        <f>IF('SIG 2021'!$AN137="","",'SIG 2021'!$AN137)</f>
        <v/>
      </c>
      <c r="M134" s="130" t="str">
        <f>IF('SIG 2021'!$AO137="","",'SIG 2021'!$AO137)</f>
        <v/>
      </c>
    </row>
    <row r="135" spans="1:13" ht="43.2" x14ac:dyDescent="0.5">
      <c r="A135" s="130">
        <v>4670</v>
      </c>
      <c r="B135" s="130" t="s">
        <v>894</v>
      </c>
      <c r="C135" s="130" t="s">
        <v>895</v>
      </c>
      <c r="D135" s="130" t="str">
        <f>IF('SIG 2021'!$D138="","",'SIG 2021'!$D138)</f>
        <v>Yes</v>
      </c>
      <c r="E135" s="130" t="str">
        <f>IF('SIG 2021'!$E138="","",'SIG 2021'!$E138)</f>
        <v/>
      </c>
      <c r="F135" s="130" t="str">
        <f>IF('SIG 2021'!$F138="","",'SIG 2021'!F138)</f>
        <v/>
      </c>
      <c r="G135" s="130" t="s">
        <v>849</v>
      </c>
      <c r="H135" s="130" t="s">
        <v>893</v>
      </c>
      <c r="I135" s="130" t="s">
        <v>865</v>
      </c>
      <c r="J135" s="130"/>
      <c r="K135" s="130" t="str">
        <f>IF('SIG 2021'!$AM138="","",'SIG 2021'!$AM138)</f>
        <v/>
      </c>
      <c r="L135" s="130" t="str">
        <f>IF('SIG 2021'!$AN138="","",'SIG 2021'!$AN138)</f>
        <v/>
      </c>
      <c r="M135" s="130" t="str">
        <f>IF('SIG 2021'!$AO138="","",'SIG 2021'!$AO138)</f>
        <v/>
      </c>
    </row>
    <row r="136" spans="1:13" ht="57.6" x14ac:dyDescent="0.5">
      <c r="A136" s="130">
        <v>4671</v>
      </c>
      <c r="B136" s="130" t="s">
        <v>896</v>
      </c>
      <c r="C136" s="130" t="s">
        <v>897</v>
      </c>
      <c r="D136" s="130" t="str">
        <f>IF('SIG 2021'!$D139="","",'SIG 2021'!$D139)</f>
        <v>Yes</v>
      </c>
      <c r="E136" s="130" t="str">
        <f>IF('SIG 2021'!$E139="","",'SIG 2021'!$E139)</f>
        <v/>
      </c>
      <c r="F136" s="130" t="str">
        <f>IF('SIG 2021'!$F139="","",'SIG 2021'!F139)</f>
        <v/>
      </c>
      <c r="G136" s="130" t="s">
        <v>849</v>
      </c>
      <c r="H136" s="130" t="s">
        <v>893</v>
      </c>
      <c r="I136" s="130" t="s">
        <v>865</v>
      </c>
      <c r="J136" s="130"/>
      <c r="K136" s="130" t="str">
        <f>IF('SIG 2021'!$AM139="","",'SIG 2021'!$AM139)</f>
        <v/>
      </c>
      <c r="L136" s="130" t="str">
        <f>IF('SIG 2021'!$AN139="","",'SIG 2021'!$AN139)</f>
        <v/>
      </c>
      <c r="M136" s="130" t="str">
        <f>IF('SIG 2021'!$AO139="","",'SIG 2021'!$AO139)</f>
        <v/>
      </c>
    </row>
    <row r="137" spans="1:13" ht="43.2" x14ac:dyDescent="0.5">
      <c r="A137" s="130">
        <v>4677</v>
      </c>
      <c r="B137" s="130" t="s">
        <v>898</v>
      </c>
      <c r="C137" s="130" t="s">
        <v>899</v>
      </c>
      <c r="D137" s="130" t="str">
        <f>IF('SIG 2021'!$D140="","",'SIG 2021'!$D140)</f>
        <v>Yes</v>
      </c>
      <c r="E137" s="130" t="str">
        <f>IF('SIG 2021'!$E140="","",'SIG 2021'!$E140)</f>
        <v/>
      </c>
      <c r="F137" s="130" t="str">
        <f>IF('SIG 2021'!$F140="","",'SIG 2021'!F140)</f>
        <v/>
      </c>
      <c r="G137" s="130" t="s">
        <v>849</v>
      </c>
      <c r="H137" s="130" t="s">
        <v>893</v>
      </c>
      <c r="I137" s="130" t="s">
        <v>865</v>
      </c>
      <c r="J137" s="130"/>
      <c r="K137" s="130" t="str">
        <f>IF('SIG 2021'!$AM140="","",'SIG 2021'!$AM140)</f>
        <v/>
      </c>
      <c r="L137" s="130" t="str">
        <f>IF('SIG 2021'!$AN140="","",'SIG 2021'!$AN140)</f>
        <v/>
      </c>
      <c r="M137" s="130" t="str">
        <f>IF('SIG 2021'!$AO140="","",'SIG 2021'!$AO140)</f>
        <v/>
      </c>
    </row>
    <row r="138" spans="1:13" ht="43.2" x14ac:dyDescent="0.5">
      <c r="A138" s="130">
        <v>4687</v>
      </c>
      <c r="B138" s="130" t="s">
        <v>900</v>
      </c>
      <c r="C138" s="130" t="s">
        <v>901</v>
      </c>
      <c r="D138" s="130" t="str">
        <f>IF('SIG 2021'!$D141="","",'SIG 2021'!$D141)</f>
        <v>No</v>
      </c>
      <c r="E138" s="130" t="str">
        <f>IF('SIG 2021'!$E141="","",'SIG 2021'!$E141)</f>
        <v/>
      </c>
      <c r="F138" s="130" t="str">
        <f>IF('SIG 2021'!$F141="","",'SIG 2021'!F141)</f>
        <v/>
      </c>
      <c r="G138" s="130" t="s">
        <v>849</v>
      </c>
      <c r="H138" s="130" t="s">
        <v>902</v>
      </c>
      <c r="I138" s="130"/>
      <c r="J138" s="130"/>
      <c r="K138" s="130" t="str">
        <f>IF('SIG 2021'!$AM141="","",'SIG 2021'!$AM141)</f>
        <v/>
      </c>
      <c r="L138" s="130" t="str">
        <f>IF('SIG 2021'!$AN141="","",'SIG 2021'!$AN141)</f>
        <v/>
      </c>
      <c r="M138" s="130" t="str">
        <f>IF('SIG 2021'!$AO141="","",'SIG 2021'!$AO141)</f>
        <v/>
      </c>
    </row>
    <row r="139" spans="1:13" ht="72" x14ac:dyDescent="0.5">
      <c r="A139" s="130">
        <v>4688</v>
      </c>
      <c r="B139" s="130" t="s">
        <v>903</v>
      </c>
      <c r="C139" s="130" t="s">
        <v>904</v>
      </c>
      <c r="D139" s="130" t="str">
        <f>IF('SIG 2021'!$D142="","",'SIG 2021'!$D142)</f>
        <v/>
      </c>
      <c r="E139" s="130" t="str">
        <f>IF('SIG 2021'!$E142="","",'SIG 2021'!$E142)</f>
        <v/>
      </c>
      <c r="F139" s="130" t="str">
        <f>IF('SIG 2021'!$F142="","",'SIG 2021'!F142)</f>
        <v/>
      </c>
      <c r="G139" s="130" t="s">
        <v>849</v>
      </c>
      <c r="H139" s="130" t="s">
        <v>902</v>
      </c>
      <c r="I139" s="130"/>
      <c r="J139" s="130"/>
      <c r="K139" s="130" t="str">
        <f>IF('SIG 2021'!$AM142="","",'SIG 2021'!$AM142)</f>
        <v/>
      </c>
      <c r="L139" s="130" t="str">
        <f>IF('SIG 2021'!$AN142="","",'SIG 2021'!$AN142)</f>
        <v/>
      </c>
      <c r="M139" s="130" t="str">
        <f>IF('SIG 2021'!$AO142="","",'SIG 2021'!$AO142)</f>
        <v/>
      </c>
    </row>
    <row r="140" spans="1:13" ht="57.6" x14ac:dyDescent="0.5">
      <c r="A140" s="130">
        <v>4689</v>
      </c>
      <c r="B140" s="130" t="s">
        <v>905</v>
      </c>
      <c r="C140" s="130" t="s">
        <v>906</v>
      </c>
      <c r="D140" s="130" t="str">
        <f>IF('SIG 2021'!$D143="","",'SIG 2021'!$D143)</f>
        <v/>
      </c>
      <c r="E140" s="130" t="str">
        <f>IF('SIG 2021'!$E143="","",'SIG 2021'!$E143)</f>
        <v/>
      </c>
      <c r="F140" s="130" t="str">
        <f>IF('SIG 2021'!$F143="","",'SIG 2021'!F143)</f>
        <v/>
      </c>
      <c r="G140" s="130" t="s">
        <v>849</v>
      </c>
      <c r="H140" s="130" t="s">
        <v>902</v>
      </c>
      <c r="I140" s="130"/>
      <c r="J140" s="130"/>
      <c r="K140" s="130" t="str">
        <f>IF('SIG 2021'!$AM143="","",'SIG 2021'!$AM143)</f>
        <v/>
      </c>
      <c r="L140" s="130" t="str">
        <f>IF('SIG 2021'!$AN143="","",'SIG 2021'!$AN143)</f>
        <v/>
      </c>
      <c r="M140" s="130" t="str">
        <f>IF('SIG 2021'!$AO143="","",'SIG 2021'!$AO143)</f>
        <v/>
      </c>
    </row>
    <row r="141" spans="1:13" ht="28.8" x14ac:dyDescent="0.5">
      <c r="A141" s="130">
        <v>4180</v>
      </c>
      <c r="B141" s="130" t="s">
        <v>907</v>
      </c>
      <c r="C141" s="130" t="s">
        <v>908</v>
      </c>
      <c r="D141" s="130" t="str">
        <f>IF('SIG 2021'!$D144="","",'SIG 2021'!$D144)</f>
        <v>Yes</v>
      </c>
      <c r="E141" s="130" t="str">
        <f>IF('SIG 2021'!$E144="","",'SIG 2021'!$E144)</f>
        <v/>
      </c>
      <c r="F141" s="130" t="str">
        <f>IF('SIG 2021'!$F144="","",'SIG 2021'!F144)</f>
        <v/>
      </c>
      <c r="G141" s="130" t="s">
        <v>909</v>
      </c>
      <c r="H141" s="130" t="s">
        <v>910</v>
      </c>
      <c r="I141" s="130"/>
      <c r="J141" s="130" t="s">
        <v>911</v>
      </c>
      <c r="K141" s="130" t="str">
        <f>IF('SIG 2021'!$AM144="","",'SIG 2021'!$AM144)</f>
        <v/>
      </c>
      <c r="L141" s="130" t="str">
        <f>IF('SIG 2021'!$AN144="","",'SIG 2021'!$AN144)</f>
        <v/>
      </c>
      <c r="M141" s="130" t="str">
        <f>IF('SIG 2021'!$AO144="","",'SIG 2021'!$AO144)</f>
        <v/>
      </c>
    </row>
    <row r="142" spans="1:13" ht="43.2" x14ac:dyDescent="0.5">
      <c r="A142" s="130">
        <v>4183</v>
      </c>
      <c r="B142" s="130" t="s">
        <v>912</v>
      </c>
      <c r="C142" s="130" t="s">
        <v>913</v>
      </c>
      <c r="D142" s="130" t="str">
        <f>IF('SIG 2021'!$D145="","",'SIG 2021'!$D145)</f>
        <v>Yes</v>
      </c>
      <c r="E142" s="130" t="str">
        <f>IF('SIG 2021'!$E145="","",'SIG 2021'!$E145)</f>
        <v/>
      </c>
      <c r="F142" s="130" t="str">
        <f>IF('SIG 2021'!$F145="","",'SIG 2021'!F145)</f>
        <v/>
      </c>
      <c r="G142" s="130" t="s">
        <v>909</v>
      </c>
      <c r="H142" s="130" t="s">
        <v>914</v>
      </c>
      <c r="I142" s="130"/>
      <c r="J142" s="130" t="s">
        <v>915</v>
      </c>
      <c r="K142" s="130" t="str">
        <f>IF('SIG 2021'!$AM145="","",'SIG 2021'!$AM145)</f>
        <v/>
      </c>
      <c r="L142" s="130" t="str">
        <f>IF('SIG 2021'!$AN145="","",'SIG 2021'!$AN145)</f>
        <v/>
      </c>
      <c r="M142" s="130" t="str">
        <f>IF('SIG 2021'!$AO145="","",'SIG 2021'!$AO145)</f>
        <v/>
      </c>
    </row>
    <row r="143" spans="1:13" ht="28.8" x14ac:dyDescent="0.5">
      <c r="A143" s="130">
        <v>4184</v>
      </c>
      <c r="B143" s="130" t="s">
        <v>916</v>
      </c>
      <c r="C143" s="130" t="s">
        <v>917</v>
      </c>
      <c r="D143" s="130" t="str">
        <f>IF('SIG 2021'!$D146="","",'SIG 2021'!$D146)</f>
        <v>Yes</v>
      </c>
      <c r="E143" s="130" t="str">
        <f>IF('SIG 2021'!$E146="","",'SIG 2021'!$E146)</f>
        <v/>
      </c>
      <c r="F143" s="130" t="str">
        <f>IF('SIG 2021'!$F146="","",'SIG 2021'!F146)</f>
        <v/>
      </c>
      <c r="G143" s="130" t="s">
        <v>909</v>
      </c>
      <c r="H143" s="130" t="s">
        <v>918</v>
      </c>
      <c r="I143" s="130"/>
      <c r="J143" s="130"/>
      <c r="K143" s="130" t="str">
        <f>IF('SIG 2021'!$AM146="","",'SIG 2021'!$AM146)</f>
        <v/>
      </c>
      <c r="L143" s="130" t="str">
        <f>IF('SIG 2021'!$AN146="","",'SIG 2021'!$AN146)</f>
        <v/>
      </c>
      <c r="M143" s="130" t="str">
        <f>IF('SIG 2021'!$AO146="","",'SIG 2021'!$AO146)</f>
        <v/>
      </c>
    </row>
    <row r="144" spans="1:13" ht="28.8" x14ac:dyDescent="0.5">
      <c r="A144" s="130">
        <v>4186</v>
      </c>
      <c r="B144" s="130" t="s">
        <v>919</v>
      </c>
      <c r="C144" s="130" t="s">
        <v>920</v>
      </c>
      <c r="D144" s="130" t="str">
        <f>IF('SIG 2021'!$D147="","",'SIG 2021'!$D147)</f>
        <v>Yes</v>
      </c>
      <c r="E144" s="130" t="str">
        <f>IF('SIG 2021'!$E147="","",'SIG 2021'!$E147)</f>
        <v>AES-256</v>
      </c>
      <c r="F144" s="130" t="str">
        <f>IF('SIG 2021'!$F147="","",'SIG 2021'!F147)</f>
        <v/>
      </c>
      <c r="G144" s="130" t="s">
        <v>909</v>
      </c>
      <c r="H144" s="130" t="s">
        <v>918</v>
      </c>
      <c r="I144" s="130"/>
      <c r="J144" s="130" t="s">
        <v>922</v>
      </c>
      <c r="K144" s="130" t="str">
        <f>IF('SIG 2021'!$AM147="","",'SIG 2021'!$AM147)</f>
        <v/>
      </c>
      <c r="L144" s="130" t="str">
        <f>IF('SIG 2021'!$AN147="","",'SIG 2021'!$AN147)</f>
        <v/>
      </c>
      <c r="M144" s="130" t="str">
        <f>IF('SIG 2021'!$AO147="","",'SIG 2021'!$AO147)</f>
        <v/>
      </c>
    </row>
    <row r="145" spans="1:13" ht="28.8" x14ac:dyDescent="0.5">
      <c r="A145" s="130">
        <v>4181</v>
      </c>
      <c r="B145" s="130" t="s">
        <v>923</v>
      </c>
      <c r="C145" s="130" t="s">
        <v>924</v>
      </c>
      <c r="D145" s="130" t="str">
        <f>IF('SIG 2021'!$D148="","",'SIG 2021'!$D148)</f>
        <v>N/a</v>
      </c>
      <c r="E145" s="130" t="str">
        <f>IF('SIG 2021'!$E148="","",'SIG 2021'!$E148)</f>
        <v>Regulated or confidential Scoped Data is not stored in files.</v>
      </c>
      <c r="F145" s="130" t="str">
        <f>IF('SIG 2021'!$F148="","",'SIG 2021'!F148)</f>
        <v/>
      </c>
      <c r="G145" s="130" t="s">
        <v>909</v>
      </c>
      <c r="H145" s="130" t="s">
        <v>927</v>
      </c>
      <c r="I145" s="130"/>
      <c r="J145" s="130"/>
      <c r="K145" s="130" t="str">
        <f>IF('SIG 2021'!$AM148="","",'SIG 2021'!$AM148)</f>
        <v/>
      </c>
      <c r="L145" s="130" t="str">
        <f>IF('SIG 2021'!$AN148="","",'SIG 2021'!$AN148)</f>
        <v/>
      </c>
      <c r="M145" s="130" t="str">
        <f>IF('SIG 2021'!$AO148="","",'SIG 2021'!$AO148)</f>
        <v/>
      </c>
    </row>
    <row r="146" spans="1:13" ht="28.8" x14ac:dyDescent="0.5">
      <c r="A146" s="130">
        <v>4182</v>
      </c>
      <c r="B146" s="130" t="s">
        <v>928</v>
      </c>
      <c r="C146" s="130" t="s">
        <v>929</v>
      </c>
      <c r="D146" s="130" t="str">
        <f>IF('SIG 2021'!$D149="","",'SIG 2021'!$D149)</f>
        <v>N/A</v>
      </c>
      <c r="E146" s="130" t="str">
        <f>IF('SIG 2021'!$E149="","",'SIG 2021'!$E149)</f>
        <v>Regulated or confidential Scoped Data is not stored in files.</v>
      </c>
      <c r="F146" s="130" t="str">
        <f>IF('SIG 2021'!$F149="","",'SIG 2021'!F149)</f>
        <v/>
      </c>
      <c r="G146" s="130" t="s">
        <v>909</v>
      </c>
      <c r="H146" s="130" t="s">
        <v>927</v>
      </c>
      <c r="I146" s="130"/>
      <c r="J146" s="130" t="s">
        <v>930</v>
      </c>
      <c r="K146" s="130" t="str">
        <f>IF('SIG 2021'!$AM149="","",'SIG 2021'!$AM149)</f>
        <v/>
      </c>
      <c r="L146" s="130" t="str">
        <f>IF('SIG 2021'!$AN149="","",'SIG 2021'!$AN149)</f>
        <v/>
      </c>
      <c r="M146" s="130" t="str">
        <f>IF('SIG 2021'!$AO149="","",'SIG 2021'!$AO149)</f>
        <v/>
      </c>
    </row>
    <row r="147" spans="1:13" ht="43.2" x14ac:dyDescent="0.5">
      <c r="A147" s="130">
        <v>1806</v>
      </c>
      <c r="B147" s="130" t="s">
        <v>931</v>
      </c>
      <c r="C147" s="130" t="s">
        <v>932</v>
      </c>
      <c r="D147" s="130" t="str">
        <f>IF('SIG 2021'!$D150="","",'SIG 2021'!$D150)</f>
        <v>Yes</v>
      </c>
      <c r="E147" s="130" t="str">
        <f>IF('SIG 2021'!$E150="","",'SIG 2021'!$E150)</f>
        <v>AWS Key Management Service</v>
      </c>
      <c r="F147" s="130" t="str">
        <f>IF('SIG 2021'!$F150="","",'SIG 2021'!F150)</f>
        <v/>
      </c>
      <c r="G147" s="130" t="s">
        <v>909</v>
      </c>
      <c r="H147" s="130" t="s">
        <v>934</v>
      </c>
      <c r="I147" s="130"/>
      <c r="J147" s="130" t="s">
        <v>935</v>
      </c>
      <c r="K147" s="130" t="str">
        <f>IF('SIG 2021'!$AM150="","",'SIG 2021'!$AM150)</f>
        <v/>
      </c>
      <c r="L147" s="130" t="str">
        <f>IF('SIG 2021'!$AN150="","",'SIG 2021'!$AN150)</f>
        <v/>
      </c>
      <c r="M147" s="130" t="str">
        <f>IF('SIG 2021'!$AO150="","",'SIG 2021'!$AO150)</f>
        <v/>
      </c>
    </row>
    <row r="148" spans="1:13" ht="43.2" x14ac:dyDescent="0.5">
      <c r="A148" s="130">
        <v>4192</v>
      </c>
      <c r="B148" s="130" t="s">
        <v>936</v>
      </c>
      <c r="C148" s="130" t="s">
        <v>937</v>
      </c>
      <c r="D148" s="130" t="str">
        <f>IF('SIG 2021'!$D151="","",'SIG 2021'!$D151)</f>
        <v>Yes</v>
      </c>
      <c r="E148" s="130" t="str">
        <f>IF('SIG 2021'!$E151="","",'SIG 2021'!$E151)</f>
        <v/>
      </c>
      <c r="F148" s="130" t="str">
        <f>IF('SIG 2021'!$F151="","",'SIG 2021'!F151)</f>
        <v/>
      </c>
      <c r="G148" s="130" t="s">
        <v>909</v>
      </c>
      <c r="H148" s="130" t="s">
        <v>934</v>
      </c>
      <c r="I148" s="130"/>
      <c r="J148" s="130" t="s">
        <v>938</v>
      </c>
      <c r="K148" s="130" t="str">
        <f>IF('SIG 2021'!$AM151="","",'SIG 2021'!$AM151)</f>
        <v/>
      </c>
      <c r="L148" s="130" t="str">
        <f>IF('SIG 2021'!$AN151="","",'SIG 2021'!$AN151)</f>
        <v/>
      </c>
      <c r="M148" s="130" t="str">
        <f>IF('SIG 2021'!$AO151="","",'SIG 2021'!$AO151)</f>
        <v/>
      </c>
    </row>
    <row r="149" spans="1:13" ht="28.8" x14ac:dyDescent="0.5">
      <c r="A149" s="130">
        <v>1815</v>
      </c>
      <c r="B149" s="130" t="s">
        <v>939</v>
      </c>
      <c r="C149" s="130" t="s">
        <v>940</v>
      </c>
      <c r="D149" s="130" t="str">
        <f>IF('SIG 2021'!$D152="","",'SIG 2021'!$D152)</f>
        <v>Yes</v>
      </c>
      <c r="E149" s="130" t="str">
        <f>IF('SIG 2021'!$E152="","",'SIG 2021'!$E152)</f>
        <v/>
      </c>
      <c r="F149" s="130" t="str">
        <f>IF('SIG 2021'!$F152="","",'SIG 2021'!F152)</f>
        <v/>
      </c>
      <c r="G149" s="130" t="s">
        <v>909</v>
      </c>
      <c r="H149" s="130" t="s">
        <v>934</v>
      </c>
      <c r="I149" s="130" t="s">
        <v>804</v>
      </c>
      <c r="J149" s="130" t="s">
        <v>941</v>
      </c>
      <c r="K149" s="130" t="str">
        <f>IF('SIG 2021'!$AM152="","",'SIG 2021'!$AM152)</f>
        <v/>
      </c>
      <c r="L149" s="130" t="str">
        <f>IF('SIG 2021'!$AN152="","",'SIG 2021'!$AN152)</f>
        <v/>
      </c>
      <c r="M149" s="130" t="str">
        <f>IF('SIG 2021'!$AO152="","",'SIG 2021'!$AO152)</f>
        <v/>
      </c>
    </row>
    <row r="150" spans="1:13" ht="57.6" x14ac:dyDescent="0.5">
      <c r="A150" s="130">
        <v>1902</v>
      </c>
      <c r="B150" s="130" t="s">
        <v>942</v>
      </c>
      <c r="C150" s="130" t="s">
        <v>943</v>
      </c>
      <c r="D150" s="130" t="str">
        <f>IF('SIG 2021'!$D153="","",'SIG 2021'!$D153)</f>
        <v>No</v>
      </c>
      <c r="E150" s="130" t="str">
        <f>IF('SIG 2021'!$E153="","",'SIG 2021'!$E153)</f>
        <v>Maintained by small operations team.  Seismic logs all activity completed by these teams related to Key Management.</v>
      </c>
      <c r="F150" s="130" t="str">
        <f>IF('SIG 2021'!$F153="","",'SIG 2021'!F153)</f>
        <v/>
      </c>
      <c r="G150" s="130" t="s">
        <v>909</v>
      </c>
      <c r="H150" s="130" t="s">
        <v>934</v>
      </c>
      <c r="I150" s="130" t="s">
        <v>804</v>
      </c>
      <c r="J150" s="130" t="s">
        <v>945</v>
      </c>
      <c r="K150" s="130" t="str">
        <f>IF('SIG 2021'!$AM153="","",'SIG 2021'!$AM153)</f>
        <v/>
      </c>
      <c r="L150" s="130" t="str">
        <f>IF('SIG 2021'!$AN153="","",'SIG 2021'!$AN153)</f>
        <v/>
      </c>
      <c r="M150" s="130" t="str">
        <f>IF('SIG 2021'!$AO153="","",'SIG 2021'!$AO153)</f>
        <v/>
      </c>
    </row>
    <row r="151" spans="1:13" ht="14.4" x14ac:dyDescent="0.5">
      <c r="A151" s="130">
        <v>4437</v>
      </c>
      <c r="B151" s="130" t="s">
        <v>946</v>
      </c>
      <c r="C151" s="130" t="s">
        <v>947</v>
      </c>
      <c r="D151" s="130" t="str">
        <f>IF('SIG 2021'!$D154="","",'SIG 2021'!$D154)</f>
        <v>Yes</v>
      </c>
      <c r="E151" s="130" t="str">
        <f>IF('SIG 2021'!$E154="","",'SIG 2021'!$E154)</f>
        <v/>
      </c>
      <c r="F151" s="130" t="str">
        <f>IF('SIG 2021'!$F154="","",'SIG 2021'!F154)</f>
        <v/>
      </c>
      <c r="G151" s="130" t="s">
        <v>909</v>
      </c>
      <c r="H151" s="130" t="s">
        <v>934</v>
      </c>
      <c r="I151" s="130"/>
      <c r="J151" s="130" t="s">
        <v>948</v>
      </c>
      <c r="K151" s="130" t="str">
        <f>IF('SIG 2021'!$AM154="","",'SIG 2021'!$AM154)</f>
        <v/>
      </c>
      <c r="L151" s="130" t="str">
        <f>IF('SIG 2021'!$AN154="","",'SIG 2021'!$AN154)</f>
        <v/>
      </c>
      <c r="M151" s="130" t="str">
        <f>IF('SIG 2021'!$AO154="","",'SIG 2021'!$AO154)</f>
        <v/>
      </c>
    </row>
    <row r="152" spans="1:13" ht="28.8" x14ac:dyDescent="0.5">
      <c r="A152" s="130">
        <v>1814</v>
      </c>
      <c r="B152" s="130" t="s">
        <v>949</v>
      </c>
      <c r="C152" s="130" t="s">
        <v>950</v>
      </c>
      <c r="D152" s="130" t="str">
        <f>IF('SIG 2021'!$D155="","",'SIG 2021'!$D155)</f>
        <v>Yes</v>
      </c>
      <c r="E152" s="130" t="str">
        <f>IF('SIG 2021'!$E155="","",'SIG 2021'!$E155)</f>
        <v>AWS Key Management Service</v>
      </c>
      <c r="F152" s="130" t="str">
        <f>IF('SIG 2021'!$F155="","",'SIG 2021'!F155)</f>
        <v/>
      </c>
      <c r="G152" s="130" t="s">
        <v>909</v>
      </c>
      <c r="H152" s="130" t="s">
        <v>934</v>
      </c>
      <c r="I152" s="130"/>
      <c r="J152" s="130" t="s">
        <v>941</v>
      </c>
      <c r="K152" s="130" t="str">
        <f>IF('SIG 2021'!$AM155="","",'SIG 2021'!$AM155)</f>
        <v/>
      </c>
      <c r="L152" s="130" t="str">
        <f>IF('SIG 2021'!$AN155="","",'SIG 2021'!$AN155)</f>
        <v/>
      </c>
      <c r="M152" s="130" t="str">
        <f>IF('SIG 2021'!$AO155="","",'SIG 2021'!$AO155)</f>
        <v/>
      </c>
    </row>
    <row r="153" spans="1:13" ht="28.8" x14ac:dyDescent="0.5">
      <c r="A153" s="130">
        <v>4193</v>
      </c>
      <c r="B153" s="130" t="s">
        <v>951</v>
      </c>
      <c r="C153" s="130" t="s">
        <v>952</v>
      </c>
      <c r="D153" s="130" t="str">
        <f>IF('SIG 2021'!$D156="","",'SIG 2021'!$D156)</f>
        <v>Yes</v>
      </c>
      <c r="E153" s="130" t="str">
        <f>IF('SIG 2021'!$E156="","",'SIG 2021'!$E156)</f>
        <v>AWS Key Management Service</v>
      </c>
      <c r="F153" s="130" t="str">
        <f>IF('SIG 2021'!$F156="","",'SIG 2021'!F156)</f>
        <v/>
      </c>
      <c r="G153" s="130" t="s">
        <v>909</v>
      </c>
      <c r="H153" s="130" t="s">
        <v>934</v>
      </c>
      <c r="I153" s="130"/>
      <c r="J153" s="130" t="s">
        <v>941</v>
      </c>
      <c r="K153" s="130" t="str">
        <f>IF('SIG 2021'!$AM156="","",'SIG 2021'!$AM156)</f>
        <v/>
      </c>
      <c r="L153" s="130" t="str">
        <f>IF('SIG 2021'!$AN156="","",'SIG 2021'!$AN156)</f>
        <v/>
      </c>
      <c r="M153" s="130" t="str">
        <f>IF('SIG 2021'!$AO156="","",'SIG 2021'!$AO156)</f>
        <v/>
      </c>
    </row>
    <row r="154" spans="1:13" ht="43.2" x14ac:dyDescent="0.5">
      <c r="A154" s="130">
        <v>4194</v>
      </c>
      <c r="B154" s="130" t="s">
        <v>953</v>
      </c>
      <c r="C154" s="130" t="s">
        <v>954</v>
      </c>
      <c r="D154" s="130" t="str">
        <f>IF('SIG 2021'!$D157="","",'SIG 2021'!$D157)</f>
        <v>Yes</v>
      </c>
      <c r="E154" s="130" t="str">
        <f>IF('SIG 2021'!$E157="","",'SIG 2021'!$E157)</f>
        <v>. Encryption keys are stored in FIPS 140-2 Level 2 validated vault.</v>
      </c>
      <c r="F154" s="130" t="str">
        <f>IF('SIG 2021'!$F157="","",'SIG 2021'!F157)</f>
        <v/>
      </c>
      <c r="G154" s="130" t="s">
        <v>909</v>
      </c>
      <c r="H154" s="130" t="s">
        <v>934</v>
      </c>
      <c r="I154" s="130"/>
      <c r="J154" s="130" t="s">
        <v>941</v>
      </c>
      <c r="K154" s="130" t="str">
        <f>IF('SIG 2021'!$AM157="","",'SIG 2021'!$AM157)</f>
        <v/>
      </c>
      <c r="L154" s="130" t="str">
        <f>IF('SIG 2021'!$AN157="","",'SIG 2021'!$AN157)</f>
        <v/>
      </c>
      <c r="M154" s="130" t="str">
        <f>IF('SIG 2021'!$AO157="","",'SIG 2021'!$AO157)</f>
        <v/>
      </c>
    </row>
    <row r="155" spans="1:13" ht="28.8" x14ac:dyDescent="0.5">
      <c r="A155" s="130">
        <v>4191</v>
      </c>
      <c r="B155" s="130" t="s">
        <v>956</v>
      </c>
      <c r="C155" s="130" t="s">
        <v>957</v>
      </c>
      <c r="D155" s="130" t="str">
        <f>IF('SIG 2021'!$D158="","",'SIG 2021'!$D158)</f>
        <v>No</v>
      </c>
      <c r="E155" s="130" t="str">
        <f>IF('SIG 2021'!$E158="","",'SIG 2021'!$E158)</f>
        <v/>
      </c>
      <c r="F155" s="130" t="str">
        <f>IF('SIG 2021'!$F158="","",'SIG 2021'!F158)</f>
        <v/>
      </c>
      <c r="G155" s="130" t="s">
        <v>909</v>
      </c>
      <c r="H155" s="130" t="s">
        <v>934</v>
      </c>
      <c r="I155" s="130"/>
      <c r="J155" s="130"/>
      <c r="K155" s="130" t="str">
        <f>IF('SIG 2021'!$AM158="","",'SIG 2021'!$AM158)</f>
        <v/>
      </c>
      <c r="L155" s="130" t="str">
        <f>IF('SIG 2021'!$AN158="","",'SIG 2021'!$AN158)</f>
        <v/>
      </c>
      <c r="M155" s="130" t="str">
        <f>IF('SIG 2021'!$AO158="","",'SIG 2021'!$AO158)</f>
        <v/>
      </c>
    </row>
    <row r="156" spans="1:13" ht="28.8" x14ac:dyDescent="0.5">
      <c r="A156" s="130">
        <v>1860</v>
      </c>
      <c r="B156" s="130" t="s">
        <v>958</v>
      </c>
      <c r="C156" s="130" t="s">
        <v>959</v>
      </c>
      <c r="D156" s="130" t="str">
        <f>IF('SIG 2021'!$D159="","",'SIG 2021'!$D159)</f>
        <v>Yes</v>
      </c>
      <c r="E156" s="130" t="str">
        <f>IF('SIG 2021'!$E159="","",'SIG 2021'!$E159)</f>
        <v/>
      </c>
      <c r="F156" s="130" t="str">
        <f>IF('SIG 2021'!$F159="","",'SIG 2021'!F159)</f>
        <v/>
      </c>
      <c r="G156" s="130" t="s">
        <v>909</v>
      </c>
      <c r="H156" s="130" t="s">
        <v>960</v>
      </c>
      <c r="I156" s="130"/>
      <c r="J156" s="130"/>
      <c r="K156" s="130" t="str">
        <f>IF('SIG 2021'!$AM159="","",'SIG 2021'!$AM159)</f>
        <v/>
      </c>
      <c r="L156" s="130" t="str">
        <f>IF('SIG 2021'!$AN159="","",'SIG 2021'!$AN159)</f>
        <v/>
      </c>
      <c r="M156" s="130" t="str">
        <f>IF('SIG 2021'!$AO159="","",'SIG 2021'!$AO159)</f>
        <v/>
      </c>
    </row>
    <row r="157" spans="1:13" ht="28.8" x14ac:dyDescent="0.5">
      <c r="A157" s="130">
        <v>4438</v>
      </c>
      <c r="B157" s="130" t="s">
        <v>961</v>
      </c>
      <c r="C157" s="130" t="s">
        <v>962</v>
      </c>
      <c r="D157" s="130" t="str">
        <f>IF('SIG 2021'!$D160="","",'SIG 2021'!$D160)</f>
        <v>Yes</v>
      </c>
      <c r="E157" s="130" t="str">
        <f>IF('SIG 2021'!$E160="","",'SIG 2021'!$E160)</f>
        <v/>
      </c>
      <c r="F157" s="130" t="str">
        <f>IF('SIG 2021'!$F160="","",'SIG 2021'!F160)</f>
        <v/>
      </c>
      <c r="G157" s="130" t="s">
        <v>909</v>
      </c>
      <c r="H157" s="130" t="s">
        <v>960</v>
      </c>
      <c r="I157" s="130"/>
      <c r="J157" s="130"/>
      <c r="K157" s="130" t="str">
        <f>IF('SIG 2021'!$AM160="","",'SIG 2021'!$AM160)</f>
        <v/>
      </c>
      <c r="L157" s="130" t="str">
        <f>IF('SIG 2021'!$AN160="","",'SIG 2021'!$AN160)</f>
        <v/>
      </c>
      <c r="M157" s="130" t="str">
        <f>IF('SIG 2021'!$AO160="","",'SIG 2021'!$AO160)</f>
        <v/>
      </c>
    </row>
    <row r="158" spans="1:13" ht="28.8" x14ac:dyDescent="0.5">
      <c r="A158" s="130">
        <v>3548</v>
      </c>
      <c r="B158" s="130" t="s">
        <v>963</v>
      </c>
      <c r="C158" s="130" t="s">
        <v>964</v>
      </c>
      <c r="D158" s="130" t="str">
        <f>IF('SIG 2021'!$D161="","",'SIG 2021'!$D161)</f>
        <v>No</v>
      </c>
      <c r="E158" s="130" t="str">
        <f>IF('SIG 2021'!$E161="","",'SIG 2021'!$E161)</f>
        <v/>
      </c>
      <c r="F158" s="130" t="str">
        <f>IF('SIG 2021'!$F161="","",'SIG 2021'!F161)</f>
        <v/>
      </c>
      <c r="G158" s="130" t="s">
        <v>909</v>
      </c>
      <c r="H158" s="130" t="s">
        <v>965</v>
      </c>
      <c r="I158" s="130"/>
      <c r="J158" s="130"/>
      <c r="K158" s="130" t="str">
        <f>IF('SIG 2021'!$AM161="","",'SIG 2021'!$AM161)</f>
        <v/>
      </c>
      <c r="L158" s="130" t="str">
        <f>IF('SIG 2021'!$AN161="","",'SIG 2021'!$AN161)</f>
        <v/>
      </c>
      <c r="M158" s="130" t="str">
        <f>IF('SIG 2021'!$AO161="","",'SIG 2021'!$AO161)</f>
        <v/>
      </c>
    </row>
    <row r="159" spans="1:13" ht="28.8" x14ac:dyDescent="0.5">
      <c r="A159" s="130">
        <v>3219</v>
      </c>
      <c r="B159" s="130" t="s">
        <v>966</v>
      </c>
      <c r="C159" s="130" t="s">
        <v>967</v>
      </c>
      <c r="D159" s="130" t="str">
        <f>IF('SIG 2021'!$D162="","",'SIG 2021'!$D162)</f>
        <v>No</v>
      </c>
      <c r="E159" s="130" t="str">
        <f>IF('SIG 2021'!$E162="","",'SIG 2021'!$E162)</f>
        <v/>
      </c>
      <c r="F159" s="130" t="str">
        <f>IF('SIG 2021'!$F162="","",'SIG 2021'!F162)</f>
        <v/>
      </c>
      <c r="G159" s="130" t="s">
        <v>909</v>
      </c>
      <c r="H159" s="130" t="s">
        <v>965</v>
      </c>
      <c r="I159" s="130"/>
      <c r="J159" s="130"/>
      <c r="K159" s="130" t="str">
        <f>IF('SIG 2021'!$AM162="","",'SIG 2021'!$AM162)</f>
        <v/>
      </c>
      <c r="L159" s="130" t="str">
        <f>IF('SIG 2021'!$AN162="","",'SIG 2021'!$AN162)</f>
        <v/>
      </c>
      <c r="M159" s="130" t="str">
        <f>IF('SIG 2021'!$AO162="","",'SIG 2021'!$AO162)</f>
        <v/>
      </c>
    </row>
    <row r="160" spans="1:13" ht="28.8" x14ac:dyDescent="0.5">
      <c r="A160" s="130">
        <v>3473</v>
      </c>
      <c r="B160" s="130" t="s">
        <v>968</v>
      </c>
      <c r="C160" s="130" t="s">
        <v>969</v>
      </c>
      <c r="D160" s="130" t="str">
        <f>IF('SIG 2021'!$D163="","",'SIG 2021'!$D163)</f>
        <v>Yes</v>
      </c>
      <c r="E160" s="130" t="str">
        <f>IF('SIG 2021'!$E163="","",'SIG 2021'!$E163)</f>
        <v xml:space="preserve">Clients choose the specific AWS  regions during onboarding. </v>
      </c>
      <c r="F160" s="130" t="str">
        <f>IF('SIG 2021'!$F163="","",'SIG 2021'!F163)</f>
        <v/>
      </c>
      <c r="G160" s="130" t="s">
        <v>971</v>
      </c>
      <c r="H160" s="130" t="s">
        <v>972</v>
      </c>
      <c r="I160" s="130"/>
      <c r="J160" s="130"/>
      <c r="K160" s="130" t="str">
        <f>IF('SIG 2021'!$AM163="","",'SIG 2021'!$AM163)</f>
        <v/>
      </c>
      <c r="L160" s="130" t="str">
        <f>IF('SIG 2021'!$AN163="","",'SIG 2021'!$AN163)</f>
        <v/>
      </c>
      <c r="M160" s="130" t="str">
        <f>IF('SIG 2021'!$AO163="","",'SIG 2021'!$AO163)</f>
        <v/>
      </c>
    </row>
    <row r="161" spans="1:13" ht="28.8" x14ac:dyDescent="0.5">
      <c r="A161" s="130">
        <v>3339</v>
      </c>
      <c r="B161" s="130" t="s">
        <v>973</v>
      </c>
      <c r="C161" s="130" t="s">
        <v>974</v>
      </c>
      <c r="D161" s="130" t="str">
        <f>IF('SIG 2021'!$D164="","",'SIG 2021'!$D164)</f>
        <v>Yes</v>
      </c>
      <c r="E161" s="130" t="str">
        <f>IF('SIG 2021'!$E164="","",'SIG 2021'!$E164)</f>
        <v/>
      </c>
      <c r="F161" s="130" t="str">
        <f>IF('SIG 2021'!$F164="","",'SIG 2021'!F164)</f>
        <v/>
      </c>
      <c r="G161" s="130" t="s">
        <v>971</v>
      </c>
      <c r="H161" s="130" t="s">
        <v>975</v>
      </c>
      <c r="I161" s="130" t="s">
        <v>976</v>
      </c>
      <c r="J161" s="130"/>
      <c r="K161" s="130" t="str">
        <f>IF('SIG 2021'!$AM164="","",'SIG 2021'!$AM164)</f>
        <v/>
      </c>
      <c r="L161" s="130" t="str">
        <f>IF('SIG 2021'!$AN164="","",'SIG 2021'!$AN164)</f>
        <v/>
      </c>
      <c r="M161" s="130" t="str">
        <f>IF('SIG 2021'!$AO164="","",'SIG 2021'!$AO164)</f>
        <v/>
      </c>
    </row>
    <row r="162" spans="1:13" ht="43.2" x14ac:dyDescent="0.5">
      <c r="A162" s="130">
        <v>4185</v>
      </c>
      <c r="B162" s="130" t="s">
        <v>977</v>
      </c>
      <c r="C162" s="130" t="s">
        <v>978</v>
      </c>
      <c r="D162" s="130" t="str">
        <f>IF('SIG 2021'!$D165="","",'SIG 2021'!$D165)</f>
        <v>Yes</v>
      </c>
      <c r="E162" s="130" t="str">
        <f>IF('SIG 2021'!$E165="","",'SIG 2021'!$E165)</f>
        <v/>
      </c>
      <c r="F162" s="130" t="str">
        <f>IF('SIG 2021'!$F165="","",'SIG 2021'!F165)</f>
        <v/>
      </c>
      <c r="G162" s="130" t="s">
        <v>971</v>
      </c>
      <c r="H162" s="130" t="s">
        <v>979</v>
      </c>
      <c r="I162" s="130"/>
      <c r="J162" s="130"/>
      <c r="K162" s="130" t="str">
        <f>IF('SIG 2021'!$AM165="","",'SIG 2021'!$AM165)</f>
        <v/>
      </c>
      <c r="L162" s="130" t="str">
        <f>IF('SIG 2021'!$AN165="","",'SIG 2021'!$AN165)</f>
        <v/>
      </c>
      <c r="M162" s="130" t="str">
        <f>IF('SIG 2021'!$AO165="","",'SIG 2021'!$AO165)</f>
        <v/>
      </c>
    </row>
    <row r="163" spans="1:13" ht="43.2" x14ac:dyDescent="0.5">
      <c r="A163" s="130">
        <v>3489</v>
      </c>
      <c r="B163" s="130" t="s">
        <v>980</v>
      </c>
      <c r="C163" s="130" t="s">
        <v>981</v>
      </c>
      <c r="D163" s="130" t="str">
        <f>IF('SIG 2021'!$D166="","",'SIG 2021'!$D166)</f>
        <v>Yes</v>
      </c>
      <c r="E163" s="130" t="str">
        <f>IF('SIG 2021'!$E166="","",'SIG 2021'!$E166)</f>
        <v/>
      </c>
      <c r="F163" s="130" t="str">
        <f>IF('SIG 2021'!$F166="","",'SIG 2021'!F166)</f>
        <v/>
      </c>
      <c r="G163" s="130" t="s">
        <v>971</v>
      </c>
      <c r="H163" s="130" t="s">
        <v>982</v>
      </c>
      <c r="I163" s="130"/>
      <c r="J163" s="130"/>
      <c r="K163" s="130" t="str">
        <f>IF('SIG 2021'!$AM166="","",'SIG 2021'!$AM166)</f>
        <v/>
      </c>
      <c r="L163" s="130" t="str">
        <f>IF('SIG 2021'!$AN166="","",'SIG 2021'!$AN166)</f>
        <v/>
      </c>
      <c r="M163" s="130" t="str">
        <f>IF('SIG 2021'!$AO166="","",'SIG 2021'!$AO166)</f>
        <v/>
      </c>
    </row>
    <row r="164" spans="1:13" ht="187.2" x14ac:dyDescent="0.5">
      <c r="A164" s="130">
        <v>4195</v>
      </c>
      <c r="B164" s="130" t="s">
        <v>204</v>
      </c>
      <c r="C164" s="130" t="s">
        <v>983</v>
      </c>
      <c r="D164" s="130" t="str">
        <f>IF('SIG 2021'!$D167="","",'SIG 2021'!$D167)</f>
        <v>Yes</v>
      </c>
      <c r="E164" s="130" t="str">
        <f>IF('SIG 2021'!$E167="","",'SIG 2021'!$E167)</f>
        <v xml:space="preserve">Once an employee is hired and joins Seismic, they go through an orientation process where they meet their fellow employees and are provided a collection of Company policies and procedures, including the Employee Handbook and the policies and procedures relevant to their job function. The employee electronically acknowledges receipt of and obligations under the policies they have received. </v>
      </c>
      <c r="F164" s="130" t="str">
        <f>IF('SIG 2021'!$F167="","",'SIG 2021'!F167)</f>
        <v/>
      </c>
      <c r="G164" s="130" t="s">
        <v>985</v>
      </c>
      <c r="H164" s="130" t="s">
        <v>985</v>
      </c>
      <c r="I164" s="130" t="s">
        <v>986</v>
      </c>
      <c r="J164" s="130"/>
      <c r="K164" s="130" t="str">
        <f>IF('SIG 2021'!$AM167="","",'SIG 2021'!$AM167)</f>
        <v/>
      </c>
      <c r="L164" s="130" t="str">
        <f>IF('SIG 2021'!$AN167="","",'SIG 2021'!$AN167)</f>
        <v/>
      </c>
      <c r="M164" s="130" t="str">
        <f>IF('SIG 2021'!$AO167="","",'SIG 2021'!$AO167)</f>
        <v/>
      </c>
    </row>
    <row r="165" spans="1:13" ht="144" x14ac:dyDescent="0.5">
      <c r="A165" s="130">
        <v>2538</v>
      </c>
      <c r="B165" s="130" t="s">
        <v>988</v>
      </c>
      <c r="C165" s="130" t="s">
        <v>989</v>
      </c>
      <c r="D165" s="130" t="str">
        <f>IF('SIG 2021'!$D168="","",'SIG 2021'!$D168)</f>
        <v>Yes</v>
      </c>
      <c r="E165" s="130" t="str">
        <f>IF('SIG 2021'!$E168="","",'SIG 2021'!$E168)</f>
        <v xml:space="preserve">New employees are required to subject to a stringent employee background investigation, including the following checks: Criminal Felony and Misdemeanor Records, Education Report, Employment Report, Federal Criminal Records, National Criminal Records, SSN Trace, SSN Validation, and Professional Reference Checks. </v>
      </c>
      <c r="F165" s="130" t="str">
        <f>IF('SIG 2021'!$F168="","",'SIG 2021'!F168)</f>
        <v/>
      </c>
      <c r="G165" s="130" t="s">
        <v>985</v>
      </c>
      <c r="H165" s="130" t="s">
        <v>991</v>
      </c>
      <c r="I165" s="130" t="s">
        <v>986</v>
      </c>
      <c r="J165" s="130" t="s">
        <v>992</v>
      </c>
      <c r="K165" s="130" t="str">
        <f>IF('SIG 2021'!$AM168="","",'SIG 2021'!$AM168)</f>
        <v/>
      </c>
      <c r="L165" s="130" t="str">
        <f>IF('SIG 2021'!$AN168="","",'SIG 2021'!$AN168)</f>
        <v/>
      </c>
      <c r="M165" s="130" t="str">
        <f>IF('SIG 2021'!$AO168="","",'SIG 2021'!$AO168)</f>
        <v/>
      </c>
    </row>
    <row r="166" spans="1:13" ht="57.6" x14ac:dyDescent="0.5">
      <c r="A166" s="130">
        <v>148</v>
      </c>
      <c r="B166" s="130" t="s">
        <v>993</v>
      </c>
      <c r="C166" s="130" t="s">
        <v>994</v>
      </c>
      <c r="D166" s="130" t="str">
        <f>IF('SIG 2021'!$D169="","",'SIG 2021'!$D169)</f>
        <v>Yes</v>
      </c>
      <c r="E166" s="130" t="str">
        <f>IF('SIG 2021'!$E169="","",'SIG 2021'!$E169)</f>
        <v/>
      </c>
      <c r="F166" s="130" t="str">
        <f>IF('SIG 2021'!$F169="","",'SIG 2021'!F169)</f>
        <v/>
      </c>
      <c r="G166" s="130" t="s">
        <v>985</v>
      </c>
      <c r="H166" s="130" t="s">
        <v>991</v>
      </c>
      <c r="I166" s="130" t="s">
        <v>986</v>
      </c>
      <c r="J166" s="130" t="s">
        <v>595</v>
      </c>
      <c r="K166" s="130" t="str">
        <f>IF('SIG 2021'!$AM169="","",'SIG 2021'!$AM169)</f>
        <v/>
      </c>
      <c r="L166" s="130" t="str">
        <f>IF('SIG 2021'!$AN169="","",'SIG 2021'!$AN169)</f>
        <v/>
      </c>
      <c r="M166" s="130" t="str">
        <f>IF('SIG 2021'!$AO169="","",'SIG 2021'!$AO169)</f>
        <v/>
      </c>
    </row>
    <row r="167" spans="1:13" ht="57.6" x14ac:dyDescent="0.5">
      <c r="A167" s="130">
        <v>155</v>
      </c>
      <c r="B167" s="130" t="s">
        <v>995</v>
      </c>
      <c r="C167" s="130" t="s">
        <v>996</v>
      </c>
      <c r="D167" s="130" t="str">
        <f>IF('SIG 2021'!$D170="","",'SIG 2021'!$D170)</f>
        <v>Yes</v>
      </c>
      <c r="E167" s="130" t="str">
        <f>IF('SIG 2021'!$E170="","",'SIG 2021'!$E170)</f>
        <v>Legally restricted in areas Seismic operates. Performed for financial personnel only.</v>
      </c>
      <c r="F167" s="130" t="str">
        <f>IF('SIG 2021'!$F170="","",'SIG 2021'!F170)</f>
        <v/>
      </c>
      <c r="G167" s="130" t="s">
        <v>985</v>
      </c>
      <c r="H167" s="130" t="s">
        <v>991</v>
      </c>
      <c r="I167" s="130" t="s">
        <v>986</v>
      </c>
      <c r="J167" s="130" t="s">
        <v>595</v>
      </c>
      <c r="K167" s="130" t="str">
        <f>IF('SIG 2021'!$AM170="","",'SIG 2021'!$AM170)</f>
        <v/>
      </c>
      <c r="L167" s="130" t="str">
        <f>IF('SIG 2021'!$AN170="","",'SIG 2021'!$AN170)</f>
        <v/>
      </c>
      <c r="M167" s="130" t="str">
        <f>IF('SIG 2021'!$AO170="","",'SIG 2021'!$AO170)</f>
        <v/>
      </c>
    </row>
    <row r="168" spans="1:13" ht="57.6" x14ac:dyDescent="0.5">
      <c r="A168" s="130">
        <v>169</v>
      </c>
      <c r="B168" s="130" t="s">
        <v>998</v>
      </c>
      <c r="C168" s="130" t="s">
        <v>999</v>
      </c>
      <c r="D168" s="130" t="str">
        <f>IF('SIG 2021'!$D171="","",'SIG 2021'!$D171)</f>
        <v>Yes</v>
      </c>
      <c r="E168" s="130" t="str">
        <f>IF('SIG 2021'!$E171="","",'SIG 2021'!$E171)</f>
        <v/>
      </c>
      <c r="F168" s="130" t="str">
        <f>IF('SIG 2021'!$F171="","",'SIG 2021'!F171)</f>
        <v/>
      </c>
      <c r="G168" s="130" t="s">
        <v>985</v>
      </c>
      <c r="H168" s="130" t="s">
        <v>991</v>
      </c>
      <c r="I168" s="130" t="s">
        <v>986</v>
      </c>
      <c r="J168" s="130" t="s">
        <v>992</v>
      </c>
      <c r="K168" s="130" t="str">
        <f>IF('SIG 2021'!$AM171="","",'SIG 2021'!$AM171)</f>
        <v/>
      </c>
      <c r="L168" s="130" t="str">
        <f>IF('SIG 2021'!$AN171="","",'SIG 2021'!$AN171)</f>
        <v/>
      </c>
      <c r="M168" s="130" t="str">
        <f>IF('SIG 2021'!$AO171="","",'SIG 2021'!$AO171)</f>
        <v/>
      </c>
    </row>
    <row r="169" spans="1:13" ht="57.6" x14ac:dyDescent="0.5">
      <c r="A169" s="130">
        <v>2539</v>
      </c>
      <c r="B169" s="130" t="s">
        <v>1000</v>
      </c>
      <c r="C169" s="130" t="s">
        <v>1001</v>
      </c>
      <c r="D169" s="130" t="str">
        <f>IF('SIG 2021'!$D172="","",'SIG 2021'!$D172)</f>
        <v>Yes</v>
      </c>
      <c r="E169" s="130" t="str">
        <f>IF('SIG 2021'!$E172="","",'SIG 2021'!$E172)</f>
        <v/>
      </c>
      <c r="F169" s="130" t="str">
        <f>IF('SIG 2021'!$F172="","",'SIG 2021'!F172)</f>
        <v/>
      </c>
      <c r="G169" s="130" t="s">
        <v>985</v>
      </c>
      <c r="H169" s="130" t="s">
        <v>991</v>
      </c>
      <c r="I169" s="130" t="s">
        <v>986</v>
      </c>
      <c r="J169" s="130" t="s">
        <v>992</v>
      </c>
      <c r="K169" s="130" t="str">
        <f>IF('SIG 2021'!$AM172="","",'SIG 2021'!$AM172)</f>
        <v/>
      </c>
      <c r="L169" s="130" t="str">
        <f>IF('SIG 2021'!$AN172="","",'SIG 2021'!$AN172)</f>
        <v/>
      </c>
      <c r="M169" s="130" t="str">
        <f>IF('SIG 2021'!$AO172="","",'SIG 2021'!$AO172)</f>
        <v/>
      </c>
    </row>
    <row r="170" spans="1:13" ht="28.8" x14ac:dyDescent="0.5">
      <c r="A170" s="130">
        <v>183</v>
      </c>
      <c r="B170" s="130" t="s">
        <v>1002</v>
      </c>
      <c r="C170" s="130" t="s">
        <v>1003</v>
      </c>
      <c r="D170" s="130" t="str">
        <f>IF('SIG 2021'!$D173="","",'SIG 2021'!$D173)</f>
        <v>Yes</v>
      </c>
      <c r="E170" s="130" t="str">
        <f>IF('SIG 2021'!$E173="","",'SIG 2021'!$E173)</f>
        <v>All employee agreements are part of offer acceptance.</v>
      </c>
      <c r="F170" s="130" t="str">
        <f>IF('SIG 2021'!$F173="","",'SIG 2021'!F173)</f>
        <v/>
      </c>
      <c r="G170" s="130" t="s">
        <v>985</v>
      </c>
      <c r="H170" s="130" t="s">
        <v>1005</v>
      </c>
      <c r="I170" s="130" t="s">
        <v>771</v>
      </c>
      <c r="J170" s="130" t="s">
        <v>1006</v>
      </c>
      <c r="K170" s="130" t="str">
        <f>IF('SIG 2021'!$AM173="","",'SIG 2021'!$AM173)</f>
        <v/>
      </c>
      <c r="L170" s="130" t="str">
        <f>IF('SIG 2021'!$AN173="","",'SIG 2021'!$AN173)</f>
        <v/>
      </c>
      <c r="M170" s="130" t="str">
        <f>IF('SIG 2021'!$AO173="","",'SIG 2021'!$AO173)</f>
        <v/>
      </c>
    </row>
    <row r="171" spans="1:13" ht="43.2" x14ac:dyDescent="0.5">
      <c r="A171" s="130">
        <v>184</v>
      </c>
      <c r="B171" s="130" t="s">
        <v>1007</v>
      </c>
      <c r="C171" s="130" t="s">
        <v>1008</v>
      </c>
      <c r="D171" s="130" t="str">
        <f>IF('SIG 2021'!$D174="","",'SIG 2021'!$D174)</f>
        <v>Yes</v>
      </c>
      <c r="E171" s="130" t="str">
        <f>IF('SIG 2021'!$E174="","",'SIG 2021'!$E174)</f>
        <v>Employees acknowledge Seismic's Acceptable Use Policy upon hire and annually.</v>
      </c>
      <c r="F171" s="130" t="str">
        <f>IF('SIG 2021'!$F174="","",'SIG 2021'!F174)</f>
        <v/>
      </c>
      <c r="G171" s="130" t="s">
        <v>985</v>
      </c>
      <c r="H171" s="130" t="s">
        <v>1005</v>
      </c>
      <c r="I171" s="130" t="s">
        <v>771</v>
      </c>
      <c r="J171" s="130" t="s">
        <v>1010</v>
      </c>
      <c r="K171" s="130" t="str">
        <f>IF('SIG 2021'!$AM174="","",'SIG 2021'!$AM174)</f>
        <v/>
      </c>
      <c r="L171" s="130" t="str">
        <f>IF('SIG 2021'!$AN174="","",'SIG 2021'!$AN174)</f>
        <v/>
      </c>
      <c r="M171" s="130" t="str">
        <f>IF('SIG 2021'!$AO174="","",'SIG 2021'!$AO174)</f>
        <v/>
      </c>
    </row>
    <row r="172" spans="1:13" ht="57.6" x14ac:dyDescent="0.5">
      <c r="A172" s="130">
        <v>191</v>
      </c>
      <c r="B172" s="130" t="s">
        <v>1011</v>
      </c>
      <c r="C172" s="130" t="s">
        <v>1012</v>
      </c>
      <c r="D172" s="130" t="str">
        <f>IF('SIG 2021'!$D175="","",'SIG 2021'!$D175)</f>
        <v>Yes</v>
      </c>
      <c r="E172" s="130" t="str">
        <f>IF('SIG 2021'!$E175="","",'SIG 2021'!$E175)</f>
        <v>Included in Seismic's Employee Handbook. All employees must acknowledge this handbook upon hire.</v>
      </c>
      <c r="F172" s="130" t="str">
        <f>IF('SIG 2021'!$F175="","",'SIG 2021'!F175)</f>
        <v/>
      </c>
      <c r="G172" s="130" t="s">
        <v>985</v>
      </c>
      <c r="H172" s="130" t="s">
        <v>1005</v>
      </c>
      <c r="I172" s="130" t="s">
        <v>771</v>
      </c>
      <c r="J172" s="130" t="s">
        <v>1010</v>
      </c>
      <c r="K172" s="130" t="str">
        <f>IF('SIG 2021'!$AM175="","",'SIG 2021'!$AM175)</f>
        <v/>
      </c>
      <c r="L172" s="130" t="str">
        <f>IF('SIG 2021'!$AN175="","",'SIG 2021'!$AN175)</f>
        <v/>
      </c>
      <c r="M172" s="130" t="str">
        <f>IF('SIG 2021'!$AO175="","",'SIG 2021'!$AO175)</f>
        <v/>
      </c>
    </row>
    <row r="173" spans="1:13" ht="43.2" x14ac:dyDescent="0.5">
      <c r="A173" s="130">
        <v>205</v>
      </c>
      <c r="B173" s="130" t="s">
        <v>1014</v>
      </c>
      <c r="C173" s="130" t="s">
        <v>1015</v>
      </c>
      <c r="D173" s="130" t="str">
        <f>IF('SIG 2021'!$D176="","",'SIG 2021'!$D176)</f>
        <v>Yes</v>
      </c>
      <c r="E173" s="130" t="str">
        <f>IF('SIG 2021'!$E176="","",'SIG 2021'!$E176)</f>
        <v>Included in job offer acceptance letter and kept in Seismic records.</v>
      </c>
      <c r="F173" s="130" t="str">
        <f>IF('SIG 2021'!$F176="","",'SIG 2021'!F176)</f>
        <v/>
      </c>
      <c r="G173" s="130" t="s">
        <v>985</v>
      </c>
      <c r="H173" s="130" t="s">
        <v>1005</v>
      </c>
      <c r="I173" s="130" t="s">
        <v>771</v>
      </c>
      <c r="J173" s="130" t="s">
        <v>1010</v>
      </c>
      <c r="K173" s="130" t="str">
        <f>IF('SIG 2021'!$AM176="","",'SIG 2021'!$AM176)</f>
        <v/>
      </c>
      <c r="L173" s="130" t="str">
        <f>IF('SIG 2021'!$AN176="","",'SIG 2021'!$AN176)</f>
        <v/>
      </c>
      <c r="M173" s="130" t="str">
        <f>IF('SIG 2021'!$AO176="","",'SIG 2021'!$AO176)</f>
        <v/>
      </c>
    </row>
    <row r="174" spans="1:13" ht="172.8" x14ac:dyDescent="0.5">
      <c r="A174" s="130">
        <v>212</v>
      </c>
      <c r="B174" s="130" t="s">
        <v>1017</v>
      </c>
      <c r="C174" s="130" t="s">
        <v>1018</v>
      </c>
      <c r="D174" s="130" t="str">
        <f>IF('SIG 2021'!$D177="","",'SIG 2021'!$D177)</f>
        <v>Yes</v>
      </c>
      <c r="E174" s="130" t="str">
        <f>IF('SIG 2021'!$E177="","",'SIG 2021'!$E177)</f>
        <v>Security awareness training is required for employees upon hire and annually thereafter. Training includes review of security policies, password policy/ protection of passwords, laptop/mobile device security, as well as additional rotating or ad-hoc topics (e.g., phishing, social engineering). Online training is provided through use of KnowBe4 Security Awareness platform.</v>
      </c>
      <c r="F174" s="130" t="str">
        <f>IF('SIG 2021'!$F177="","",'SIG 2021'!F177)</f>
        <v/>
      </c>
      <c r="G174" s="130" t="s">
        <v>985</v>
      </c>
      <c r="H174" s="130" t="s">
        <v>1020</v>
      </c>
      <c r="I174" s="130" t="s">
        <v>1021</v>
      </c>
      <c r="J174" s="130" t="s">
        <v>1022</v>
      </c>
      <c r="K174" s="130" t="str">
        <f>IF('SIG 2021'!$AM177="","",'SIG 2021'!$AM177)</f>
        <v/>
      </c>
      <c r="L174" s="130" t="str">
        <f>IF('SIG 2021'!$AN177="","",'SIG 2021'!$AN177)</f>
        <v/>
      </c>
      <c r="M174" s="130" t="str">
        <f>IF('SIG 2021'!$AO177="","",'SIG 2021'!$AO177)</f>
        <v/>
      </c>
    </row>
    <row r="175" spans="1:13" ht="57.6" x14ac:dyDescent="0.5">
      <c r="A175" s="130">
        <v>214</v>
      </c>
      <c r="B175" s="130" t="s">
        <v>1023</v>
      </c>
      <c r="C175" s="130" t="s">
        <v>1024</v>
      </c>
      <c r="D175" s="130" t="str">
        <f>IF('SIG 2021'!$D178="","",'SIG 2021'!$D178)</f>
        <v>Yes</v>
      </c>
      <c r="E175" s="130" t="str">
        <f>IF('SIG 2021'!$E178="","",'SIG 2021'!$E178)</f>
        <v/>
      </c>
      <c r="F175" s="130" t="str">
        <f>IF('SIG 2021'!$F178="","",'SIG 2021'!F178)</f>
        <v/>
      </c>
      <c r="G175" s="130" t="s">
        <v>985</v>
      </c>
      <c r="H175" s="130" t="s">
        <v>1020</v>
      </c>
      <c r="I175" s="130" t="s">
        <v>1021</v>
      </c>
      <c r="J175" s="130" t="s">
        <v>1025</v>
      </c>
      <c r="K175" s="130" t="str">
        <f>IF('SIG 2021'!$AM178="","",'SIG 2021'!$AM178)</f>
        <v/>
      </c>
      <c r="L175" s="130" t="str">
        <f>IF('SIG 2021'!$AN178="","",'SIG 2021'!$AN178)</f>
        <v/>
      </c>
      <c r="M175" s="130" t="str">
        <f>IF('SIG 2021'!$AO178="","",'SIG 2021'!$AO178)</f>
        <v/>
      </c>
    </row>
    <row r="176" spans="1:13" ht="28.8" x14ac:dyDescent="0.5">
      <c r="A176" s="130">
        <v>4550</v>
      </c>
      <c r="B176" s="130" t="s">
        <v>1026</v>
      </c>
      <c r="C176" s="130" t="s">
        <v>1027</v>
      </c>
      <c r="D176" s="130" t="str">
        <f>IF('SIG 2021'!$D179="","",'SIG 2021'!$D179)</f>
        <v>Yes</v>
      </c>
      <c r="E176" s="130" t="str">
        <f>IF('SIG 2021'!$E179="","",'SIG 2021'!$E179)</f>
        <v/>
      </c>
      <c r="F176" s="130" t="str">
        <f>IF('SIG 2021'!$F179="","",'SIG 2021'!F179)</f>
        <v/>
      </c>
      <c r="G176" s="130" t="s">
        <v>985</v>
      </c>
      <c r="H176" s="130" t="s">
        <v>1020</v>
      </c>
      <c r="I176" s="130"/>
      <c r="J176" s="130" t="s">
        <v>1028</v>
      </c>
      <c r="K176" s="130" t="str">
        <f>IF('SIG 2021'!$AM179="","",'SIG 2021'!$AM179)</f>
        <v/>
      </c>
      <c r="L176" s="130" t="str">
        <f>IF('SIG 2021'!$AN179="","",'SIG 2021'!$AN179)</f>
        <v/>
      </c>
      <c r="M176" s="130" t="str">
        <f>IF('SIG 2021'!$AO179="","",'SIG 2021'!$AO179)</f>
        <v/>
      </c>
    </row>
    <row r="177" spans="1:13" ht="72" x14ac:dyDescent="0.5">
      <c r="A177" s="130">
        <v>2536</v>
      </c>
      <c r="B177" s="130" t="s">
        <v>1029</v>
      </c>
      <c r="C177" s="130" t="s">
        <v>1030</v>
      </c>
      <c r="D177" s="130" t="str">
        <f>IF('SIG 2021'!$D180="","",'SIG 2021'!$D180)</f>
        <v>Yes</v>
      </c>
      <c r="E177" s="130" t="str">
        <f>IF('SIG 2021'!$E180="","",'SIG 2021'!$E180)</f>
        <v/>
      </c>
      <c r="F177" s="130" t="str">
        <f>IF('SIG 2021'!$F180="","",'SIG 2021'!F180)</f>
        <v/>
      </c>
      <c r="G177" s="130" t="s">
        <v>985</v>
      </c>
      <c r="H177" s="130" t="s">
        <v>1020</v>
      </c>
      <c r="I177" s="130" t="s">
        <v>1021</v>
      </c>
      <c r="J177" s="130" t="s">
        <v>1031</v>
      </c>
      <c r="K177" s="130" t="str">
        <f>IF('SIG 2021'!$AM180="","",'SIG 2021'!$AM180)</f>
        <v/>
      </c>
      <c r="L177" s="130" t="str">
        <f>IF('SIG 2021'!$AN180="","",'SIG 2021'!$AN180)</f>
        <v/>
      </c>
      <c r="M177" s="130" t="str">
        <f>IF('SIG 2021'!$AO180="","",'SIG 2021'!$AO180)</f>
        <v/>
      </c>
    </row>
    <row r="178" spans="1:13" ht="28.8" x14ac:dyDescent="0.5">
      <c r="A178" s="130">
        <v>3302</v>
      </c>
      <c r="B178" s="130" t="s">
        <v>1032</v>
      </c>
      <c r="C178" s="130" t="s">
        <v>1033</v>
      </c>
      <c r="D178" s="130" t="str">
        <f>IF('SIG 2021'!$D181="","",'SIG 2021'!$D181)</f>
        <v>Yes</v>
      </c>
      <c r="E178" s="130" t="str">
        <f>IF('SIG 2021'!$E181="","",'SIG 2021'!$E181)</f>
        <v/>
      </c>
      <c r="F178" s="130" t="str">
        <f>IF('SIG 2021'!$F181="","",'SIG 2021'!F181)</f>
        <v/>
      </c>
      <c r="G178" s="130" t="s">
        <v>985</v>
      </c>
      <c r="H178" s="130" t="s">
        <v>1020</v>
      </c>
      <c r="I178" s="130" t="s">
        <v>1021</v>
      </c>
      <c r="J178" s="130" t="s">
        <v>1034</v>
      </c>
      <c r="K178" s="130" t="str">
        <f>IF('SIG 2021'!$AM181="","",'SIG 2021'!$AM181)</f>
        <v/>
      </c>
      <c r="L178" s="130" t="str">
        <f>IF('SIG 2021'!$AN181="","",'SIG 2021'!$AN181)</f>
        <v/>
      </c>
      <c r="M178" s="130" t="str">
        <f>IF('SIG 2021'!$AO181="","",'SIG 2021'!$AO181)</f>
        <v/>
      </c>
    </row>
    <row r="179" spans="1:13" ht="72" x14ac:dyDescent="0.5">
      <c r="A179" s="130">
        <v>293</v>
      </c>
      <c r="B179" s="130" t="s">
        <v>1035</v>
      </c>
      <c r="C179" s="130" t="s">
        <v>1036</v>
      </c>
      <c r="D179" s="130" t="str">
        <f>IF('SIG 2021'!$D182="","",'SIG 2021'!$D182)</f>
        <v>Yes</v>
      </c>
      <c r="E179" s="130" t="str">
        <f>IF('SIG 2021'!$E182="","",'SIG 2021'!$E182)</f>
        <v xml:space="preserve">Employees are informed that violation of published company policies is subject to disciplinary action, up to and including termination. </v>
      </c>
      <c r="F179" s="130" t="str">
        <f>IF('SIG 2021'!$F182="","",'SIG 2021'!F182)</f>
        <v/>
      </c>
      <c r="G179" s="130" t="s">
        <v>985</v>
      </c>
      <c r="H179" s="130" t="s">
        <v>1038</v>
      </c>
      <c r="I179" s="130" t="s">
        <v>1021</v>
      </c>
      <c r="J179" s="130" t="s">
        <v>1039</v>
      </c>
      <c r="K179" s="130" t="str">
        <f>IF('SIG 2021'!$AM182="","",'SIG 2021'!$AM182)</f>
        <v/>
      </c>
      <c r="L179" s="130" t="str">
        <f>IF('SIG 2021'!$AN182="","",'SIG 2021'!$AN182)</f>
        <v/>
      </c>
      <c r="M179" s="130" t="str">
        <f>IF('SIG 2021'!$AO182="","",'SIG 2021'!$AO182)</f>
        <v/>
      </c>
    </row>
    <row r="180" spans="1:13" ht="43.2" x14ac:dyDescent="0.5">
      <c r="A180" s="130">
        <v>32</v>
      </c>
      <c r="B180" s="130" t="s">
        <v>1040</v>
      </c>
      <c r="C180" s="130" t="s">
        <v>1041</v>
      </c>
      <c r="D180" s="130" t="str">
        <f>IF('SIG 2021'!$D183="","",'SIG 2021'!$D183)</f>
        <v>Yes</v>
      </c>
      <c r="E180" s="130" t="str">
        <f>IF('SIG 2021'!$E183="","",'SIG 2021'!$E183)</f>
        <v/>
      </c>
      <c r="F180" s="130" t="str">
        <f>IF('SIG 2021'!$F183="","",'SIG 2021'!F183)</f>
        <v/>
      </c>
      <c r="G180" s="130" t="s">
        <v>985</v>
      </c>
      <c r="H180" s="130" t="s">
        <v>1038</v>
      </c>
      <c r="I180" s="130" t="s">
        <v>771</v>
      </c>
      <c r="J180" s="130" t="s">
        <v>1042</v>
      </c>
      <c r="K180" s="130" t="str">
        <f>IF('SIG 2021'!$AM183="","",'SIG 2021'!$AM183)</f>
        <v/>
      </c>
      <c r="L180" s="130" t="str">
        <f>IF('SIG 2021'!$AN183="","",'SIG 2021'!$AN183)</f>
        <v/>
      </c>
      <c r="M180" s="130" t="str">
        <f>IF('SIG 2021'!$AO183="","",'SIG 2021'!$AO183)</f>
        <v/>
      </c>
    </row>
    <row r="181" spans="1:13" ht="259.2" x14ac:dyDescent="0.5">
      <c r="A181" s="130">
        <v>2557</v>
      </c>
      <c r="B181" s="130" t="s">
        <v>1043</v>
      </c>
      <c r="C181" s="130" t="s">
        <v>1044</v>
      </c>
      <c r="D181" s="130" t="str">
        <f>IF('SIG 2021'!$D184="","",'SIG 2021'!$D184)</f>
        <v>Yes</v>
      </c>
      <c r="E181" s="130" t="str">
        <f>IF('SIG 2021'!$E184="","",'SIG 2021'!$E184)</f>
        <v>Hiring managers initiate and complete a form requesting change of user access for employees moving roles, or termination of user access for offboarding employees. System access is changed or removed within 24 hours of notification from the hiring manager that an employee is being moved or terminated. Deactivation of access to systems is triggered by employee exit checklist when the reason for deactivation is the separation of the employee from the company. Employee offboarding process includes de-provisioning of privileged access upon termination of employment.</v>
      </c>
      <c r="F181" s="130" t="str">
        <f>IF('SIG 2021'!$F184="","",'SIG 2021'!F184)</f>
        <v/>
      </c>
      <c r="G181" s="130" t="s">
        <v>985</v>
      </c>
      <c r="H181" s="130" t="s">
        <v>1046</v>
      </c>
      <c r="I181" s="130" t="s">
        <v>1047</v>
      </c>
      <c r="J181" s="130" t="s">
        <v>1048</v>
      </c>
      <c r="K181" s="130" t="str">
        <f>IF('SIG 2021'!$AM184="","",'SIG 2021'!$AM184)</f>
        <v/>
      </c>
      <c r="L181" s="130" t="str">
        <f>IF('SIG 2021'!$AN184="","",'SIG 2021'!$AN184)</f>
        <v/>
      </c>
      <c r="M181" s="130" t="str">
        <f>IF('SIG 2021'!$AO184="","",'SIG 2021'!$AO184)</f>
        <v/>
      </c>
    </row>
    <row r="182" spans="1:13" ht="43.2" x14ac:dyDescent="0.5">
      <c r="A182" s="130">
        <v>299</v>
      </c>
      <c r="B182" s="130" t="s">
        <v>206</v>
      </c>
      <c r="C182" s="130" t="s">
        <v>1049</v>
      </c>
      <c r="D182" s="130" t="str">
        <f>IF('SIG 2021'!$D185="","",'SIG 2021'!$D185)</f>
        <v>Yes</v>
      </c>
      <c r="E182" s="130" t="str">
        <f>IF('SIG 2021'!$E185="","",'SIG 2021'!$E185)</f>
        <v/>
      </c>
      <c r="F182" s="130" t="str">
        <f>IF('SIG 2021'!$F185="","",'SIG 2021'!F185)</f>
        <v/>
      </c>
      <c r="G182" s="130" t="s">
        <v>985</v>
      </c>
      <c r="H182" s="130" t="s">
        <v>1046</v>
      </c>
      <c r="I182" s="130" t="s">
        <v>1047</v>
      </c>
      <c r="J182" s="130" t="s">
        <v>1050</v>
      </c>
      <c r="K182" s="130" t="str">
        <f>IF('SIG 2021'!$AM185="","",'SIG 2021'!$AM185)</f>
        <v/>
      </c>
      <c r="L182" s="130" t="str">
        <f>IF('SIG 2021'!$AN185="","",'SIG 2021'!$AN185)</f>
        <v/>
      </c>
      <c r="M182" s="130" t="str">
        <f>IF('SIG 2021'!$AO185="","",'SIG 2021'!$AO185)</f>
        <v/>
      </c>
    </row>
    <row r="183" spans="1:13" ht="57.6" x14ac:dyDescent="0.5">
      <c r="A183" s="130">
        <v>5825</v>
      </c>
      <c r="B183" s="130" t="s">
        <v>208</v>
      </c>
      <c r="C183" s="130" t="s">
        <v>1051</v>
      </c>
      <c r="D183" s="130" t="str">
        <f>IF('SIG 2021'!$D186="","",'SIG 2021'!$D186)</f>
        <v>Yes</v>
      </c>
      <c r="E183" s="130" t="str">
        <f>IF('SIG 2021'!$E186="","",'SIG 2021'!$E186)</f>
        <v/>
      </c>
      <c r="F183" s="130" t="str">
        <f>IF('SIG 2021'!$F186="","",'SIG 2021'!F186)</f>
        <v/>
      </c>
      <c r="G183" s="130" t="s">
        <v>985</v>
      </c>
      <c r="H183" s="130" t="s">
        <v>1052</v>
      </c>
      <c r="I183" s="130" t="s">
        <v>1053</v>
      </c>
      <c r="J183" s="130" t="s">
        <v>732</v>
      </c>
      <c r="K183" s="130" t="str">
        <f>IF('SIG 2021'!$AM186="","",'SIG 2021'!$AM186)</f>
        <v/>
      </c>
      <c r="L183" s="130" t="str">
        <f>IF('SIG 2021'!$AN186="","",'SIG 2021'!$AN186)</f>
        <v/>
      </c>
      <c r="M183" s="130" t="str">
        <f>IF('SIG 2021'!$AO186="","",'SIG 2021'!$AO186)</f>
        <v/>
      </c>
    </row>
    <row r="184" spans="1:13" ht="409.5" x14ac:dyDescent="0.5">
      <c r="A184" s="130">
        <v>312</v>
      </c>
      <c r="B184" s="130" t="s">
        <v>214</v>
      </c>
      <c r="C184" s="130" t="s">
        <v>1054</v>
      </c>
      <c r="D184" s="130" t="str">
        <f>IF('SIG 2021'!$D187="","",'SIG 2021'!$D187)</f>
        <v>Yes</v>
      </c>
      <c r="E184" s="130" t="str">
        <f>IF('SIG 2021'!$E187="","",'SIG 2021'!$E187)</f>
        <v xml:space="preserve">Seismic’s offices are secured with key or digital fob access and are locked outside normal business hours. Outside of normal business hours, unauthorized access to the office is protected with the use of an alarm. Office space is monitored by video surveillance with 30-day retention of video data. Visitors are escorted while on Seismic premises and required to sign in on a visitor log. The Seismic platform as well as Seismic's business system are cloud-based and therefore are not highly dependent on physical information handling.
Access to data center facilities is controlled by the Amazon Data Center Management team. Main access is typically restricted to a single point of entry manned by security personnel. The main interior/reception areas have electronic card access control on doors to interior facilities. Rooms with critical systems are restricted through security mechanisms such as electronic card access control, keyed lock on individual doors, man traps, biometric devices. Temporary or permanent access requests are tracked by a ticketing system. Badges are issued or activated after ID verification. 
</v>
      </c>
      <c r="F184" s="130" t="str">
        <f>IF('SIG 2021'!$F187="","",'SIG 2021'!F187)</f>
        <v/>
      </c>
      <c r="G184" s="130" t="s">
        <v>1056</v>
      </c>
      <c r="H184" s="130" t="s">
        <v>1057</v>
      </c>
      <c r="I184" s="130"/>
      <c r="J184" s="130" t="s">
        <v>1058</v>
      </c>
      <c r="K184" s="130" t="str">
        <f>IF('SIG 2021'!$AM187="","",'SIG 2021'!$AM187)</f>
        <v/>
      </c>
      <c r="L184" s="130" t="str">
        <f>IF('SIG 2021'!$AN187="","",'SIG 2021'!$AN187)</f>
        <v/>
      </c>
      <c r="M184" s="130" t="str">
        <f>IF('SIG 2021'!$AO187="","",'SIG 2021'!$AO187)</f>
        <v/>
      </c>
    </row>
    <row r="185" spans="1:13" ht="43.2" x14ac:dyDescent="0.5">
      <c r="A185" s="130">
        <v>26</v>
      </c>
      <c r="B185" s="130" t="s">
        <v>1060</v>
      </c>
      <c r="C185" s="130" t="s">
        <v>1061</v>
      </c>
      <c r="D185" s="130" t="str">
        <f>IF('SIG 2021'!$D188="","",'SIG 2021'!$D188)</f>
        <v>Yes</v>
      </c>
      <c r="E185" s="130" t="str">
        <f>IF('SIG 2021'!$E188="","",'SIG 2021'!$E188)</f>
        <v/>
      </c>
      <c r="F185" s="130" t="str">
        <f>IF('SIG 2021'!$F188="","",'SIG 2021'!F188)</f>
        <v/>
      </c>
      <c r="G185" s="130" t="s">
        <v>1056</v>
      </c>
      <c r="H185" s="130" t="s">
        <v>1057</v>
      </c>
      <c r="I185" s="130" t="s">
        <v>1062</v>
      </c>
      <c r="J185" s="130" t="s">
        <v>1063</v>
      </c>
      <c r="K185" s="130" t="str">
        <f>IF('SIG 2021'!$AM188="","",'SIG 2021'!$AM188)</f>
        <v/>
      </c>
      <c r="L185" s="130" t="str">
        <f>IF('SIG 2021'!$AN188="","",'SIG 2021'!$AN188)</f>
        <v/>
      </c>
      <c r="M185" s="130" t="str">
        <f>IF('SIG 2021'!$AO188="","",'SIG 2021'!$AO188)</f>
        <v/>
      </c>
    </row>
    <row r="186" spans="1:13" ht="28.8" x14ac:dyDescent="0.5">
      <c r="A186" s="130">
        <v>4714</v>
      </c>
      <c r="B186" s="130" t="s">
        <v>1064</v>
      </c>
      <c r="C186" s="130" t="s">
        <v>1065</v>
      </c>
      <c r="D186" s="130" t="str">
        <f>IF('SIG 2021'!$D189="","",'SIG 2021'!$D189)</f>
        <v>Yes</v>
      </c>
      <c r="E186" s="130" t="str">
        <f>IF('SIG 2021'!$E189="","",'SIG 2021'!$E189)</f>
        <v/>
      </c>
      <c r="F186" s="130" t="str">
        <f>IF('SIG 2021'!$F189="","",'SIG 2021'!F189)</f>
        <v/>
      </c>
      <c r="G186" s="130" t="s">
        <v>1056</v>
      </c>
      <c r="H186" s="130" t="s">
        <v>1057</v>
      </c>
      <c r="I186" s="130" t="s">
        <v>1066</v>
      </c>
      <c r="J186" s="130" t="s">
        <v>1067</v>
      </c>
      <c r="K186" s="130" t="str">
        <f>IF('SIG 2021'!$AM189="","",'SIG 2021'!$AM189)</f>
        <v/>
      </c>
      <c r="L186" s="130" t="str">
        <f>IF('SIG 2021'!$AN189="","",'SIG 2021'!$AN189)</f>
        <v/>
      </c>
      <c r="M186" s="130" t="str">
        <f>IF('SIG 2021'!$AO189="","",'SIG 2021'!$AO189)</f>
        <v/>
      </c>
    </row>
    <row r="187" spans="1:13" ht="86.4" x14ac:dyDescent="0.5">
      <c r="A187" s="130">
        <v>387</v>
      </c>
      <c r="B187" s="130" t="s">
        <v>1068</v>
      </c>
      <c r="C187" s="130" t="s">
        <v>1069</v>
      </c>
      <c r="D187" s="130" t="str">
        <f>IF('SIG 2021'!$D190="","",'SIG 2021'!$D190)</f>
        <v>N/A</v>
      </c>
      <c r="E187" s="130" t="str">
        <f>IF('SIG 2021'!$E190="","",'SIG 2021'!$E190)</f>
        <v>See response to F.1 above. For further details, please refer to documentation made available by AWS. https://aws.amazon.com/compliance/data-center/controls/</v>
      </c>
      <c r="F187" s="130" t="str">
        <f>IF('SIG 2021'!$F190="","",'SIG 2021'!F190)</f>
        <v/>
      </c>
      <c r="G187" s="130" t="s">
        <v>1056</v>
      </c>
      <c r="H187" s="130" t="s">
        <v>1057</v>
      </c>
      <c r="I187" s="130" t="s">
        <v>1066</v>
      </c>
      <c r="J187" s="130" t="s">
        <v>1071</v>
      </c>
      <c r="K187" s="130" t="str">
        <f>IF('SIG 2021'!$AM190="","",'SIG 2021'!$AM190)</f>
        <v/>
      </c>
      <c r="L187" s="130" t="str">
        <f>IF('SIG 2021'!$AN190="","",'SIG 2021'!$AN190)</f>
        <v/>
      </c>
      <c r="M187" s="130" t="str">
        <f>IF('SIG 2021'!$AO190="","",'SIG 2021'!$AO190)</f>
        <v/>
      </c>
    </row>
    <row r="188" spans="1:13" ht="86.4" x14ac:dyDescent="0.5">
      <c r="A188" s="130">
        <v>391</v>
      </c>
      <c r="B188" s="130" t="s">
        <v>1072</v>
      </c>
      <c r="C188" s="130" t="s">
        <v>1073</v>
      </c>
      <c r="D188" s="130" t="str">
        <f>IF('SIG 2021'!$D191="","",'SIG 2021'!$D191)</f>
        <v>N/A</v>
      </c>
      <c r="E188" s="130" t="str">
        <f>IF('SIG 2021'!$E191="","",'SIG 2021'!$E191)</f>
        <v>See response to F.1 above. For further details, please refer to documentation made available by AWS. https://aws.amazon.com/compliance/data-center/controls/</v>
      </c>
      <c r="F188" s="130" t="str">
        <f>IF('SIG 2021'!$F191="","",'SIG 2021'!F191)</f>
        <v/>
      </c>
      <c r="G188" s="130" t="s">
        <v>1056</v>
      </c>
      <c r="H188" s="130" t="s">
        <v>1057</v>
      </c>
      <c r="I188" s="130"/>
      <c r="J188" s="130" t="s">
        <v>1071</v>
      </c>
      <c r="K188" s="130" t="str">
        <f>IF('SIG 2021'!$AM191="","",'SIG 2021'!$AM191)</f>
        <v/>
      </c>
      <c r="L188" s="130" t="str">
        <f>IF('SIG 2021'!$AN191="","",'SIG 2021'!$AN191)</f>
        <v/>
      </c>
      <c r="M188" s="130" t="str">
        <f>IF('SIG 2021'!$AO191="","",'SIG 2021'!$AO191)</f>
        <v/>
      </c>
    </row>
    <row r="189" spans="1:13" ht="86.4" x14ac:dyDescent="0.5">
      <c r="A189" s="130">
        <v>374</v>
      </c>
      <c r="B189" s="130" t="s">
        <v>1074</v>
      </c>
      <c r="C189" s="130" t="s">
        <v>1075</v>
      </c>
      <c r="D189" s="130" t="str">
        <f>IF('SIG 2021'!$D192="","",'SIG 2021'!$D192)</f>
        <v>N/A</v>
      </c>
      <c r="E189" s="130" t="str">
        <f>IF('SIG 2021'!$E192="","",'SIG 2021'!$E192)</f>
        <v>See response to F.1 above. For further details, please refer to documentation made available by AWS. https://aws.amazon.com/compliance/data-center/controls/</v>
      </c>
      <c r="F189" s="130" t="str">
        <f>IF('SIG 2021'!$F192="","",'SIG 2021'!F192)</f>
        <v/>
      </c>
      <c r="G189" s="130" t="s">
        <v>1056</v>
      </c>
      <c r="H189" s="130" t="s">
        <v>1057</v>
      </c>
      <c r="I189" s="130" t="s">
        <v>1076</v>
      </c>
      <c r="J189" s="130" t="s">
        <v>1071</v>
      </c>
      <c r="K189" s="130" t="str">
        <f>IF('SIG 2021'!$AM192="","",'SIG 2021'!$AM192)</f>
        <v/>
      </c>
      <c r="L189" s="130" t="str">
        <f>IF('SIG 2021'!$AN192="","",'SIG 2021'!$AN192)</f>
        <v/>
      </c>
      <c r="M189" s="130" t="str">
        <f>IF('SIG 2021'!$AO192="","",'SIG 2021'!$AO192)</f>
        <v/>
      </c>
    </row>
    <row r="190" spans="1:13" ht="86.4" x14ac:dyDescent="0.5">
      <c r="A190" s="130">
        <v>3288</v>
      </c>
      <c r="B190" s="130" t="s">
        <v>1077</v>
      </c>
      <c r="C190" s="130" t="s">
        <v>1078</v>
      </c>
      <c r="D190" s="130" t="str">
        <f>IF('SIG 2021'!$D193="","",'SIG 2021'!$D193)</f>
        <v>N/A</v>
      </c>
      <c r="E190" s="130" t="str">
        <f>IF('SIG 2021'!$E193="","",'SIG 2021'!$E193)</f>
        <v>See response to F.1 above. For further details, please refer to documentation made available by AWS. https://aws.amazon.com/compliance/data-center/controls/</v>
      </c>
      <c r="F190" s="130" t="str">
        <f>IF('SIG 2021'!$F193="","",'SIG 2021'!F193)</f>
        <v/>
      </c>
      <c r="G190" s="130" t="s">
        <v>1056</v>
      </c>
      <c r="H190" s="130" t="s">
        <v>1057</v>
      </c>
      <c r="I190" s="130" t="s">
        <v>1076</v>
      </c>
      <c r="J190" s="130" t="s">
        <v>1071</v>
      </c>
      <c r="K190" s="130" t="str">
        <f>IF('SIG 2021'!$AM193="","",'SIG 2021'!$AM193)</f>
        <v/>
      </c>
      <c r="L190" s="130" t="str">
        <f>IF('SIG 2021'!$AN193="","",'SIG 2021'!$AN193)</f>
        <v/>
      </c>
      <c r="M190" s="130" t="str">
        <f>IF('SIG 2021'!$AO193="","",'SIG 2021'!$AO193)</f>
        <v/>
      </c>
    </row>
    <row r="191" spans="1:13" ht="86.4" x14ac:dyDescent="0.5">
      <c r="A191" s="130">
        <v>371</v>
      </c>
      <c r="B191" s="130" t="s">
        <v>1079</v>
      </c>
      <c r="C191" s="130" t="s">
        <v>1080</v>
      </c>
      <c r="D191" s="130" t="str">
        <f>IF('SIG 2021'!$D194="","",'SIG 2021'!$D194)</f>
        <v>N/A</v>
      </c>
      <c r="E191" s="130" t="str">
        <f>IF('SIG 2021'!$E194="","",'SIG 2021'!$E194)</f>
        <v>See response to F.1 above. For further details, please refer to documentation made available by AWS. https://aws.amazon.com/compliance/data-center/controls/</v>
      </c>
      <c r="F191" s="130" t="str">
        <f>IF('SIG 2021'!$F194="","",'SIG 2021'!F194)</f>
        <v/>
      </c>
      <c r="G191" s="130" t="s">
        <v>1056</v>
      </c>
      <c r="H191" s="130" t="s">
        <v>1057</v>
      </c>
      <c r="I191" s="130"/>
      <c r="J191" s="130" t="s">
        <v>1071</v>
      </c>
      <c r="K191" s="130" t="str">
        <f>IF('SIG 2021'!$AM194="","",'SIG 2021'!$AM194)</f>
        <v/>
      </c>
      <c r="L191" s="130" t="str">
        <f>IF('SIG 2021'!$AN194="","",'SIG 2021'!$AN194)</f>
        <v/>
      </c>
      <c r="M191" s="130" t="str">
        <f>IF('SIG 2021'!$AO194="","",'SIG 2021'!$AO194)</f>
        <v/>
      </c>
    </row>
    <row r="192" spans="1:13" ht="86.4" x14ac:dyDescent="0.5">
      <c r="A192" s="130">
        <v>395</v>
      </c>
      <c r="B192" s="130" t="s">
        <v>1081</v>
      </c>
      <c r="C192" s="130" t="s">
        <v>1082</v>
      </c>
      <c r="D192" s="130" t="str">
        <f>IF('SIG 2021'!$D195="","",'SIG 2021'!$D195)</f>
        <v>N/A</v>
      </c>
      <c r="E192" s="130" t="str">
        <f>IF('SIG 2021'!$E195="","",'SIG 2021'!$E195)</f>
        <v>See response to F.1 above. For further details, please refer to documentation made available by AWS. https://aws.amazon.com/compliance/data-center/controls/</v>
      </c>
      <c r="F192" s="130" t="str">
        <f>IF('SIG 2021'!$F195="","",'SIG 2021'!F195)</f>
        <v/>
      </c>
      <c r="G192" s="130" t="s">
        <v>1056</v>
      </c>
      <c r="H192" s="130" t="s">
        <v>1057</v>
      </c>
      <c r="I192" s="130" t="s">
        <v>1076</v>
      </c>
      <c r="J192" s="130"/>
      <c r="K192" s="130" t="str">
        <f>IF('SIG 2021'!$AM195="","",'SIG 2021'!$AM195)</f>
        <v/>
      </c>
      <c r="L192" s="130" t="str">
        <f>IF('SIG 2021'!$AN195="","",'SIG 2021'!$AN195)</f>
        <v/>
      </c>
      <c r="M192" s="130" t="str">
        <f>IF('SIG 2021'!$AO195="","",'SIG 2021'!$AO195)</f>
        <v/>
      </c>
    </row>
    <row r="193" spans="1:13" ht="86.4" x14ac:dyDescent="0.5">
      <c r="A193" s="130">
        <v>365</v>
      </c>
      <c r="B193" s="130" t="s">
        <v>1083</v>
      </c>
      <c r="C193" s="130" t="s">
        <v>1084</v>
      </c>
      <c r="D193" s="130" t="str">
        <f>IF('SIG 2021'!$D196="","",'SIG 2021'!$D196)</f>
        <v>N/A</v>
      </c>
      <c r="E193" s="130" t="str">
        <f>IF('SIG 2021'!$E196="","",'SIG 2021'!$E196)</f>
        <v>See response to F.1 above. For further details, please refer to documentation made available by AWS. https://aws.amazon.com/compliance/data-center/controls/</v>
      </c>
      <c r="F193" s="130" t="str">
        <f>IF('SIG 2021'!$F196="","",'SIG 2021'!F196)</f>
        <v/>
      </c>
      <c r="G193" s="130" t="s">
        <v>1056</v>
      </c>
      <c r="H193" s="130" t="s">
        <v>1057</v>
      </c>
      <c r="I193" s="130"/>
      <c r="J193" s="130" t="s">
        <v>1071</v>
      </c>
      <c r="K193" s="130" t="str">
        <f>IF('SIG 2021'!$AM196="","",'SIG 2021'!$AM196)</f>
        <v/>
      </c>
      <c r="L193" s="130" t="str">
        <f>IF('SIG 2021'!$AN196="","",'SIG 2021'!$AN196)</f>
        <v/>
      </c>
      <c r="M193" s="130" t="str">
        <f>IF('SIG 2021'!$AO196="","",'SIG 2021'!$AO196)</f>
        <v/>
      </c>
    </row>
    <row r="194" spans="1:13" ht="86.4" x14ac:dyDescent="0.5">
      <c r="A194" s="130">
        <v>358</v>
      </c>
      <c r="B194" s="130" t="s">
        <v>1085</v>
      </c>
      <c r="C194" s="130" t="s">
        <v>1086</v>
      </c>
      <c r="D194" s="130" t="str">
        <f>IF('SIG 2021'!$D197="","",'SIG 2021'!$D197)</f>
        <v>N/A</v>
      </c>
      <c r="E194" s="130" t="str">
        <f>IF('SIG 2021'!$E197="","",'SIG 2021'!$E197)</f>
        <v>See response to F.1 above. For further details, please refer to documentation made available by AWS. https://aws.amazon.com/compliance/data-center/controls/</v>
      </c>
      <c r="F194" s="130" t="str">
        <f>IF('SIG 2021'!$F197="","",'SIG 2021'!F197)</f>
        <v/>
      </c>
      <c r="G194" s="130" t="s">
        <v>1056</v>
      </c>
      <c r="H194" s="130" t="s">
        <v>1057</v>
      </c>
      <c r="I194" s="130"/>
      <c r="J194" s="130" t="s">
        <v>1071</v>
      </c>
      <c r="K194" s="130" t="str">
        <f>IF('SIG 2021'!$AM197="","",'SIG 2021'!$AM197)</f>
        <v/>
      </c>
      <c r="L194" s="130" t="str">
        <f>IF('SIG 2021'!$AN197="","",'SIG 2021'!$AN197)</f>
        <v/>
      </c>
      <c r="M194" s="130" t="str">
        <f>IF('SIG 2021'!$AO197="","",'SIG 2021'!$AO197)</f>
        <v/>
      </c>
    </row>
    <row r="195" spans="1:13" ht="86.4" x14ac:dyDescent="0.5">
      <c r="A195" s="130">
        <v>366</v>
      </c>
      <c r="B195" s="130" t="s">
        <v>1087</v>
      </c>
      <c r="C195" s="130" t="s">
        <v>1088</v>
      </c>
      <c r="D195" s="130" t="str">
        <f>IF('SIG 2021'!$D198="","",'SIG 2021'!$D198)</f>
        <v>N/A</v>
      </c>
      <c r="E195" s="130" t="str">
        <f>IF('SIG 2021'!$E198="","",'SIG 2021'!$E198)</f>
        <v>See response to F.1 above. For further details, please refer to documentation made available by AWS. https://aws.amazon.com/compliance/data-center/controls/</v>
      </c>
      <c r="F195" s="130" t="str">
        <f>IF('SIG 2021'!$F198="","",'SIG 2021'!F198)</f>
        <v/>
      </c>
      <c r="G195" s="130" t="s">
        <v>1056</v>
      </c>
      <c r="H195" s="130" t="s">
        <v>1057</v>
      </c>
      <c r="I195" s="130" t="s">
        <v>1066</v>
      </c>
      <c r="J195" s="130"/>
      <c r="K195" s="130" t="str">
        <f>IF('SIG 2021'!$AM198="","",'SIG 2021'!$AM198)</f>
        <v/>
      </c>
      <c r="L195" s="130" t="str">
        <f>IF('SIG 2021'!$AN198="","",'SIG 2021'!$AN198)</f>
        <v/>
      </c>
      <c r="M195" s="130" t="str">
        <f>IF('SIG 2021'!$AO198="","",'SIG 2021'!$AO198)</f>
        <v/>
      </c>
    </row>
    <row r="196" spans="1:13" ht="86.4" x14ac:dyDescent="0.5">
      <c r="A196" s="130">
        <v>381</v>
      </c>
      <c r="B196" s="130" t="s">
        <v>1089</v>
      </c>
      <c r="C196" s="130" t="s">
        <v>1090</v>
      </c>
      <c r="D196" s="130" t="str">
        <f>IF('SIG 2021'!$D199="","",'SIG 2021'!$D199)</f>
        <v>N/A</v>
      </c>
      <c r="E196" s="130" t="str">
        <f>IF('SIG 2021'!$E199="","",'SIG 2021'!$E199)</f>
        <v>See response to F.1 above. For further details, please refer to documentation made available by AWS. https://aws.amazon.com/compliance/data-center/controls/</v>
      </c>
      <c r="F196" s="130" t="str">
        <f>IF('SIG 2021'!$F199="","",'SIG 2021'!F199)</f>
        <v/>
      </c>
      <c r="G196" s="130" t="s">
        <v>1056</v>
      </c>
      <c r="H196" s="130" t="s">
        <v>1091</v>
      </c>
      <c r="I196" s="130" t="s">
        <v>1076</v>
      </c>
      <c r="J196" s="130" t="s">
        <v>1092</v>
      </c>
      <c r="K196" s="130" t="str">
        <f>IF('SIG 2021'!$AM199="","",'SIG 2021'!$AM199)</f>
        <v/>
      </c>
      <c r="L196" s="130" t="str">
        <f>IF('SIG 2021'!$AN199="","",'SIG 2021'!$AN199)</f>
        <v/>
      </c>
      <c r="M196" s="130" t="str">
        <f>IF('SIG 2021'!$AO199="","",'SIG 2021'!$AO199)</f>
        <v/>
      </c>
    </row>
    <row r="197" spans="1:13" ht="86.4" x14ac:dyDescent="0.5">
      <c r="A197" s="130">
        <v>389</v>
      </c>
      <c r="B197" s="130" t="s">
        <v>1093</v>
      </c>
      <c r="C197" s="130" t="s">
        <v>1094</v>
      </c>
      <c r="D197" s="130" t="str">
        <f>IF('SIG 2021'!$D200="","",'SIG 2021'!$D200)</f>
        <v>N/A</v>
      </c>
      <c r="E197" s="130" t="str">
        <f>IF('SIG 2021'!$E200="","",'SIG 2021'!$E200)</f>
        <v>See response to F.1 above. For further details, please refer to documentation made available by AWS. https://aws.amazon.com/compliance/data-center/controls/</v>
      </c>
      <c r="F197" s="130" t="str">
        <f>IF('SIG 2021'!$F200="","",'SIG 2021'!F200)</f>
        <v/>
      </c>
      <c r="G197" s="130" t="s">
        <v>1056</v>
      </c>
      <c r="H197" s="130" t="s">
        <v>1091</v>
      </c>
      <c r="I197" s="130" t="s">
        <v>792</v>
      </c>
      <c r="J197" s="130" t="s">
        <v>1095</v>
      </c>
      <c r="K197" s="130" t="str">
        <f>IF('SIG 2021'!$AM200="","",'SIG 2021'!$AM200)</f>
        <v/>
      </c>
      <c r="L197" s="130" t="str">
        <f>IF('SIG 2021'!$AN200="","",'SIG 2021'!$AN200)</f>
        <v/>
      </c>
      <c r="M197" s="130" t="str">
        <f>IF('SIG 2021'!$AO200="","",'SIG 2021'!$AO200)</f>
        <v/>
      </c>
    </row>
    <row r="198" spans="1:13" ht="86.4" x14ac:dyDescent="0.5">
      <c r="A198" s="130">
        <v>382</v>
      </c>
      <c r="B198" s="130" t="s">
        <v>1096</v>
      </c>
      <c r="C198" s="130" t="s">
        <v>1097</v>
      </c>
      <c r="D198" s="130" t="str">
        <f>IF('SIG 2021'!$D201="","",'SIG 2021'!$D201)</f>
        <v>N/A</v>
      </c>
      <c r="E198" s="130" t="str">
        <f>IF('SIG 2021'!$E201="","",'SIG 2021'!$E201)</f>
        <v>See response to F.1 above. For further details, please refer to documentation made available by AWS. https://aws.amazon.com/compliance/data-center/controls/</v>
      </c>
      <c r="F198" s="130" t="str">
        <f>IF('SIG 2021'!$F201="","",'SIG 2021'!F201)</f>
        <v/>
      </c>
      <c r="G198" s="130" t="s">
        <v>1056</v>
      </c>
      <c r="H198" s="130" t="s">
        <v>1091</v>
      </c>
      <c r="I198" s="130" t="s">
        <v>1098</v>
      </c>
      <c r="J198" s="130" t="s">
        <v>1099</v>
      </c>
      <c r="K198" s="130" t="str">
        <f>IF('SIG 2021'!$AM201="","",'SIG 2021'!$AM201)</f>
        <v/>
      </c>
      <c r="L198" s="130" t="str">
        <f>IF('SIG 2021'!$AN201="","",'SIG 2021'!$AN201)</f>
        <v/>
      </c>
      <c r="M198" s="130" t="str">
        <f>IF('SIG 2021'!$AO201="","",'SIG 2021'!$AO201)</f>
        <v/>
      </c>
    </row>
    <row r="199" spans="1:13" ht="86.4" x14ac:dyDescent="0.5">
      <c r="A199" s="130">
        <v>383</v>
      </c>
      <c r="B199" s="130" t="s">
        <v>1100</v>
      </c>
      <c r="C199" s="130" t="s">
        <v>1101</v>
      </c>
      <c r="D199" s="130" t="str">
        <f>IF('SIG 2021'!$D202="","",'SIG 2021'!$D202)</f>
        <v>N/A</v>
      </c>
      <c r="E199" s="130" t="str">
        <f>IF('SIG 2021'!$E202="","",'SIG 2021'!$E202)</f>
        <v>See response to F.1 above. For further details, please refer to documentation made available by AWS. https://aws.amazon.com/compliance/data-center/controls/</v>
      </c>
      <c r="F199" s="130" t="str">
        <f>IF('SIG 2021'!$F202="","",'SIG 2021'!F202)</f>
        <v/>
      </c>
      <c r="G199" s="130" t="s">
        <v>1056</v>
      </c>
      <c r="H199" s="130" t="s">
        <v>1091</v>
      </c>
      <c r="I199" s="130" t="s">
        <v>1098</v>
      </c>
      <c r="J199" s="130" t="s">
        <v>1102</v>
      </c>
      <c r="K199" s="130" t="str">
        <f>IF('SIG 2021'!$AM202="","",'SIG 2021'!$AM202)</f>
        <v/>
      </c>
      <c r="L199" s="130" t="str">
        <f>IF('SIG 2021'!$AN202="","",'SIG 2021'!$AN202)</f>
        <v/>
      </c>
      <c r="M199" s="130" t="str">
        <f>IF('SIG 2021'!$AO202="","",'SIG 2021'!$AO202)</f>
        <v/>
      </c>
    </row>
    <row r="200" spans="1:13" ht="86.4" x14ac:dyDescent="0.5">
      <c r="A200" s="130">
        <v>384</v>
      </c>
      <c r="B200" s="130" t="s">
        <v>1103</v>
      </c>
      <c r="C200" s="130" t="s">
        <v>1104</v>
      </c>
      <c r="D200" s="130" t="str">
        <f>IF('SIG 2021'!$D203="","",'SIG 2021'!$D203)</f>
        <v>N/A</v>
      </c>
      <c r="E200" s="130" t="str">
        <f>IF('SIG 2021'!$E203="","",'SIG 2021'!$E203)</f>
        <v>See response to F.1 above. For further details, please refer to documentation made available by AWS. https://aws.amazon.com/compliance/data-center/controls/</v>
      </c>
      <c r="F200" s="130" t="str">
        <f>IF('SIG 2021'!$F203="","",'SIG 2021'!F203)</f>
        <v/>
      </c>
      <c r="G200" s="130" t="s">
        <v>1056</v>
      </c>
      <c r="H200" s="130" t="s">
        <v>1091</v>
      </c>
      <c r="I200" s="130" t="s">
        <v>1098</v>
      </c>
      <c r="J200" s="130" t="s">
        <v>1099</v>
      </c>
      <c r="K200" s="130" t="str">
        <f>IF('SIG 2021'!$AM203="","",'SIG 2021'!$AM203)</f>
        <v/>
      </c>
      <c r="L200" s="130" t="str">
        <f>IF('SIG 2021'!$AN203="","",'SIG 2021'!$AN203)</f>
        <v/>
      </c>
      <c r="M200" s="130" t="str">
        <f>IF('SIG 2021'!$AO203="","",'SIG 2021'!$AO203)</f>
        <v/>
      </c>
    </row>
    <row r="201" spans="1:13" ht="86.4" x14ac:dyDescent="0.5">
      <c r="A201" s="130">
        <v>390</v>
      </c>
      <c r="B201" s="130" t="s">
        <v>1105</v>
      </c>
      <c r="C201" s="130" t="s">
        <v>1106</v>
      </c>
      <c r="D201" s="130" t="str">
        <f>IF('SIG 2021'!$D204="","",'SIG 2021'!$D204)</f>
        <v>N/A</v>
      </c>
      <c r="E201" s="130" t="str">
        <f>IF('SIG 2021'!$E204="","",'SIG 2021'!$E204)</f>
        <v>See response to F.1 above. For further details, please refer to documentation made available by AWS. https://aws.amazon.com/compliance/data-center/controls/</v>
      </c>
      <c r="F201" s="130" t="str">
        <f>IF('SIG 2021'!$F204="","",'SIG 2021'!F204)</f>
        <v/>
      </c>
      <c r="G201" s="130" t="s">
        <v>1056</v>
      </c>
      <c r="H201" s="130" t="s">
        <v>1091</v>
      </c>
      <c r="I201" s="130"/>
      <c r="J201" s="130" t="s">
        <v>1107</v>
      </c>
      <c r="K201" s="130" t="str">
        <f>IF('SIG 2021'!$AM204="","",'SIG 2021'!$AM204)</f>
        <v/>
      </c>
      <c r="L201" s="130" t="str">
        <f>IF('SIG 2021'!$AN204="","",'SIG 2021'!$AN204)</f>
        <v/>
      </c>
      <c r="M201" s="130" t="str">
        <f>IF('SIG 2021'!$AO204="","",'SIG 2021'!$AO204)</f>
        <v/>
      </c>
    </row>
    <row r="202" spans="1:13" ht="86.4" x14ac:dyDescent="0.5">
      <c r="A202" s="130">
        <v>4715</v>
      </c>
      <c r="B202" s="130" t="s">
        <v>1108</v>
      </c>
      <c r="C202" s="130" t="s">
        <v>1109</v>
      </c>
      <c r="D202" s="130" t="str">
        <f>IF('SIG 2021'!$D205="","",'SIG 2021'!$D205)</f>
        <v>N/A</v>
      </c>
      <c r="E202" s="130" t="str">
        <f>IF('SIG 2021'!$E205="","",'SIG 2021'!$E205)</f>
        <v>See response to F.1 above. For further details, please refer to documentation made available by AWS. https://aws.amazon.com/compliance/data-center/controls/</v>
      </c>
      <c r="F202" s="130" t="str">
        <f>IF('SIG 2021'!$F205="","",'SIG 2021'!F205)</f>
        <v/>
      </c>
      <c r="G202" s="130" t="s">
        <v>1056</v>
      </c>
      <c r="H202" s="130" t="s">
        <v>1110</v>
      </c>
      <c r="I202" s="130" t="s">
        <v>1111</v>
      </c>
      <c r="J202" s="130" t="s">
        <v>1112</v>
      </c>
      <c r="K202" s="130" t="str">
        <f>IF('SIG 2021'!$AM205="","",'SIG 2021'!$AM205)</f>
        <v/>
      </c>
      <c r="L202" s="130" t="str">
        <f>IF('SIG 2021'!$AN205="","",'SIG 2021'!$AN205)</f>
        <v/>
      </c>
      <c r="M202" s="130" t="str">
        <f>IF('SIG 2021'!$AO205="","",'SIG 2021'!$AO205)</f>
        <v/>
      </c>
    </row>
    <row r="203" spans="1:13" ht="43.2" x14ac:dyDescent="0.5">
      <c r="A203" s="130">
        <v>4716</v>
      </c>
      <c r="B203" s="130" t="s">
        <v>1113</v>
      </c>
      <c r="C203" s="130" t="s">
        <v>1114</v>
      </c>
      <c r="D203" s="130" t="str">
        <f>IF('SIG 2021'!$D206="","",'SIG 2021'!$D206)</f>
        <v/>
      </c>
      <c r="E203" s="130" t="str">
        <f>IF('SIG 2021'!$E206="","",'SIG 2021'!$E206)</f>
        <v/>
      </c>
      <c r="F203" s="130" t="str">
        <f>IF('SIG 2021'!$F206="","",'SIG 2021'!F206)</f>
        <v/>
      </c>
      <c r="G203" s="130" t="s">
        <v>1056</v>
      </c>
      <c r="H203" s="130" t="s">
        <v>1110</v>
      </c>
      <c r="I203" s="130" t="s">
        <v>1115</v>
      </c>
      <c r="J203" s="130" t="s">
        <v>1116</v>
      </c>
      <c r="K203" s="130" t="str">
        <f>IF('SIG 2021'!$AM206="","",'SIG 2021'!$AM206)</f>
        <v/>
      </c>
      <c r="L203" s="130" t="str">
        <f>IF('SIG 2021'!$AN206="","",'SIG 2021'!$AN206)</f>
        <v/>
      </c>
      <c r="M203" s="130" t="str">
        <f>IF('SIG 2021'!$AO206="","",'SIG 2021'!$AO206)</f>
        <v/>
      </c>
    </row>
    <row r="204" spans="1:13" ht="43.2" x14ac:dyDescent="0.5">
      <c r="A204" s="130">
        <v>4717</v>
      </c>
      <c r="B204" s="130" t="s">
        <v>1117</v>
      </c>
      <c r="C204" s="130" t="s">
        <v>1118</v>
      </c>
      <c r="D204" s="130" t="str">
        <f>IF('SIG 2021'!$D207="","",'SIG 2021'!$D207)</f>
        <v/>
      </c>
      <c r="E204" s="130" t="str">
        <f>IF('SIG 2021'!$E207="","",'SIG 2021'!$E207)</f>
        <v/>
      </c>
      <c r="F204" s="130" t="str">
        <f>IF('SIG 2021'!$F207="","",'SIG 2021'!F207)</f>
        <v/>
      </c>
      <c r="G204" s="130" t="s">
        <v>1056</v>
      </c>
      <c r="H204" s="130" t="s">
        <v>1110</v>
      </c>
      <c r="I204" s="130"/>
      <c r="J204" s="130" t="s">
        <v>1119</v>
      </c>
      <c r="K204" s="130" t="str">
        <f>IF('SIG 2021'!$AM207="","",'SIG 2021'!$AM207)</f>
        <v/>
      </c>
      <c r="L204" s="130" t="str">
        <f>IF('SIG 2021'!$AN207="","",'SIG 2021'!$AN207)</f>
        <v/>
      </c>
      <c r="M204" s="130" t="str">
        <f>IF('SIG 2021'!$AO207="","",'SIG 2021'!$AO207)</f>
        <v/>
      </c>
    </row>
    <row r="205" spans="1:13" ht="43.2" x14ac:dyDescent="0.5">
      <c r="A205" s="130">
        <v>5650</v>
      </c>
      <c r="B205" s="130" t="s">
        <v>1120</v>
      </c>
      <c r="C205" s="130" t="s">
        <v>1121</v>
      </c>
      <c r="D205" s="130" t="str">
        <f>IF('SIG 2021'!$D208="","",'SIG 2021'!$D208)</f>
        <v/>
      </c>
      <c r="E205" s="130" t="str">
        <f>IF('SIG 2021'!$E208="","",'SIG 2021'!$E208)</f>
        <v/>
      </c>
      <c r="F205" s="130" t="str">
        <f>IF('SIG 2021'!$F208="","",'SIG 2021'!F208)</f>
        <v/>
      </c>
      <c r="G205" s="130" t="s">
        <v>1056</v>
      </c>
      <c r="H205" s="130" t="s">
        <v>1110</v>
      </c>
      <c r="I205" s="130"/>
      <c r="J205" s="130"/>
      <c r="K205" s="130" t="str">
        <f>IF('SIG 2021'!$AM208="","",'SIG 2021'!$AM208)</f>
        <v/>
      </c>
      <c r="L205" s="130" t="str">
        <f>IF('SIG 2021'!$AN208="","",'SIG 2021'!$AN208)</f>
        <v/>
      </c>
      <c r="M205" s="130" t="str">
        <f>IF('SIG 2021'!$AO208="","",'SIG 2021'!$AO208)</f>
        <v/>
      </c>
    </row>
    <row r="206" spans="1:13" ht="86.4" x14ac:dyDescent="0.5">
      <c r="A206" s="130">
        <v>566</v>
      </c>
      <c r="B206" s="130" t="s">
        <v>1122</v>
      </c>
      <c r="C206" s="130" t="s">
        <v>1123</v>
      </c>
      <c r="D206" s="130" t="str">
        <f>IF('SIG 2021'!$D209="","",'SIG 2021'!$D209)</f>
        <v>N/A</v>
      </c>
      <c r="E206" s="130" t="str">
        <f>IF('SIG 2021'!$E209="","",'SIG 2021'!$E209)</f>
        <v>See response to F.1 above. For further details, please refer to documentation made available by AWS. https://aws.amazon.com/compliance/data-center/controls/</v>
      </c>
      <c r="F206" s="130" t="str">
        <f>IF('SIG 2021'!$F209="","",'SIG 2021'!F209)</f>
        <v/>
      </c>
      <c r="G206" s="130" t="s">
        <v>1056</v>
      </c>
      <c r="H206" s="130" t="s">
        <v>1110</v>
      </c>
      <c r="I206" s="130" t="s">
        <v>1111</v>
      </c>
      <c r="J206" s="130" t="s">
        <v>1112</v>
      </c>
      <c r="K206" s="130" t="str">
        <f>IF('SIG 2021'!$AM209="","",'SIG 2021'!$AM209)</f>
        <v/>
      </c>
      <c r="L206" s="130" t="str">
        <f>IF('SIG 2021'!$AN209="","",'SIG 2021'!$AN209)</f>
        <v/>
      </c>
      <c r="M206" s="130" t="str">
        <f>IF('SIG 2021'!$AO209="","",'SIG 2021'!$AO209)</f>
        <v/>
      </c>
    </row>
    <row r="207" spans="1:13" ht="86.4" x14ac:dyDescent="0.5">
      <c r="A207" s="130">
        <v>3297</v>
      </c>
      <c r="B207" s="130" t="s">
        <v>1124</v>
      </c>
      <c r="C207" s="130" t="s">
        <v>1125</v>
      </c>
      <c r="D207" s="130" t="str">
        <f>IF('SIG 2021'!$D210="","",'SIG 2021'!$D210)</f>
        <v>N/A</v>
      </c>
      <c r="E207" s="130" t="str">
        <f>IF('SIG 2021'!$E210="","",'SIG 2021'!$E210)</f>
        <v>See response to F.1 above. For further details, please refer to documentation made available by AWS. https://aws.amazon.com/compliance/data-center/controls/</v>
      </c>
      <c r="F207" s="130" t="str">
        <f>IF('SIG 2021'!$F210="","",'SIG 2021'!F210)</f>
        <v/>
      </c>
      <c r="G207" s="130" t="s">
        <v>1056</v>
      </c>
      <c r="H207" s="130" t="s">
        <v>1110</v>
      </c>
      <c r="I207" s="130"/>
      <c r="J207" s="130" t="s">
        <v>1112</v>
      </c>
      <c r="K207" s="130" t="str">
        <f>IF('SIG 2021'!$AM210="","",'SIG 2021'!$AM210)</f>
        <v/>
      </c>
      <c r="L207" s="130" t="str">
        <f>IF('SIG 2021'!$AN210="","",'SIG 2021'!$AN210)</f>
        <v/>
      </c>
      <c r="M207" s="130" t="str">
        <f>IF('SIG 2021'!$AO210="","",'SIG 2021'!$AO210)</f>
        <v/>
      </c>
    </row>
    <row r="208" spans="1:13" ht="86.4" x14ac:dyDescent="0.5">
      <c r="A208" s="130">
        <v>3298</v>
      </c>
      <c r="B208" s="130" t="s">
        <v>1126</v>
      </c>
      <c r="C208" s="130" t="s">
        <v>1127</v>
      </c>
      <c r="D208" s="130" t="str">
        <f>IF('SIG 2021'!$D211="","",'SIG 2021'!$D211)</f>
        <v>N/A</v>
      </c>
      <c r="E208" s="130" t="str">
        <f>IF('SIG 2021'!$E211="","",'SIG 2021'!$E211)</f>
        <v>See response to F.1 above. For further details, please refer to documentation made available by AWS. https://aws.amazon.com/compliance/data-center/controls/</v>
      </c>
      <c r="F208" s="130" t="str">
        <f>IF('SIG 2021'!$F211="","",'SIG 2021'!F211)</f>
        <v/>
      </c>
      <c r="G208" s="130" t="s">
        <v>1056</v>
      </c>
      <c r="H208" s="130" t="s">
        <v>1110</v>
      </c>
      <c r="I208" s="130" t="s">
        <v>1111</v>
      </c>
      <c r="J208" s="130" t="s">
        <v>1112</v>
      </c>
      <c r="K208" s="130" t="str">
        <f>IF('SIG 2021'!$AM211="","",'SIG 2021'!$AM211)</f>
        <v/>
      </c>
      <c r="L208" s="130" t="str">
        <f>IF('SIG 2021'!$AN211="","",'SIG 2021'!$AN211)</f>
        <v/>
      </c>
      <c r="M208" s="130" t="str">
        <f>IF('SIG 2021'!$AO211="","",'SIG 2021'!$AO211)</f>
        <v/>
      </c>
    </row>
    <row r="209" spans="1:13" ht="86.4" x14ac:dyDescent="0.5">
      <c r="A209" s="130">
        <v>569</v>
      </c>
      <c r="B209" s="130" t="s">
        <v>1128</v>
      </c>
      <c r="C209" s="130" t="s">
        <v>1129</v>
      </c>
      <c r="D209" s="130" t="str">
        <f>IF('SIG 2021'!$D212="","",'SIG 2021'!$D212)</f>
        <v>N/A</v>
      </c>
      <c r="E209" s="130" t="str">
        <f>IF('SIG 2021'!$E212="","",'SIG 2021'!$E212)</f>
        <v>See response to F.1 above. For further details, please refer to documentation made available by AWS. https://aws.amazon.com/compliance/data-center/controls/</v>
      </c>
      <c r="F209" s="130" t="str">
        <f>IF('SIG 2021'!$F212="","",'SIG 2021'!F212)</f>
        <v/>
      </c>
      <c r="G209" s="130" t="s">
        <v>1056</v>
      </c>
      <c r="H209" s="130" t="s">
        <v>1110</v>
      </c>
      <c r="I209" s="130" t="s">
        <v>1111</v>
      </c>
      <c r="J209" s="130" t="s">
        <v>1112</v>
      </c>
      <c r="K209" s="130" t="str">
        <f>IF('SIG 2021'!$AM212="","",'SIG 2021'!$AM212)</f>
        <v/>
      </c>
      <c r="L209" s="130" t="str">
        <f>IF('SIG 2021'!$AN212="","",'SIG 2021'!$AN212)</f>
        <v/>
      </c>
      <c r="M209" s="130" t="str">
        <f>IF('SIG 2021'!$AO212="","",'SIG 2021'!$AO212)</f>
        <v/>
      </c>
    </row>
    <row r="210" spans="1:13" ht="86.4" x14ac:dyDescent="0.5">
      <c r="A210" s="130">
        <v>3303</v>
      </c>
      <c r="B210" s="130" t="s">
        <v>1130</v>
      </c>
      <c r="C210" s="130" t="s">
        <v>1131</v>
      </c>
      <c r="D210" s="130" t="str">
        <f>IF('SIG 2021'!$D213="","",'SIG 2021'!$D213)</f>
        <v>N/A</v>
      </c>
      <c r="E210" s="130" t="str">
        <f>IF('SIG 2021'!$E213="","",'SIG 2021'!$E213)</f>
        <v>See response to F.1 above. For further details, please refer to documentation made available by AWS. https://aws.amazon.com/compliance/data-center/controls/</v>
      </c>
      <c r="F210" s="130" t="str">
        <f>IF('SIG 2021'!$F213="","",'SIG 2021'!F213)</f>
        <v/>
      </c>
      <c r="G210" s="130" t="s">
        <v>1056</v>
      </c>
      <c r="H210" s="130" t="s">
        <v>1110</v>
      </c>
      <c r="I210" s="130" t="s">
        <v>1111</v>
      </c>
      <c r="J210" s="130" t="s">
        <v>1112</v>
      </c>
      <c r="K210" s="130" t="str">
        <f>IF('SIG 2021'!$AM213="","",'SIG 2021'!$AM213)</f>
        <v/>
      </c>
      <c r="L210" s="130" t="str">
        <f>IF('SIG 2021'!$AN213="","",'SIG 2021'!$AN213)</f>
        <v/>
      </c>
      <c r="M210" s="130" t="str">
        <f>IF('SIG 2021'!$AO213="","",'SIG 2021'!$AO213)</f>
        <v/>
      </c>
    </row>
    <row r="211" spans="1:13" ht="86.4" x14ac:dyDescent="0.5">
      <c r="A211" s="130">
        <v>396</v>
      </c>
      <c r="B211" s="130" t="s">
        <v>216</v>
      </c>
      <c r="C211" s="130" t="s">
        <v>1132</v>
      </c>
      <c r="D211" s="130" t="str">
        <f>IF('SIG 2021'!$D214="","",'SIG 2021'!$D214)</f>
        <v>N/A</v>
      </c>
      <c r="E211" s="130" t="str">
        <f>IF('SIG 2021'!$E214="","",'SIG 2021'!$E214)</f>
        <v>See response to F.1 above. For further details, please refer to documentation made available by AWS. https://aws.amazon.com/compliance/data-center/controls/</v>
      </c>
      <c r="F211" s="130" t="str">
        <f>IF('SIG 2021'!$F214="","",'SIG 2021'!F214)</f>
        <v/>
      </c>
      <c r="G211" s="130" t="s">
        <v>1056</v>
      </c>
      <c r="H211" s="130" t="s">
        <v>1133</v>
      </c>
      <c r="I211" s="130"/>
      <c r="J211" s="130"/>
      <c r="K211" s="130" t="str">
        <f>IF('SIG 2021'!$AM214="","",'SIG 2021'!$AM214)</f>
        <v/>
      </c>
      <c r="L211" s="130" t="str">
        <f>IF('SIG 2021'!$AN214="","",'SIG 2021'!$AN214)</f>
        <v/>
      </c>
      <c r="M211" s="130" t="str">
        <f>IF('SIG 2021'!$AO214="","",'SIG 2021'!$AO214)</f>
        <v/>
      </c>
    </row>
    <row r="212" spans="1:13" ht="86.4" x14ac:dyDescent="0.5">
      <c r="A212" s="130">
        <v>397</v>
      </c>
      <c r="B212" s="130" t="s">
        <v>1134</v>
      </c>
      <c r="C212" s="130" t="s">
        <v>1135</v>
      </c>
      <c r="D212" s="130" t="str">
        <f>IF('SIG 2021'!$D215="","",'SIG 2021'!$D215)</f>
        <v>N/A</v>
      </c>
      <c r="E212" s="130" t="str">
        <f>IF('SIG 2021'!$E215="","",'SIG 2021'!$E215)</f>
        <v>See response to F.1 above. For further details, please refer to documentation made available by AWS. https://aws.amazon.com/compliance/data-center/controls/</v>
      </c>
      <c r="F212" s="130" t="str">
        <f>IF('SIG 2021'!$F215="","",'SIG 2021'!F215)</f>
        <v/>
      </c>
      <c r="G212" s="130" t="s">
        <v>1056</v>
      </c>
      <c r="H212" s="130" t="s">
        <v>1133</v>
      </c>
      <c r="I212" s="130" t="s">
        <v>1136</v>
      </c>
      <c r="J212" s="130"/>
      <c r="K212" s="130" t="str">
        <f>IF('SIG 2021'!$AM215="","",'SIG 2021'!$AM215)</f>
        <v/>
      </c>
      <c r="L212" s="130" t="str">
        <f>IF('SIG 2021'!$AN215="","",'SIG 2021'!$AN215)</f>
        <v/>
      </c>
      <c r="M212" s="130" t="str">
        <f>IF('SIG 2021'!$AO215="","",'SIG 2021'!$AO215)</f>
        <v/>
      </c>
    </row>
    <row r="213" spans="1:13" ht="86.4" x14ac:dyDescent="0.5">
      <c r="A213" s="130">
        <v>398</v>
      </c>
      <c r="B213" s="130" t="s">
        <v>1137</v>
      </c>
      <c r="C213" s="130" t="s">
        <v>1138</v>
      </c>
      <c r="D213" s="130" t="str">
        <f>IF('SIG 2021'!$D216="","",'SIG 2021'!$D216)</f>
        <v>N/A</v>
      </c>
      <c r="E213" s="130" t="str">
        <f>IF('SIG 2021'!$E216="","",'SIG 2021'!$E216)</f>
        <v>See response to F.1 above. For further details, please refer to documentation made available by AWS. https://aws.amazon.com/compliance/data-center/controls/</v>
      </c>
      <c r="F213" s="130" t="str">
        <f>IF('SIG 2021'!$F216="","",'SIG 2021'!F216)</f>
        <v/>
      </c>
      <c r="G213" s="130" t="s">
        <v>1056</v>
      </c>
      <c r="H213" s="130" t="s">
        <v>1133</v>
      </c>
      <c r="I213" s="130" t="s">
        <v>1136</v>
      </c>
      <c r="J213" s="130"/>
      <c r="K213" s="130" t="str">
        <f>IF('SIG 2021'!$AM216="","",'SIG 2021'!$AM216)</f>
        <v/>
      </c>
      <c r="L213" s="130" t="str">
        <f>IF('SIG 2021'!$AN216="","",'SIG 2021'!$AN216)</f>
        <v/>
      </c>
      <c r="M213" s="130" t="str">
        <f>IF('SIG 2021'!$AO216="","",'SIG 2021'!$AO216)</f>
        <v/>
      </c>
    </row>
    <row r="214" spans="1:13" ht="86.4" x14ac:dyDescent="0.5">
      <c r="A214" s="130">
        <v>399</v>
      </c>
      <c r="B214" s="130" t="s">
        <v>1139</v>
      </c>
      <c r="C214" s="130" t="s">
        <v>1140</v>
      </c>
      <c r="D214" s="130" t="str">
        <f>IF('SIG 2021'!$D217="","",'SIG 2021'!$D217)</f>
        <v>N/A</v>
      </c>
      <c r="E214" s="130" t="str">
        <f>IF('SIG 2021'!$E217="","",'SIG 2021'!$E217)</f>
        <v>See response to F.1 above. For further details, please refer to documentation made available by AWS. https://aws.amazon.com/compliance/data-center/controls/</v>
      </c>
      <c r="F214" s="130" t="str">
        <f>IF('SIG 2021'!$F217="","",'SIG 2021'!F217)</f>
        <v/>
      </c>
      <c r="G214" s="130" t="s">
        <v>1056</v>
      </c>
      <c r="H214" s="130" t="s">
        <v>1133</v>
      </c>
      <c r="I214" s="130" t="s">
        <v>1136</v>
      </c>
      <c r="J214" s="130"/>
      <c r="K214" s="130" t="str">
        <f>IF('SIG 2021'!$AM217="","",'SIG 2021'!$AM217)</f>
        <v/>
      </c>
      <c r="L214" s="130" t="str">
        <f>IF('SIG 2021'!$AN217="","",'SIG 2021'!$AN217)</f>
        <v/>
      </c>
      <c r="M214" s="130" t="str">
        <f>IF('SIG 2021'!$AO217="","",'SIG 2021'!$AO217)</f>
        <v/>
      </c>
    </row>
    <row r="215" spans="1:13" ht="86.4" x14ac:dyDescent="0.5">
      <c r="A215" s="130">
        <v>2944</v>
      </c>
      <c r="B215" s="130" t="s">
        <v>1141</v>
      </c>
      <c r="C215" s="130" t="s">
        <v>1142</v>
      </c>
      <c r="D215" s="130" t="str">
        <f>IF('SIG 2021'!$D218="","",'SIG 2021'!$D218)</f>
        <v>N/A</v>
      </c>
      <c r="E215" s="130" t="str">
        <f>IF('SIG 2021'!$E218="","",'SIG 2021'!$E218)</f>
        <v>See response to F.1 above. For further details, please refer to documentation made available by AWS. https://aws.amazon.com/compliance/data-center/controls/</v>
      </c>
      <c r="F215" s="130" t="str">
        <f>IF('SIG 2021'!$F218="","",'SIG 2021'!F218)</f>
        <v/>
      </c>
      <c r="G215" s="130" t="s">
        <v>1056</v>
      </c>
      <c r="H215" s="130" t="s">
        <v>1133</v>
      </c>
      <c r="I215" s="130"/>
      <c r="J215" s="130"/>
      <c r="K215" s="130" t="str">
        <f>IF('SIG 2021'!$AM218="","",'SIG 2021'!$AM218)</f>
        <v/>
      </c>
      <c r="L215" s="130" t="str">
        <f>IF('SIG 2021'!$AN218="","",'SIG 2021'!$AN218)</f>
        <v/>
      </c>
      <c r="M215" s="130" t="str">
        <f>IF('SIG 2021'!$AO218="","",'SIG 2021'!$AO218)</f>
        <v/>
      </c>
    </row>
    <row r="216" spans="1:13" ht="86.4" x14ac:dyDescent="0.5">
      <c r="A216" s="130">
        <v>400</v>
      </c>
      <c r="B216" s="130" t="s">
        <v>1143</v>
      </c>
      <c r="C216" s="130" t="s">
        <v>1144</v>
      </c>
      <c r="D216" s="130" t="str">
        <f>IF('SIG 2021'!$D219="","",'SIG 2021'!$D219)</f>
        <v>N/A</v>
      </c>
      <c r="E216" s="130" t="str">
        <f>IF('SIG 2021'!$E219="","",'SIG 2021'!$E219)</f>
        <v>See response to F.1 above. For further details, please refer to documentation made available by AWS. https://aws.amazon.com/compliance/data-center/controls/</v>
      </c>
      <c r="F216" s="130" t="str">
        <f>IF('SIG 2021'!$F219="","",'SIG 2021'!F219)</f>
        <v/>
      </c>
      <c r="G216" s="130" t="s">
        <v>1056</v>
      </c>
      <c r="H216" s="130" t="s">
        <v>1133</v>
      </c>
      <c r="I216" s="130" t="s">
        <v>1136</v>
      </c>
      <c r="J216" s="130" t="s">
        <v>1145</v>
      </c>
      <c r="K216" s="130" t="str">
        <f>IF('SIG 2021'!$AM219="","",'SIG 2021'!$AM219)</f>
        <v/>
      </c>
      <c r="L216" s="130" t="str">
        <f>IF('SIG 2021'!$AN219="","",'SIG 2021'!$AN219)</f>
        <v/>
      </c>
      <c r="M216" s="130" t="str">
        <f>IF('SIG 2021'!$AO219="","",'SIG 2021'!$AO219)</f>
        <v/>
      </c>
    </row>
    <row r="217" spans="1:13" ht="86.4" x14ac:dyDescent="0.5">
      <c r="A217" s="130">
        <v>492</v>
      </c>
      <c r="B217" s="130" t="s">
        <v>218</v>
      </c>
      <c r="C217" s="130" t="s">
        <v>1146</v>
      </c>
      <c r="D217" s="130" t="str">
        <f>IF('SIG 2021'!$D220="","",'SIG 2021'!$D220)</f>
        <v>N/A</v>
      </c>
      <c r="E217" s="130" t="str">
        <f>IF('SIG 2021'!$E220="","",'SIG 2021'!$E220)</f>
        <v>See response to F.1 above. For further details, please refer to documentation made available by AWS. https://aws.amazon.com/compliance/data-center/controls/</v>
      </c>
      <c r="F217" s="130" t="str">
        <f>IF('SIG 2021'!$F220="","",'SIG 2021'!F220)</f>
        <v/>
      </c>
      <c r="G217" s="130" t="s">
        <v>1147</v>
      </c>
      <c r="H217" s="130" t="s">
        <v>1148</v>
      </c>
      <c r="I217" s="130"/>
      <c r="J217" s="130" t="s">
        <v>1149</v>
      </c>
      <c r="K217" s="130" t="str">
        <f>IF('SIG 2021'!$AM220="","",'SIG 2021'!$AM220)</f>
        <v/>
      </c>
      <c r="L217" s="130" t="str">
        <f>IF('SIG 2021'!$AN220="","",'SIG 2021'!$AN220)</f>
        <v/>
      </c>
      <c r="M217" s="130" t="str">
        <f>IF('SIG 2021'!$AO220="","",'SIG 2021'!$AO220)</f>
        <v/>
      </c>
    </row>
    <row r="218" spans="1:13" ht="86.4" x14ac:dyDescent="0.5">
      <c r="A218" s="130">
        <v>541</v>
      </c>
      <c r="B218" s="130" t="s">
        <v>220</v>
      </c>
      <c r="C218" s="130" t="s">
        <v>1150</v>
      </c>
      <c r="D218" s="130" t="str">
        <f>IF('SIG 2021'!$D221="","",'SIG 2021'!$D221)</f>
        <v>N/A</v>
      </c>
      <c r="E218" s="130" t="str">
        <f>IF('SIG 2021'!$E221="","",'SIG 2021'!$E221)</f>
        <v>See response to F.1 above. For further details, please refer to documentation made available by AWS. https://aws.amazon.com/compliance/data-center/controls/</v>
      </c>
      <c r="F218" s="130" t="str">
        <f>IF('SIG 2021'!$F221="","",'SIG 2021'!F221)</f>
        <v/>
      </c>
      <c r="G218" s="130" t="s">
        <v>1151</v>
      </c>
      <c r="H218" s="130" t="s">
        <v>1152</v>
      </c>
      <c r="I218" s="130"/>
      <c r="J218" s="130" t="s">
        <v>1153</v>
      </c>
      <c r="K218" s="130" t="str">
        <f>IF('SIG 2021'!$AM221="","",'SIG 2021'!$AM221)</f>
        <v/>
      </c>
      <c r="L218" s="130" t="str">
        <f>IF('SIG 2021'!$AN221="","",'SIG 2021'!$AN221)</f>
        <v/>
      </c>
      <c r="M218" s="130" t="str">
        <f>IF('SIG 2021'!$AO221="","",'SIG 2021'!$AO221)</f>
        <v/>
      </c>
    </row>
    <row r="219" spans="1:13" ht="86.4" x14ac:dyDescent="0.5">
      <c r="A219" s="130">
        <v>621</v>
      </c>
      <c r="B219" s="130" t="s">
        <v>222</v>
      </c>
      <c r="C219" s="130" t="s">
        <v>1154</v>
      </c>
      <c r="D219" s="130" t="str">
        <f>IF('SIG 2021'!$D222="","",'SIG 2021'!$D222)</f>
        <v>N/A</v>
      </c>
      <c r="E219" s="130" t="str">
        <f>IF('SIG 2021'!$E222="","",'SIG 2021'!$E222)</f>
        <v>See response to F.1 above. For further details, please refer to documentation made available by AWS. https://aws.amazon.com/compliance/data-center/controls/</v>
      </c>
      <c r="F219" s="130" t="str">
        <f>IF('SIG 2021'!$F222="","",'SIG 2021'!F222)</f>
        <v/>
      </c>
      <c r="G219" s="130" t="s">
        <v>1155</v>
      </c>
      <c r="H219" s="130" t="s">
        <v>1152</v>
      </c>
      <c r="I219" s="130"/>
      <c r="J219" s="130" t="s">
        <v>1156</v>
      </c>
      <c r="K219" s="130" t="str">
        <f>IF('SIG 2021'!$AM222="","",'SIG 2021'!$AM222)</f>
        <v/>
      </c>
      <c r="L219" s="130" t="str">
        <f>IF('SIG 2021'!$AN222="","",'SIG 2021'!$AN222)</f>
        <v/>
      </c>
      <c r="M219" s="130" t="str">
        <f>IF('SIG 2021'!$AO222="","",'SIG 2021'!$AO222)</f>
        <v/>
      </c>
    </row>
    <row r="220" spans="1:13" ht="86.4" x14ac:dyDescent="0.5">
      <c r="A220" s="130">
        <v>685</v>
      </c>
      <c r="B220" s="130" t="s">
        <v>226</v>
      </c>
      <c r="C220" s="130" t="s">
        <v>1157</v>
      </c>
      <c r="D220" s="130" t="str">
        <f>IF('SIG 2021'!$D223="","",'SIG 2021'!$D223)</f>
        <v>N/A</v>
      </c>
      <c r="E220" s="130" t="str">
        <f>IF('SIG 2021'!$E223="","",'SIG 2021'!$E223)</f>
        <v>See response to F.1 above. For further details, please refer to documentation made available by AWS. https://aws.amazon.com/compliance/data-center/controls/</v>
      </c>
      <c r="F220" s="130" t="str">
        <f>IF('SIG 2021'!$F223="","",'SIG 2021'!F223)</f>
        <v/>
      </c>
      <c r="G220" s="130" t="s">
        <v>1158</v>
      </c>
      <c r="H220" s="130" t="s">
        <v>1152</v>
      </c>
      <c r="I220" s="130"/>
      <c r="J220" s="130" t="s">
        <v>1159</v>
      </c>
      <c r="K220" s="130" t="str">
        <f>IF('SIG 2021'!$AM223="","",'SIG 2021'!$AM223)</f>
        <v/>
      </c>
      <c r="L220" s="130" t="str">
        <f>IF('SIG 2021'!$AN223="","",'SIG 2021'!$AN223)</f>
        <v/>
      </c>
      <c r="M220" s="130" t="str">
        <f>IF('SIG 2021'!$AO223="","",'SIG 2021'!$AO223)</f>
        <v/>
      </c>
    </row>
    <row r="221" spans="1:13" ht="86.4" x14ac:dyDescent="0.5">
      <c r="A221" s="130">
        <v>778</v>
      </c>
      <c r="B221" s="130" t="s">
        <v>228</v>
      </c>
      <c r="C221" s="130" t="s">
        <v>1160</v>
      </c>
      <c r="D221" s="130" t="str">
        <f>IF('SIG 2021'!$D224="","",'SIG 2021'!$D224)</f>
        <v>N/A</v>
      </c>
      <c r="E221" s="130" t="str">
        <f>IF('SIG 2021'!$E224="","",'SIG 2021'!$E224)</f>
        <v>See response to F.1 above. For further details, please refer to documentation made available by AWS. https://aws.amazon.com/compliance/data-center/controls/</v>
      </c>
      <c r="F221" s="130" t="str">
        <f>IF('SIG 2021'!$F224="","",'SIG 2021'!F224)</f>
        <v/>
      </c>
      <c r="G221" s="130" t="s">
        <v>1161</v>
      </c>
      <c r="H221" s="130" t="s">
        <v>1152</v>
      </c>
      <c r="I221" s="130"/>
      <c r="J221" s="130" t="s">
        <v>1162</v>
      </c>
      <c r="K221" s="130" t="str">
        <f>IF('SIG 2021'!$AM224="","",'SIG 2021'!$AM224)</f>
        <v/>
      </c>
      <c r="L221" s="130" t="str">
        <f>IF('SIG 2021'!$AN224="","",'SIG 2021'!$AN224)</f>
        <v/>
      </c>
      <c r="M221" s="130" t="str">
        <f>IF('SIG 2021'!$AO224="","",'SIG 2021'!$AO224)</f>
        <v/>
      </c>
    </row>
    <row r="222" spans="1:13" ht="86.4" x14ac:dyDescent="0.5">
      <c r="A222" s="130">
        <v>457</v>
      </c>
      <c r="B222" s="130" t="s">
        <v>1163</v>
      </c>
      <c r="C222" s="130" t="s">
        <v>1164</v>
      </c>
      <c r="D222" s="130" t="str">
        <f>IF('SIG 2021'!$D225="","",'SIG 2021'!$D225)</f>
        <v>N/A</v>
      </c>
      <c r="E222" s="130" t="str">
        <f>IF('SIG 2021'!$E225="","",'SIG 2021'!$E225)</f>
        <v>See response to F.1 above. For further details, please refer to documentation made available by AWS. https://aws.amazon.com/compliance/data-center/controls/</v>
      </c>
      <c r="F222" s="130" t="str">
        <f>IF('SIG 2021'!$F225="","",'SIG 2021'!F225)</f>
        <v/>
      </c>
      <c r="G222" s="130" t="s">
        <v>1165</v>
      </c>
      <c r="H222" s="130" t="s">
        <v>1152</v>
      </c>
      <c r="I222" s="130"/>
      <c r="J222" s="130" t="s">
        <v>1166</v>
      </c>
      <c r="K222" s="130" t="str">
        <f>IF('SIG 2021'!$AM225="","",'SIG 2021'!$AM225)</f>
        <v/>
      </c>
      <c r="L222" s="130" t="str">
        <f>IF('SIG 2021'!$AN225="","",'SIG 2021'!$AN225)</f>
        <v/>
      </c>
      <c r="M222" s="130" t="str">
        <f>IF('SIG 2021'!$AO225="","",'SIG 2021'!$AO225)</f>
        <v/>
      </c>
    </row>
    <row r="223" spans="1:13" ht="86.4" x14ac:dyDescent="0.5">
      <c r="A223" s="130">
        <v>479</v>
      </c>
      <c r="B223" s="130" t="s">
        <v>1167</v>
      </c>
      <c r="C223" s="130" t="s">
        <v>1168</v>
      </c>
      <c r="D223" s="130" t="str">
        <f>IF('SIG 2021'!$D226="","",'SIG 2021'!$D226)</f>
        <v>N/A</v>
      </c>
      <c r="E223" s="130" t="str">
        <f>IF('SIG 2021'!$E226="","",'SIG 2021'!$E226)</f>
        <v>See response to F.1 above. For further details, please refer to documentation made available by AWS. https://aws.amazon.com/compliance/data-center/controls/</v>
      </c>
      <c r="F223" s="130" t="str">
        <f>IF('SIG 2021'!$F226="","",'SIG 2021'!F226)</f>
        <v/>
      </c>
      <c r="G223" s="130" t="s">
        <v>1165</v>
      </c>
      <c r="H223" s="130" t="s">
        <v>1152</v>
      </c>
      <c r="I223" s="130" t="s">
        <v>1076</v>
      </c>
      <c r="J223" s="130" t="s">
        <v>1169</v>
      </c>
      <c r="K223" s="130" t="str">
        <f>IF('SIG 2021'!$AM226="","",'SIG 2021'!$AM226)</f>
        <v/>
      </c>
      <c r="L223" s="130" t="str">
        <f>IF('SIG 2021'!$AN226="","",'SIG 2021'!$AN226)</f>
        <v/>
      </c>
      <c r="M223" s="130" t="str">
        <f>IF('SIG 2021'!$AO226="","",'SIG 2021'!$AO226)</f>
        <v/>
      </c>
    </row>
    <row r="224" spans="1:13" ht="86.4" x14ac:dyDescent="0.5">
      <c r="A224" s="130">
        <v>474</v>
      </c>
      <c r="B224" s="130" t="s">
        <v>1170</v>
      </c>
      <c r="C224" s="130" t="s">
        <v>1171</v>
      </c>
      <c r="D224" s="130" t="str">
        <f>IF('SIG 2021'!$D227="","",'SIG 2021'!$D227)</f>
        <v>N/A</v>
      </c>
      <c r="E224" s="130" t="str">
        <f>IF('SIG 2021'!$E227="","",'SIG 2021'!$E227)</f>
        <v>See response to F.1 above. For further details, please refer to documentation made available by AWS. https://aws.amazon.com/compliance/data-center/controls/</v>
      </c>
      <c r="F224" s="130" t="str">
        <f>IF('SIG 2021'!$F227="","",'SIG 2021'!F227)</f>
        <v/>
      </c>
      <c r="G224" s="130" t="s">
        <v>1165</v>
      </c>
      <c r="H224" s="130" t="s">
        <v>1172</v>
      </c>
      <c r="I224" s="130" t="s">
        <v>1066</v>
      </c>
      <c r="J224" s="130" t="s">
        <v>1166</v>
      </c>
      <c r="K224" s="130" t="str">
        <f>IF('SIG 2021'!$AM227="","",'SIG 2021'!$AM227)</f>
        <v/>
      </c>
      <c r="L224" s="130" t="str">
        <f>IF('SIG 2021'!$AN227="","",'SIG 2021'!$AN227)</f>
        <v/>
      </c>
      <c r="M224" s="130" t="str">
        <f>IF('SIG 2021'!$AO227="","",'SIG 2021'!$AO227)</f>
        <v/>
      </c>
    </row>
    <row r="225" spans="1:13" ht="86.4" x14ac:dyDescent="0.5">
      <c r="A225" s="130">
        <v>401</v>
      </c>
      <c r="B225" s="130" t="s">
        <v>1173</v>
      </c>
      <c r="C225" s="130" t="s">
        <v>1174</v>
      </c>
      <c r="D225" s="130" t="str">
        <f>IF('SIG 2021'!$D228="","",'SIG 2021'!$D228)</f>
        <v>N/A</v>
      </c>
      <c r="E225" s="130" t="str">
        <f>IF('SIG 2021'!$E228="","",'SIG 2021'!$E228)</f>
        <v>See response to F.1 above. For further details, please refer to documentation made available by AWS. https://aws.amazon.com/compliance/data-center/controls/</v>
      </c>
      <c r="F225" s="130" t="str">
        <f>IF('SIG 2021'!$F228="","",'SIG 2021'!F228)</f>
        <v/>
      </c>
      <c r="G225" s="130" t="s">
        <v>1175</v>
      </c>
      <c r="H225" s="130" t="s">
        <v>1152</v>
      </c>
      <c r="I225" s="130"/>
      <c r="J225" s="130"/>
      <c r="K225" s="130" t="str">
        <f>IF('SIG 2021'!$AM228="","",'SIG 2021'!$AM228)</f>
        <v/>
      </c>
      <c r="L225" s="130" t="str">
        <f>IF('SIG 2021'!$AN228="","",'SIG 2021'!$AN228)</f>
        <v/>
      </c>
      <c r="M225" s="130" t="str">
        <f>IF('SIG 2021'!$AO228="","",'SIG 2021'!$AO228)</f>
        <v/>
      </c>
    </row>
    <row r="226" spans="1:13" ht="86.4" x14ac:dyDescent="0.5">
      <c r="A226" s="130">
        <v>351</v>
      </c>
      <c r="B226" s="130" t="s">
        <v>1176</v>
      </c>
      <c r="C226" s="130" t="s">
        <v>1177</v>
      </c>
      <c r="D226" s="130" t="str">
        <f>IF('SIG 2021'!$D229="","",'SIG 2021'!$D229)</f>
        <v>N/A</v>
      </c>
      <c r="E226" s="130" t="str">
        <f>IF('SIG 2021'!$E229="","",'SIG 2021'!$E229)</f>
        <v>See response to F.1 above. For further details, please refer to documentation made available by AWS. https://aws.amazon.com/compliance/data-center/controls/</v>
      </c>
      <c r="F226" s="130" t="str">
        <f>IF('SIG 2021'!$F229="","",'SIG 2021'!F229)</f>
        <v/>
      </c>
      <c r="G226" s="130" t="s">
        <v>1175</v>
      </c>
      <c r="H226" s="130" t="s">
        <v>1148</v>
      </c>
      <c r="I226" s="130"/>
      <c r="J226" s="130"/>
      <c r="K226" s="130" t="str">
        <f>IF('SIG 2021'!$AM229="","",'SIG 2021'!$AM229)</f>
        <v/>
      </c>
      <c r="L226" s="130" t="str">
        <f>IF('SIG 2021'!$AN229="","",'SIG 2021'!$AN229)</f>
        <v/>
      </c>
      <c r="M226" s="130" t="str">
        <f>IF('SIG 2021'!$AO229="","",'SIG 2021'!$AO229)</f>
        <v/>
      </c>
    </row>
    <row r="227" spans="1:13" ht="86.4" x14ac:dyDescent="0.5">
      <c r="A227" s="130">
        <v>4201</v>
      </c>
      <c r="B227" s="130" t="s">
        <v>1178</v>
      </c>
      <c r="C227" s="130" t="s">
        <v>1179</v>
      </c>
      <c r="D227" s="130" t="str">
        <f>IF('SIG 2021'!$D230="","",'SIG 2021'!$D230)</f>
        <v>N/A</v>
      </c>
      <c r="E227" s="130" t="str">
        <f>IF('SIG 2021'!$E230="","",'SIG 2021'!$E230)</f>
        <v>See response to F.1 above. For further details, please refer to documentation made available by AWS. https://aws.amazon.com/compliance/data-center/controls/</v>
      </c>
      <c r="F227" s="130" t="str">
        <f>IF('SIG 2021'!$F230="","",'SIG 2021'!F230)</f>
        <v/>
      </c>
      <c r="G227" s="130" t="s">
        <v>1175</v>
      </c>
      <c r="H227" s="130" t="s">
        <v>1152</v>
      </c>
      <c r="I227" s="130" t="s">
        <v>1180</v>
      </c>
      <c r="J227" s="130" t="s">
        <v>1181</v>
      </c>
      <c r="K227" s="130" t="str">
        <f>IF('SIG 2021'!$AM230="","",'SIG 2021'!$AM230)</f>
        <v/>
      </c>
      <c r="L227" s="130" t="str">
        <f>IF('SIG 2021'!$AN230="","",'SIG 2021'!$AN230)</f>
        <v/>
      </c>
      <c r="M227" s="130" t="str">
        <f>IF('SIG 2021'!$AO230="","",'SIG 2021'!$AO230)</f>
        <v/>
      </c>
    </row>
    <row r="228" spans="1:13" ht="86.4" x14ac:dyDescent="0.5">
      <c r="A228" s="130">
        <v>491</v>
      </c>
      <c r="B228" s="130" t="s">
        <v>1182</v>
      </c>
      <c r="C228" s="130" t="s">
        <v>1183</v>
      </c>
      <c r="D228" s="130" t="str">
        <f>IF('SIG 2021'!$D231="","",'SIG 2021'!$D231)</f>
        <v>N/A</v>
      </c>
      <c r="E228" s="130" t="str">
        <f>IF('SIG 2021'!$E231="","",'SIG 2021'!$E231)</f>
        <v>See response to F.1 above. For further details, please refer to documentation made available by AWS. https://aws.amazon.com/compliance/data-center/controls/</v>
      </c>
      <c r="F228" s="130" t="str">
        <f>IF('SIG 2021'!$F231="","",'SIG 2021'!F231)</f>
        <v/>
      </c>
      <c r="G228" s="130" t="s">
        <v>1175</v>
      </c>
      <c r="H228" s="130" t="s">
        <v>1152</v>
      </c>
      <c r="I228" s="130"/>
      <c r="J228" s="130" t="s">
        <v>1184</v>
      </c>
      <c r="K228" s="130" t="str">
        <f>IF('SIG 2021'!$AM231="","",'SIG 2021'!$AM231)</f>
        <v/>
      </c>
      <c r="L228" s="130" t="str">
        <f>IF('SIG 2021'!$AN231="","",'SIG 2021'!$AN231)</f>
        <v/>
      </c>
      <c r="M228" s="130" t="str">
        <f>IF('SIG 2021'!$AO231="","",'SIG 2021'!$AO231)</f>
        <v/>
      </c>
    </row>
    <row r="229" spans="1:13" ht="86.4" x14ac:dyDescent="0.5">
      <c r="A229" s="130">
        <v>526</v>
      </c>
      <c r="B229" s="130" t="s">
        <v>1185</v>
      </c>
      <c r="C229" s="130" t="s">
        <v>1186</v>
      </c>
      <c r="D229" s="130" t="str">
        <f>IF('SIG 2021'!$D232="","",'SIG 2021'!$D232)</f>
        <v>N/A</v>
      </c>
      <c r="E229" s="130" t="str">
        <f>IF('SIG 2021'!$E232="","",'SIG 2021'!$E232)</f>
        <v>See response to F.1 above. For further details, please refer to documentation made available by AWS. https://aws.amazon.com/compliance/data-center/controls/</v>
      </c>
      <c r="F229" s="130" t="str">
        <f>IF('SIG 2021'!$F232="","",'SIG 2021'!F232)</f>
        <v/>
      </c>
      <c r="G229" s="130" t="s">
        <v>1175</v>
      </c>
      <c r="H229" s="130" t="s">
        <v>1187</v>
      </c>
      <c r="I229" s="130"/>
      <c r="J229" s="130" t="s">
        <v>1188</v>
      </c>
      <c r="K229" s="130" t="str">
        <f>IF('SIG 2021'!$AM232="","",'SIG 2021'!$AM232)</f>
        <v/>
      </c>
      <c r="L229" s="130" t="str">
        <f>IF('SIG 2021'!$AN232="","",'SIG 2021'!$AN232)</f>
        <v/>
      </c>
      <c r="M229" s="130" t="str">
        <f>IF('SIG 2021'!$AO232="","",'SIG 2021'!$AO232)</f>
        <v/>
      </c>
    </row>
    <row r="230" spans="1:13" ht="86.4" x14ac:dyDescent="0.5">
      <c r="A230" s="130">
        <v>534</v>
      </c>
      <c r="B230" s="130" t="s">
        <v>1189</v>
      </c>
      <c r="C230" s="130" t="s">
        <v>1190</v>
      </c>
      <c r="D230" s="130" t="str">
        <f>IF('SIG 2021'!$D233="","",'SIG 2021'!$D233)</f>
        <v>N/A</v>
      </c>
      <c r="E230" s="130" t="str">
        <f>IF('SIG 2021'!$E233="","",'SIG 2021'!$E233)</f>
        <v>See response to F.1 above. For further details, please refer to documentation made available by AWS. https://aws.amazon.com/compliance/data-center/controls/</v>
      </c>
      <c r="F230" s="130" t="str">
        <f>IF('SIG 2021'!$F233="","",'SIG 2021'!F233)</f>
        <v/>
      </c>
      <c r="G230" s="130" t="s">
        <v>1175</v>
      </c>
      <c r="H230" s="130" t="s">
        <v>1191</v>
      </c>
      <c r="I230" s="130" t="s">
        <v>1115</v>
      </c>
      <c r="J230" s="130" t="s">
        <v>1192</v>
      </c>
      <c r="K230" s="130" t="str">
        <f>IF('SIG 2021'!$AM233="","",'SIG 2021'!$AM233)</f>
        <v/>
      </c>
      <c r="L230" s="130" t="str">
        <f>IF('SIG 2021'!$AN233="","",'SIG 2021'!$AN233)</f>
        <v/>
      </c>
      <c r="M230" s="130" t="str">
        <f>IF('SIG 2021'!$AO233="","",'SIG 2021'!$AO233)</f>
        <v/>
      </c>
    </row>
    <row r="231" spans="1:13" ht="86.4" x14ac:dyDescent="0.5">
      <c r="A231" s="130">
        <v>535</v>
      </c>
      <c r="B231" s="130" t="s">
        <v>1193</v>
      </c>
      <c r="C231" s="130" t="s">
        <v>1194</v>
      </c>
      <c r="D231" s="130" t="str">
        <f>IF('SIG 2021'!$D234="","",'SIG 2021'!$D234)</f>
        <v>N/A</v>
      </c>
      <c r="E231" s="130" t="str">
        <f>IF('SIG 2021'!$E234="","",'SIG 2021'!$E234)</f>
        <v>See response to F.1 above. For further details, please refer to documentation made available by AWS. https://aws.amazon.com/compliance/data-center/controls/</v>
      </c>
      <c r="F231" s="130" t="str">
        <f>IF('SIG 2021'!$F234="","",'SIG 2021'!F234)</f>
        <v/>
      </c>
      <c r="G231" s="130" t="s">
        <v>1175</v>
      </c>
      <c r="H231" s="130" t="s">
        <v>1191</v>
      </c>
      <c r="I231" s="130" t="s">
        <v>1115</v>
      </c>
      <c r="J231" s="130" t="s">
        <v>1192</v>
      </c>
      <c r="K231" s="130" t="str">
        <f>IF('SIG 2021'!$AM234="","",'SIG 2021'!$AM234)</f>
        <v/>
      </c>
      <c r="L231" s="130" t="str">
        <f>IF('SIG 2021'!$AN234="","",'SIG 2021'!$AN234)</f>
        <v/>
      </c>
      <c r="M231" s="130" t="str">
        <f>IF('SIG 2021'!$AO234="","",'SIG 2021'!$AO234)</f>
        <v/>
      </c>
    </row>
    <row r="232" spans="1:13" ht="86.4" x14ac:dyDescent="0.5">
      <c r="A232" s="130">
        <v>536</v>
      </c>
      <c r="B232" s="130" t="s">
        <v>1195</v>
      </c>
      <c r="C232" s="130" t="s">
        <v>1196</v>
      </c>
      <c r="D232" s="130" t="str">
        <f>IF('SIG 2021'!$D235="","",'SIG 2021'!$D235)</f>
        <v>N/A</v>
      </c>
      <c r="E232" s="130" t="str">
        <f>IF('SIG 2021'!$E235="","",'SIG 2021'!$E235)</f>
        <v>See response to F.1 above. For further details, please refer to documentation made available by AWS. https://aws.amazon.com/compliance/data-center/controls/</v>
      </c>
      <c r="F232" s="130" t="str">
        <f>IF('SIG 2021'!$F235="","",'SIG 2021'!F235)</f>
        <v/>
      </c>
      <c r="G232" s="130" t="s">
        <v>1175</v>
      </c>
      <c r="H232" s="130" t="s">
        <v>1191</v>
      </c>
      <c r="I232" s="130" t="s">
        <v>1115</v>
      </c>
      <c r="J232" s="130" t="s">
        <v>1192</v>
      </c>
      <c r="K232" s="130" t="str">
        <f>IF('SIG 2021'!$AM235="","",'SIG 2021'!$AM235)</f>
        <v/>
      </c>
      <c r="L232" s="130" t="str">
        <f>IF('SIG 2021'!$AN235="","",'SIG 2021'!$AN235)</f>
        <v/>
      </c>
      <c r="M232" s="130" t="str">
        <f>IF('SIG 2021'!$AO235="","",'SIG 2021'!$AO235)</f>
        <v/>
      </c>
    </row>
    <row r="233" spans="1:13" ht="86.4" x14ac:dyDescent="0.5">
      <c r="A233" s="130">
        <v>537</v>
      </c>
      <c r="B233" s="130" t="s">
        <v>1197</v>
      </c>
      <c r="C233" s="130" t="s">
        <v>1198</v>
      </c>
      <c r="D233" s="130" t="str">
        <f>IF('SIG 2021'!$D236="","",'SIG 2021'!$D236)</f>
        <v>N/A</v>
      </c>
      <c r="E233" s="130" t="str">
        <f>IF('SIG 2021'!$E236="","",'SIG 2021'!$E236)</f>
        <v>See response to F.1 above. For further details, please refer to documentation made available by AWS. https://aws.amazon.com/compliance/data-center/controls/</v>
      </c>
      <c r="F233" s="130" t="str">
        <f>IF('SIG 2021'!$F236="","",'SIG 2021'!F236)</f>
        <v/>
      </c>
      <c r="G233" s="130" t="s">
        <v>1175</v>
      </c>
      <c r="H233" s="130" t="s">
        <v>1191</v>
      </c>
      <c r="I233" s="130" t="s">
        <v>1115</v>
      </c>
      <c r="J233" s="130" t="s">
        <v>1192</v>
      </c>
      <c r="K233" s="130" t="str">
        <f>IF('SIG 2021'!$AM236="","",'SIG 2021'!$AM236)</f>
        <v/>
      </c>
      <c r="L233" s="130" t="str">
        <f>IF('SIG 2021'!$AN236="","",'SIG 2021'!$AN236)</f>
        <v/>
      </c>
      <c r="M233" s="130" t="str">
        <f>IF('SIG 2021'!$AO236="","",'SIG 2021'!$AO236)</f>
        <v/>
      </c>
    </row>
    <row r="234" spans="1:13" ht="86.4" x14ac:dyDescent="0.5">
      <c r="A234" s="130">
        <v>538</v>
      </c>
      <c r="B234" s="130" t="s">
        <v>1199</v>
      </c>
      <c r="C234" s="130" t="s">
        <v>1200</v>
      </c>
      <c r="D234" s="130" t="str">
        <f>IF('SIG 2021'!$D237="","",'SIG 2021'!$D237)</f>
        <v>N/A</v>
      </c>
      <c r="E234" s="130" t="str">
        <f>IF('SIG 2021'!$E237="","",'SIG 2021'!$E237)</f>
        <v>See response to F.1 above. For further details, please refer to documentation made available by AWS. https://aws.amazon.com/compliance/data-center/controls/</v>
      </c>
      <c r="F234" s="130" t="str">
        <f>IF('SIG 2021'!$F237="","",'SIG 2021'!F237)</f>
        <v/>
      </c>
      <c r="G234" s="130" t="s">
        <v>1175</v>
      </c>
      <c r="H234" s="130" t="s">
        <v>1191</v>
      </c>
      <c r="I234" s="130" t="s">
        <v>1115</v>
      </c>
      <c r="J234" s="130" t="s">
        <v>1192</v>
      </c>
      <c r="K234" s="130" t="str">
        <f>IF('SIG 2021'!$AM237="","",'SIG 2021'!$AM237)</f>
        <v/>
      </c>
      <c r="L234" s="130" t="str">
        <f>IF('SIG 2021'!$AN237="","",'SIG 2021'!$AN237)</f>
        <v/>
      </c>
      <c r="M234" s="130" t="str">
        <f>IF('SIG 2021'!$AO237="","",'SIG 2021'!$AO237)</f>
        <v/>
      </c>
    </row>
    <row r="235" spans="1:13" ht="86.4" x14ac:dyDescent="0.5">
      <c r="A235" s="130">
        <v>539</v>
      </c>
      <c r="B235" s="130" t="s">
        <v>1201</v>
      </c>
      <c r="C235" s="130" t="s">
        <v>1202</v>
      </c>
      <c r="D235" s="130" t="str">
        <f>IF('SIG 2021'!$D238="","",'SIG 2021'!$D238)</f>
        <v>N/A</v>
      </c>
      <c r="E235" s="130" t="str">
        <f>IF('SIG 2021'!$E238="","",'SIG 2021'!$E238)</f>
        <v>See response to F.1 above. For further details, please refer to documentation made available by AWS. https://aws.amazon.com/compliance/data-center/controls/</v>
      </c>
      <c r="F235" s="130" t="str">
        <f>IF('SIG 2021'!$F238="","",'SIG 2021'!F238)</f>
        <v/>
      </c>
      <c r="G235" s="130" t="s">
        <v>1175</v>
      </c>
      <c r="H235" s="130" t="s">
        <v>1191</v>
      </c>
      <c r="I235" s="130" t="s">
        <v>1115</v>
      </c>
      <c r="J235" s="130" t="s">
        <v>1192</v>
      </c>
      <c r="K235" s="130" t="str">
        <f>IF('SIG 2021'!$AM238="","",'SIG 2021'!$AM238)</f>
        <v/>
      </c>
      <c r="L235" s="130" t="str">
        <f>IF('SIG 2021'!$AN238="","",'SIG 2021'!$AN238)</f>
        <v/>
      </c>
      <c r="M235" s="130" t="str">
        <f>IF('SIG 2021'!$AO238="","",'SIG 2021'!$AO238)</f>
        <v/>
      </c>
    </row>
    <row r="236" spans="1:13" ht="86.4" x14ac:dyDescent="0.5">
      <c r="A236" s="130">
        <v>540</v>
      </c>
      <c r="B236" s="130" t="s">
        <v>1203</v>
      </c>
      <c r="C236" s="130" t="s">
        <v>1204</v>
      </c>
      <c r="D236" s="130" t="str">
        <f>IF('SIG 2021'!$D239="","",'SIG 2021'!$D239)</f>
        <v>N/A</v>
      </c>
      <c r="E236" s="130" t="str">
        <f>IF('SIG 2021'!$E239="","",'SIG 2021'!$E239)</f>
        <v>See response to F.1 above. For further details, please refer to documentation made available by AWS. https://aws.amazon.com/compliance/data-center/controls/</v>
      </c>
      <c r="F236" s="130" t="str">
        <f>IF('SIG 2021'!$F239="","",'SIG 2021'!F239)</f>
        <v/>
      </c>
      <c r="G236" s="130" t="s">
        <v>1175</v>
      </c>
      <c r="H236" s="130" t="s">
        <v>1191</v>
      </c>
      <c r="I236" s="130"/>
      <c r="J236" s="130" t="s">
        <v>1192</v>
      </c>
      <c r="K236" s="130" t="str">
        <f>IF('SIG 2021'!$AM239="","",'SIG 2021'!$AM239)</f>
        <v/>
      </c>
      <c r="L236" s="130" t="str">
        <f>IF('SIG 2021'!$AN239="","",'SIG 2021'!$AN239)</f>
        <v/>
      </c>
      <c r="M236" s="130" t="str">
        <f>IF('SIG 2021'!$AO239="","",'SIG 2021'!$AO239)</f>
        <v/>
      </c>
    </row>
    <row r="237" spans="1:13" ht="43.2" x14ac:dyDescent="0.5">
      <c r="A237" s="130">
        <v>2582</v>
      </c>
      <c r="B237" s="130" t="s">
        <v>231</v>
      </c>
      <c r="C237" s="130" t="s">
        <v>1205</v>
      </c>
      <c r="D237" s="130" t="str">
        <f>IF('SIG 2021'!$D240="","",'SIG 2021'!$D240)</f>
        <v>Yes</v>
      </c>
      <c r="E237" s="130" t="str">
        <f>IF('SIG 2021'!$E240="","",'SIG 2021'!$E240)</f>
        <v/>
      </c>
      <c r="F237" s="130" t="str">
        <f>IF('SIG 2021'!$F240="","",'SIG 2021'!F240)</f>
        <v/>
      </c>
      <c r="G237" s="130" t="s">
        <v>1206</v>
      </c>
      <c r="H237" s="130" t="s">
        <v>1207</v>
      </c>
      <c r="I237" s="130" t="s">
        <v>1208</v>
      </c>
      <c r="J237" s="130" t="s">
        <v>1209</v>
      </c>
      <c r="K237" s="130" t="str">
        <f>IF('SIG 2021'!$AM240="","",'SIG 2021'!$AM240)</f>
        <v/>
      </c>
      <c r="L237" s="130" t="str">
        <f>IF('SIG 2021'!$AN240="","",'SIG 2021'!$AN240)</f>
        <v/>
      </c>
      <c r="M237" s="130" t="str">
        <f>IF('SIG 2021'!$AO240="","",'SIG 2021'!$AO240)</f>
        <v/>
      </c>
    </row>
    <row r="238" spans="1:13" ht="43.2" x14ac:dyDescent="0.5">
      <c r="A238" s="130">
        <v>2583</v>
      </c>
      <c r="B238" s="130" t="s">
        <v>1211</v>
      </c>
      <c r="C238" s="130" t="s">
        <v>1212</v>
      </c>
      <c r="D238" s="130" t="str">
        <f>IF('SIG 2021'!$D241="","",'SIG 2021'!$D241)</f>
        <v>Yes</v>
      </c>
      <c r="E238" s="130" t="str">
        <f>IF('SIG 2021'!$E241="","",'SIG 2021'!$E241)</f>
        <v/>
      </c>
      <c r="F238" s="130" t="str">
        <f>IF('SIG 2021'!$F241="","",'SIG 2021'!F241)</f>
        <v/>
      </c>
      <c r="G238" s="130" t="s">
        <v>1206</v>
      </c>
      <c r="H238" s="130" t="s">
        <v>1207</v>
      </c>
      <c r="I238" s="130"/>
      <c r="J238" s="130" t="s">
        <v>1209</v>
      </c>
      <c r="K238" s="130" t="str">
        <f>IF('SIG 2021'!$AM241="","",'SIG 2021'!$AM241)</f>
        <v/>
      </c>
      <c r="L238" s="130" t="str">
        <f>IF('SIG 2021'!$AN241="","",'SIG 2021'!$AN241)</f>
        <v/>
      </c>
      <c r="M238" s="130" t="str">
        <f>IF('SIG 2021'!$AO241="","",'SIG 2021'!$AO241)</f>
        <v/>
      </c>
    </row>
    <row r="239" spans="1:13" ht="57.6" x14ac:dyDescent="0.5">
      <c r="A239" s="130">
        <v>3633</v>
      </c>
      <c r="B239" s="130" t="s">
        <v>233</v>
      </c>
      <c r="C239" s="130" t="s">
        <v>1213</v>
      </c>
      <c r="D239" s="130" t="str">
        <f>IF('SIG 2021'!$D242="","",'SIG 2021'!$D242)</f>
        <v>No</v>
      </c>
      <c r="E239" s="130" t="str">
        <f>IF('SIG 2021'!$E242="","",'SIG 2021'!$E242)</f>
        <v xml:space="preserve"> </v>
      </c>
      <c r="F239" s="130" t="str">
        <f>IF('SIG 2021'!$F242="","",'SIG 2021'!F242)</f>
        <v/>
      </c>
      <c r="G239" s="130" t="s">
        <v>1215</v>
      </c>
      <c r="H239" s="130" t="s">
        <v>1216</v>
      </c>
      <c r="I239" s="130"/>
      <c r="J239" s="130" t="s">
        <v>1217</v>
      </c>
      <c r="K239" s="130" t="str">
        <f>IF('SIG 2021'!$AM242="","",'SIG 2021'!$AM242)</f>
        <v/>
      </c>
      <c r="L239" s="130" t="str">
        <f>IF('SIG 2021'!$AN242="","",'SIG 2021'!$AN242)</f>
        <v/>
      </c>
      <c r="M239" s="130" t="str">
        <f>IF('SIG 2021'!$AO242="","",'SIG 2021'!$AO242)</f>
        <v/>
      </c>
    </row>
    <row r="240" spans="1:13" ht="86.4" x14ac:dyDescent="0.5">
      <c r="A240" s="130">
        <v>816</v>
      </c>
      <c r="B240" s="130" t="s">
        <v>235</v>
      </c>
      <c r="C240" s="130" t="s">
        <v>1218</v>
      </c>
      <c r="D240" s="130" t="str">
        <f>IF('SIG 2021'!$D243="","",'SIG 2021'!$D243)</f>
        <v>Yes</v>
      </c>
      <c r="E240" s="130" t="str">
        <f>IF('SIG 2021'!$E243="","",'SIG 2021'!$E243)</f>
        <v/>
      </c>
      <c r="F240" s="130" t="str">
        <f>IF('SIG 2021'!$F243="","",'SIG 2021'!F243)</f>
        <v/>
      </c>
      <c r="G240" s="130" t="s">
        <v>1206</v>
      </c>
      <c r="H240" s="130" t="s">
        <v>1219</v>
      </c>
      <c r="I240" s="130" t="s">
        <v>1208</v>
      </c>
      <c r="J240" s="130" t="s">
        <v>1220</v>
      </c>
      <c r="K240" s="130" t="str">
        <f>IF('SIG 2021'!$AM243="","",'SIG 2021'!$AM243)</f>
        <v/>
      </c>
      <c r="L240" s="130" t="str">
        <f>IF('SIG 2021'!$AN243="","",'SIG 2021'!$AN243)</f>
        <v/>
      </c>
      <c r="M240" s="130" t="str">
        <f>IF('SIG 2021'!$AO243="","",'SIG 2021'!$AO243)</f>
        <v/>
      </c>
    </row>
    <row r="241" spans="1:13" ht="57.6" x14ac:dyDescent="0.5">
      <c r="A241" s="130">
        <v>2593</v>
      </c>
      <c r="B241" s="130" t="s">
        <v>1221</v>
      </c>
      <c r="C241" s="130" t="s">
        <v>1222</v>
      </c>
      <c r="D241" s="130" t="str">
        <f>IF('SIG 2021'!$D244="","",'SIG 2021'!$D244)</f>
        <v>Yes</v>
      </c>
      <c r="E241" s="130" t="str">
        <f>IF('SIG 2021'!$E244="","",'SIG 2021'!$E244)</f>
        <v/>
      </c>
      <c r="F241" s="130" t="str">
        <f>IF('SIG 2021'!$F244="","",'SIG 2021'!F244)</f>
        <v/>
      </c>
      <c r="G241" s="130" t="s">
        <v>1206</v>
      </c>
      <c r="H241" s="130" t="s">
        <v>1219</v>
      </c>
      <c r="I241" s="130"/>
      <c r="J241" s="130" t="s">
        <v>1223</v>
      </c>
      <c r="K241" s="130" t="str">
        <f>IF('SIG 2021'!$AM244="","",'SIG 2021'!$AM244)</f>
        <v/>
      </c>
      <c r="L241" s="130" t="str">
        <f>IF('SIG 2021'!$AN244="","",'SIG 2021'!$AN244)</f>
        <v/>
      </c>
      <c r="M241" s="130" t="str">
        <f>IF('SIG 2021'!$AO244="","",'SIG 2021'!$AO244)</f>
        <v/>
      </c>
    </row>
    <row r="242" spans="1:13" ht="57.6" x14ac:dyDescent="0.5">
      <c r="A242" s="130">
        <v>832</v>
      </c>
      <c r="B242" s="130" t="s">
        <v>1224</v>
      </c>
      <c r="C242" s="130" t="s">
        <v>1225</v>
      </c>
      <c r="D242" s="130" t="str">
        <f>IF('SIG 2021'!$D245="","",'SIG 2021'!$D245)</f>
        <v>Yes</v>
      </c>
      <c r="E242" s="130" t="str">
        <f>IF('SIG 2021'!$E245="","",'SIG 2021'!$E245)</f>
        <v/>
      </c>
      <c r="F242" s="130" t="str">
        <f>IF('SIG 2021'!$F245="","",'SIG 2021'!F245)</f>
        <v/>
      </c>
      <c r="G242" s="130" t="s">
        <v>1206</v>
      </c>
      <c r="H242" s="130" t="s">
        <v>1219</v>
      </c>
      <c r="I242" s="130"/>
      <c r="J242" s="130" t="s">
        <v>1223</v>
      </c>
      <c r="K242" s="130" t="str">
        <f>IF('SIG 2021'!$AM245="","",'SIG 2021'!$AM245)</f>
        <v/>
      </c>
      <c r="L242" s="130" t="str">
        <f>IF('SIG 2021'!$AN245="","",'SIG 2021'!$AN245)</f>
        <v/>
      </c>
      <c r="M242" s="130" t="str">
        <f>IF('SIG 2021'!$AO245="","",'SIG 2021'!$AO245)</f>
        <v/>
      </c>
    </row>
    <row r="243" spans="1:13" ht="43.2" x14ac:dyDescent="0.5">
      <c r="A243" s="130">
        <v>838</v>
      </c>
      <c r="B243" s="130" t="s">
        <v>1226</v>
      </c>
      <c r="C243" s="130" t="s">
        <v>1227</v>
      </c>
      <c r="D243" s="130" t="str">
        <f>IF('SIG 2021'!$D246="","",'SIG 2021'!$D246)</f>
        <v>Yes</v>
      </c>
      <c r="E243" s="130" t="str">
        <f>IF('SIG 2021'!$E246="","",'SIG 2021'!$E246)</f>
        <v/>
      </c>
      <c r="F243" s="130" t="str">
        <f>IF('SIG 2021'!$F246="","",'SIG 2021'!F246)</f>
        <v/>
      </c>
      <c r="G243" s="130" t="s">
        <v>1206</v>
      </c>
      <c r="H243" s="130" t="s">
        <v>1219</v>
      </c>
      <c r="I243" s="130" t="s">
        <v>1208</v>
      </c>
      <c r="J243" s="130" t="s">
        <v>1228</v>
      </c>
      <c r="K243" s="130" t="str">
        <f>IF('SIG 2021'!$AM246="","",'SIG 2021'!$AM246)</f>
        <v/>
      </c>
      <c r="L243" s="130" t="str">
        <f>IF('SIG 2021'!$AN246="","",'SIG 2021'!$AN246)</f>
        <v/>
      </c>
      <c r="M243" s="130" t="str">
        <f>IF('SIG 2021'!$AO246="","",'SIG 2021'!$AO246)</f>
        <v/>
      </c>
    </row>
    <row r="244" spans="1:13" ht="288" x14ac:dyDescent="0.5">
      <c r="A244" s="130">
        <v>3401</v>
      </c>
      <c r="B244" s="130" t="s">
        <v>1229</v>
      </c>
      <c r="C244" s="130" t="s">
        <v>1230</v>
      </c>
      <c r="D244" s="130" t="str">
        <f>IF('SIG 2021'!$D247="","",'SIG 2021'!$D247)</f>
        <v>Yes</v>
      </c>
      <c r="E244" s="130" t="str">
        <f>IF('SIG 2021'!$E247="","",'SIG 2021'!$E247)</f>
        <v xml:space="preserve">Release notes are published for every update. In advance of our monthly release, we publish a product update focused on the upcoming release, with details and screenshots of new features and capabilities. Customers can designate any number of communication contacts for their organization. Communication contacts are placed on the distribution list for a wide variety of communication vehicles Seismic uses to keep in touch with its customers, including release notes, product updates, and technical bulletins. Seismic provides updates via its built in notification system for news about upcoming upgrades or planned maintenance. </v>
      </c>
      <c r="F244" s="130" t="str">
        <f>IF('SIG 2021'!$F247="","",'SIG 2021'!F247)</f>
        <v/>
      </c>
      <c r="G244" s="130" t="s">
        <v>1206</v>
      </c>
      <c r="H244" s="130" t="s">
        <v>1219</v>
      </c>
      <c r="I244" s="130" t="s">
        <v>1208</v>
      </c>
      <c r="J244" s="130"/>
      <c r="K244" s="130" t="str">
        <f>IF('SIG 2021'!$AM247="","",'SIG 2021'!$AM247)</f>
        <v/>
      </c>
      <c r="L244" s="130" t="str">
        <f>IF('SIG 2021'!$AN247="","",'SIG 2021'!$AN247)</f>
        <v/>
      </c>
      <c r="M244" s="130" t="str">
        <f>IF('SIG 2021'!$AO247="","",'SIG 2021'!$AO247)</f>
        <v/>
      </c>
    </row>
    <row r="245" spans="1:13" ht="158.4" x14ac:dyDescent="0.5">
      <c r="A245" s="130">
        <v>3406</v>
      </c>
      <c r="B245" s="130" t="s">
        <v>1232</v>
      </c>
      <c r="C245" s="130" t="s">
        <v>1233</v>
      </c>
      <c r="D245" s="130" t="str">
        <f>IF('SIG 2021'!$D248="","",'SIG 2021'!$D248)</f>
        <v>Yes</v>
      </c>
      <c r="E245" s="130" t="str">
        <f>IF('SIG 2021'!$E248="","",'SIG 2021'!$E248)</f>
        <v xml:space="preserve">Seismic updates the Platform on a weekly basis.  Changes that will have an effect on Customer environments are communicated through release notes and Customer Success team members.  Through contractual agreements, Seismic works with Customers to establish mutually agreed upon Maintenance windows that may be needed. </v>
      </c>
      <c r="F245" s="130" t="str">
        <f>IF('SIG 2021'!$F248="","",'SIG 2021'!F248)</f>
        <v/>
      </c>
      <c r="G245" s="130" t="s">
        <v>1206</v>
      </c>
      <c r="H245" s="130" t="s">
        <v>1219</v>
      </c>
      <c r="I245" s="130"/>
      <c r="J245" s="130"/>
      <c r="K245" s="130" t="str">
        <f>IF('SIG 2021'!$AM248="","",'SIG 2021'!$AM248)</f>
        <v/>
      </c>
      <c r="L245" s="130" t="str">
        <f>IF('SIG 2021'!$AN248="","",'SIG 2021'!$AN248)</f>
        <v/>
      </c>
      <c r="M245" s="130" t="str">
        <f>IF('SIG 2021'!$AO248="","",'SIG 2021'!$AO248)</f>
        <v/>
      </c>
    </row>
    <row r="246" spans="1:13" ht="43.2" x14ac:dyDescent="0.5">
      <c r="A246" s="130">
        <v>3412</v>
      </c>
      <c r="B246" s="130" t="s">
        <v>1235</v>
      </c>
      <c r="C246" s="130" t="s">
        <v>1236</v>
      </c>
      <c r="D246" s="130" t="str">
        <f>IF('SIG 2021'!$D249="","",'SIG 2021'!$D249)</f>
        <v>Yes</v>
      </c>
      <c r="E246" s="130" t="str">
        <f>IF('SIG 2021'!$E249="","",'SIG 2021'!$E249)</f>
        <v>Downtime of up to four hours per month may be scheduled per Seismic's standard SLA.</v>
      </c>
      <c r="F246" s="130" t="str">
        <f>IF('SIG 2021'!$F249="","",'SIG 2021'!F249)</f>
        <v/>
      </c>
      <c r="G246" s="130" t="s">
        <v>1206</v>
      </c>
      <c r="H246" s="130" t="s">
        <v>1219</v>
      </c>
      <c r="I246" s="130"/>
      <c r="J246" s="130"/>
      <c r="K246" s="130" t="str">
        <f>IF('SIG 2021'!$AM249="","",'SIG 2021'!$AM249)</f>
        <v/>
      </c>
      <c r="L246" s="130" t="str">
        <f>IF('SIG 2021'!$AN249="","",'SIG 2021'!$AN249)</f>
        <v/>
      </c>
      <c r="M246" s="130" t="str">
        <f>IF('SIG 2021'!$AO249="","",'SIG 2021'!$AO249)</f>
        <v/>
      </c>
    </row>
    <row r="247" spans="1:13" ht="43.2" x14ac:dyDescent="0.5">
      <c r="A247" s="130">
        <v>3425</v>
      </c>
      <c r="B247" s="130" t="s">
        <v>1238</v>
      </c>
      <c r="C247" s="130" t="s">
        <v>1239</v>
      </c>
      <c r="D247" s="130" t="str">
        <f>IF('SIG 2021'!$D250="","",'SIG 2021'!$D250)</f>
        <v>Yes</v>
      </c>
      <c r="E247" s="130" t="str">
        <f>IF('SIG 2021'!$E250="","",'SIG 2021'!$E250)</f>
        <v/>
      </c>
      <c r="F247" s="130" t="str">
        <f>IF('SIG 2021'!$F250="","",'SIG 2021'!F250)</f>
        <v/>
      </c>
      <c r="G247" s="130" t="s">
        <v>1206</v>
      </c>
      <c r="H247" s="130" t="s">
        <v>1219</v>
      </c>
      <c r="I247" s="130"/>
      <c r="J247" s="130"/>
      <c r="K247" s="130" t="str">
        <f>IF('SIG 2021'!$AM250="","",'SIG 2021'!$AM250)</f>
        <v/>
      </c>
      <c r="L247" s="130" t="str">
        <f>IF('SIG 2021'!$AN250="","",'SIG 2021'!$AN250)</f>
        <v/>
      </c>
      <c r="M247" s="130" t="str">
        <f>IF('SIG 2021'!$AO250="","",'SIG 2021'!$AO250)</f>
        <v/>
      </c>
    </row>
    <row r="248" spans="1:13" ht="57.6" x14ac:dyDescent="0.5">
      <c r="A248" s="130">
        <v>2880</v>
      </c>
      <c r="B248" s="130" t="s">
        <v>1240</v>
      </c>
      <c r="C248" s="130" t="s">
        <v>1241</v>
      </c>
      <c r="D248" s="130" t="str">
        <f>IF('SIG 2021'!$D251="","",'SIG 2021'!$D251)</f>
        <v>Yes</v>
      </c>
      <c r="E248" s="130" t="str">
        <f>IF('SIG 2021'!$E251="","",'SIG 2021'!$E251)</f>
        <v/>
      </c>
      <c r="F248" s="130" t="str">
        <f>IF('SIG 2021'!$F251="","",'SIG 2021'!F251)</f>
        <v/>
      </c>
      <c r="G248" s="130" t="s">
        <v>1206</v>
      </c>
      <c r="H248" s="130" t="s">
        <v>1219</v>
      </c>
      <c r="I248" s="130" t="s">
        <v>1208</v>
      </c>
      <c r="J248" s="130" t="s">
        <v>1242</v>
      </c>
      <c r="K248" s="130" t="str">
        <f>IF('SIG 2021'!$AM251="","",'SIG 2021'!$AM251)</f>
        <v/>
      </c>
      <c r="L248" s="130" t="str">
        <f>IF('SIG 2021'!$AN251="","",'SIG 2021'!$AN251)</f>
        <v/>
      </c>
      <c r="M248" s="130" t="str">
        <f>IF('SIG 2021'!$AO251="","",'SIG 2021'!$AO251)</f>
        <v/>
      </c>
    </row>
    <row r="249" spans="1:13" ht="43.2" x14ac:dyDescent="0.5">
      <c r="A249" s="130">
        <v>4439</v>
      </c>
      <c r="B249" s="130" t="s">
        <v>237</v>
      </c>
      <c r="C249" s="130" t="s">
        <v>1243</v>
      </c>
      <c r="D249" s="130" t="str">
        <f>IF('SIG 2021'!$D252="","",'SIG 2021'!$D252)</f>
        <v>Yes</v>
      </c>
      <c r="E249" s="130" t="str">
        <f>IF('SIG 2021'!$E252="","",'SIG 2021'!$E252)</f>
        <v/>
      </c>
      <c r="F249" s="130" t="str">
        <f>IF('SIG 2021'!$F252="","",'SIG 2021'!F252)</f>
        <v/>
      </c>
      <c r="G249" s="130" t="s">
        <v>1206</v>
      </c>
      <c r="H249" s="130" t="s">
        <v>1244</v>
      </c>
      <c r="I249" s="130" t="s">
        <v>1245</v>
      </c>
      <c r="J249" s="130" t="s">
        <v>1246</v>
      </c>
      <c r="K249" s="130" t="str">
        <f>IF('SIG 2021'!$AM252="","",'SIG 2021'!$AM252)</f>
        <v/>
      </c>
      <c r="L249" s="130" t="str">
        <f>IF('SIG 2021'!$AN252="","",'SIG 2021'!$AN252)</f>
        <v/>
      </c>
      <c r="M249" s="130" t="str">
        <f>IF('SIG 2021'!$AO252="","",'SIG 2021'!$AO252)</f>
        <v/>
      </c>
    </row>
    <row r="250" spans="1:13" ht="43.2" x14ac:dyDescent="0.5">
      <c r="A250" s="130">
        <v>2666</v>
      </c>
      <c r="B250" s="130" t="s">
        <v>1247</v>
      </c>
      <c r="C250" s="130" t="s">
        <v>1248</v>
      </c>
      <c r="D250" s="130" t="str">
        <f>IF('SIG 2021'!$D253="","",'SIG 2021'!$D253)</f>
        <v>Yes</v>
      </c>
      <c r="E250" s="130" t="str">
        <f>IF('SIG 2021'!$E253="","",'SIG 2021'!$E253)</f>
        <v/>
      </c>
      <c r="F250" s="130" t="str">
        <f>IF('SIG 2021'!$F253="","",'SIG 2021'!F253)</f>
        <v/>
      </c>
      <c r="G250" s="130" t="s">
        <v>1206</v>
      </c>
      <c r="H250" s="130" t="s">
        <v>1244</v>
      </c>
      <c r="I250" s="130"/>
      <c r="J250" s="130" t="s">
        <v>1246</v>
      </c>
      <c r="K250" s="130" t="str">
        <f>IF('SIG 2021'!$AM253="","",'SIG 2021'!$AM253)</f>
        <v/>
      </c>
      <c r="L250" s="130" t="str">
        <f>IF('SIG 2021'!$AN253="","",'SIG 2021'!$AN253)</f>
        <v/>
      </c>
      <c r="M250" s="130" t="str">
        <f>IF('SIG 2021'!$AO253="","",'SIG 2021'!$AO253)</f>
        <v/>
      </c>
    </row>
    <row r="251" spans="1:13" ht="72" x14ac:dyDescent="0.5">
      <c r="A251" s="130">
        <v>4440</v>
      </c>
      <c r="B251" s="130" t="s">
        <v>1249</v>
      </c>
      <c r="C251" s="130" t="s">
        <v>1250</v>
      </c>
      <c r="D251" s="130" t="str">
        <f>IF('SIG 2021'!$D254="","",'SIG 2021'!$D254)</f>
        <v>Yes</v>
      </c>
      <c r="E251" s="130" t="str">
        <f>IF('SIG 2021'!$E254="","",'SIG 2021'!$E254)</f>
        <v/>
      </c>
      <c r="F251" s="130" t="str">
        <f>IF('SIG 2021'!$F254="","",'SIG 2021'!F254)</f>
        <v/>
      </c>
      <c r="G251" s="130" t="s">
        <v>1206</v>
      </c>
      <c r="H251" s="130" t="s">
        <v>1244</v>
      </c>
      <c r="I251" s="130"/>
      <c r="J251" s="130" t="s">
        <v>1251</v>
      </c>
      <c r="K251" s="130" t="str">
        <f>IF('SIG 2021'!$AM254="","",'SIG 2021'!$AM254)</f>
        <v/>
      </c>
      <c r="L251" s="130" t="str">
        <f>IF('SIG 2021'!$AN254="","",'SIG 2021'!$AN254)</f>
        <v/>
      </c>
      <c r="M251" s="130" t="str">
        <f>IF('SIG 2021'!$AO254="","",'SIG 2021'!$AO254)</f>
        <v/>
      </c>
    </row>
    <row r="252" spans="1:13" ht="43.2" x14ac:dyDescent="0.5">
      <c r="A252" s="130">
        <v>4441</v>
      </c>
      <c r="B252" s="130" t="s">
        <v>1252</v>
      </c>
      <c r="C252" s="130" t="s">
        <v>1253</v>
      </c>
      <c r="D252" s="130" t="str">
        <f>IF('SIG 2021'!$D255="","",'SIG 2021'!$D255)</f>
        <v>Yes</v>
      </c>
      <c r="E252" s="130" t="str">
        <f>IF('SIG 2021'!$E255="","",'SIG 2021'!$E255)</f>
        <v/>
      </c>
      <c r="F252" s="130" t="str">
        <f>IF('SIG 2021'!$F255="","",'SIG 2021'!F255)</f>
        <v/>
      </c>
      <c r="G252" s="130" t="s">
        <v>1206</v>
      </c>
      <c r="H252" s="130" t="s">
        <v>1244</v>
      </c>
      <c r="I252" s="130"/>
      <c r="J252" s="130" t="s">
        <v>1246</v>
      </c>
      <c r="K252" s="130" t="str">
        <f>IF('SIG 2021'!$AM255="","",'SIG 2021'!$AM255)</f>
        <v/>
      </c>
      <c r="L252" s="130" t="str">
        <f>IF('SIG 2021'!$AN255="","",'SIG 2021'!$AN255)</f>
        <v/>
      </c>
      <c r="M252" s="130" t="str">
        <f>IF('SIG 2021'!$AO255="","",'SIG 2021'!$AO255)</f>
        <v/>
      </c>
    </row>
    <row r="253" spans="1:13" ht="72" x14ac:dyDescent="0.5">
      <c r="A253" s="130">
        <v>4205</v>
      </c>
      <c r="B253" s="130" t="s">
        <v>1254</v>
      </c>
      <c r="C253" s="130" t="s">
        <v>1255</v>
      </c>
      <c r="D253" s="130" t="str">
        <f>IF('SIG 2021'!$D256="","",'SIG 2021'!$D256)</f>
        <v>Yes</v>
      </c>
      <c r="E253" s="130" t="str">
        <f>IF('SIG 2021'!$E256="","",'SIG 2021'!$E256)</f>
        <v/>
      </c>
      <c r="F253" s="130" t="str">
        <f>IF('SIG 2021'!$F256="","",'SIG 2021'!F256)</f>
        <v/>
      </c>
      <c r="G253" s="130" t="s">
        <v>1206</v>
      </c>
      <c r="H253" s="130" t="s">
        <v>1244</v>
      </c>
      <c r="I253" s="130"/>
      <c r="J253" s="130" t="s">
        <v>1246</v>
      </c>
      <c r="K253" s="130" t="str">
        <f>IF('SIG 2021'!$AM256="","",'SIG 2021'!$AM256)</f>
        <v/>
      </c>
      <c r="L253" s="130" t="str">
        <f>IF('SIG 2021'!$AN256="","",'SIG 2021'!$AN256)</f>
        <v/>
      </c>
      <c r="M253" s="130" t="str">
        <f>IF('SIG 2021'!$AO256="","",'SIG 2021'!$AO256)</f>
        <v/>
      </c>
    </row>
    <row r="254" spans="1:13" ht="43.2" x14ac:dyDescent="0.5">
      <c r="A254" s="130">
        <v>2879</v>
      </c>
      <c r="B254" s="130" t="s">
        <v>1256</v>
      </c>
      <c r="C254" s="130" t="s">
        <v>1257</v>
      </c>
      <c r="D254" s="130" t="str">
        <f>IF('SIG 2021'!$D257="","",'SIG 2021'!$D257)</f>
        <v>Yes</v>
      </c>
      <c r="E254" s="130" t="str">
        <f>IF('SIG 2021'!$E257="","",'SIG 2021'!$E257)</f>
        <v/>
      </c>
      <c r="F254" s="130" t="str">
        <f>IF('SIG 2021'!$F257="","",'SIG 2021'!F257)</f>
        <v/>
      </c>
      <c r="G254" s="130" t="s">
        <v>1206</v>
      </c>
      <c r="H254" s="130" t="s">
        <v>1244</v>
      </c>
      <c r="I254" s="130" t="s">
        <v>1258</v>
      </c>
      <c r="J254" s="130" t="s">
        <v>1242</v>
      </c>
      <c r="K254" s="130" t="str">
        <f>IF('SIG 2021'!$AM257="","",'SIG 2021'!$AM257)</f>
        <v/>
      </c>
      <c r="L254" s="130" t="str">
        <f>IF('SIG 2021'!$AN257="","",'SIG 2021'!$AN257)</f>
        <v/>
      </c>
      <c r="M254" s="130" t="str">
        <f>IF('SIG 2021'!$AO257="","",'SIG 2021'!$AO257)</f>
        <v/>
      </c>
    </row>
    <row r="255" spans="1:13" ht="43.2" x14ac:dyDescent="0.5">
      <c r="A255" s="130">
        <v>2874</v>
      </c>
      <c r="B255" s="130" t="s">
        <v>1259</v>
      </c>
      <c r="C255" s="130" t="s">
        <v>1260</v>
      </c>
      <c r="D255" s="130" t="str">
        <f>IF('SIG 2021'!$D258="","",'SIG 2021'!$D258)</f>
        <v>Yes</v>
      </c>
      <c r="E255" s="130" t="str">
        <f>IF('SIG 2021'!$E258="","",'SIG 2021'!$E258)</f>
        <v/>
      </c>
      <c r="F255" s="130" t="str">
        <f>IF('SIG 2021'!$F258="","",'SIG 2021'!F258)</f>
        <v/>
      </c>
      <c r="G255" s="130" t="s">
        <v>1206</v>
      </c>
      <c r="H255" s="130" t="s">
        <v>1244</v>
      </c>
      <c r="I255" s="130" t="s">
        <v>1208</v>
      </c>
      <c r="J255" s="130" t="s">
        <v>1242</v>
      </c>
      <c r="K255" s="130" t="str">
        <f>IF('SIG 2021'!$AM258="","",'SIG 2021'!$AM258)</f>
        <v/>
      </c>
      <c r="L255" s="130" t="str">
        <f>IF('SIG 2021'!$AN258="","",'SIG 2021'!$AN258)</f>
        <v/>
      </c>
      <c r="M255" s="130" t="str">
        <f>IF('SIG 2021'!$AO258="","",'SIG 2021'!$AO258)</f>
        <v/>
      </c>
    </row>
    <row r="256" spans="1:13" ht="43.2" x14ac:dyDescent="0.5">
      <c r="A256" s="130">
        <v>1272</v>
      </c>
      <c r="B256" s="130" t="s">
        <v>239</v>
      </c>
      <c r="C256" s="130" t="s">
        <v>1261</v>
      </c>
      <c r="D256" s="130" t="str">
        <f>IF('SIG 2021'!$D259="","",'SIG 2021'!$D259)</f>
        <v>Yes</v>
      </c>
      <c r="E256" s="130" t="str">
        <f>IF('SIG 2021'!$E259="","",'SIG 2021'!$E259)</f>
        <v/>
      </c>
      <c r="F256" s="130" t="str">
        <f>IF('SIG 2021'!$F259="","",'SIG 2021'!F259)</f>
        <v/>
      </c>
      <c r="G256" s="130" t="s">
        <v>1206</v>
      </c>
      <c r="H256" s="130" t="s">
        <v>1262</v>
      </c>
      <c r="I256" s="130" t="s">
        <v>1263</v>
      </c>
      <c r="J256" s="130" t="s">
        <v>1264</v>
      </c>
      <c r="K256" s="130" t="str">
        <f>IF('SIG 2021'!$AM259="","",'SIG 2021'!$AM259)</f>
        <v/>
      </c>
      <c r="L256" s="130" t="str">
        <f>IF('SIG 2021'!$AN259="","",'SIG 2021'!$AN259)</f>
        <v/>
      </c>
      <c r="M256" s="130" t="str">
        <f>IF('SIG 2021'!$AO259="","",'SIG 2021'!$AO259)</f>
        <v/>
      </c>
    </row>
    <row r="257" spans="1:13" ht="43.2" x14ac:dyDescent="0.5">
      <c r="A257" s="130">
        <v>5827</v>
      </c>
      <c r="B257" s="130" t="s">
        <v>241</v>
      </c>
      <c r="C257" s="130" t="s">
        <v>1265</v>
      </c>
      <c r="D257" s="130" t="str">
        <f>IF('SIG 2021'!$D260="","",'SIG 2021'!$D260)</f>
        <v>Yes</v>
      </c>
      <c r="E257" s="130" t="str">
        <f>IF('SIG 2021'!$E260="","",'SIG 2021'!$E260)</f>
        <v/>
      </c>
      <c r="F257" s="130" t="str">
        <f>IF('SIG 2021'!$F260="","",'SIG 2021'!F260)</f>
        <v/>
      </c>
      <c r="G257" s="130" t="s">
        <v>1266</v>
      </c>
      <c r="H257" s="130" t="s">
        <v>1267</v>
      </c>
      <c r="I257" s="130" t="s">
        <v>1268</v>
      </c>
      <c r="J257" s="130" t="s">
        <v>1269</v>
      </c>
      <c r="K257" s="130" t="str">
        <f>IF('SIG 2021'!$AM260="","",'SIG 2021'!$AM260)</f>
        <v/>
      </c>
      <c r="L257" s="130" t="str">
        <f>IF('SIG 2021'!$AN260="","",'SIG 2021'!$AN260)</f>
        <v/>
      </c>
      <c r="M257" s="130" t="str">
        <f>IF('SIG 2021'!$AO260="","",'SIG 2021'!$AO260)</f>
        <v/>
      </c>
    </row>
    <row r="258" spans="1:13" ht="57.6" x14ac:dyDescent="0.5">
      <c r="A258" s="130">
        <v>1903</v>
      </c>
      <c r="B258" s="130" t="s">
        <v>247</v>
      </c>
      <c r="C258" s="130" t="s">
        <v>1270</v>
      </c>
      <c r="D258" s="130" t="str">
        <f>IF('SIG 2021'!$D261="","",'SIG 2021'!$D261)</f>
        <v>Yes</v>
      </c>
      <c r="E258" s="130" t="str">
        <f>IF('SIG 2021'!$E261="","",'SIG 2021'!$E261)</f>
        <v/>
      </c>
      <c r="F258" s="130" t="str">
        <f>IF('SIG 2021'!$F261="","",'SIG 2021'!F261)</f>
        <v/>
      </c>
      <c r="G258" s="130" t="s">
        <v>1271</v>
      </c>
      <c r="H258" s="130" t="s">
        <v>1272</v>
      </c>
      <c r="I258" s="130" t="s">
        <v>1273</v>
      </c>
      <c r="J258" s="130" t="s">
        <v>1274</v>
      </c>
      <c r="K258" s="130" t="str">
        <f>IF('SIG 2021'!$AM261="","",'SIG 2021'!$AM261)</f>
        <v/>
      </c>
      <c r="L258" s="130" t="str">
        <f>IF('SIG 2021'!$AN261="","",'SIG 2021'!$AN261)</f>
        <v/>
      </c>
      <c r="M258" s="130" t="str">
        <f>IF('SIG 2021'!$AO261="","",'SIG 2021'!$AO261)</f>
        <v/>
      </c>
    </row>
    <row r="259" spans="1:13" ht="43.2" x14ac:dyDescent="0.5">
      <c r="A259" s="130">
        <v>4721</v>
      </c>
      <c r="B259" s="130" t="s">
        <v>1276</v>
      </c>
      <c r="C259" s="130" t="s">
        <v>1277</v>
      </c>
      <c r="D259" s="130" t="str">
        <f>IF('SIG 2021'!$D262="","",'SIG 2021'!$D262)</f>
        <v>Yes</v>
      </c>
      <c r="E259" s="130" t="str">
        <f>IF('SIG 2021'!$E262="","",'SIG 2021'!$E262)</f>
        <v/>
      </c>
      <c r="F259" s="130" t="str">
        <f>IF('SIG 2021'!$F262="","",'SIG 2021'!F262)</f>
        <v/>
      </c>
      <c r="G259" s="130" t="s">
        <v>1271</v>
      </c>
      <c r="H259" s="130" t="s">
        <v>1272</v>
      </c>
      <c r="I259" s="130"/>
      <c r="J259" s="130" t="s">
        <v>1278</v>
      </c>
      <c r="K259" s="130" t="str">
        <f>IF('SIG 2021'!$AM262="","",'SIG 2021'!$AM262)</f>
        <v/>
      </c>
      <c r="L259" s="130" t="str">
        <f>IF('SIG 2021'!$AN262="","",'SIG 2021'!$AN262)</f>
        <v/>
      </c>
      <c r="M259" s="130" t="str">
        <f>IF('SIG 2021'!$AO262="","",'SIG 2021'!$AO262)</f>
        <v/>
      </c>
    </row>
    <row r="260" spans="1:13" ht="14.4" x14ac:dyDescent="0.5">
      <c r="A260" s="130">
        <v>3543</v>
      </c>
      <c r="B260" s="130" t="s">
        <v>249</v>
      </c>
      <c r="C260" s="130" t="s">
        <v>1279</v>
      </c>
      <c r="D260" s="130" t="str">
        <f>IF('SIG 2021'!$D263="","",'SIG 2021'!$D263)</f>
        <v>Yes</v>
      </c>
      <c r="E260" s="130" t="str">
        <f>IF('SIG 2021'!$E263="","",'SIG 2021'!$E263)</f>
        <v xml:space="preserve">With client authorization. </v>
      </c>
      <c r="F260" s="130" t="str">
        <f>IF('SIG 2021'!$F263="","",'SIG 2021'!F263)</f>
        <v/>
      </c>
      <c r="G260" s="130" t="s">
        <v>1271</v>
      </c>
      <c r="H260" s="130" t="s">
        <v>965</v>
      </c>
      <c r="I260" s="130"/>
      <c r="J260" s="130"/>
      <c r="K260" s="130" t="str">
        <f>IF('SIG 2021'!$AM263="","",'SIG 2021'!$AM263)</f>
        <v/>
      </c>
      <c r="L260" s="130" t="str">
        <f>IF('SIG 2021'!$AN263="","",'SIG 2021'!$AN263)</f>
        <v/>
      </c>
      <c r="M260" s="130" t="str">
        <f>IF('SIG 2021'!$AO263="","",'SIG 2021'!$AO263)</f>
        <v/>
      </c>
    </row>
    <row r="261" spans="1:13" ht="28.8" x14ac:dyDescent="0.5">
      <c r="A261" s="130">
        <v>3554</v>
      </c>
      <c r="B261" s="130" t="s">
        <v>1281</v>
      </c>
      <c r="C261" s="130" t="s">
        <v>1282</v>
      </c>
      <c r="D261" s="130" t="str">
        <f>IF('SIG 2021'!$D264="","",'SIG 2021'!$D264)</f>
        <v>No</v>
      </c>
      <c r="E261" s="130" t="str">
        <f>IF('SIG 2021'!$E264="","",'SIG 2021'!$E264)</f>
        <v>Seismic doesn't provide this information.</v>
      </c>
      <c r="F261" s="130" t="str">
        <f>IF('SIG 2021'!$F264="","",'SIG 2021'!F264)</f>
        <v/>
      </c>
      <c r="G261" s="130" t="s">
        <v>1271</v>
      </c>
      <c r="H261" s="130" t="s">
        <v>965</v>
      </c>
      <c r="I261" s="130"/>
      <c r="J261" s="130"/>
      <c r="K261" s="130" t="str">
        <f>IF('SIG 2021'!$AM264="","",'SIG 2021'!$AM264)</f>
        <v/>
      </c>
      <c r="L261" s="130" t="str">
        <f>IF('SIG 2021'!$AN264="","",'SIG 2021'!$AN264)</f>
        <v/>
      </c>
      <c r="M261" s="130" t="str">
        <f>IF('SIG 2021'!$AO264="","",'SIG 2021'!$AO264)</f>
        <v/>
      </c>
    </row>
    <row r="262" spans="1:13" ht="28.8" x14ac:dyDescent="0.5">
      <c r="A262" s="130">
        <v>4722</v>
      </c>
      <c r="B262" s="130" t="s">
        <v>251</v>
      </c>
      <c r="C262" s="130" t="s">
        <v>1284</v>
      </c>
      <c r="D262" s="130" t="str">
        <f>IF('SIG 2021'!$D265="","",'SIG 2021'!$D265)</f>
        <v>Yes</v>
      </c>
      <c r="E262" s="130" t="str">
        <f>IF('SIG 2021'!$E265="","",'SIG 2021'!$E265)</f>
        <v>Clients provision the application and data which is uploaded.</v>
      </c>
      <c r="F262" s="130" t="str">
        <f>IF('SIG 2021'!$F265="","",'SIG 2021'!F265)</f>
        <v/>
      </c>
      <c r="G262" s="130" t="s">
        <v>1271</v>
      </c>
      <c r="H262" s="130" t="s">
        <v>1286</v>
      </c>
      <c r="I262" s="130" t="s">
        <v>1287</v>
      </c>
      <c r="J262" s="130"/>
      <c r="K262" s="130" t="str">
        <f>IF('SIG 2021'!$AM265="","",'SIG 2021'!$AM265)</f>
        <v/>
      </c>
      <c r="L262" s="130" t="str">
        <f>IF('SIG 2021'!$AN265="","",'SIG 2021'!$AN265)</f>
        <v/>
      </c>
      <c r="M262" s="130" t="str">
        <f>IF('SIG 2021'!$AO265="","",'SIG 2021'!$AO265)</f>
        <v/>
      </c>
    </row>
    <row r="263" spans="1:13" ht="43.2" x14ac:dyDescent="0.5">
      <c r="A263" s="130">
        <v>3355</v>
      </c>
      <c r="B263" s="130" t="s">
        <v>1288</v>
      </c>
      <c r="C263" s="130" t="s">
        <v>1289</v>
      </c>
      <c r="D263" s="130" t="str">
        <f>IF('SIG 2021'!$D266="","",'SIG 2021'!$D266)</f>
        <v>Yes</v>
      </c>
      <c r="E263" s="130" t="str">
        <f>IF('SIG 2021'!$E266="","",'SIG 2021'!$E266)</f>
        <v xml:space="preserve">Support SAML 2.0.
</v>
      </c>
      <c r="F263" s="130" t="str">
        <f>IF('SIG 2021'!$F266="","",'SIG 2021'!F266)</f>
        <v/>
      </c>
      <c r="G263" s="130" t="s">
        <v>1271</v>
      </c>
      <c r="H263" s="130" t="s">
        <v>1286</v>
      </c>
      <c r="I263" s="130"/>
      <c r="J263" s="130"/>
      <c r="K263" s="130" t="str">
        <f>IF('SIG 2021'!$AM266="","",'SIG 2021'!$AM266)</f>
        <v/>
      </c>
      <c r="L263" s="130" t="str">
        <f>IF('SIG 2021'!$AN266="","",'SIG 2021'!$AN266)</f>
        <v/>
      </c>
      <c r="M263" s="130" t="str">
        <f>IF('SIG 2021'!$AO266="","",'SIG 2021'!$AO266)</f>
        <v/>
      </c>
    </row>
    <row r="264" spans="1:13" ht="43.2" x14ac:dyDescent="0.5">
      <c r="A264" s="130">
        <v>4238</v>
      </c>
      <c r="B264" s="130" t="s">
        <v>1291</v>
      </c>
      <c r="C264" s="130" t="s">
        <v>1292</v>
      </c>
      <c r="D264" s="130" t="str">
        <f>IF('SIG 2021'!$D267="","",'SIG 2021'!$D267)</f>
        <v>Yes</v>
      </c>
      <c r="E264" s="130" t="str">
        <f>IF('SIG 2021'!$E267="","",'SIG 2021'!$E267)</f>
        <v/>
      </c>
      <c r="F264" s="130" t="str">
        <f>IF('SIG 2021'!$F267="","",'SIG 2021'!F267)</f>
        <v/>
      </c>
      <c r="G264" s="130" t="s">
        <v>1271</v>
      </c>
      <c r="H264" s="130" t="s">
        <v>1286</v>
      </c>
      <c r="I264" s="130"/>
      <c r="J264" s="130"/>
      <c r="K264" s="130" t="str">
        <f>IF('SIG 2021'!$AM267="","",'SIG 2021'!$AM267)</f>
        <v/>
      </c>
      <c r="L264" s="130" t="str">
        <f>IF('SIG 2021'!$AN267="","",'SIG 2021'!$AN267)</f>
        <v/>
      </c>
      <c r="M264" s="130" t="str">
        <f>IF('SIG 2021'!$AO267="","",'SIG 2021'!$AO267)</f>
        <v/>
      </c>
    </row>
    <row r="265" spans="1:13" ht="43.2" x14ac:dyDescent="0.5">
      <c r="A265" s="130">
        <v>2657</v>
      </c>
      <c r="B265" s="130" t="s">
        <v>253</v>
      </c>
      <c r="C265" s="130" t="s">
        <v>1293</v>
      </c>
      <c r="D265" s="130" t="str">
        <f>IF('SIG 2021'!$D268="","",'SIG 2021'!$D268)</f>
        <v>Yes</v>
      </c>
      <c r="E265" s="130" t="str">
        <f>IF('SIG 2021'!$E268="","",'SIG 2021'!$E268)</f>
        <v/>
      </c>
      <c r="F265" s="130" t="str">
        <f>IF('SIG 2021'!$F268="","",'SIG 2021'!F268)</f>
        <v/>
      </c>
      <c r="G265" s="130" t="s">
        <v>1271</v>
      </c>
      <c r="H265" s="130" t="s">
        <v>1294</v>
      </c>
      <c r="I265" s="130"/>
      <c r="J265" s="130" t="s">
        <v>1295</v>
      </c>
      <c r="K265" s="130" t="str">
        <f>IF('SIG 2021'!$AM268="","",'SIG 2021'!$AM268)</f>
        <v/>
      </c>
      <c r="L265" s="130" t="str">
        <f>IF('SIG 2021'!$AN268="","",'SIG 2021'!$AN268)</f>
        <v/>
      </c>
      <c r="M265" s="130" t="str">
        <f>IF('SIG 2021'!$AO268="","",'SIG 2021'!$AO268)</f>
        <v/>
      </c>
    </row>
    <row r="266" spans="1:13" ht="28.8" x14ac:dyDescent="0.5">
      <c r="A266" s="130">
        <v>4723</v>
      </c>
      <c r="B266" s="130" t="s">
        <v>255</v>
      </c>
      <c r="C266" s="130" t="s">
        <v>1296</v>
      </c>
      <c r="D266" s="130" t="str">
        <f>IF('SIG 2021'!$D269="","",'SIG 2021'!$D269)</f>
        <v>Yes</v>
      </c>
      <c r="E266" s="130" t="str">
        <f>IF('SIG 2021'!$E269="","",'SIG 2021'!$E269)</f>
        <v/>
      </c>
      <c r="F266" s="130" t="str">
        <f>IF('SIG 2021'!$F269="","",'SIG 2021'!F269)</f>
        <v/>
      </c>
      <c r="G266" s="130" t="s">
        <v>1297</v>
      </c>
      <c r="H266" s="130" t="s">
        <v>1298</v>
      </c>
      <c r="I266" s="130"/>
      <c r="J266" s="130" t="s">
        <v>1299</v>
      </c>
      <c r="K266" s="130" t="str">
        <f>IF('SIG 2021'!$AM269="","",'SIG 2021'!$AM269)</f>
        <v/>
      </c>
      <c r="L266" s="130" t="str">
        <f>IF('SIG 2021'!$AN269="","",'SIG 2021'!$AN269)</f>
        <v/>
      </c>
      <c r="M266" s="130" t="str">
        <f>IF('SIG 2021'!$AO269="","",'SIG 2021'!$AO269)</f>
        <v/>
      </c>
    </row>
    <row r="267" spans="1:13" ht="43.2" x14ac:dyDescent="0.5">
      <c r="A267" s="130">
        <v>1911</v>
      </c>
      <c r="B267" s="130" t="s">
        <v>1300</v>
      </c>
      <c r="C267" s="130" t="s">
        <v>1301</v>
      </c>
      <c r="D267" s="130" t="str">
        <f>IF('SIG 2021'!$D270="","",'SIG 2021'!$D270)</f>
        <v>Yes</v>
      </c>
      <c r="E267" s="130" t="str">
        <f>IF('SIG 2021'!$E270="","",'SIG 2021'!$E270)</f>
        <v>Every user must have a unique ID. Accounts cannot be shared.</v>
      </c>
      <c r="F267" s="130" t="str">
        <f>IF('SIG 2021'!$F270="","",'SIG 2021'!F270)</f>
        <v/>
      </c>
      <c r="G267" s="130" t="s">
        <v>1297</v>
      </c>
      <c r="H267" s="130" t="s">
        <v>1298</v>
      </c>
      <c r="I267" s="130"/>
      <c r="J267" s="130" t="s">
        <v>1303</v>
      </c>
      <c r="K267" s="130" t="str">
        <f>IF('SIG 2021'!$AM270="","",'SIG 2021'!$AM270)</f>
        <v/>
      </c>
      <c r="L267" s="130" t="str">
        <f>IF('SIG 2021'!$AN270="","",'SIG 2021'!$AN270)</f>
        <v/>
      </c>
      <c r="M267" s="130" t="str">
        <f>IF('SIG 2021'!$AO270="","",'SIG 2021'!$AO270)</f>
        <v/>
      </c>
    </row>
    <row r="268" spans="1:13" ht="72" x14ac:dyDescent="0.5">
      <c r="A268" s="130">
        <v>1913</v>
      </c>
      <c r="B268" s="130" t="s">
        <v>1304</v>
      </c>
      <c r="C268" s="130" t="s">
        <v>1305</v>
      </c>
      <c r="D268" s="130" t="str">
        <f>IF('SIG 2021'!$D271="","",'SIG 2021'!$D271)</f>
        <v>Yes</v>
      </c>
      <c r="E268" s="130" t="str">
        <f>IF('SIG 2021'!$E271="","",'SIG 2021'!$E271)</f>
        <v/>
      </c>
      <c r="F268" s="130" t="str">
        <f>IF('SIG 2021'!$F271="","",'SIG 2021'!F271)</f>
        <v/>
      </c>
      <c r="G268" s="130" t="s">
        <v>1297</v>
      </c>
      <c r="H268" s="130" t="s">
        <v>1298</v>
      </c>
      <c r="I268" s="130"/>
      <c r="J268" s="130"/>
      <c r="K268" s="130" t="str">
        <f>IF('SIG 2021'!$AM271="","",'SIG 2021'!$AM271)</f>
        <v/>
      </c>
      <c r="L268" s="130" t="str">
        <f>IF('SIG 2021'!$AN271="","",'SIG 2021'!$AN271)</f>
        <v/>
      </c>
      <c r="M268" s="130" t="str">
        <f>IF('SIG 2021'!$AO271="","",'SIG 2021'!$AO271)</f>
        <v/>
      </c>
    </row>
    <row r="269" spans="1:13" ht="43.2" x14ac:dyDescent="0.5">
      <c r="A269" s="130">
        <v>1916</v>
      </c>
      <c r="B269" s="130" t="s">
        <v>1306</v>
      </c>
      <c r="C269" s="130" t="s">
        <v>1307</v>
      </c>
      <c r="D269" s="130" t="str">
        <f>IF('SIG 2021'!$D272="","",'SIG 2021'!$D272)</f>
        <v>Yes</v>
      </c>
      <c r="E269" s="130" t="str">
        <f>IF('SIG 2021'!$E272="","",'SIG 2021'!$E272)</f>
        <v/>
      </c>
      <c r="F269" s="130" t="str">
        <f>IF('SIG 2021'!$F272="","",'SIG 2021'!F272)</f>
        <v/>
      </c>
      <c r="G269" s="130" t="s">
        <v>1297</v>
      </c>
      <c r="H269" s="130" t="s">
        <v>1308</v>
      </c>
      <c r="I269" s="130" t="s">
        <v>1309</v>
      </c>
      <c r="J269" s="130" t="s">
        <v>1310</v>
      </c>
      <c r="K269" s="130" t="str">
        <f>IF('SIG 2021'!$AM272="","",'SIG 2021'!$AM272)</f>
        <v/>
      </c>
      <c r="L269" s="130" t="str">
        <f>IF('SIG 2021'!$AN272="","",'SIG 2021'!$AN272)</f>
        <v/>
      </c>
      <c r="M269" s="130" t="str">
        <f>IF('SIG 2021'!$AO272="","",'SIG 2021'!$AO272)</f>
        <v/>
      </c>
    </row>
    <row r="270" spans="1:13" ht="43.2" x14ac:dyDescent="0.5">
      <c r="A270" s="130">
        <v>1908</v>
      </c>
      <c r="B270" s="130" t="s">
        <v>1311</v>
      </c>
      <c r="C270" s="130" t="s">
        <v>1312</v>
      </c>
      <c r="D270" s="130" t="str">
        <f>IF('SIG 2021'!$D273="","",'SIG 2021'!$D273)</f>
        <v>Yes</v>
      </c>
      <c r="E270" s="130" t="str">
        <f>IF('SIG 2021'!$E273="","",'SIG 2021'!$E273)</f>
        <v/>
      </c>
      <c r="F270" s="130" t="str">
        <f>IF('SIG 2021'!$F273="","",'SIG 2021'!F273)</f>
        <v/>
      </c>
      <c r="G270" s="130" t="s">
        <v>1297</v>
      </c>
      <c r="H270" s="130" t="s">
        <v>1308</v>
      </c>
      <c r="I270" s="130" t="s">
        <v>1309</v>
      </c>
      <c r="J270" s="130" t="s">
        <v>1313</v>
      </c>
      <c r="K270" s="130" t="str">
        <f>IF('SIG 2021'!$AM273="","",'SIG 2021'!$AM273)</f>
        <v/>
      </c>
      <c r="L270" s="130" t="str">
        <f>IF('SIG 2021'!$AN273="","",'SIG 2021'!$AN273)</f>
        <v/>
      </c>
      <c r="M270" s="130" t="str">
        <f>IF('SIG 2021'!$AO273="","",'SIG 2021'!$AO273)</f>
        <v/>
      </c>
    </row>
    <row r="271" spans="1:13" ht="28.8" x14ac:dyDescent="0.5">
      <c r="A271" s="130">
        <v>842</v>
      </c>
      <c r="B271" s="130" t="s">
        <v>1314</v>
      </c>
      <c r="C271" s="130" t="s">
        <v>1315</v>
      </c>
      <c r="D271" s="130" t="str">
        <f>IF('SIG 2021'!$D274="","",'SIG 2021'!$D274)</f>
        <v>Yes</v>
      </c>
      <c r="E271" s="130" t="str">
        <f>IF('SIG 2021'!$E274="","",'SIG 2021'!$E274)</f>
        <v/>
      </c>
      <c r="F271" s="130" t="str">
        <f>IF('SIG 2021'!$F274="","",'SIG 2021'!F274)</f>
        <v/>
      </c>
      <c r="G271" s="130" t="s">
        <v>1297</v>
      </c>
      <c r="H271" s="130" t="s">
        <v>1308</v>
      </c>
      <c r="I271" s="130" t="s">
        <v>1309</v>
      </c>
      <c r="J271" s="130" t="s">
        <v>1316</v>
      </c>
      <c r="K271" s="130" t="str">
        <f>IF('SIG 2021'!$AM274="","",'SIG 2021'!$AM274)</f>
        <v/>
      </c>
      <c r="L271" s="130" t="str">
        <f>IF('SIG 2021'!$AN274="","",'SIG 2021'!$AN274)</f>
        <v/>
      </c>
      <c r="M271" s="130" t="str">
        <f>IF('SIG 2021'!$AO274="","",'SIG 2021'!$AO274)</f>
        <v/>
      </c>
    </row>
    <row r="272" spans="1:13" ht="43.2" x14ac:dyDescent="0.5">
      <c r="A272" s="130">
        <v>845</v>
      </c>
      <c r="B272" s="130" t="s">
        <v>1317</v>
      </c>
      <c r="C272" s="130" t="s">
        <v>1318</v>
      </c>
      <c r="D272" s="130" t="str">
        <f>IF('SIG 2021'!$D275="","",'SIG 2021'!$D275)</f>
        <v>Yes</v>
      </c>
      <c r="E272" s="130" t="str">
        <f>IF('SIG 2021'!$E275="","",'SIG 2021'!$E275)</f>
        <v/>
      </c>
      <c r="F272" s="130" t="str">
        <f>IF('SIG 2021'!$F275="","",'SIG 2021'!F275)</f>
        <v/>
      </c>
      <c r="G272" s="130" t="s">
        <v>1297</v>
      </c>
      <c r="H272" s="130" t="s">
        <v>1308</v>
      </c>
      <c r="I272" s="130" t="s">
        <v>1309</v>
      </c>
      <c r="J272" s="130" t="s">
        <v>1316</v>
      </c>
      <c r="K272" s="130" t="str">
        <f>IF('SIG 2021'!$AM275="","",'SIG 2021'!$AM275)</f>
        <v/>
      </c>
      <c r="L272" s="130" t="str">
        <f>IF('SIG 2021'!$AN275="","",'SIG 2021'!$AN275)</f>
        <v/>
      </c>
      <c r="M272" s="130" t="str">
        <f>IF('SIG 2021'!$AO275="","",'SIG 2021'!$AO275)</f>
        <v/>
      </c>
    </row>
    <row r="273" spans="1:13" ht="57.6" x14ac:dyDescent="0.5">
      <c r="A273" s="130">
        <v>4443</v>
      </c>
      <c r="B273" s="130" t="s">
        <v>1319</v>
      </c>
      <c r="C273" s="130" t="s">
        <v>1320</v>
      </c>
      <c r="D273" s="130" t="str">
        <f>IF('SIG 2021'!$D276="","",'SIG 2021'!$D276)</f>
        <v>Yes</v>
      </c>
      <c r="E273" s="130" t="str">
        <f>IF('SIG 2021'!$E276="","",'SIG 2021'!$E276)</f>
        <v/>
      </c>
      <c r="F273" s="130" t="str">
        <f>IF('SIG 2021'!$F276="","",'SIG 2021'!F276)</f>
        <v/>
      </c>
      <c r="G273" s="130" t="s">
        <v>1297</v>
      </c>
      <c r="H273" s="130" t="s">
        <v>1308</v>
      </c>
      <c r="I273" s="130"/>
      <c r="J273" s="130" t="s">
        <v>1316</v>
      </c>
      <c r="K273" s="130" t="str">
        <f>IF('SIG 2021'!$AM276="","",'SIG 2021'!$AM276)</f>
        <v/>
      </c>
      <c r="L273" s="130" t="str">
        <f>IF('SIG 2021'!$AN276="","",'SIG 2021'!$AN276)</f>
        <v/>
      </c>
      <c r="M273" s="130" t="str">
        <f>IF('SIG 2021'!$AO276="","",'SIG 2021'!$AO276)</f>
        <v/>
      </c>
    </row>
    <row r="274" spans="1:13" ht="43.2" x14ac:dyDescent="0.5">
      <c r="A274" s="130">
        <v>1922</v>
      </c>
      <c r="B274" s="130" t="s">
        <v>1321</v>
      </c>
      <c r="C274" s="130" t="s">
        <v>1322</v>
      </c>
      <c r="D274" s="130" t="str">
        <f>IF('SIG 2021'!$D277="","",'SIG 2021'!$D277)</f>
        <v>Yes</v>
      </c>
      <c r="E274" s="130" t="str">
        <f>IF('SIG 2021'!$E277="","",'SIG 2021'!$E277)</f>
        <v/>
      </c>
      <c r="F274" s="130" t="str">
        <f>IF('SIG 2021'!$F277="","",'SIG 2021'!F277)</f>
        <v/>
      </c>
      <c r="G274" s="130" t="s">
        <v>1297</v>
      </c>
      <c r="H274" s="130" t="s">
        <v>1308</v>
      </c>
      <c r="I274" s="130"/>
      <c r="J274" s="130" t="s">
        <v>1278</v>
      </c>
      <c r="K274" s="130" t="str">
        <f>IF('SIG 2021'!$AM277="","",'SIG 2021'!$AM277)</f>
        <v/>
      </c>
      <c r="L274" s="130" t="str">
        <f>IF('SIG 2021'!$AN277="","",'SIG 2021'!$AN277)</f>
        <v/>
      </c>
      <c r="M274" s="130" t="str">
        <f>IF('SIG 2021'!$AO277="","",'SIG 2021'!$AO277)</f>
        <v/>
      </c>
    </row>
    <row r="275" spans="1:13" ht="28.8" x14ac:dyDescent="0.5">
      <c r="A275" s="130">
        <v>1939</v>
      </c>
      <c r="B275" s="130" t="s">
        <v>257</v>
      </c>
      <c r="C275" s="130" t="s">
        <v>1323</v>
      </c>
      <c r="D275" s="130" t="str">
        <f>IF('SIG 2021'!$D278="","",'SIG 2021'!$D278)</f>
        <v>Yes</v>
      </c>
      <c r="E275" s="130" t="str">
        <f>IF('SIG 2021'!$E278="","",'SIG 2021'!$E278)</f>
        <v/>
      </c>
      <c r="F275" s="130" t="str">
        <f>IF('SIG 2021'!$F278="","",'SIG 2021'!F278)</f>
        <v/>
      </c>
      <c r="G275" s="130" t="s">
        <v>1324</v>
      </c>
      <c r="H275" s="130" t="s">
        <v>1325</v>
      </c>
      <c r="I275" s="130"/>
      <c r="J275" s="130" t="s">
        <v>1326</v>
      </c>
      <c r="K275" s="130" t="str">
        <f>IF('SIG 2021'!$AM278="","",'SIG 2021'!$AM278)</f>
        <v/>
      </c>
      <c r="L275" s="130" t="str">
        <f>IF('SIG 2021'!$AN278="","",'SIG 2021'!$AN278)</f>
        <v/>
      </c>
      <c r="M275" s="130" t="str">
        <f>IF('SIG 2021'!$AO278="","",'SIG 2021'!$AO278)</f>
        <v/>
      </c>
    </row>
    <row r="276" spans="1:13" ht="57.6" x14ac:dyDescent="0.5">
      <c r="A276" s="130">
        <v>4408</v>
      </c>
      <c r="B276" s="130" t="s">
        <v>259</v>
      </c>
      <c r="C276" s="130" t="s">
        <v>1327</v>
      </c>
      <c r="D276" s="130" t="str">
        <f>IF('SIG 2021'!$D279="","",'SIG 2021'!$D279)</f>
        <v>Yes</v>
      </c>
      <c r="E276" s="130" t="str">
        <f>IF('SIG 2021'!$E279="","",'SIG 2021'!$E279)</f>
        <v>Seismic implements SSO where able.  However, the Seismic Platform supports User Name and Password authentication.</v>
      </c>
      <c r="F276" s="130" t="str">
        <f>IF('SIG 2021'!$F279="","",'SIG 2021'!F279)</f>
        <v/>
      </c>
      <c r="G276" s="130" t="s">
        <v>1324</v>
      </c>
      <c r="H276" s="130" t="s">
        <v>1329</v>
      </c>
      <c r="I276" s="130"/>
      <c r="J276" s="130" t="s">
        <v>1330</v>
      </c>
      <c r="K276" s="130" t="str">
        <f>IF('SIG 2021'!$AM279="","",'SIG 2021'!$AM279)</f>
        <v/>
      </c>
      <c r="L276" s="130" t="str">
        <f>IF('SIG 2021'!$AN279="","",'SIG 2021'!$AN279)</f>
        <v/>
      </c>
      <c r="M276" s="130" t="str">
        <f>IF('SIG 2021'!$AO279="","",'SIG 2021'!$AO279)</f>
        <v/>
      </c>
    </row>
    <row r="277" spans="1:13" ht="86.4" x14ac:dyDescent="0.5">
      <c r="A277" s="130">
        <v>1949</v>
      </c>
      <c r="B277" s="130" t="s">
        <v>1331</v>
      </c>
      <c r="C277" s="130" t="s">
        <v>1332</v>
      </c>
      <c r="D277" s="130" t="str">
        <f>IF('SIG 2021'!$D280="","",'SIG 2021'!$D280)</f>
        <v>Yes</v>
      </c>
      <c r="E277" s="130" t="str">
        <f>IF('SIG 2021'!$E280="","",'SIG 2021'!$E280)</f>
        <v xml:space="preserve">Password controls are generally managed by the SSO provider.  In the event that Seismic is authenticating, password settings are configurable on a per tenant basis. </v>
      </c>
      <c r="F277" s="130" t="str">
        <f>IF('SIG 2021'!$F280="","",'SIG 2021'!F280)</f>
        <v/>
      </c>
      <c r="G277" s="130" t="s">
        <v>1324</v>
      </c>
      <c r="H277" s="130" t="s">
        <v>1329</v>
      </c>
      <c r="I277" s="130" t="s">
        <v>1334</v>
      </c>
      <c r="J277" s="130" t="s">
        <v>1335</v>
      </c>
      <c r="K277" s="130" t="str">
        <f>IF('SIG 2021'!$AM280="","",'SIG 2021'!$AM280)</f>
        <v/>
      </c>
      <c r="L277" s="130" t="str">
        <f>IF('SIG 2021'!$AN280="","",'SIG 2021'!$AN280)</f>
        <v/>
      </c>
      <c r="M277" s="130" t="str">
        <f>IF('SIG 2021'!$AO280="","",'SIG 2021'!$AO280)</f>
        <v/>
      </c>
    </row>
    <row r="278" spans="1:13" ht="72" x14ac:dyDescent="0.5">
      <c r="A278" s="130">
        <v>4724</v>
      </c>
      <c r="B278" s="130" t="s">
        <v>1336</v>
      </c>
      <c r="C278" s="130" t="s">
        <v>1337</v>
      </c>
      <c r="D278" s="130" t="str">
        <f>IF('SIG 2021'!$D281="","",'SIG 2021'!$D281)</f>
        <v>Yes</v>
      </c>
      <c r="E278" s="130" t="str">
        <f>IF('SIG 2021'!$E281="","",'SIG 2021'!$E281)</f>
        <v>Client passwords are configurable within the administrative console. If using SSO, password requirements are established by the identity provider.</v>
      </c>
      <c r="F278" s="130" t="str">
        <f>IF('SIG 2021'!$F281="","",'SIG 2021'!F281)</f>
        <v/>
      </c>
      <c r="G278" s="130" t="s">
        <v>1324</v>
      </c>
      <c r="H278" s="130" t="s">
        <v>1329</v>
      </c>
      <c r="I278" s="130"/>
      <c r="J278" s="130" t="s">
        <v>1339</v>
      </c>
      <c r="K278" s="130" t="str">
        <f>IF('SIG 2021'!$AM281="","",'SIG 2021'!$AM281)</f>
        <v/>
      </c>
      <c r="L278" s="130" t="str">
        <f>IF('SIG 2021'!$AN281="","",'SIG 2021'!$AN281)</f>
        <v/>
      </c>
      <c r="M278" s="130" t="str">
        <f>IF('SIG 2021'!$AO281="","",'SIG 2021'!$AO281)</f>
        <v/>
      </c>
    </row>
    <row r="279" spans="1:13" ht="72" x14ac:dyDescent="0.5">
      <c r="A279" s="130">
        <v>4725</v>
      </c>
      <c r="B279" s="130" t="s">
        <v>1340</v>
      </c>
      <c r="C279" s="130" t="s">
        <v>1341</v>
      </c>
      <c r="D279" s="130" t="str">
        <f>IF('SIG 2021'!$D282="","",'SIG 2021'!$D282)</f>
        <v>Yes</v>
      </c>
      <c r="E279" s="130" t="str">
        <f>IF('SIG 2021'!$E282="","",'SIG 2021'!$E282)</f>
        <v>Client passwords are configurable within the administrative console. If using SSO, password requirements are established by the identity provider.</v>
      </c>
      <c r="F279" s="130" t="str">
        <f>IF('SIG 2021'!$F282="","",'SIG 2021'!F282)</f>
        <v/>
      </c>
      <c r="G279" s="130" t="s">
        <v>1324</v>
      </c>
      <c r="H279" s="130" t="s">
        <v>1342</v>
      </c>
      <c r="I279" s="130" t="s">
        <v>1334</v>
      </c>
      <c r="J279" s="130" t="s">
        <v>1343</v>
      </c>
      <c r="K279" s="130" t="str">
        <f>IF('SIG 2021'!$AM282="","",'SIG 2021'!$AM282)</f>
        <v/>
      </c>
      <c r="L279" s="130" t="str">
        <f>IF('SIG 2021'!$AN282="","",'SIG 2021'!$AN282)</f>
        <v/>
      </c>
      <c r="M279" s="130" t="str">
        <f>IF('SIG 2021'!$AO282="","",'SIG 2021'!$AO282)</f>
        <v/>
      </c>
    </row>
    <row r="280" spans="1:13" ht="28.8" x14ac:dyDescent="0.5">
      <c r="A280" s="130">
        <v>4227</v>
      </c>
      <c r="B280" s="130" t="s">
        <v>1344</v>
      </c>
      <c r="C280" s="130" t="s">
        <v>1345</v>
      </c>
      <c r="D280" s="130" t="str">
        <f>IF('SIG 2021'!$D283="","",'SIG 2021'!$D283)</f>
        <v>Yes</v>
      </c>
      <c r="E280" s="130" t="str">
        <f>IF('SIG 2021'!$E283="","",'SIG 2021'!$E283)</f>
        <v/>
      </c>
      <c r="F280" s="130" t="str">
        <f>IF('SIG 2021'!$F283="","",'SIG 2021'!F283)</f>
        <v/>
      </c>
      <c r="G280" s="130" t="s">
        <v>1324</v>
      </c>
      <c r="H280" s="130" t="s">
        <v>1342</v>
      </c>
      <c r="I280" s="130"/>
      <c r="J280" s="130" t="s">
        <v>1346</v>
      </c>
      <c r="K280" s="130" t="str">
        <f>IF('SIG 2021'!$AM283="","",'SIG 2021'!$AM283)</f>
        <v/>
      </c>
      <c r="L280" s="130" t="str">
        <f>IF('SIG 2021'!$AN283="","",'SIG 2021'!$AN283)</f>
        <v/>
      </c>
      <c r="M280" s="130" t="str">
        <f>IF('SIG 2021'!$AO283="","",'SIG 2021'!$AO283)</f>
        <v/>
      </c>
    </row>
    <row r="281" spans="1:13" ht="57.6" x14ac:dyDescent="0.5">
      <c r="A281" s="130">
        <v>1975</v>
      </c>
      <c r="B281" s="130" t="s">
        <v>1347</v>
      </c>
      <c r="C281" s="130" t="s">
        <v>1348</v>
      </c>
      <c r="D281" s="130" t="str">
        <f>IF('SIG 2021'!$D284="","",'SIG 2021'!$D284)</f>
        <v>Yes</v>
      </c>
      <c r="E281" s="130" t="str">
        <f>IF('SIG 2021'!$E284="","",'SIG 2021'!$E284)</f>
        <v/>
      </c>
      <c r="F281" s="130" t="str">
        <f>IF('SIG 2021'!$F284="","",'SIG 2021'!F284)</f>
        <v/>
      </c>
      <c r="G281" s="130" t="s">
        <v>1324</v>
      </c>
      <c r="H281" s="130" t="s">
        <v>1342</v>
      </c>
      <c r="I281" s="130"/>
      <c r="J281" s="130" t="s">
        <v>1346</v>
      </c>
      <c r="K281" s="130" t="str">
        <f>IF('SIG 2021'!$AM284="","",'SIG 2021'!$AM284)</f>
        <v/>
      </c>
      <c r="L281" s="130" t="str">
        <f>IF('SIG 2021'!$AN284="","",'SIG 2021'!$AN284)</f>
        <v/>
      </c>
      <c r="M281" s="130" t="str">
        <f>IF('SIG 2021'!$AO284="","",'SIG 2021'!$AO284)</f>
        <v/>
      </c>
    </row>
    <row r="282" spans="1:13" ht="43.2" x14ac:dyDescent="0.5">
      <c r="A282" s="130">
        <v>4232</v>
      </c>
      <c r="B282" s="130" t="s">
        <v>1349</v>
      </c>
      <c r="C282" s="130" t="s">
        <v>1350</v>
      </c>
      <c r="D282" s="130" t="str">
        <f>IF('SIG 2021'!$D285="","",'SIG 2021'!$D285)</f>
        <v>Yes</v>
      </c>
      <c r="E282" s="130" t="str">
        <f>IF('SIG 2021'!$E285="","",'SIG 2021'!$E285)</f>
        <v/>
      </c>
      <c r="F282" s="130" t="str">
        <f>IF('SIG 2021'!$F285="","",'SIG 2021'!F285)</f>
        <v/>
      </c>
      <c r="G282" s="130" t="s">
        <v>1324</v>
      </c>
      <c r="H282" s="130" t="s">
        <v>1342</v>
      </c>
      <c r="I282" s="130"/>
      <c r="J282" s="130" t="s">
        <v>1343</v>
      </c>
      <c r="K282" s="130" t="str">
        <f>IF('SIG 2021'!$AM285="","",'SIG 2021'!$AM285)</f>
        <v/>
      </c>
      <c r="L282" s="130" t="str">
        <f>IF('SIG 2021'!$AN285="","",'SIG 2021'!$AN285)</f>
        <v/>
      </c>
      <c r="M282" s="130" t="str">
        <f>IF('SIG 2021'!$AO285="","",'SIG 2021'!$AO285)</f>
        <v/>
      </c>
    </row>
    <row r="283" spans="1:13" ht="28.8" x14ac:dyDescent="0.5">
      <c r="A283" s="130">
        <v>4727</v>
      </c>
      <c r="B283" s="130" t="s">
        <v>1351</v>
      </c>
      <c r="C283" s="130" t="s">
        <v>1352</v>
      </c>
      <c r="D283" s="130" t="str">
        <f>IF('SIG 2021'!$D286="","",'SIG 2021'!$D286)</f>
        <v>Yes</v>
      </c>
      <c r="E283" s="130" t="str">
        <f>IF('SIG 2021'!$E286="","",'SIG 2021'!$E286)</f>
        <v/>
      </c>
      <c r="F283" s="130" t="str">
        <f>IF('SIG 2021'!$F286="","",'SIG 2021'!F286)</f>
        <v/>
      </c>
      <c r="G283" s="130" t="s">
        <v>1324</v>
      </c>
      <c r="H283" s="130" t="s">
        <v>1353</v>
      </c>
      <c r="I283" s="130" t="s">
        <v>1334</v>
      </c>
      <c r="J283" s="130" t="s">
        <v>1346</v>
      </c>
      <c r="K283" s="130" t="str">
        <f>IF('SIG 2021'!$AM286="","",'SIG 2021'!$AM286)</f>
        <v/>
      </c>
      <c r="L283" s="130" t="str">
        <f>IF('SIG 2021'!$AN286="","",'SIG 2021'!$AN286)</f>
        <v/>
      </c>
      <c r="M283" s="130" t="str">
        <f>IF('SIG 2021'!$AO286="","",'SIG 2021'!$AO286)</f>
        <v/>
      </c>
    </row>
    <row r="284" spans="1:13" ht="43.2" x14ac:dyDescent="0.5">
      <c r="A284" s="130">
        <v>4230</v>
      </c>
      <c r="B284" s="130" t="s">
        <v>1354</v>
      </c>
      <c r="C284" s="130" t="s">
        <v>1355</v>
      </c>
      <c r="D284" s="130" t="str">
        <f>IF('SIG 2021'!$D287="","",'SIG 2021'!$D287)</f>
        <v>Yes</v>
      </c>
      <c r="E284" s="130" t="str">
        <f>IF('SIG 2021'!$E287="","",'SIG 2021'!$E287)</f>
        <v/>
      </c>
      <c r="F284" s="130" t="str">
        <f>IF('SIG 2021'!$F287="","",'SIG 2021'!F287)</f>
        <v/>
      </c>
      <c r="G284" s="130" t="s">
        <v>1324</v>
      </c>
      <c r="H284" s="130" t="s">
        <v>1353</v>
      </c>
      <c r="I284" s="130" t="s">
        <v>1334</v>
      </c>
      <c r="J284" s="130" t="s">
        <v>1346</v>
      </c>
      <c r="K284" s="130" t="str">
        <f>IF('SIG 2021'!$AM287="","",'SIG 2021'!$AM287)</f>
        <v/>
      </c>
      <c r="L284" s="130" t="str">
        <f>IF('SIG 2021'!$AN287="","",'SIG 2021'!$AN287)</f>
        <v/>
      </c>
      <c r="M284" s="130" t="str">
        <f>IF('SIG 2021'!$AO287="","",'SIG 2021'!$AO287)</f>
        <v/>
      </c>
    </row>
    <row r="285" spans="1:13" ht="28.8" x14ac:dyDescent="0.5">
      <c r="A285" s="130">
        <v>4231</v>
      </c>
      <c r="B285" s="130" t="s">
        <v>1356</v>
      </c>
      <c r="C285" s="130" t="s">
        <v>1357</v>
      </c>
      <c r="D285" s="130" t="str">
        <f>IF('SIG 2021'!$D288="","",'SIG 2021'!$D288)</f>
        <v>Yes</v>
      </c>
      <c r="E285" s="130" t="str">
        <f>IF('SIG 2021'!$E288="","",'SIG 2021'!$E288)</f>
        <v/>
      </c>
      <c r="F285" s="130" t="str">
        <f>IF('SIG 2021'!$F288="","",'SIG 2021'!F288)</f>
        <v/>
      </c>
      <c r="G285" s="130" t="s">
        <v>1324</v>
      </c>
      <c r="H285" s="130" t="s">
        <v>1353</v>
      </c>
      <c r="I285" s="130"/>
      <c r="J285" s="130" t="s">
        <v>1346</v>
      </c>
      <c r="K285" s="130" t="str">
        <f>IF('SIG 2021'!$AM288="","",'SIG 2021'!$AM288)</f>
        <v/>
      </c>
      <c r="L285" s="130" t="str">
        <f>IF('SIG 2021'!$AN288="","",'SIG 2021'!$AN288)</f>
        <v/>
      </c>
      <c r="M285" s="130" t="str">
        <f>IF('SIG 2021'!$AO288="","",'SIG 2021'!$AO288)</f>
        <v/>
      </c>
    </row>
    <row r="286" spans="1:13" ht="43.2" x14ac:dyDescent="0.5">
      <c r="A286" s="130">
        <v>2971</v>
      </c>
      <c r="B286" s="130" t="s">
        <v>1358</v>
      </c>
      <c r="C286" s="130" t="s">
        <v>1359</v>
      </c>
      <c r="D286" s="130" t="str">
        <f>IF('SIG 2021'!$D289="","",'SIG 2021'!$D289)</f>
        <v>Yes</v>
      </c>
      <c r="E286" s="130" t="str">
        <f>IF('SIG 2021'!$E289="","",'SIG 2021'!$E289)</f>
        <v/>
      </c>
      <c r="F286" s="130" t="str">
        <f>IF('SIG 2021'!$F289="","",'SIG 2021'!F289)</f>
        <v/>
      </c>
      <c r="G286" s="130" t="s">
        <v>1324</v>
      </c>
      <c r="H286" s="130" t="s">
        <v>1353</v>
      </c>
      <c r="I286" s="130" t="s">
        <v>1334</v>
      </c>
      <c r="J286" s="130" t="s">
        <v>1346</v>
      </c>
      <c r="K286" s="130" t="str">
        <f>IF('SIG 2021'!$AM289="","",'SIG 2021'!$AM289)</f>
        <v/>
      </c>
      <c r="L286" s="130" t="str">
        <f>IF('SIG 2021'!$AN289="","",'SIG 2021'!$AN289)</f>
        <v/>
      </c>
      <c r="M286" s="130" t="str">
        <f>IF('SIG 2021'!$AO289="","",'SIG 2021'!$AO289)</f>
        <v/>
      </c>
    </row>
    <row r="287" spans="1:13" ht="28.8" x14ac:dyDescent="0.5">
      <c r="A287" s="130">
        <v>1978</v>
      </c>
      <c r="B287" s="130" t="s">
        <v>1360</v>
      </c>
      <c r="C287" s="130" t="s">
        <v>1361</v>
      </c>
      <c r="D287" s="130" t="str">
        <f>IF('SIG 2021'!$D290="","",'SIG 2021'!$D290)</f>
        <v>Yes</v>
      </c>
      <c r="E287" s="130" t="str">
        <f>IF('SIG 2021'!$E290="","",'SIG 2021'!$E290)</f>
        <v/>
      </c>
      <c r="F287" s="130" t="str">
        <f>IF('SIG 2021'!$F290="","",'SIG 2021'!F290)</f>
        <v/>
      </c>
      <c r="G287" s="130" t="s">
        <v>1324</v>
      </c>
      <c r="H287" s="130" t="s">
        <v>1362</v>
      </c>
      <c r="I287" s="130" t="s">
        <v>1334</v>
      </c>
      <c r="J287" s="130" t="s">
        <v>1346</v>
      </c>
      <c r="K287" s="130" t="str">
        <f>IF('SIG 2021'!$AM290="","",'SIG 2021'!$AM290)</f>
        <v/>
      </c>
      <c r="L287" s="130" t="str">
        <f>IF('SIG 2021'!$AN290="","",'SIG 2021'!$AN290)</f>
        <v/>
      </c>
      <c r="M287" s="130" t="str">
        <f>IF('SIG 2021'!$AO290="","",'SIG 2021'!$AO290)</f>
        <v/>
      </c>
    </row>
    <row r="288" spans="1:13" ht="43.2" x14ac:dyDescent="0.5">
      <c r="A288" s="130">
        <v>2661</v>
      </c>
      <c r="B288" s="130" t="s">
        <v>1363</v>
      </c>
      <c r="C288" s="130" t="s">
        <v>1364</v>
      </c>
      <c r="D288" s="130" t="str">
        <f>IF('SIG 2021'!$D291="","",'SIG 2021'!$D291)</f>
        <v>Yes</v>
      </c>
      <c r="E288" s="130" t="str">
        <f>IF('SIG 2021'!$E291="","",'SIG 2021'!$E291)</f>
        <v/>
      </c>
      <c r="F288" s="130" t="str">
        <f>IF('SIG 2021'!$F291="","",'SIG 2021'!F291)</f>
        <v/>
      </c>
      <c r="G288" s="130" t="s">
        <v>1324</v>
      </c>
      <c r="H288" s="130" t="s">
        <v>1365</v>
      </c>
      <c r="I288" s="130"/>
      <c r="J288" s="130" t="s">
        <v>1366</v>
      </c>
      <c r="K288" s="130" t="str">
        <f>IF('SIG 2021'!$AM291="","",'SIG 2021'!$AM291)</f>
        <v/>
      </c>
      <c r="L288" s="130" t="str">
        <f>IF('SIG 2021'!$AN291="","",'SIG 2021'!$AN291)</f>
        <v/>
      </c>
      <c r="M288" s="130" t="str">
        <f>IF('SIG 2021'!$AO291="","",'SIG 2021'!$AO291)</f>
        <v/>
      </c>
    </row>
    <row r="289" spans="1:13" ht="43.2" x14ac:dyDescent="0.5">
      <c r="A289" s="130">
        <v>1974</v>
      </c>
      <c r="B289" s="130" t="s">
        <v>1367</v>
      </c>
      <c r="C289" s="130" t="s">
        <v>1368</v>
      </c>
      <c r="D289" s="130" t="str">
        <f>IF('SIG 2021'!$D292="","",'SIG 2021'!$D292)</f>
        <v>Yes</v>
      </c>
      <c r="E289" s="130" t="str">
        <f>IF('SIG 2021'!$E292="","",'SIG 2021'!$E292)</f>
        <v/>
      </c>
      <c r="F289" s="130" t="str">
        <f>IF('SIG 2021'!$F292="","",'SIG 2021'!F292)</f>
        <v/>
      </c>
      <c r="G289" s="130" t="s">
        <v>1324</v>
      </c>
      <c r="H289" s="130" t="s">
        <v>1365</v>
      </c>
      <c r="I289" s="130" t="s">
        <v>1334</v>
      </c>
      <c r="J289" s="130" t="s">
        <v>1366</v>
      </c>
      <c r="K289" s="130" t="str">
        <f>IF('SIG 2021'!$AM292="","",'SIG 2021'!$AM292)</f>
        <v/>
      </c>
      <c r="L289" s="130" t="str">
        <f>IF('SIG 2021'!$AN292="","",'SIG 2021'!$AN292)</f>
        <v/>
      </c>
      <c r="M289" s="130" t="str">
        <f>IF('SIG 2021'!$AO292="","",'SIG 2021'!$AO292)</f>
        <v/>
      </c>
    </row>
    <row r="290" spans="1:13" ht="43.2" x14ac:dyDescent="0.5">
      <c r="A290" s="130">
        <v>2662</v>
      </c>
      <c r="B290" s="130" t="s">
        <v>1369</v>
      </c>
      <c r="C290" s="130" t="s">
        <v>1370</v>
      </c>
      <c r="D290" s="130" t="str">
        <f>IF('SIG 2021'!$D293="","",'SIG 2021'!$D293)</f>
        <v>Yes</v>
      </c>
      <c r="E290" s="130" t="str">
        <f>IF('SIG 2021'!$E293="","",'SIG 2021'!$E293)</f>
        <v/>
      </c>
      <c r="F290" s="130" t="str">
        <f>IF('SIG 2021'!$F293="","",'SIG 2021'!F293)</f>
        <v/>
      </c>
      <c r="G290" s="130" t="s">
        <v>1324</v>
      </c>
      <c r="H290" s="130" t="s">
        <v>1365</v>
      </c>
      <c r="I290" s="130"/>
      <c r="J290" s="130" t="s">
        <v>1366</v>
      </c>
      <c r="K290" s="130" t="str">
        <f>IF('SIG 2021'!$AM293="","",'SIG 2021'!$AM293)</f>
        <v/>
      </c>
      <c r="L290" s="130" t="str">
        <f>IF('SIG 2021'!$AN293="","",'SIG 2021'!$AN293)</f>
        <v/>
      </c>
      <c r="M290" s="130" t="str">
        <f>IF('SIG 2021'!$AO293="","",'SIG 2021'!$AO293)</f>
        <v/>
      </c>
    </row>
    <row r="291" spans="1:13" ht="43.2" x14ac:dyDescent="0.5">
      <c r="A291" s="130">
        <v>1979</v>
      </c>
      <c r="B291" s="130" t="s">
        <v>1371</v>
      </c>
      <c r="C291" s="130" t="s">
        <v>1372</v>
      </c>
      <c r="D291" s="130" t="str">
        <f>IF('SIG 2021'!$D294="","",'SIG 2021'!$D294)</f>
        <v>Yes</v>
      </c>
      <c r="E291" s="130" t="str">
        <f>IF('SIG 2021'!$E294="","",'SIG 2021'!$E294)</f>
        <v/>
      </c>
      <c r="F291" s="130" t="str">
        <f>IF('SIG 2021'!$F294="","",'SIG 2021'!F294)</f>
        <v/>
      </c>
      <c r="G291" s="130" t="s">
        <v>1324</v>
      </c>
      <c r="H291" s="130" t="s">
        <v>1365</v>
      </c>
      <c r="I291" s="130" t="s">
        <v>1334</v>
      </c>
      <c r="J291" s="130" t="s">
        <v>1343</v>
      </c>
      <c r="K291" s="130" t="str">
        <f>IF('SIG 2021'!$AM294="","",'SIG 2021'!$AM294)</f>
        <v/>
      </c>
      <c r="L291" s="130" t="str">
        <f>IF('SIG 2021'!$AN294="","",'SIG 2021'!$AN294)</f>
        <v/>
      </c>
      <c r="M291" s="130" t="str">
        <f>IF('SIG 2021'!$AO294="","",'SIG 2021'!$AO294)</f>
        <v/>
      </c>
    </row>
    <row r="292" spans="1:13" ht="28.8" x14ac:dyDescent="0.5">
      <c r="A292" s="130">
        <v>4233</v>
      </c>
      <c r="B292" s="130" t="s">
        <v>1373</v>
      </c>
      <c r="C292" s="130" t="s">
        <v>1374</v>
      </c>
      <c r="D292" s="130" t="str">
        <f>IF('SIG 2021'!$D295="","",'SIG 2021'!$D295)</f>
        <v>Yes</v>
      </c>
      <c r="E292" s="130" t="str">
        <f>IF('SIG 2021'!$E295="","",'SIG 2021'!$E295)</f>
        <v/>
      </c>
      <c r="F292" s="130" t="str">
        <f>IF('SIG 2021'!$F295="","",'SIG 2021'!F295)</f>
        <v/>
      </c>
      <c r="G292" s="130" t="s">
        <v>1324</v>
      </c>
      <c r="H292" s="130" t="s">
        <v>1365</v>
      </c>
      <c r="I292" s="130" t="s">
        <v>804</v>
      </c>
      <c r="J292" s="130" t="s">
        <v>1346</v>
      </c>
      <c r="K292" s="130" t="str">
        <f>IF('SIG 2021'!$AM295="","",'SIG 2021'!$AM295)</f>
        <v/>
      </c>
      <c r="L292" s="130" t="str">
        <f>IF('SIG 2021'!$AN295="","",'SIG 2021'!$AN295)</f>
        <v/>
      </c>
      <c r="M292" s="130" t="str">
        <f>IF('SIG 2021'!$AO295="","",'SIG 2021'!$AO295)</f>
        <v/>
      </c>
    </row>
    <row r="293" spans="1:13" ht="86.4" x14ac:dyDescent="0.5">
      <c r="A293" s="130">
        <v>4234</v>
      </c>
      <c r="B293" s="130" t="s">
        <v>1375</v>
      </c>
      <c r="C293" s="130" t="s">
        <v>1376</v>
      </c>
      <c r="D293" s="130" t="str">
        <f>IF('SIG 2021'!$D296="","",'SIG 2021'!$D296)</f>
        <v>Yes</v>
      </c>
      <c r="E293" s="130" t="str">
        <f>IF('SIG 2021'!$E296="","",'SIG 2021'!$E296)</f>
        <v>Passwords are encrypted using PBKDF2 with salt. Additional encryption as well using AES-256 encryption at rest. If using SSO, Seismic does not store any passwords.</v>
      </c>
      <c r="F293" s="130" t="str">
        <f>IF('SIG 2021'!$F296="","",'SIG 2021'!F296)</f>
        <v/>
      </c>
      <c r="G293" s="130" t="s">
        <v>1324</v>
      </c>
      <c r="H293" s="130" t="s">
        <v>1365</v>
      </c>
      <c r="I293" s="130" t="s">
        <v>804</v>
      </c>
      <c r="J293" s="130" t="s">
        <v>1346</v>
      </c>
      <c r="K293" s="130" t="str">
        <f>IF('SIG 2021'!$AM296="","",'SIG 2021'!$AM296)</f>
        <v/>
      </c>
      <c r="L293" s="130" t="str">
        <f>IF('SIG 2021'!$AN296="","",'SIG 2021'!$AN296)</f>
        <v/>
      </c>
      <c r="M293" s="130" t="str">
        <f>IF('SIG 2021'!$AO296="","",'SIG 2021'!$AO296)</f>
        <v/>
      </c>
    </row>
    <row r="294" spans="1:13" ht="43.2" x14ac:dyDescent="0.5">
      <c r="A294" s="130">
        <v>5651</v>
      </c>
      <c r="B294" s="130" t="s">
        <v>1378</v>
      </c>
      <c r="C294" s="130" t="s">
        <v>1379</v>
      </c>
      <c r="D294" s="130" t="str">
        <f>IF('SIG 2021'!$D297="","",'SIG 2021'!$D297)</f>
        <v>Yes</v>
      </c>
      <c r="E294" s="130" t="str">
        <f>IF('SIG 2021'!$E297="","",'SIG 2021'!$E297)</f>
        <v/>
      </c>
      <c r="F294" s="130" t="str">
        <f>IF('SIG 2021'!$F297="","",'SIG 2021'!F297)</f>
        <v/>
      </c>
      <c r="G294" s="130" t="s">
        <v>1324</v>
      </c>
      <c r="H294" s="130" t="s">
        <v>1365</v>
      </c>
      <c r="I294" s="130"/>
      <c r="J294" s="130" t="s">
        <v>1346</v>
      </c>
      <c r="K294" s="130" t="str">
        <f>IF('SIG 2021'!$AM297="","",'SIG 2021'!$AM297)</f>
        <v/>
      </c>
      <c r="L294" s="130" t="str">
        <f>IF('SIG 2021'!$AN297="","",'SIG 2021'!$AN297)</f>
        <v/>
      </c>
      <c r="M294" s="130" t="str">
        <f>IF('SIG 2021'!$AO297="","",'SIG 2021'!$AO297)</f>
        <v/>
      </c>
    </row>
    <row r="295" spans="1:13" ht="28.8" x14ac:dyDescent="0.5">
      <c r="A295" s="130">
        <v>4235</v>
      </c>
      <c r="B295" s="130" t="s">
        <v>1380</v>
      </c>
      <c r="C295" s="130" t="s">
        <v>1381</v>
      </c>
      <c r="D295" s="130" t="str">
        <f>IF('SIG 2021'!$D298="","",'SIG 2021'!$D298)</f>
        <v>Yes</v>
      </c>
      <c r="E295" s="130" t="str">
        <f>IF('SIG 2021'!$E298="","",'SIG 2021'!$E298)</f>
        <v/>
      </c>
      <c r="F295" s="130" t="str">
        <f>IF('SIG 2021'!$F298="","",'SIG 2021'!F298)</f>
        <v/>
      </c>
      <c r="G295" s="130" t="s">
        <v>1324</v>
      </c>
      <c r="H295" s="130" t="s">
        <v>1365</v>
      </c>
      <c r="I295" s="130" t="s">
        <v>1334</v>
      </c>
      <c r="J295" s="130" t="s">
        <v>1346</v>
      </c>
      <c r="K295" s="130" t="str">
        <f>IF('SIG 2021'!$AM298="","",'SIG 2021'!$AM298)</f>
        <v/>
      </c>
      <c r="L295" s="130" t="str">
        <f>IF('SIG 2021'!$AN298="","",'SIG 2021'!$AN298)</f>
        <v/>
      </c>
      <c r="M295" s="130" t="str">
        <f>IF('SIG 2021'!$AO298="","",'SIG 2021'!$AO298)</f>
        <v/>
      </c>
    </row>
    <row r="296" spans="1:13" ht="28.8" x14ac:dyDescent="0.5">
      <c r="A296" s="130">
        <v>2008</v>
      </c>
      <c r="B296" s="130" t="s">
        <v>1382</v>
      </c>
      <c r="C296" s="130" t="s">
        <v>1383</v>
      </c>
      <c r="D296" s="130" t="str">
        <f>IF('SIG 2021'!$D299="","",'SIG 2021'!$D299)</f>
        <v>Yes</v>
      </c>
      <c r="E296" s="130" t="str">
        <f>IF('SIG 2021'!$E299="","",'SIG 2021'!$E299)</f>
        <v/>
      </c>
      <c r="F296" s="130" t="str">
        <f>IF('SIG 2021'!$F299="","",'SIG 2021'!F299)</f>
        <v/>
      </c>
      <c r="G296" s="130" t="s">
        <v>1324</v>
      </c>
      <c r="H296" s="130" t="s">
        <v>1365</v>
      </c>
      <c r="I296" s="130"/>
      <c r="J296" s="130" t="s">
        <v>1384</v>
      </c>
      <c r="K296" s="130" t="str">
        <f>IF('SIG 2021'!$AM299="","",'SIG 2021'!$AM299)</f>
        <v/>
      </c>
      <c r="L296" s="130" t="str">
        <f>IF('SIG 2021'!$AN299="","",'SIG 2021'!$AN299)</f>
        <v/>
      </c>
      <c r="M296" s="130" t="str">
        <f>IF('SIG 2021'!$AO299="","",'SIG 2021'!$AO299)</f>
        <v/>
      </c>
    </row>
    <row r="297" spans="1:13" ht="43.2" x14ac:dyDescent="0.5">
      <c r="A297" s="130">
        <v>3212</v>
      </c>
      <c r="B297" s="130" t="s">
        <v>1385</v>
      </c>
      <c r="C297" s="130" t="s">
        <v>1386</v>
      </c>
      <c r="D297" s="130" t="str">
        <f>IF('SIG 2021'!$D300="","",'SIG 2021'!$D300)</f>
        <v>Yes</v>
      </c>
      <c r="E297" s="130" t="str">
        <f>IF('SIG 2021'!$E300="","",'SIG 2021'!$E300)</f>
        <v/>
      </c>
      <c r="F297" s="130" t="str">
        <f>IF('SIG 2021'!$F300="","",'SIG 2021'!F300)</f>
        <v/>
      </c>
      <c r="G297" s="130" t="s">
        <v>1324</v>
      </c>
      <c r="H297" s="130" t="s">
        <v>1365</v>
      </c>
      <c r="I297" s="130"/>
      <c r="J297" s="130" t="s">
        <v>1384</v>
      </c>
      <c r="K297" s="130" t="str">
        <f>IF('SIG 2021'!$AM300="","",'SIG 2021'!$AM300)</f>
        <v/>
      </c>
      <c r="L297" s="130" t="str">
        <f>IF('SIG 2021'!$AN300="","",'SIG 2021'!$AN300)</f>
        <v/>
      </c>
      <c r="M297" s="130" t="str">
        <f>IF('SIG 2021'!$AO300="","",'SIG 2021'!$AO300)</f>
        <v/>
      </c>
    </row>
    <row r="298" spans="1:13" ht="43.2" x14ac:dyDescent="0.5">
      <c r="A298" s="130">
        <v>1977</v>
      </c>
      <c r="B298" s="130" t="s">
        <v>1387</v>
      </c>
      <c r="C298" s="130" t="s">
        <v>1388</v>
      </c>
      <c r="D298" s="130" t="str">
        <f>IF('SIG 2021'!$D301="","",'SIG 2021'!$D301)</f>
        <v>Yes</v>
      </c>
      <c r="E298" s="130" t="str">
        <f>IF('SIG 2021'!$E301="","",'SIG 2021'!$E301)</f>
        <v/>
      </c>
      <c r="F298" s="130" t="str">
        <f>IF('SIG 2021'!$F301="","",'SIG 2021'!F301)</f>
        <v/>
      </c>
      <c r="G298" s="130" t="s">
        <v>1324</v>
      </c>
      <c r="H298" s="130" t="s">
        <v>1365</v>
      </c>
      <c r="I298" s="130"/>
      <c r="J298" s="130" t="s">
        <v>1366</v>
      </c>
      <c r="K298" s="130" t="str">
        <f>IF('SIG 2021'!$AM301="","",'SIG 2021'!$AM301)</f>
        <v/>
      </c>
      <c r="L298" s="130" t="str">
        <f>IF('SIG 2021'!$AN301="","",'SIG 2021'!$AN301)</f>
        <v/>
      </c>
      <c r="M298" s="130" t="str">
        <f>IF('SIG 2021'!$AO301="","",'SIG 2021'!$AO301)</f>
        <v/>
      </c>
    </row>
    <row r="299" spans="1:13" ht="43.2" x14ac:dyDescent="0.5">
      <c r="A299" s="130">
        <v>4236</v>
      </c>
      <c r="B299" s="130" t="s">
        <v>1389</v>
      </c>
      <c r="C299" s="130" t="s">
        <v>1390</v>
      </c>
      <c r="D299" s="130" t="str">
        <f>IF('SIG 2021'!$D302="","",'SIG 2021'!$D302)</f>
        <v>No</v>
      </c>
      <c r="E299" s="130" t="str">
        <f>IF('SIG 2021'!$E302="","",'SIG 2021'!$E302)</f>
        <v>Accounts are locked out after 10 invalid login attempts.</v>
      </c>
      <c r="F299" s="130" t="str">
        <f>IF('SIG 2021'!$F302="","",'SIG 2021'!F302)</f>
        <v/>
      </c>
      <c r="G299" s="130" t="s">
        <v>1324</v>
      </c>
      <c r="H299" s="130" t="s">
        <v>1365</v>
      </c>
      <c r="I299" s="130"/>
      <c r="J299" s="130" t="s">
        <v>1330</v>
      </c>
      <c r="K299" s="130" t="str">
        <f>IF('SIG 2021'!$AM302="","",'SIG 2021'!$AM302)</f>
        <v/>
      </c>
      <c r="L299" s="130" t="str">
        <f>IF('SIG 2021'!$AN302="","",'SIG 2021'!$AN302)</f>
        <v/>
      </c>
      <c r="M299" s="130" t="str">
        <f>IF('SIG 2021'!$AO302="","",'SIG 2021'!$AO302)</f>
        <v/>
      </c>
    </row>
    <row r="300" spans="1:13" ht="43.2" x14ac:dyDescent="0.5">
      <c r="A300" s="130">
        <v>5830</v>
      </c>
      <c r="B300" s="130" t="s">
        <v>1392</v>
      </c>
      <c r="C300" s="130" t="s">
        <v>1393</v>
      </c>
      <c r="D300" s="130" t="str">
        <f>IF('SIG 2021'!$D303="","",'SIG 2021'!$D303)</f>
        <v>Yes</v>
      </c>
      <c r="E300" s="130" t="str">
        <f>IF('SIG 2021'!$E303="","",'SIG 2021'!$E303)</f>
        <v/>
      </c>
      <c r="F300" s="130" t="str">
        <f>IF('SIG 2021'!$F303="","",'SIG 2021'!F303)</f>
        <v/>
      </c>
      <c r="G300" s="130" t="s">
        <v>1271</v>
      </c>
      <c r="H300" s="130" t="s">
        <v>1272</v>
      </c>
      <c r="I300" s="130" t="s">
        <v>1334</v>
      </c>
      <c r="J300" s="130" t="s">
        <v>1394</v>
      </c>
      <c r="K300" s="130" t="str">
        <f>IF('SIG 2021'!$AM303="","",'SIG 2021'!$AM303)</f>
        <v/>
      </c>
      <c r="L300" s="130" t="str">
        <f>IF('SIG 2021'!$AN303="","",'SIG 2021'!$AN303)</f>
        <v/>
      </c>
      <c r="M300" s="130" t="str">
        <f>IF('SIG 2021'!$AO303="","",'SIG 2021'!$AO303)</f>
        <v/>
      </c>
    </row>
    <row r="301" spans="1:13" ht="28.8" x14ac:dyDescent="0.5">
      <c r="A301" s="130">
        <v>1910</v>
      </c>
      <c r="B301" s="130" t="s">
        <v>261</v>
      </c>
      <c r="C301" s="130" t="s">
        <v>1395</v>
      </c>
      <c r="D301" s="130" t="str">
        <f>IF('SIG 2021'!$D304="","",'SIG 2021'!$D304)</f>
        <v>Yes</v>
      </c>
      <c r="E301" s="130" t="str">
        <f>IF('SIG 2021'!$E304="","",'SIG 2021'!$E304)</f>
        <v/>
      </c>
      <c r="F301" s="130" t="str">
        <f>IF('SIG 2021'!$F304="","",'SIG 2021'!F304)</f>
        <v/>
      </c>
      <c r="G301" s="130" t="s">
        <v>1324</v>
      </c>
      <c r="H301" s="130" t="s">
        <v>1396</v>
      </c>
      <c r="I301" s="130"/>
      <c r="J301" s="130" t="s">
        <v>1330</v>
      </c>
      <c r="K301" s="130" t="str">
        <f>IF('SIG 2021'!$AM304="","",'SIG 2021'!$AM304)</f>
        <v/>
      </c>
      <c r="L301" s="130" t="str">
        <f>IF('SIG 2021'!$AN304="","",'SIG 2021'!$AN304)</f>
        <v/>
      </c>
      <c r="M301" s="130" t="str">
        <f>IF('SIG 2021'!$AO304="","",'SIG 2021'!$AO304)</f>
        <v/>
      </c>
    </row>
    <row r="302" spans="1:13" ht="28.8" x14ac:dyDescent="0.5">
      <c r="A302" s="130">
        <v>4447</v>
      </c>
      <c r="B302" s="130" t="s">
        <v>1397</v>
      </c>
      <c r="C302" s="130" t="s">
        <v>1398</v>
      </c>
      <c r="D302" s="130" t="str">
        <f>IF('SIG 2021'!$D305="","",'SIG 2021'!$D305)</f>
        <v>Yes</v>
      </c>
      <c r="E302" s="130" t="str">
        <f>IF('SIG 2021'!$E305="","",'SIG 2021'!$E305)</f>
        <v/>
      </c>
      <c r="F302" s="130" t="str">
        <f>IF('SIG 2021'!$F305="","",'SIG 2021'!F305)</f>
        <v/>
      </c>
      <c r="G302" s="130" t="s">
        <v>1324</v>
      </c>
      <c r="H302" s="130" t="s">
        <v>1396</v>
      </c>
      <c r="I302" s="130" t="s">
        <v>1399</v>
      </c>
      <c r="J302" s="130" t="s">
        <v>1400</v>
      </c>
      <c r="K302" s="130" t="str">
        <f>IF('SIG 2021'!$AM305="","",'SIG 2021'!$AM305)</f>
        <v/>
      </c>
      <c r="L302" s="130" t="str">
        <f>IF('SIG 2021'!$AN305="","",'SIG 2021'!$AN305)</f>
        <v/>
      </c>
      <c r="M302" s="130" t="str">
        <f>IF('SIG 2021'!$AO305="","",'SIG 2021'!$AO305)</f>
        <v/>
      </c>
    </row>
    <row r="303" spans="1:13" ht="28.8" x14ac:dyDescent="0.5">
      <c r="A303" s="130">
        <v>4448</v>
      </c>
      <c r="B303" s="130" t="s">
        <v>1401</v>
      </c>
      <c r="C303" s="130" t="s">
        <v>1402</v>
      </c>
      <c r="D303" s="130" t="str">
        <f>IF('SIG 2021'!$D306="","",'SIG 2021'!$D306)</f>
        <v>Yes</v>
      </c>
      <c r="E303" s="130" t="str">
        <f>IF('SIG 2021'!$E306="","",'SIG 2021'!$E306)</f>
        <v/>
      </c>
      <c r="F303" s="130" t="str">
        <f>IF('SIG 2021'!$F306="","",'SIG 2021'!F306)</f>
        <v/>
      </c>
      <c r="G303" s="130" t="s">
        <v>1324</v>
      </c>
      <c r="H303" s="130" t="s">
        <v>1396</v>
      </c>
      <c r="I303" s="130"/>
      <c r="J303" s="130" t="s">
        <v>1330</v>
      </c>
      <c r="K303" s="130" t="str">
        <f>IF('SIG 2021'!$AM306="","",'SIG 2021'!$AM306)</f>
        <v/>
      </c>
      <c r="L303" s="130" t="str">
        <f>IF('SIG 2021'!$AN306="","",'SIG 2021'!$AN306)</f>
        <v/>
      </c>
      <c r="M303" s="130" t="str">
        <f>IF('SIG 2021'!$AO306="","",'SIG 2021'!$AO306)</f>
        <v/>
      </c>
    </row>
    <row r="304" spans="1:13" ht="28.8" x14ac:dyDescent="0.5">
      <c r="A304" s="130">
        <v>1981</v>
      </c>
      <c r="B304" s="130" t="s">
        <v>263</v>
      </c>
      <c r="C304" s="130" t="s">
        <v>1403</v>
      </c>
      <c r="D304" s="130" t="str">
        <f>IF('SIG 2021'!$D307="","",'SIG 2021'!$D307)</f>
        <v>Yes</v>
      </c>
      <c r="E304" s="130" t="str">
        <f>IF('SIG 2021'!$E307="","",'SIG 2021'!$E307)</f>
        <v/>
      </c>
      <c r="F304" s="130" t="str">
        <f>IF('SIG 2021'!$F307="","",'SIG 2021'!F307)</f>
        <v/>
      </c>
      <c r="G304" s="130" t="s">
        <v>1324</v>
      </c>
      <c r="H304" s="130" t="s">
        <v>1404</v>
      </c>
      <c r="I304" s="130" t="s">
        <v>1180</v>
      </c>
      <c r="J304" s="130" t="s">
        <v>1405</v>
      </c>
      <c r="K304" s="130" t="str">
        <f>IF('SIG 2021'!$AM307="","",'SIG 2021'!$AM307)</f>
        <v/>
      </c>
      <c r="L304" s="130" t="str">
        <f>IF('SIG 2021'!$AN307="","",'SIG 2021'!$AN307)</f>
        <v/>
      </c>
      <c r="M304" s="130" t="str">
        <f>IF('SIG 2021'!$AO307="","",'SIG 2021'!$AO307)</f>
        <v/>
      </c>
    </row>
    <row r="305" spans="1:13" ht="28.8" x14ac:dyDescent="0.5">
      <c r="A305" s="130">
        <v>2664</v>
      </c>
      <c r="B305" s="130" t="s">
        <v>1406</v>
      </c>
      <c r="C305" s="130" t="s">
        <v>1407</v>
      </c>
      <c r="D305" s="130" t="str">
        <f>IF('SIG 2021'!$D308="","",'SIG 2021'!$D308)</f>
        <v>Yes</v>
      </c>
      <c r="E305" s="130" t="str">
        <f>IF('SIG 2021'!$E308="","",'SIG 2021'!$E308)</f>
        <v/>
      </c>
      <c r="F305" s="130" t="str">
        <f>IF('SIG 2021'!$F308="","",'SIG 2021'!F308)</f>
        <v/>
      </c>
      <c r="G305" s="130" t="s">
        <v>1324</v>
      </c>
      <c r="H305" s="130" t="s">
        <v>1404</v>
      </c>
      <c r="I305" s="130"/>
      <c r="J305" s="130" t="s">
        <v>1405</v>
      </c>
      <c r="K305" s="130" t="str">
        <f>IF('SIG 2021'!$AM308="","",'SIG 2021'!$AM308)</f>
        <v/>
      </c>
      <c r="L305" s="130" t="str">
        <f>IF('SIG 2021'!$AN308="","",'SIG 2021'!$AN308)</f>
        <v/>
      </c>
      <c r="M305" s="130" t="str">
        <f>IF('SIG 2021'!$AO308="","",'SIG 2021'!$AO308)</f>
        <v/>
      </c>
    </row>
    <row r="306" spans="1:13" ht="28.8" x14ac:dyDescent="0.5">
      <c r="A306" s="130">
        <v>4732</v>
      </c>
      <c r="B306" s="130" t="s">
        <v>265</v>
      </c>
      <c r="C306" s="130" t="s">
        <v>1408</v>
      </c>
      <c r="D306" s="130" t="str">
        <f>IF('SIG 2021'!$D309="","",'SIG 2021'!$D309)</f>
        <v>Yes</v>
      </c>
      <c r="E306" s="130" t="str">
        <f>IF('SIG 2021'!$E309="","",'SIG 2021'!$E309)</f>
        <v/>
      </c>
      <c r="F306" s="130" t="str">
        <f>IF('SIG 2021'!$F309="","",'SIG 2021'!F309)</f>
        <v/>
      </c>
      <c r="G306" s="130" t="s">
        <v>1324</v>
      </c>
      <c r="H306" s="130" t="s">
        <v>1409</v>
      </c>
      <c r="I306" s="130" t="s">
        <v>1410</v>
      </c>
      <c r="J306" s="130"/>
      <c r="K306" s="130" t="str">
        <f>IF('SIG 2021'!$AM309="","",'SIG 2021'!$AM309)</f>
        <v/>
      </c>
      <c r="L306" s="130" t="str">
        <f>IF('SIG 2021'!$AN309="","",'SIG 2021'!$AN309)</f>
        <v/>
      </c>
      <c r="M306" s="130" t="str">
        <f>IF('SIG 2021'!$AO309="","",'SIG 2021'!$AO309)</f>
        <v/>
      </c>
    </row>
    <row r="307" spans="1:13" ht="28.8" x14ac:dyDescent="0.5">
      <c r="A307" s="130">
        <v>4742</v>
      </c>
      <c r="B307" s="130" t="s">
        <v>267</v>
      </c>
      <c r="C307" s="130" t="s">
        <v>1411</v>
      </c>
      <c r="D307" s="130" t="str">
        <f>IF('SIG 2021'!$D310="","",'SIG 2021'!$D310)</f>
        <v>Yes</v>
      </c>
      <c r="E307" s="130" t="str">
        <f>IF('SIG 2021'!$E310="","",'SIG 2021'!$E310)</f>
        <v/>
      </c>
      <c r="F307" s="130" t="str">
        <f>IF('SIG 2021'!$F310="","",'SIG 2021'!F310)</f>
        <v/>
      </c>
      <c r="G307" s="130" t="s">
        <v>1412</v>
      </c>
      <c r="H307" s="130" t="s">
        <v>1413</v>
      </c>
      <c r="I307" s="130" t="s">
        <v>1414</v>
      </c>
      <c r="J307" s="130" t="s">
        <v>1415</v>
      </c>
      <c r="K307" s="130" t="str">
        <f>IF('SIG 2021'!$AM310="","",'SIG 2021'!$AM310)</f>
        <v/>
      </c>
      <c r="L307" s="130" t="str">
        <f>IF('SIG 2021'!$AN310="","",'SIG 2021'!$AN310)</f>
        <v/>
      </c>
      <c r="M307" s="130" t="str">
        <f>IF('SIG 2021'!$AO310="","",'SIG 2021'!$AO310)</f>
        <v/>
      </c>
    </row>
    <row r="308" spans="1:13" ht="28.8" x14ac:dyDescent="0.5">
      <c r="A308" s="130">
        <v>3207</v>
      </c>
      <c r="B308" s="130" t="s">
        <v>1416</v>
      </c>
      <c r="C308" s="130" t="s">
        <v>1417</v>
      </c>
      <c r="D308" s="130" t="str">
        <f>IF('SIG 2021'!$D311="","",'SIG 2021'!$D311)</f>
        <v>Yes</v>
      </c>
      <c r="E308" s="130" t="str">
        <f>IF('SIG 2021'!$E311="","",'SIG 2021'!$E311)</f>
        <v/>
      </c>
      <c r="F308" s="130" t="str">
        <f>IF('SIG 2021'!$F311="","",'SIG 2021'!F311)</f>
        <v/>
      </c>
      <c r="G308" s="130" t="s">
        <v>1412</v>
      </c>
      <c r="H308" s="130" t="s">
        <v>1413</v>
      </c>
      <c r="I308" s="130" t="s">
        <v>1414</v>
      </c>
      <c r="J308" s="130" t="s">
        <v>1418</v>
      </c>
      <c r="K308" s="130" t="str">
        <f>IF('SIG 2021'!$AM311="","",'SIG 2021'!$AM311)</f>
        <v/>
      </c>
      <c r="L308" s="130" t="str">
        <f>IF('SIG 2021'!$AN311="","",'SIG 2021'!$AN311)</f>
        <v/>
      </c>
      <c r="M308" s="130" t="str">
        <f>IF('SIG 2021'!$AO311="","",'SIG 2021'!$AO311)</f>
        <v/>
      </c>
    </row>
    <row r="309" spans="1:13" ht="43.2" x14ac:dyDescent="0.5">
      <c r="A309" s="130">
        <v>3208</v>
      </c>
      <c r="B309" s="130" t="s">
        <v>1419</v>
      </c>
      <c r="C309" s="130" t="s">
        <v>1420</v>
      </c>
      <c r="D309" s="130" t="str">
        <f>IF('SIG 2021'!$D312="","",'SIG 2021'!$D312)</f>
        <v>Yes</v>
      </c>
      <c r="E309" s="130" t="str">
        <f>IF('SIG 2021'!$E312="","",'SIG 2021'!$E312)</f>
        <v/>
      </c>
      <c r="F309" s="130" t="str">
        <f>IF('SIG 2021'!$F312="","",'SIG 2021'!F312)</f>
        <v/>
      </c>
      <c r="G309" s="130" t="s">
        <v>1412</v>
      </c>
      <c r="H309" s="130" t="s">
        <v>1413</v>
      </c>
      <c r="I309" s="130"/>
      <c r="J309" s="130" t="s">
        <v>1421</v>
      </c>
      <c r="K309" s="130" t="str">
        <f>IF('SIG 2021'!$AM312="","",'SIG 2021'!$AM312)</f>
        <v/>
      </c>
      <c r="L309" s="130" t="str">
        <f>IF('SIG 2021'!$AN312="","",'SIG 2021'!$AN312)</f>
        <v/>
      </c>
      <c r="M309" s="130" t="str">
        <f>IF('SIG 2021'!$AO312="","",'SIG 2021'!$AO312)</f>
        <v/>
      </c>
    </row>
    <row r="310" spans="1:13" ht="57.6" x14ac:dyDescent="0.5">
      <c r="A310" s="130">
        <v>2654</v>
      </c>
      <c r="B310" s="130" t="s">
        <v>1422</v>
      </c>
      <c r="C310" s="130" t="s">
        <v>1423</v>
      </c>
      <c r="D310" s="130" t="str">
        <f>IF('SIG 2021'!$D313="","",'SIG 2021'!$D313)</f>
        <v>Yes</v>
      </c>
      <c r="E310" s="130" t="str">
        <f>IF('SIG 2021'!$E313="","",'SIG 2021'!$E313)</f>
        <v/>
      </c>
      <c r="F310" s="130" t="str">
        <f>IF('SIG 2021'!$F313="","",'SIG 2021'!F313)</f>
        <v/>
      </c>
      <c r="G310" s="130" t="s">
        <v>1412</v>
      </c>
      <c r="H310" s="130" t="s">
        <v>1413</v>
      </c>
      <c r="I310" s="130" t="s">
        <v>792</v>
      </c>
      <c r="J310" s="130" t="s">
        <v>1424</v>
      </c>
      <c r="K310" s="130" t="str">
        <f>IF('SIG 2021'!$AM313="","",'SIG 2021'!$AM313)</f>
        <v/>
      </c>
      <c r="L310" s="130" t="str">
        <f>IF('SIG 2021'!$AN313="","",'SIG 2021'!$AN313)</f>
        <v/>
      </c>
      <c r="M310" s="130" t="str">
        <f>IF('SIG 2021'!$AO313="","",'SIG 2021'!$AO313)</f>
        <v/>
      </c>
    </row>
    <row r="311" spans="1:13" ht="57.6" x14ac:dyDescent="0.5">
      <c r="A311" s="130">
        <v>3391</v>
      </c>
      <c r="B311" s="130" t="s">
        <v>1425</v>
      </c>
      <c r="C311" s="130" t="s">
        <v>1426</v>
      </c>
      <c r="D311" s="130" t="str">
        <f>IF('SIG 2021'!$D314="","",'SIG 2021'!$D314)</f>
        <v>Yes</v>
      </c>
      <c r="E311" s="130" t="str">
        <f>IF('SIG 2021'!$E314="","",'SIG 2021'!$E314)</f>
        <v/>
      </c>
      <c r="F311" s="130" t="str">
        <f>IF('SIG 2021'!$F314="","",'SIG 2021'!F314)</f>
        <v/>
      </c>
      <c r="G311" s="130" t="s">
        <v>1412</v>
      </c>
      <c r="H311" s="130" t="s">
        <v>1413</v>
      </c>
      <c r="I311" s="130"/>
      <c r="J311" s="130"/>
      <c r="K311" s="130" t="str">
        <f>IF('SIG 2021'!$AM314="","",'SIG 2021'!$AM314)</f>
        <v/>
      </c>
      <c r="L311" s="130" t="str">
        <f>IF('SIG 2021'!$AN314="","",'SIG 2021'!$AN314)</f>
        <v/>
      </c>
      <c r="M311" s="130" t="str">
        <f>IF('SIG 2021'!$AO314="","",'SIG 2021'!$AO314)</f>
        <v/>
      </c>
    </row>
    <row r="312" spans="1:13" ht="28.8" x14ac:dyDescent="0.5">
      <c r="A312" s="130">
        <v>4743</v>
      </c>
      <c r="B312" s="130" t="s">
        <v>269</v>
      </c>
      <c r="C312" s="130" t="s">
        <v>1427</v>
      </c>
      <c r="D312" s="130" t="str">
        <f>IF('SIG 2021'!$D315="","",'SIG 2021'!$D315)</f>
        <v>Yes</v>
      </c>
      <c r="E312" s="130" t="str">
        <f>IF('SIG 2021'!$E315="","",'SIG 2021'!$E315)</f>
        <v/>
      </c>
      <c r="F312" s="130" t="str">
        <f>IF('SIG 2021'!$F315="","",'SIG 2021'!F315)</f>
        <v/>
      </c>
      <c r="G312" s="130" t="s">
        <v>1412</v>
      </c>
      <c r="H312" s="130" t="s">
        <v>1428</v>
      </c>
      <c r="I312" s="130" t="s">
        <v>1399</v>
      </c>
      <c r="J312" s="130" t="s">
        <v>1429</v>
      </c>
      <c r="K312" s="130" t="str">
        <f>IF('SIG 2021'!$AM315="","",'SIG 2021'!$AM315)</f>
        <v/>
      </c>
      <c r="L312" s="130" t="str">
        <f>IF('SIG 2021'!$AN315="","",'SIG 2021'!$AN315)</f>
        <v/>
      </c>
      <c r="M312" s="130" t="str">
        <f>IF('SIG 2021'!$AO315="","",'SIG 2021'!$AO315)</f>
        <v/>
      </c>
    </row>
    <row r="313" spans="1:13" ht="28.8" x14ac:dyDescent="0.5">
      <c r="A313" s="130">
        <v>3205</v>
      </c>
      <c r="B313" s="130" t="s">
        <v>1430</v>
      </c>
      <c r="C313" s="130" t="s">
        <v>1431</v>
      </c>
      <c r="D313" s="130" t="str">
        <f>IF('SIG 2021'!$D316="","",'SIG 2021'!$D316)</f>
        <v>Yes</v>
      </c>
      <c r="E313" s="130" t="str">
        <f>IF('SIG 2021'!$E316="","",'SIG 2021'!$E316)</f>
        <v/>
      </c>
      <c r="F313" s="130" t="str">
        <f>IF('SIG 2021'!$F316="","",'SIG 2021'!F316)</f>
        <v/>
      </c>
      <c r="G313" s="130" t="s">
        <v>1412</v>
      </c>
      <c r="H313" s="130" t="s">
        <v>1428</v>
      </c>
      <c r="I313" s="130"/>
      <c r="J313" s="130" t="s">
        <v>1429</v>
      </c>
      <c r="K313" s="130" t="str">
        <f>IF('SIG 2021'!$AM316="","",'SIG 2021'!$AM316)</f>
        <v/>
      </c>
      <c r="L313" s="130" t="str">
        <f>IF('SIG 2021'!$AN316="","",'SIG 2021'!$AN316)</f>
        <v/>
      </c>
      <c r="M313" s="130" t="str">
        <f>IF('SIG 2021'!$AO316="","",'SIG 2021'!$AO316)</f>
        <v/>
      </c>
    </row>
    <row r="314" spans="1:13" ht="43.2" x14ac:dyDescent="0.5">
      <c r="A314" s="130">
        <v>5832</v>
      </c>
      <c r="B314" s="130" t="s">
        <v>273</v>
      </c>
      <c r="C314" s="130" t="s">
        <v>1432</v>
      </c>
      <c r="D314" s="130" t="str">
        <f>IF('SIG 2021'!$D317="","",'SIG 2021'!$D317)</f>
        <v>Yes</v>
      </c>
      <c r="E314" s="130" t="str">
        <f>IF('SIG 2021'!$E317="","",'SIG 2021'!$E317)</f>
        <v/>
      </c>
      <c r="F314" s="130" t="str">
        <f>IF('SIG 2021'!$F317="","",'SIG 2021'!F317)</f>
        <v/>
      </c>
      <c r="G314" s="130" t="s">
        <v>1271</v>
      </c>
      <c r="H314" s="130" t="s">
        <v>1286</v>
      </c>
      <c r="I314" s="130" t="s">
        <v>1287</v>
      </c>
      <c r="J314" s="130" t="s">
        <v>1433</v>
      </c>
      <c r="K314" s="130" t="str">
        <f>IF('SIG 2021'!$AM317="","",'SIG 2021'!$AM317)</f>
        <v/>
      </c>
      <c r="L314" s="130" t="str">
        <f>IF('SIG 2021'!$AN317="","",'SIG 2021'!$AN317)</f>
        <v/>
      </c>
      <c r="M314" s="130" t="str">
        <f>IF('SIG 2021'!$AO317="","",'SIG 2021'!$AO317)</f>
        <v/>
      </c>
    </row>
    <row r="315" spans="1:13" ht="57.6" x14ac:dyDescent="0.5">
      <c r="A315" s="130">
        <v>5833</v>
      </c>
      <c r="B315" s="130" t="s">
        <v>1434</v>
      </c>
      <c r="C315" s="130" t="s">
        <v>1435</v>
      </c>
      <c r="D315" s="130" t="str">
        <f>IF('SIG 2021'!$D318="","",'SIG 2021'!$D318)</f>
        <v>Yes</v>
      </c>
      <c r="E315" s="130" t="str">
        <f>IF('SIG 2021'!$E318="","",'SIG 2021'!$E318)</f>
        <v/>
      </c>
      <c r="F315" s="130" t="str">
        <f>IF('SIG 2021'!$F318="","",'SIG 2021'!F318)</f>
        <v/>
      </c>
      <c r="G315" s="130" t="s">
        <v>1297</v>
      </c>
      <c r="H315" s="130" t="s">
        <v>1436</v>
      </c>
      <c r="I315" s="130" t="s">
        <v>1437</v>
      </c>
      <c r="J315" s="130"/>
      <c r="K315" s="130" t="str">
        <f>IF('SIG 2021'!$AM318="","",'SIG 2021'!$AM318)</f>
        <v/>
      </c>
      <c r="L315" s="130" t="str">
        <f>IF('SIG 2021'!$AN318="","",'SIG 2021'!$AN318)</f>
        <v/>
      </c>
      <c r="M315" s="130" t="str">
        <f>IF('SIG 2021'!$AO318="","",'SIG 2021'!$AO318)</f>
        <v/>
      </c>
    </row>
    <row r="316" spans="1:13" ht="57.6" x14ac:dyDescent="0.5">
      <c r="A316" s="130">
        <v>4240</v>
      </c>
      <c r="B316" s="130" t="s">
        <v>275</v>
      </c>
      <c r="C316" s="130" t="s">
        <v>1438</v>
      </c>
      <c r="D316" s="130" t="str">
        <f>IF('SIG 2021'!$D319="","",'SIG 2021'!$D319)</f>
        <v>Yes</v>
      </c>
      <c r="E316" s="130" t="str">
        <f>IF('SIG 2021'!$E319="","",'SIG 2021'!$E319)</f>
        <v>Seismic is a web-based application; additionally, Android and iOS applications are available but must be enabled by the customer.</v>
      </c>
      <c r="F316" s="130" t="str">
        <f>IF('SIG 2021'!$F319="","",'SIG 2021'!F319)</f>
        <v/>
      </c>
      <c r="G316" s="130" t="s">
        <v>1440</v>
      </c>
      <c r="H316" s="130" t="s">
        <v>910</v>
      </c>
      <c r="I316" s="130"/>
      <c r="J316" s="130" t="s">
        <v>1441</v>
      </c>
      <c r="K316" s="130" t="str">
        <f>IF('SIG 2021'!$AM319="","",'SIG 2021'!$AM319)</f>
        <v/>
      </c>
      <c r="L316" s="130" t="str">
        <f>IF('SIG 2021'!$AN319="","",'SIG 2021'!$AN319)</f>
        <v/>
      </c>
      <c r="M316" s="130" t="str">
        <f>IF('SIG 2021'!$AO319="","",'SIG 2021'!$AO319)</f>
        <v/>
      </c>
    </row>
    <row r="317" spans="1:13" ht="43.2" x14ac:dyDescent="0.5">
      <c r="A317" s="130">
        <v>3945</v>
      </c>
      <c r="B317" s="130" t="s">
        <v>1443</v>
      </c>
      <c r="C317" s="130" t="s">
        <v>1444</v>
      </c>
      <c r="D317" s="130" t="str">
        <f>IF('SIG 2021'!$D320="","",'SIG 2021'!$D320)</f>
        <v>Yes</v>
      </c>
      <c r="E317" s="130" t="str">
        <f>IF('SIG 2021'!$E320="","",'SIG 2021'!$E320)</f>
        <v>This falls under the responsibility of Information Security.</v>
      </c>
      <c r="F317" s="130" t="str">
        <f>IF('SIG 2021'!$F320="","",'SIG 2021'!F320)</f>
        <v/>
      </c>
      <c r="G317" s="130" t="s">
        <v>1446</v>
      </c>
      <c r="H317" s="130" t="s">
        <v>1447</v>
      </c>
      <c r="I317" s="130" t="s">
        <v>1258</v>
      </c>
      <c r="J317" s="130"/>
      <c r="K317" s="130" t="str">
        <f>IF('SIG 2021'!$AM320="","",'SIG 2021'!$AM320)</f>
        <v/>
      </c>
      <c r="L317" s="130" t="str">
        <f>IF('SIG 2021'!$AN320="","",'SIG 2021'!$AN320)</f>
        <v/>
      </c>
      <c r="M317" s="130" t="str">
        <f>IF('SIG 2021'!$AO320="","",'SIG 2021'!$AO320)</f>
        <v/>
      </c>
    </row>
    <row r="318" spans="1:13" ht="43.2" x14ac:dyDescent="0.5">
      <c r="A318" s="130">
        <v>3957</v>
      </c>
      <c r="B318" s="130" t="s">
        <v>1448</v>
      </c>
      <c r="C318" s="130" t="s">
        <v>1449</v>
      </c>
      <c r="D318" s="130" t="str">
        <f>IF('SIG 2021'!$D321="","",'SIG 2021'!$D321)</f>
        <v>Yes</v>
      </c>
      <c r="E318" s="130" t="str">
        <f>IF('SIG 2021'!$E321="","",'SIG 2021'!$E321)</f>
        <v/>
      </c>
      <c r="F318" s="130" t="str">
        <f>IF('SIG 2021'!$F321="","",'SIG 2021'!F321)</f>
        <v/>
      </c>
      <c r="G318" s="130" t="s">
        <v>1446</v>
      </c>
      <c r="H318" s="130" t="s">
        <v>1450</v>
      </c>
      <c r="I318" s="130" t="s">
        <v>1258</v>
      </c>
      <c r="J318" s="130"/>
      <c r="K318" s="130" t="str">
        <f>IF('SIG 2021'!$AM321="","",'SIG 2021'!$AM321)</f>
        <v/>
      </c>
      <c r="L318" s="130" t="str">
        <f>IF('SIG 2021'!$AN321="","",'SIG 2021'!$AN321)</f>
        <v/>
      </c>
      <c r="M318" s="130" t="str">
        <f>IF('SIG 2021'!$AO321="","",'SIG 2021'!$AO321)</f>
        <v/>
      </c>
    </row>
    <row r="319" spans="1:13" ht="43.2" x14ac:dyDescent="0.5">
      <c r="A319" s="130">
        <v>3958</v>
      </c>
      <c r="B319" s="130" t="s">
        <v>1451</v>
      </c>
      <c r="C319" s="130" t="s">
        <v>1452</v>
      </c>
      <c r="D319" s="130" t="str">
        <f>IF('SIG 2021'!$D322="","",'SIG 2021'!$D322)</f>
        <v>Yes</v>
      </c>
      <c r="E319" s="130" t="str">
        <f>IF('SIG 2021'!$E322="","",'SIG 2021'!$E322)</f>
        <v/>
      </c>
      <c r="F319" s="130" t="str">
        <f>IF('SIG 2021'!$F322="","",'SIG 2021'!F322)</f>
        <v/>
      </c>
      <c r="G319" s="130" t="s">
        <v>1446</v>
      </c>
      <c r="H319" s="130" t="s">
        <v>1453</v>
      </c>
      <c r="I319" s="130"/>
      <c r="J319" s="130"/>
      <c r="K319" s="130" t="str">
        <f>IF('SIG 2021'!$AM322="","",'SIG 2021'!$AM322)</f>
        <v/>
      </c>
      <c r="L319" s="130" t="str">
        <f>IF('SIG 2021'!$AN322="","",'SIG 2021'!$AN322)</f>
        <v/>
      </c>
      <c r="M319" s="130" t="str">
        <f>IF('SIG 2021'!$AO322="","",'SIG 2021'!$AO322)</f>
        <v/>
      </c>
    </row>
    <row r="320" spans="1:13" ht="43.2" x14ac:dyDescent="0.5">
      <c r="A320" s="130">
        <v>3959</v>
      </c>
      <c r="B320" s="130" t="s">
        <v>1454</v>
      </c>
      <c r="C320" s="130" t="s">
        <v>1455</v>
      </c>
      <c r="D320" s="130" t="str">
        <f>IF('SIG 2021'!$D323="","",'SIG 2021'!$D323)</f>
        <v>No</v>
      </c>
      <c r="E320" s="130" t="str">
        <f>IF('SIG 2021'!$E323="","",'SIG 2021'!$E323)</f>
        <v/>
      </c>
      <c r="F320" s="130" t="str">
        <f>IF('SIG 2021'!$F323="","",'SIG 2021'!F323)</f>
        <v/>
      </c>
      <c r="G320" s="130" t="s">
        <v>1446</v>
      </c>
      <c r="H320" s="130" t="s">
        <v>1456</v>
      </c>
      <c r="I320" s="130"/>
      <c r="J320" s="130" t="s">
        <v>1457</v>
      </c>
      <c r="K320" s="130" t="str">
        <f>IF('SIG 2021'!$AM323="","",'SIG 2021'!$AM323)</f>
        <v/>
      </c>
      <c r="L320" s="130" t="str">
        <f>IF('SIG 2021'!$AN323="","",'SIG 2021'!$AN323)</f>
        <v/>
      </c>
      <c r="M320" s="130" t="str">
        <f>IF('SIG 2021'!$AO323="","",'SIG 2021'!$AO323)</f>
        <v/>
      </c>
    </row>
    <row r="321" spans="1:13" ht="43.2" x14ac:dyDescent="0.5">
      <c r="A321" s="130">
        <v>3960</v>
      </c>
      <c r="B321" s="130" t="s">
        <v>1458</v>
      </c>
      <c r="C321" s="130" t="s">
        <v>1459</v>
      </c>
      <c r="D321" s="130" t="str">
        <f>IF('SIG 2021'!$D324="","",'SIG 2021'!$D324)</f>
        <v>N/A</v>
      </c>
      <c r="E321" s="130" t="str">
        <f>IF('SIG 2021'!$E324="","",'SIG 2021'!$E324)</f>
        <v>not utilized</v>
      </c>
      <c r="F321" s="130" t="str">
        <f>IF('SIG 2021'!$F324="","",'SIG 2021'!F324)</f>
        <v/>
      </c>
      <c r="G321" s="130" t="s">
        <v>1446</v>
      </c>
      <c r="H321" s="130" t="s">
        <v>1456</v>
      </c>
      <c r="I321" s="130"/>
      <c r="J321" s="130" t="s">
        <v>1457</v>
      </c>
      <c r="K321" s="130" t="str">
        <f>IF('SIG 2021'!$AM324="","",'SIG 2021'!$AM324)</f>
        <v/>
      </c>
      <c r="L321" s="130" t="str">
        <f>IF('SIG 2021'!$AN324="","",'SIG 2021'!$AN324)</f>
        <v/>
      </c>
      <c r="M321" s="130" t="str">
        <f>IF('SIG 2021'!$AO324="","",'SIG 2021'!$AO324)</f>
        <v/>
      </c>
    </row>
    <row r="322" spans="1:13" ht="57.6" x14ac:dyDescent="0.5">
      <c r="A322" s="130">
        <v>2164</v>
      </c>
      <c r="B322" s="130" t="s">
        <v>1461</v>
      </c>
      <c r="C322" s="130" t="s">
        <v>1462</v>
      </c>
      <c r="D322" s="130" t="str">
        <f>IF('SIG 2021'!$D325="","",'SIG 2021'!$D325)</f>
        <v>Yes</v>
      </c>
      <c r="E322" s="130" t="str">
        <f>IF('SIG 2021'!$E325="","",'SIG 2021'!$E325)</f>
        <v>Seismic performs internal risk assessments at least annually. Seismic's risk management program is based on ISO 27005.</v>
      </c>
      <c r="F322" s="130" t="str">
        <f>IF('SIG 2021'!$F325="","",'SIG 2021'!F325)</f>
        <v/>
      </c>
      <c r="G322" s="130" t="s">
        <v>1464</v>
      </c>
      <c r="H322" s="130" t="s">
        <v>1465</v>
      </c>
      <c r="I322" s="130" t="s">
        <v>1258</v>
      </c>
      <c r="J322" s="130"/>
      <c r="K322" s="130" t="str">
        <f>IF('SIG 2021'!$AM325="","",'SIG 2021'!$AM325)</f>
        <v/>
      </c>
      <c r="L322" s="130" t="str">
        <f>IF('SIG 2021'!$AN325="","",'SIG 2021'!$AN325)</f>
        <v/>
      </c>
      <c r="M322" s="130" t="str">
        <f>IF('SIG 2021'!$AO325="","",'SIG 2021'!$AO325)</f>
        <v/>
      </c>
    </row>
    <row r="323" spans="1:13" ht="43.2" x14ac:dyDescent="0.5">
      <c r="A323" s="130">
        <v>3946</v>
      </c>
      <c r="B323" s="130" t="s">
        <v>1466</v>
      </c>
      <c r="C323" s="130" t="s">
        <v>1467</v>
      </c>
      <c r="D323" s="130" t="str">
        <f>IF('SIG 2021'!$D326="","",'SIG 2021'!$D326)</f>
        <v>Yes</v>
      </c>
      <c r="E323" s="130" t="str">
        <f>IF('SIG 2021'!$E326="","",'SIG 2021'!$E326)</f>
        <v/>
      </c>
      <c r="F323" s="130" t="str">
        <f>IF('SIG 2021'!$F326="","",'SIG 2021'!F326)</f>
        <v/>
      </c>
      <c r="G323" s="130" t="s">
        <v>1464</v>
      </c>
      <c r="H323" s="130" t="s">
        <v>1465</v>
      </c>
      <c r="I323" s="130" t="s">
        <v>1468</v>
      </c>
      <c r="J323" s="130"/>
      <c r="K323" s="130" t="str">
        <f>IF('SIG 2021'!$AM326="","",'SIG 2021'!$AM326)</f>
        <v/>
      </c>
      <c r="L323" s="130" t="str">
        <f>IF('SIG 2021'!$AN326="","",'SIG 2021'!$AN326)</f>
        <v/>
      </c>
      <c r="M323" s="130" t="str">
        <f>IF('SIG 2021'!$AO326="","",'SIG 2021'!$AO326)</f>
        <v/>
      </c>
    </row>
    <row r="324" spans="1:13" ht="43.2" x14ac:dyDescent="0.5">
      <c r="A324" s="130">
        <v>3943</v>
      </c>
      <c r="B324" s="130" t="s">
        <v>1469</v>
      </c>
      <c r="C324" s="130" t="s">
        <v>1470</v>
      </c>
      <c r="D324" s="130" t="str">
        <f>IF('SIG 2021'!$D327="","",'SIG 2021'!$D327)</f>
        <v>Yes</v>
      </c>
      <c r="E324" s="130" t="str">
        <f>IF('SIG 2021'!$E327="","",'SIG 2021'!$E327)</f>
        <v/>
      </c>
      <c r="F324" s="130" t="str">
        <f>IF('SIG 2021'!$F327="","",'SIG 2021'!F327)</f>
        <v/>
      </c>
      <c r="G324" s="130" t="s">
        <v>1464</v>
      </c>
      <c r="H324" s="130" t="s">
        <v>1465</v>
      </c>
      <c r="I324" s="130"/>
      <c r="J324" s="130"/>
      <c r="K324" s="130" t="str">
        <f>IF('SIG 2021'!$AM327="","",'SIG 2021'!$AM327)</f>
        <v/>
      </c>
      <c r="L324" s="130" t="str">
        <f>IF('SIG 2021'!$AN327="","",'SIG 2021'!$AN327)</f>
        <v/>
      </c>
      <c r="M324" s="130" t="str">
        <f>IF('SIG 2021'!$AO327="","",'SIG 2021'!$AO327)</f>
        <v/>
      </c>
    </row>
    <row r="325" spans="1:13" ht="43.2" x14ac:dyDescent="0.5">
      <c r="A325" s="130">
        <v>3944</v>
      </c>
      <c r="B325" s="130" t="s">
        <v>1471</v>
      </c>
      <c r="C325" s="130" t="s">
        <v>1472</v>
      </c>
      <c r="D325" s="130" t="str">
        <f>IF('SIG 2021'!$D328="","",'SIG 2021'!$D328)</f>
        <v>Yes</v>
      </c>
      <c r="E325" s="130" t="str">
        <f>IF('SIG 2021'!$E328="","",'SIG 2021'!$E328)</f>
        <v/>
      </c>
      <c r="F325" s="130" t="str">
        <f>IF('SIG 2021'!$F328="","",'SIG 2021'!F328)</f>
        <v/>
      </c>
      <c r="G325" s="130" t="s">
        <v>1464</v>
      </c>
      <c r="H325" s="130" t="s">
        <v>1465</v>
      </c>
      <c r="I325" s="130"/>
      <c r="J325" s="130"/>
      <c r="K325" s="130" t="str">
        <f>IF('SIG 2021'!$AM328="","",'SIG 2021'!$AM328)</f>
        <v/>
      </c>
      <c r="L325" s="130" t="str">
        <f>IF('SIG 2021'!$AN328="","",'SIG 2021'!$AN328)</f>
        <v/>
      </c>
      <c r="M325" s="130" t="str">
        <f>IF('SIG 2021'!$AO328="","",'SIG 2021'!$AO328)</f>
        <v/>
      </c>
    </row>
    <row r="326" spans="1:13" ht="43.2" x14ac:dyDescent="0.5">
      <c r="A326" s="130">
        <v>2111</v>
      </c>
      <c r="B326" s="130" t="s">
        <v>1473</v>
      </c>
      <c r="C326" s="130" t="s">
        <v>1474</v>
      </c>
      <c r="D326" s="130" t="str">
        <f>IF('SIG 2021'!$D329="","",'SIG 2021'!$D329)</f>
        <v>Yes</v>
      </c>
      <c r="E326" s="130" t="str">
        <f>IF('SIG 2021'!$E329="","",'SIG 2021'!$E329)</f>
        <v>Agile</v>
      </c>
      <c r="F326" s="130" t="str">
        <f>IF('SIG 2021'!$F329="","",'SIG 2021'!F329)</f>
        <v/>
      </c>
      <c r="G326" s="130" t="s">
        <v>1464</v>
      </c>
      <c r="H326" s="130" t="s">
        <v>1476</v>
      </c>
      <c r="I326" s="130"/>
      <c r="J326" s="130"/>
      <c r="K326" s="130" t="str">
        <f>IF('SIG 2021'!$AM329="","",'SIG 2021'!$AM329)</f>
        <v/>
      </c>
      <c r="L326" s="130" t="str">
        <f>IF('SIG 2021'!$AN329="","",'SIG 2021'!$AN329)</f>
        <v/>
      </c>
      <c r="M326" s="130" t="str">
        <f>IF('SIG 2021'!$AO329="","",'SIG 2021'!$AO329)</f>
        <v/>
      </c>
    </row>
    <row r="327" spans="1:13" ht="28.8" x14ac:dyDescent="0.5">
      <c r="A327" s="130">
        <v>2125</v>
      </c>
      <c r="B327" s="130" t="s">
        <v>1477</v>
      </c>
      <c r="C327" s="130" t="s">
        <v>1478</v>
      </c>
      <c r="D327" s="130" t="str">
        <f>IF('SIG 2021'!$D330="","",'SIG 2021'!$D330)</f>
        <v>Yes</v>
      </c>
      <c r="E327" s="130" t="str">
        <f>IF('SIG 2021'!$E330="","",'SIG 2021'!$E330)</f>
        <v/>
      </c>
      <c r="F327" s="130" t="str">
        <f>IF('SIG 2021'!$F330="","",'SIG 2021'!F330)</f>
        <v/>
      </c>
      <c r="G327" s="130" t="s">
        <v>1464</v>
      </c>
      <c r="H327" s="130" t="s">
        <v>1479</v>
      </c>
      <c r="I327" s="130"/>
      <c r="J327" s="130" t="s">
        <v>1441</v>
      </c>
      <c r="K327" s="130" t="str">
        <f>IF('SIG 2021'!$AM330="","",'SIG 2021'!$AM330)</f>
        <v/>
      </c>
      <c r="L327" s="130" t="str">
        <f>IF('SIG 2021'!$AN330="","",'SIG 2021'!$AN330)</f>
        <v/>
      </c>
      <c r="M327" s="130" t="str">
        <f>IF('SIG 2021'!$AO330="","",'SIG 2021'!$AO330)</f>
        <v/>
      </c>
    </row>
    <row r="328" spans="1:13" ht="28.8" x14ac:dyDescent="0.5">
      <c r="A328" s="130">
        <v>2126</v>
      </c>
      <c r="B328" s="130" t="s">
        <v>1480</v>
      </c>
      <c r="C328" s="130" t="s">
        <v>1481</v>
      </c>
      <c r="D328" s="130" t="str">
        <f>IF('SIG 2021'!$D331="","",'SIG 2021'!$D331)</f>
        <v>Yes</v>
      </c>
      <c r="E328" s="130" t="str">
        <f>IF('SIG 2021'!$E331="","",'SIG 2021'!$E331)</f>
        <v/>
      </c>
      <c r="F328" s="130" t="str">
        <f>IF('SIG 2021'!$F331="","",'SIG 2021'!F331)</f>
        <v/>
      </c>
      <c r="G328" s="130" t="s">
        <v>1464</v>
      </c>
      <c r="H328" s="130" t="s">
        <v>1482</v>
      </c>
      <c r="I328" s="130"/>
      <c r="J328" s="130" t="s">
        <v>1441</v>
      </c>
      <c r="K328" s="130" t="str">
        <f>IF('SIG 2021'!$AM331="","",'SIG 2021'!$AM331)</f>
        <v/>
      </c>
      <c r="L328" s="130" t="str">
        <f>IF('SIG 2021'!$AN331="","",'SIG 2021'!$AN331)</f>
        <v/>
      </c>
      <c r="M328" s="130" t="str">
        <f>IF('SIG 2021'!$AO331="","",'SIG 2021'!$AO331)</f>
        <v/>
      </c>
    </row>
    <row r="329" spans="1:13" ht="28.8" x14ac:dyDescent="0.5">
      <c r="A329" s="130">
        <v>2129</v>
      </c>
      <c r="B329" s="130" t="s">
        <v>1483</v>
      </c>
      <c r="C329" s="130" t="s">
        <v>1484</v>
      </c>
      <c r="D329" s="130" t="str">
        <f>IF('SIG 2021'!$D332="","",'SIG 2021'!$D332)</f>
        <v>Yes</v>
      </c>
      <c r="E329" s="130" t="str">
        <f>IF('SIG 2021'!$E332="","",'SIG 2021'!$E332)</f>
        <v/>
      </c>
      <c r="F329" s="130" t="str">
        <f>IF('SIG 2021'!$F332="","",'SIG 2021'!F332)</f>
        <v/>
      </c>
      <c r="G329" s="130" t="s">
        <v>1464</v>
      </c>
      <c r="H329" s="130" t="s">
        <v>1485</v>
      </c>
      <c r="I329" s="130"/>
      <c r="J329" s="130" t="s">
        <v>1441</v>
      </c>
      <c r="K329" s="130" t="str">
        <f>IF('SIG 2021'!$AM332="","",'SIG 2021'!$AM332)</f>
        <v/>
      </c>
      <c r="L329" s="130" t="str">
        <f>IF('SIG 2021'!$AN332="","",'SIG 2021'!$AN332)</f>
        <v/>
      </c>
      <c r="M329" s="130" t="str">
        <f>IF('SIG 2021'!$AO332="","",'SIG 2021'!$AO332)</f>
        <v/>
      </c>
    </row>
    <row r="330" spans="1:13" ht="28.8" x14ac:dyDescent="0.5">
      <c r="A330" s="130">
        <v>1269</v>
      </c>
      <c r="B330" s="130" t="s">
        <v>1486</v>
      </c>
      <c r="C330" s="130" t="s">
        <v>1487</v>
      </c>
      <c r="D330" s="130" t="str">
        <f>IF('SIG 2021'!$D333="","",'SIG 2021'!$D333)</f>
        <v>Yes</v>
      </c>
      <c r="E330" s="130" t="str">
        <f>IF('SIG 2021'!$E333="","",'SIG 2021'!$E333)</f>
        <v/>
      </c>
      <c r="F330" s="130" t="str">
        <f>IF('SIG 2021'!$F333="","",'SIG 2021'!F333)</f>
        <v/>
      </c>
      <c r="G330" s="130" t="s">
        <v>1464</v>
      </c>
      <c r="H330" s="130" t="s">
        <v>1488</v>
      </c>
      <c r="I330" s="130"/>
      <c r="J330" s="130"/>
      <c r="K330" s="130" t="str">
        <f>IF('SIG 2021'!$AM333="","",'SIG 2021'!$AM333)</f>
        <v/>
      </c>
      <c r="L330" s="130" t="str">
        <f>IF('SIG 2021'!$AN333="","",'SIG 2021'!$AN333)</f>
        <v/>
      </c>
      <c r="M330" s="130" t="str">
        <f>IF('SIG 2021'!$AO333="","",'SIG 2021'!$AO333)</f>
        <v/>
      </c>
    </row>
    <row r="331" spans="1:13" ht="28.8" x14ac:dyDescent="0.5">
      <c r="A331" s="130">
        <v>2144</v>
      </c>
      <c r="B331" s="130" t="s">
        <v>1489</v>
      </c>
      <c r="C331" s="130" t="s">
        <v>1490</v>
      </c>
      <c r="D331" s="130" t="str">
        <f>IF('SIG 2021'!$D334="","",'SIG 2021'!$D334)</f>
        <v>Yes</v>
      </c>
      <c r="E331" s="130" t="str">
        <f>IF('SIG 2021'!$E334="","",'SIG 2021'!$E334)</f>
        <v/>
      </c>
      <c r="F331" s="130" t="str">
        <f>IF('SIG 2021'!$F334="","",'SIG 2021'!F334)</f>
        <v/>
      </c>
      <c r="G331" s="130" t="s">
        <v>1464</v>
      </c>
      <c r="H331" s="130" t="s">
        <v>1488</v>
      </c>
      <c r="I331" s="130" t="s">
        <v>1491</v>
      </c>
      <c r="J331" s="130" t="s">
        <v>646</v>
      </c>
      <c r="K331" s="130" t="str">
        <f>IF('SIG 2021'!$AM334="","",'SIG 2021'!$AM334)</f>
        <v/>
      </c>
      <c r="L331" s="130" t="str">
        <f>IF('SIG 2021'!$AN334="","",'SIG 2021'!$AN334)</f>
        <v/>
      </c>
      <c r="M331" s="130" t="str">
        <f>IF('SIG 2021'!$AO334="","",'SIG 2021'!$AO334)</f>
        <v/>
      </c>
    </row>
    <row r="332" spans="1:13" ht="28.8" x14ac:dyDescent="0.5">
      <c r="A332" s="130">
        <v>2970</v>
      </c>
      <c r="B332" s="130" t="s">
        <v>1492</v>
      </c>
      <c r="C332" s="130" t="s">
        <v>1493</v>
      </c>
      <c r="D332" s="130" t="str">
        <f>IF('SIG 2021'!$D335="","",'SIG 2021'!$D335)</f>
        <v>Yes</v>
      </c>
      <c r="E332" s="130" t="str">
        <f>IF('SIG 2021'!$E335="","",'SIG 2021'!$E335)</f>
        <v/>
      </c>
      <c r="F332" s="130" t="str">
        <f>IF('SIG 2021'!$F335="","",'SIG 2021'!F335)</f>
        <v/>
      </c>
      <c r="G332" s="130" t="s">
        <v>1464</v>
      </c>
      <c r="H332" s="130" t="s">
        <v>1494</v>
      </c>
      <c r="I332" s="130"/>
      <c r="J332" s="130"/>
      <c r="K332" s="130" t="str">
        <f>IF('SIG 2021'!$AM335="","",'SIG 2021'!$AM335)</f>
        <v/>
      </c>
      <c r="L332" s="130" t="str">
        <f>IF('SIG 2021'!$AN335="","",'SIG 2021'!$AN335)</f>
        <v/>
      </c>
      <c r="M332" s="130" t="str">
        <f>IF('SIG 2021'!$AO335="","",'SIG 2021'!$AO335)</f>
        <v/>
      </c>
    </row>
    <row r="333" spans="1:13" ht="43.2" x14ac:dyDescent="0.5">
      <c r="A333" s="130">
        <v>2081</v>
      </c>
      <c r="B333" s="130" t="s">
        <v>1495</v>
      </c>
      <c r="C333" s="130" t="s">
        <v>1496</v>
      </c>
      <c r="D333" s="130" t="str">
        <f>IF('SIG 2021'!$D336="","",'SIG 2021'!$D336)</f>
        <v>Yes</v>
      </c>
      <c r="E333" s="130" t="str">
        <f>IF('SIG 2021'!$E336="","",'SIG 2021'!$E336)</f>
        <v>OWASP Top 10</v>
      </c>
      <c r="F333" s="130" t="str">
        <f>IF('SIG 2021'!$F336="","",'SIG 2021'!F336)</f>
        <v/>
      </c>
      <c r="G333" s="130" t="s">
        <v>1464</v>
      </c>
      <c r="H333" s="130" t="s">
        <v>1498</v>
      </c>
      <c r="I333" s="130" t="s">
        <v>1499</v>
      </c>
      <c r="J333" s="130"/>
      <c r="K333" s="130" t="str">
        <f>IF('SIG 2021'!$AM336="","",'SIG 2021'!$AM336)</f>
        <v/>
      </c>
      <c r="L333" s="130" t="str">
        <f>IF('SIG 2021'!$AN336="","",'SIG 2021'!$AN336)</f>
        <v/>
      </c>
      <c r="M333" s="130" t="str">
        <f>IF('SIG 2021'!$AO336="","",'SIG 2021'!$AO336)</f>
        <v/>
      </c>
    </row>
    <row r="334" spans="1:13" ht="28.8" x14ac:dyDescent="0.5">
      <c r="A334" s="130">
        <v>2109</v>
      </c>
      <c r="B334" s="130" t="s">
        <v>1500</v>
      </c>
      <c r="C334" s="130" t="s">
        <v>1501</v>
      </c>
      <c r="D334" s="130" t="str">
        <f>IF('SIG 2021'!$D337="","",'SIG 2021'!$D337)</f>
        <v>Yes</v>
      </c>
      <c r="E334" s="130" t="str">
        <f>IF('SIG 2021'!$E337="","",'SIG 2021'!$E337)</f>
        <v>Validated server side.</v>
      </c>
      <c r="F334" s="130" t="str">
        <f>IF('SIG 2021'!$F337="","",'SIG 2021'!F337)</f>
        <v/>
      </c>
      <c r="G334" s="130" t="s">
        <v>1464</v>
      </c>
      <c r="H334" s="130" t="s">
        <v>1503</v>
      </c>
      <c r="I334" s="130" t="s">
        <v>1258</v>
      </c>
      <c r="J334" s="130" t="s">
        <v>1441</v>
      </c>
      <c r="K334" s="130" t="str">
        <f>IF('SIG 2021'!$AM337="","",'SIG 2021'!$AM337)</f>
        <v/>
      </c>
      <c r="L334" s="130" t="str">
        <f>IF('SIG 2021'!$AN337="","",'SIG 2021'!$AN337)</f>
        <v/>
      </c>
      <c r="M334" s="130" t="str">
        <f>IF('SIG 2021'!$AO337="","",'SIG 2021'!$AO337)</f>
        <v/>
      </c>
    </row>
    <row r="335" spans="1:13" ht="409.5" x14ac:dyDescent="0.5">
      <c r="A335" s="130">
        <v>2182</v>
      </c>
      <c r="B335" s="130" t="s">
        <v>1504</v>
      </c>
      <c r="C335" s="130" t="s">
        <v>1505</v>
      </c>
      <c r="D335" s="130" t="str">
        <f>IF('SIG 2021'!$D338="","",'SIG 2021'!$D338)</f>
        <v>Yes</v>
      </c>
      <c r="E335" s="130" t="str">
        <f>IF('SIG 2021'!$E338="","",'SIG 2021'!$E338)</f>
        <v>Seismic develops and operates its SaaS software product using distinct Engineering, Quality Assurance, and Operations teams with strict separation of responsibilities between the teams. The Engineering team is responsible for developing Seismic's software products following Seismic's software development process. The software is developed in a development environment that is separate from the production environment on which the released software is deployed for use by customers. The Quality Assurance team is responsible for developing quality assurance test cases and test plans and performing quality assurance testing on software releases to ensure the software quality prior to release. The Operations team is responsible for deploying, monitoring, and operating the software in the production environment after it has been released. The Operations team is the only team whose members have access to the production systems and their administrative interfaces.</v>
      </c>
      <c r="F335" s="130" t="str">
        <f>IF('SIG 2021'!$F338="","",'SIG 2021'!F338)</f>
        <v/>
      </c>
      <c r="G335" s="130" t="s">
        <v>1464</v>
      </c>
      <c r="H335" s="130" t="s">
        <v>1507</v>
      </c>
      <c r="I335" s="130"/>
      <c r="J335" s="130" t="s">
        <v>1508</v>
      </c>
      <c r="K335" s="130" t="str">
        <f>IF('SIG 2021'!$AM338="","",'SIG 2021'!$AM338)</f>
        <v/>
      </c>
      <c r="L335" s="130" t="str">
        <f>IF('SIG 2021'!$AN338="","",'SIG 2021'!$AN338)</f>
        <v/>
      </c>
      <c r="M335" s="130" t="str">
        <f>IF('SIG 2021'!$AO338="","",'SIG 2021'!$AO338)</f>
        <v/>
      </c>
    </row>
    <row r="336" spans="1:13" ht="43.2" x14ac:dyDescent="0.5">
      <c r="A336" s="130">
        <v>847</v>
      </c>
      <c r="B336" s="130" t="s">
        <v>1509</v>
      </c>
      <c r="C336" s="130" t="s">
        <v>1510</v>
      </c>
      <c r="D336" s="130" t="str">
        <f>IF('SIG 2021'!$D339="","",'SIG 2021'!$D339)</f>
        <v>Yes</v>
      </c>
      <c r="E336" s="130" t="str">
        <f>IF('SIG 2021'!$E339="","",'SIG 2021'!$E339)</f>
        <v/>
      </c>
      <c r="F336" s="130" t="str">
        <f>IF('SIG 2021'!$F339="","",'SIG 2021'!F339)</f>
        <v/>
      </c>
      <c r="G336" s="130" t="s">
        <v>1464</v>
      </c>
      <c r="H336" s="130" t="s">
        <v>1507</v>
      </c>
      <c r="I336" s="130"/>
      <c r="J336" s="130" t="s">
        <v>1511</v>
      </c>
      <c r="K336" s="130" t="str">
        <f>IF('SIG 2021'!$AM339="","",'SIG 2021'!$AM339)</f>
        <v/>
      </c>
      <c r="L336" s="130" t="str">
        <f>IF('SIG 2021'!$AN339="","",'SIG 2021'!$AN339)</f>
        <v/>
      </c>
      <c r="M336" s="130" t="str">
        <f>IF('SIG 2021'!$AO339="","",'SIG 2021'!$AO339)</f>
        <v/>
      </c>
    </row>
    <row r="337" spans="1:13" ht="28.8" x14ac:dyDescent="0.5">
      <c r="A337" s="130">
        <v>2668</v>
      </c>
      <c r="B337" s="130" t="s">
        <v>1512</v>
      </c>
      <c r="C337" s="130" t="s">
        <v>1513</v>
      </c>
      <c r="D337" s="130" t="str">
        <f>IF('SIG 2021'!$D340="","",'SIG 2021'!$D340)</f>
        <v>No</v>
      </c>
      <c r="E337" s="130" t="str">
        <f>IF('SIG 2021'!$E340="","",'SIG 2021'!$E340)</f>
        <v/>
      </c>
      <c r="F337" s="130" t="str">
        <f>IF('SIG 2021'!$F340="","",'SIG 2021'!F340)</f>
        <v/>
      </c>
      <c r="G337" s="130" t="s">
        <v>1464</v>
      </c>
      <c r="H337" s="130" t="s">
        <v>1514</v>
      </c>
      <c r="I337" s="130"/>
      <c r="J337" s="130" t="s">
        <v>1511</v>
      </c>
      <c r="K337" s="130" t="str">
        <f>IF('SIG 2021'!$AM340="","",'SIG 2021'!$AM340)</f>
        <v/>
      </c>
      <c r="L337" s="130" t="str">
        <f>IF('SIG 2021'!$AN340="","",'SIG 2021'!$AN340)</f>
        <v/>
      </c>
      <c r="M337" s="130" t="str">
        <f>IF('SIG 2021'!$AO340="","",'SIG 2021'!$AO340)</f>
        <v/>
      </c>
    </row>
    <row r="338" spans="1:13" ht="28.8" x14ac:dyDescent="0.5">
      <c r="A338" s="130">
        <v>2669</v>
      </c>
      <c r="B338" s="130" t="s">
        <v>1515</v>
      </c>
      <c r="C338" s="130" t="s">
        <v>1516</v>
      </c>
      <c r="D338" s="130" t="str">
        <f>IF('SIG 2021'!$D341="","",'SIG 2021'!$D341)</f>
        <v>Yes</v>
      </c>
      <c r="E338" s="130" t="str">
        <f>IF('SIG 2021'!$E341="","",'SIG 2021'!$E341)</f>
        <v/>
      </c>
      <c r="F338" s="130" t="str">
        <f>IF('SIG 2021'!$F341="","",'SIG 2021'!F341)</f>
        <v/>
      </c>
      <c r="G338" s="130" t="s">
        <v>1464</v>
      </c>
      <c r="H338" s="130" t="s">
        <v>1514</v>
      </c>
      <c r="I338" s="130"/>
      <c r="J338" s="130" t="s">
        <v>1517</v>
      </c>
      <c r="K338" s="130" t="str">
        <f>IF('SIG 2021'!$AM341="","",'SIG 2021'!$AM341)</f>
        <v/>
      </c>
      <c r="L338" s="130" t="str">
        <f>IF('SIG 2021'!$AN341="","",'SIG 2021'!$AN341)</f>
        <v/>
      </c>
      <c r="M338" s="130" t="str">
        <f>IF('SIG 2021'!$AO341="","",'SIG 2021'!$AO341)</f>
        <v/>
      </c>
    </row>
    <row r="339" spans="1:13" ht="28.8" x14ac:dyDescent="0.5">
      <c r="A339" s="130">
        <v>2683</v>
      </c>
      <c r="B339" s="130" t="s">
        <v>1518</v>
      </c>
      <c r="C339" s="130" t="s">
        <v>1519</v>
      </c>
      <c r="D339" s="130" t="str">
        <f>IF('SIG 2021'!$D342="","",'SIG 2021'!$D342)</f>
        <v>Yes</v>
      </c>
      <c r="E339" s="130" t="str">
        <f>IF('SIG 2021'!$E342="","",'SIG 2021'!$E342)</f>
        <v/>
      </c>
      <c r="F339" s="130" t="str">
        <f>IF('SIG 2021'!$F342="","",'SIG 2021'!F342)</f>
        <v/>
      </c>
      <c r="G339" s="130" t="s">
        <v>1464</v>
      </c>
      <c r="H339" s="130" t="s">
        <v>1514</v>
      </c>
      <c r="I339" s="130"/>
      <c r="J339" s="130" t="s">
        <v>1517</v>
      </c>
      <c r="K339" s="130" t="str">
        <f>IF('SIG 2021'!$AM342="","",'SIG 2021'!$AM342)</f>
        <v/>
      </c>
      <c r="L339" s="130" t="str">
        <f>IF('SIG 2021'!$AN342="","",'SIG 2021'!$AN342)</f>
        <v/>
      </c>
      <c r="M339" s="130" t="str">
        <f>IF('SIG 2021'!$AO342="","",'SIG 2021'!$AO342)</f>
        <v/>
      </c>
    </row>
    <row r="340" spans="1:13" ht="28.8" x14ac:dyDescent="0.5">
      <c r="A340" s="130">
        <v>2020</v>
      </c>
      <c r="B340" s="130" t="s">
        <v>1520</v>
      </c>
      <c r="C340" s="130" t="s">
        <v>1521</v>
      </c>
      <c r="D340" s="130" t="str">
        <f>IF('SIG 2021'!$D343="","",'SIG 2021'!$D343)</f>
        <v>No</v>
      </c>
      <c r="E340" s="130" t="str">
        <f>IF('SIG 2021'!$E343="","",'SIG 2021'!$E343)</f>
        <v/>
      </c>
      <c r="F340" s="130" t="str">
        <f>IF('SIG 2021'!$F343="","",'SIG 2021'!F343)</f>
        <v/>
      </c>
      <c r="G340" s="130" t="s">
        <v>1464</v>
      </c>
      <c r="H340" s="130" t="s">
        <v>1522</v>
      </c>
      <c r="I340" s="130"/>
      <c r="J340" s="130"/>
      <c r="K340" s="130" t="str">
        <f>IF('SIG 2021'!$AM343="","",'SIG 2021'!$AM343)</f>
        <v/>
      </c>
      <c r="L340" s="130" t="str">
        <f>IF('SIG 2021'!$AN343="","",'SIG 2021'!$AN343)</f>
        <v/>
      </c>
      <c r="M340" s="130" t="str">
        <f>IF('SIG 2021'!$AO343="","",'SIG 2021'!$AO343)</f>
        <v/>
      </c>
    </row>
    <row r="341" spans="1:13" ht="43.2" x14ac:dyDescent="0.5">
      <c r="A341" s="130">
        <v>2027</v>
      </c>
      <c r="B341" s="130" t="s">
        <v>1523</v>
      </c>
      <c r="C341" s="130" t="s">
        <v>1524</v>
      </c>
      <c r="D341" s="130" t="str">
        <f>IF('SIG 2021'!$D344="","",'SIG 2021'!$D344)</f>
        <v>N/A</v>
      </c>
      <c r="E341" s="130" t="str">
        <f>IF('SIG 2021'!$E344="","",'SIG 2021'!$E344)</f>
        <v>Developers do not have access to the Production environment.</v>
      </c>
      <c r="F341" s="130" t="str">
        <f>IF('SIG 2021'!$F344="","",'SIG 2021'!F344)</f>
        <v/>
      </c>
      <c r="G341" s="130" t="s">
        <v>1464</v>
      </c>
      <c r="H341" s="130" t="s">
        <v>1522</v>
      </c>
      <c r="I341" s="130"/>
      <c r="J341" s="130"/>
      <c r="K341" s="130" t="str">
        <f>IF('SIG 2021'!$AM344="","",'SIG 2021'!$AM344)</f>
        <v/>
      </c>
      <c r="L341" s="130" t="str">
        <f>IF('SIG 2021'!$AN344="","",'SIG 2021'!$AN344)</f>
        <v/>
      </c>
      <c r="M341" s="130" t="str">
        <f>IF('SIG 2021'!$AO344="","",'SIG 2021'!$AO344)</f>
        <v/>
      </c>
    </row>
    <row r="342" spans="1:13" ht="28.8" x14ac:dyDescent="0.5">
      <c r="A342" s="130">
        <v>2169</v>
      </c>
      <c r="B342" s="130" t="s">
        <v>1526</v>
      </c>
      <c r="C342" s="130" t="s">
        <v>1527</v>
      </c>
      <c r="D342" s="130" t="str">
        <f>IF('SIG 2021'!$D345="","",'SIG 2021'!$D345)</f>
        <v>No</v>
      </c>
      <c r="E342" s="130" t="str">
        <f>IF('SIG 2021'!$E345="","",'SIG 2021'!$E345)</f>
        <v/>
      </c>
      <c r="F342" s="130" t="str">
        <f>IF('SIG 2021'!$F345="","",'SIG 2021'!F345)</f>
        <v/>
      </c>
      <c r="G342" s="130" t="s">
        <v>1464</v>
      </c>
      <c r="H342" s="130" t="s">
        <v>1528</v>
      </c>
      <c r="I342" s="130"/>
      <c r="J342" s="130" t="s">
        <v>1529</v>
      </c>
      <c r="K342" s="130" t="str">
        <f>IF('SIG 2021'!$AM345="","",'SIG 2021'!$AM345)</f>
        <v/>
      </c>
      <c r="L342" s="130" t="str">
        <f>IF('SIG 2021'!$AN345="","",'SIG 2021'!$AN345)</f>
        <v/>
      </c>
      <c r="M342" s="130" t="str">
        <f>IF('SIG 2021'!$AO345="","",'SIG 2021'!$AO345)</f>
        <v/>
      </c>
    </row>
    <row r="343" spans="1:13" ht="28.8" x14ac:dyDescent="0.5">
      <c r="A343" s="130">
        <v>2672</v>
      </c>
      <c r="B343" s="130" t="s">
        <v>1530</v>
      </c>
      <c r="C343" s="130" t="s">
        <v>1531</v>
      </c>
      <c r="D343" s="130" t="str">
        <f>IF('SIG 2021'!$D346="","",'SIG 2021'!$D346)</f>
        <v>N/A</v>
      </c>
      <c r="E343" s="130" t="str">
        <f>IF('SIG 2021'!$E346="","",'SIG 2021'!$E346)</f>
        <v>Scoped data not used in these environments.</v>
      </c>
      <c r="F343" s="130" t="str">
        <f>IF('SIG 2021'!$F346="","",'SIG 2021'!F346)</f>
        <v/>
      </c>
      <c r="G343" s="130" t="s">
        <v>1464</v>
      </c>
      <c r="H343" s="130" t="s">
        <v>1528</v>
      </c>
      <c r="I343" s="130"/>
      <c r="J343" s="130" t="s">
        <v>1529</v>
      </c>
      <c r="K343" s="130" t="str">
        <f>IF('SIG 2021'!$AM346="","",'SIG 2021'!$AM346)</f>
        <v/>
      </c>
      <c r="L343" s="130" t="str">
        <f>IF('SIG 2021'!$AN346="","",'SIG 2021'!$AN346)</f>
        <v/>
      </c>
      <c r="M343" s="130" t="str">
        <f>IF('SIG 2021'!$AO346="","",'SIG 2021'!$AO346)</f>
        <v/>
      </c>
    </row>
    <row r="344" spans="1:13" ht="28.8" x14ac:dyDescent="0.5">
      <c r="A344" s="130">
        <v>2171</v>
      </c>
      <c r="B344" s="130" t="s">
        <v>1533</v>
      </c>
      <c r="C344" s="130" t="s">
        <v>1534</v>
      </c>
      <c r="D344" s="130" t="str">
        <f>IF('SIG 2021'!$D347="","",'SIG 2021'!$D347)</f>
        <v>N/A</v>
      </c>
      <c r="E344" s="130" t="str">
        <f>IF('SIG 2021'!$E347="","",'SIG 2021'!$E347)</f>
        <v>Scoped data not used in these environments.</v>
      </c>
      <c r="F344" s="130" t="str">
        <f>IF('SIG 2021'!$F347="","",'SIG 2021'!F347)</f>
        <v/>
      </c>
      <c r="G344" s="130" t="s">
        <v>1464</v>
      </c>
      <c r="H344" s="130" t="s">
        <v>1528</v>
      </c>
      <c r="I344" s="130"/>
      <c r="J344" s="130" t="s">
        <v>1529</v>
      </c>
      <c r="K344" s="130" t="str">
        <f>IF('SIG 2021'!$AM347="","",'SIG 2021'!$AM347)</f>
        <v/>
      </c>
      <c r="L344" s="130" t="str">
        <f>IF('SIG 2021'!$AN347="","",'SIG 2021'!$AN347)</f>
        <v/>
      </c>
      <c r="M344" s="130" t="str">
        <f>IF('SIG 2021'!$AO347="","",'SIG 2021'!$AO347)</f>
        <v/>
      </c>
    </row>
    <row r="345" spans="1:13" ht="28.8" x14ac:dyDescent="0.5">
      <c r="A345" s="130">
        <v>2170</v>
      </c>
      <c r="B345" s="130" t="s">
        <v>1535</v>
      </c>
      <c r="C345" s="130" t="s">
        <v>1536</v>
      </c>
      <c r="D345" s="130" t="str">
        <f>IF('SIG 2021'!$D348="","",'SIG 2021'!$D348)</f>
        <v>N/A</v>
      </c>
      <c r="E345" s="130" t="str">
        <f>IF('SIG 2021'!$E348="","",'SIG 2021'!$E348)</f>
        <v>Scoped data not used in these environments.</v>
      </c>
      <c r="F345" s="130" t="str">
        <f>IF('SIG 2021'!$F348="","",'SIG 2021'!F348)</f>
        <v/>
      </c>
      <c r="G345" s="130" t="s">
        <v>1464</v>
      </c>
      <c r="H345" s="130" t="s">
        <v>1528</v>
      </c>
      <c r="I345" s="130"/>
      <c r="J345" s="130" t="s">
        <v>1529</v>
      </c>
      <c r="K345" s="130" t="str">
        <f>IF('SIG 2021'!$AM348="","",'SIG 2021'!$AM348)</f>
        <v/>
      </c>
      <c r="L345" s="130" t="str">
        <f>IF('SIG 2021'!$AN348="","",'SIG 2021'!$AN348)</f>
        <v/>
      </c>
      <c r="M345" s="130" t="str">
        <f>IF('SIG 2021'!$AO348="","",'SIG 2021'!$AO348)</f>
        <v/>
      </c>
    </row>
    <row r="346" spans="1:13" ht="14.4" x14ac:dyDescent="0.5">
      <c r="A346" s="130">
        <v>2058</v>
      </c>
      <c r="B346" s="130" t="s">
        <v>277</v>
      </c>
      <c r="C346" s="130" t="s">
        <v>1537</v>
      </c>
      <c r="D346" s="130" t="str">
        <f>IF('SIG 2021'!$D349="","",'SIG 2021'!$D349)</f>
        <v>Yes</v>
      </c>
      <c r="E346" s="130" t="str">
        <f>IF('SIG 2021'!$E349="","",'SIG 2021'!$E349)</f>
        <v/>
      </c>
      <c r="F346" s="130" t="str">
        <f>IF('SIG 2021'!$F349="","",'SIG 2021'!F349)</f>
        <v/>
      </c>
      <c r="G346" s="130" t="s">
        <v>1538</v>
      </c>
      <c r="H346" s="130" t="s">
        <v>910</v>
      </c>
      <c r="I346" s="130"/>
      <c r="J346" s="130"/>
      <c r="K346" s="130" t="str">
        <f>IF('SIG 2021'!$AM349="","",'SIG 2021'!$AM349)</f>
        <v/>
      </c>
      <c r="L346" s="130" t="str">
        <f>IF('SIG 2021'!$AN349="","",'SIG 2021'!$AN349)</f>
        <v/>
      </c>
      <c r="M346" s="130" t="str">
        <f>IF('SIG 2021'!$AO349="","",'SIG 2021'!$AO349)</f>
        <v/>
      </c>
    </row>
    <row r="347" spans="1:13" ht="115.2" x14ac:dyDescent="0.5">
      <c r="A347" s="130">
        <v>2059</v>
      </c>
      <c r="B347" s="130" t="s">
        <v>1539</v>
      </c>
      <c r="C347" s="130" t="s">
        <v>1540</v>
      </c>
      <c r="D347" s="130" t="str">
        <f>IF('SIG 2021'!$D350="","",'SIG 2021'!$D350)</f>
        <v>Yes</v>
      </c>
      <c r="E347" s="130" t="str">
        <f>IF('SIG 2021'!$E350="","",'SIG 2021'!$E350)</f>
        <v xml:space="preserve">Seismic has a formal SDLC policy that instates appropriate testing, planning, approval, and communication between teams during to include Information Security involvement across all phases of the SDLC.
</v>
      </c>
      <c r="F347" s="130" t="str">
        <f>IF('SIG 2021'!$F350="","",'SIG 2021'!F350)</f>
        <v/>
      </c>
      <c r="G347" s="130" t="s">
        <v>1538</v>
      </c>
      <c r="H347" s="130" t="s">
        <v>1538</v>
      </c>
      <c r="I347" s="130" t="s">
        <v>1542</v>
      </c>
      <c r="J347" s="130"/>
      <c r="K347" s="130" t="str">
        <f>IF('SIG 2021'!$AM350="","",'SIG 2021'!$AM350)</f>
        <v/>
      </c>
      <c r="L347" s="130" t="str">
        <f>IF('SIG 2021'!$AN350="","",'SIG 2021'!$AN350)</f>
        <v/>
      </c>
      <c r="M347" s="130" t="str">
        <f>IF('SIG 2021'!$AO350="","",'SIG 2021'!$AO350)</f>
        <v/>
      </c>
    </row>
    <row r="348" spans="1:13" ht="28.8" x14ac:dyDescent="0.5">
      <c r="A348" s="130">
        <v>4450</v>
      </c>
      <c r="B348" s="130" t="s">
        <v>1543</v>
      </c>
      <c r="C348" s="130" t="s">
        <v>1544</v>
      </c>
      <c r="D348" s="130" t="str">
        <f>IF('SIG 2021'!$D351="","",'SIG 2021'!$D351)</f>
        <v>Yes</v>
      </c>
      <c r="E348" s="130" t="str">
        <f>IF('SIG 2021'!$E351="","",'SIG 2021'!$E351)</f>
        <v/>
      </c>
      <c r="F348" s="130" t="str">
        <f>IF('SIG 2021'!$F351="","",'SIG 2021'!F351)</f>
        <v/>
      </c>
      <c r="G348" s="130" t="s">
        <v>1538</v>
      </c>
      <c r="H348" s="130" t="s">
        <v>1538</v>
      </c>
      <c r="I348" s="130"/>
      <c r="J348" s="130"/>
      <c r="K348" s="130" t="str">
        <f>IF('SIG 2021'!$AM351="","",'SIG 2021'!$AM351)</f>
        <v/>
      </c>
      <c r="L348" s="130" t="str">
        <f>IF('SIG 2021'!$AN351="","",'SIG 2021'!$AN351)</f>
        <v/>
      </c>
      <c r="M348" s="130" t="str">
        <f>IF('SIG 2021'!$AO351="","",'SIG 2021'!$AO351)</f>
        <v/>
      </c>
    </row>
    <row r="349" spans="1:13" ht="115.2" x14ac:dyDescent="0.5">
      <c r="A349" s="130">
        <v>3920</v>
      </c>
      <c r="B349" s="130" t="s">
        <v>1545</v>
      </c>
      <c r="C349" s="130" t="s">
        <v>1546</v>
      </c>
      <c r="D349" s="130" t="str">
        <f>IF('SIG 2021'!$D352="","",'SIG 2021'!$D352)</f>
        <v>Yes</v>
      </c>
      <c r="E349" s="130" t="str">
        <f>IF('SIG 2021'!$E352="","",'SIG 2021'!$E352)</f>
        <v>Seismic follows an agile Software Development Lifecycle methodology, utilizing Agile project management tools to track and manage software development activities. Seismic maintains development, test, and production in separate environments.</v>
      </c>
      <c r="F349" s="130" t="str">
        <f>IF('SIG 2021'!$F352="","",'SIG 2021'!F352)</f>
        <v/>
      </c>
      <c r="G349" s="130" t="s">
        <v>1538</v>
      </c>
      <c r="H349" s="130" t="s">
        <v>1538</v>
      </c>
      <c r="I349" s="130" t="s">
        <v>1542</v>
      </c>
      <c r="J349" s="130" t="s">
        <v>1548</v>
      </c>
      <c r="K349" s="130" t="str">
        <f>IF('SIG 2021'!$AM352="","",'SIG 2021'!$AM352)</f>
        <v/>
      </c>
      <c r="L349" s="130" t="str">
        <f>IF('SIG 2021'!$AN352="","",'SIG 2021'!$AN352)</f>
        <v/>
      </c>
      <c r="M349" s="130" t="str">
        <f>IF('SIG 2021'!$AO352="","",'SIG 2021'!$AO352)</f>
        <v/>
      </c>
    </row>
    <row r="350" spans="1:13" ht="57.6" x14ac:dyDescent="0.5">
      <c r="A350" s="130">
        <v>2204</v>
      </c>
      <c r="B350" s="130" t="s">
        <v>1549</v>
      </c>
      <c r="C350" s="130" t="s">
        <v>1550</v>
      </c>
      <c r="D350" s="130" t="str">
        <f>IF('SIG 2021'!$D353="","",'SIG 2021'!$D353)</f>
        <v>Yes</v>
      </c>
      <c r="E350" s="130" t="str">
        <f>IF('SIG 2021'!$E353="","",'SIG 2021'!$E353)</f>
        <v/>
      </c>
      <c r="F350" s="130" t="str">
        <f>IF('SIG 2021'!$F353="","",'SIG 2021'!F353)</f>
        <v/>
      </c>
      <c r="G350" s="130" t="s">
        <v>1538</v>
      </c>
      <c r="H350" s="130" t="s">
        <v>1551</v>
      </c>
      <c r="I350" s="130" t="s">
        <v>1542</v>
      </c>
      <c r="J350" s="130" t="s">
        <v>1552</v>
      </c>
      <c r="K350" s="130" t="str">
        <f>IF('SIG 2021'!$AM353="","",'SIG 2021'!$AM353)</f>
        <v/>
      </c>
      <c r="L350" s="130" t="str">
        <f>IF('SIG 2021'!$AN353="","",'SIG 2021'!$AN353)</f>
        <v/>
      </c>
      <c r="M350" s="130" t="str">
        <f>IF('SIG 2021'!$AO353="","",'SIG 2021'!$AO353)</f>
        <v/>
      </c>
    </row>
    <row r="351" spans="1:13" ht="57.6" x14ac:dyDescent="0.5">
      <c r="A351" s="130">
        <v>3427</v>
      </c>
      <c r="B351" s="130" t="s">
        <v>1553</v>
      </c>
      <c r="C351" s="130" t="s">
        <v>1554</v>
      </c>
      <c r="D351" s="130" t="str">
        <f>IF('SIG 2021'!$D354="","",'SIG 2021'!$D354)</f>
        <v>Yes</v>
      </c>
      <c r="E351" s="130" t="str">
        <f>IF('SIG 2021'!$E354="","",'SIG 2021'!$E354)</f>
        <v>Weekly product updates</v>
      </c>
      <c r="F351" s="130" t="str">
        <f>IF('SIG 2021'!$F354="","",'SIG 2021'!F354)</f>
        <v/>
      </c>
      <c r="G351" s="130" t="s">
        <v>1538</v>
      </c>
      <c r="H351" s="130" t="s">
        <v>1551</v>
      </c>
      <c r="I351" s="130"/>
      <c r="J351" s="130"/>
      <c r="K351" s="130" t="str">
        <f>IF('SIG 2021'!$AM354="","",'SIG 2021'!$AM354)</f>
        <v/>
      </c>
      <c r="L351" s="130" t="str">
        <f>IF('SIG 2021'!$AN354="","",'SIG 2021'!$AN354)</f>
        <v/>
      </c>
      <c r="M351" s="130" t="str">
        <f>IF('SIG 2021'!$AO354="","",'SIG 2021'!$AO354)</f>
        <v/>
      </c>
    </row>
    <row r="352" spans="1:13" ht="57.6" x14ac:dyDescent="0.5">
      <c r="A352" s="130">
        <v>2670</v>
      </c>
      <c r="B352" s="130" t="s">
        <v>1556</v>
      </c>
      <c r="C352" s="130" t="s">
        <v>1557</v>
      </c>
      <c r="D352" s="130" t="str">
        <f>IF('SIG 2021'!$D355="","",'SIG 2021'!$D355)</f>
        <v>Yes</v>
      </c>
      <c r="E352" s="130" t="str">
        <f>IF('SIG 2021'!$E355="","",'SIG 2021'!$E355)</f>
        <v/>
      </c>
      <c r="F352" s="130" t="str">
        <f>IF('SIG 2021'!$F355="","",'SIG 2021'!F355)</f>
        <v/>
      </c>
      <c r="G352" s="130" t="s">
        <v>1538</v>
      </c>
      <c r="H352" s="130" t="s">
        <v>1551</v>
      </c>
      <c r="I352" s="130"/>
      <c r="J352" s="130" t="s">
        <v>1558</v>
      </c>
      <c r="K352" s="130" t="str">
        <f>IF('SIG 2021'!$AM355="","",'SIG 2021'!$AM355)</f>
        <v/>
      </c>
      <c r="L352" s="130" t="str">
        <f>IF('SIG 2021'!$AN355="","",'SIG 2021'!$AN355)</f>
        <v/>
      </c>
      <c r="M352" s="130" t="str">
        <f>IF('SIG 2021'!$AO355="","",'SIG 2021'!$AO355)</f>
        <v/>
      </c>
    </row>
    <row r="353" spans="1:13" ht="43.2" x14ac:dyDescent="0.5">
      <c r="A353" s="130">
        <v>2206</v>
      </c>
      <c r="B353" s="130" t="s">
        <v>1559</v>
      </c>
      <c r="C353" s="130" t="s">
        <v>1560</v>
      </c>
      <c r="D353" s="130" t="str">
        <f>IF('SIG 2021'!$D356="","",'SIG 2021'!$D356)</f>
        <v>Yes</v>
      </c>
      <c r="E353" s="130" t="str">
        <f>IF('SIG 2021'!$E356="","",'SIG 2021'!$E356)</f>
        <v/>
      </c>
      <c r="F353" s="130" t="str">
        <f>IF('SIG 2021'!$F356="","",'SIG 2021'!F356)</f>
        <v/>
      </c>
      <c r="G353" s="130" t="s">
        <v>1538</v>
      </c>
      <c r="H353" s="130" t="s">
        <v>1551</v>
      </c>
      <c r="I353" s="130" t="s">
        <v>1561</v>
      </c>
      <c r="J353" s="130" t="s">
        <v>1562</v>
      </c>
      <c r="K353" s="130" t="str">
        <f>IF('SIG 2021'!$AM356="","",'SIG 2021'!$AM356)</f>
        <v/>
      </c>
      <c r="L353" s="130" t="str">
        <f>IF('SIG 2021'!$AN356="","",'SIG 2021'!$AN356)</f>
        <v/>
      </c>
      <c r="M353" s="130" t="str">
        <f>IF('SIG 2021'!$AO356="","",'SIG 2021'!$AO356)</f>
        <v/>
      </c>
    </row>
    <row r="354" spans="1:13" ht="43.2" x14ac:dyDescent="0.5">
      <c r="A354" s="130">
        <v>2207</v>
      </c>
      <c r="B354" s="130" t="s">
        <v>1563</v>
      </c>
      <c r="C354" s="130" t="s">
        <v>1564</v>
      </c>
      <c r="D354" s="130" t="str">
        <f>IF('SIG 2021'!$D357="","",'SIG 2021'!$D357)</f>
        <v>Yes</v>
      </c>
      <c r="E354" s="130" t="str">
        <f>IF('SIG 2021'!$E357="","",'SIG 2021'!$E357)</f>
        <v/>
      </c>
      <c r="F354" s="130" t="str">
        <f>IF('SIG 2021'!$F357="","",'SIG 2021'!F357)</f>
        <v/>
      </c>
      <c r="G354" s="130" t="s">
        <v>1538</v>
      </c>
      <c r="H354" s="130" t="s">
        <v>1551</v>
      </c>
      <c r="I354" s="130" t="s">
        <v>1565</v>
      </c>
      <c r="J354" s="130" t="s">
        <v>1566</v>
      </c>
      <c r="K354" s="130" t="str">
        <f>IF('SIG 2021'!$AM357="","",'SIG 2021'!$AM357)</f>
        <v/>
      </c>
      <c r="L354" s="130" t="str">
        <f>IF('SIG 2021'!$AN357="","",'SIG 2021'!$AN357)</f>
        <v/>
      </c>
      <c r="M354" s="130" t="str">
        <f>IF('SIG 2021'!$AO357="","",'SIG 2021'!$AO357)</f>
        <v/>
      </c>
    </row>
    <row r="355" spans="1:13" ht="43.2" x14ac:dyDescent="0.5">
      <c r="A355" s="130">
        <v>2676</v>
      </c>
      <c r="B355" s="130" t="s">
        <v>1567</v>
      </c>
      <c r="C355" s="130" t="s">
        <v>1568</v>
      </c>
      <c r="D355" s="130" t="str">
        <f>IF('SIG 2021'!$D358="","",'SIG 2021'!$D358)</f>
        <v>Yes</v>
      </c>
      <c r="E355" s="130" t="str">
        <f>IF('SIG 2021'!$E358="","",'SIG 2021'!$E358)</f>
        <v/>
      </c>
      <c r="F355" s="130" t="str">
        <f>IF('SIG 2021'!$F358="","",'SIG 2021'!F358)</f>
        <v/>
      </c>
      <c r="G355" s="130" t="s">
        <v>1538</v>
      </c>
      <c r="H355" s="130" t="s">
        <v>1551</v>
      </c>
      <c r="I355" s="130"/>
      <c r="J355" s="130" t="s">
        <v>1569</v>
      </c>
      <c r="K355" s="130" t="str">
        <f>IF('SIG 2021'!$AM358="","",'SIG 2021'!$AM358)</f>
        <v/>
      </c>
      <c r="L355" s="130" t="str">
        <f>IF('SIG 2021'!$AN358="","",'SIG 2021'!$AN358)</f>
        <v/>
      </c>
      <c r="M355" s="130" t="str">
        <f>IF('SIG 2021'!$AO358="","",'SIG 2021'!$AO358)</f>
        <v/>
      </c>
    </row>
    <row r="356" spans="1:13" ht="43.2" x14ac:dyDescent="0.5">
      <c r="A356" s="130">
        <v>2677</v>
      </c>
      <c r="B356" s="130" t="s">
        <v>1570</v>
      </c>
      <c r="C356" s="130" t="s">
        <v>1571</v>
      </c>
      <c r="D356" s="130" t="str">
        <f>IF('SIG 2021'!$D359="","",'SIG 2021'!$D359)</f>
        <v>Yes</v>
      </c>
      <c r="E356" s="130" t="str">
        <f>IF('SIG 2021'!$E359="","",'SIG 2021'!$E359)</f>
        <v/>
      </c>
      <c r="F356" s="130" t="str">
        <f>IF('SIG 2021'!$F359="","",'SIG 2021'!F359)</f>
        <v/>
      </c>
      <c r="G356" s="130" t="s">
        <v>1538</v>
      </c>
      <c r="H356" s="130" t="s">
        <v>1551</v>
      </c>
      <c r="I356" s="130"/>
      <c r="J356" s="130" t="s">
        <v>1569</v>
      </c>
      <c r="K356" s="130" t="str">
        <f>IF('SIG 2021'!$AM359="","",'SIG 2021'!$AM359)</f>
        <v/>
      </c>
      <c r="L356" s="130" t="str">
        <f>IF('SIG 2021'!$AN359="","",'SIG 2021'!$AN359)</f>
        <v/>
      </c>
      <c r="M356" s="130" t="str">
        <f>IF('SIG 2021'!$AO359="","",'SIG 2021'!$AO359)</f>
        <v/>
      </c>
    </row>
    <row r="357" spans="1:13" ht="43.2" x14ac:dyDescent="0.5">
      <c r="A357" s="130">
        <v>2678</v>
      </c>
      <c r="B357" s="130" t="s">
        <v>1572</v>
      </c>
      <c r="C357" s="130" t="s">
        <v>1573</v>
      </c>
      <c r="D357" s="130" t="str">
        <f>IF('SIG 2021'!$D360="","",'SIG 2021'!$D360)</f>
        <v>Yes</v>
      </c>
      <c r="E357" s="130" t="str">
        <f>IF('SIG 2021'!$E360="","",'SIG 2021'!$E360)</f>
        <v/>
      </c>
      <c r="F357" s="130" t="str">
        <f>IF('SIG 2021'!$F360="","",'SIG 2021'!F360)</f>
        <v/>
      </c>
      <c r="G357" s="130" t="s">
        <v>1538</v>
      </c>
      <c r="H357" s="130" t="s">
        <v>1551</v>
      </c>
      <c r="I357" s="130" t="s">
        <v>1574</v>
      </c>
      <c r="J357" s="130" t="s">
        <v>1558</v>
      </c>
      <c r="K357" s="130" t="str">
        <f>IF('SIG 2021'!$AM360="","",'SIG 2021'!$AM360)</f>
        <v/>
      </c>
      <c r="L357" s="130" t="str">
        <f>IF('SIG 2021'!$AN360="","",'SIG 2021'!$AN360)</f>
        <v/>
      </c>
      <c r="M357" s="130" t="str">
        <f>IF('SIG 2021'!$AO360="","",'SIG 2021'!$AO360)</f>
        <v/>
      </c>
    </row>
    <row r="358" spans="1:13" ht="43.2" x14ac:dyDescent="0.5">
      <c r="A358" s="130">
        <v>2679</v>
      </c>
      <c r="B358" s="130" t="s">
        <v>1575</v>
      </c>
      <c r="C358" s="130" t="s">
        <v>1576</v>
      </c>
      <c r="D358" s="130" t="str">
        <f>IF('SIG 2021'!$D361="","",'SIG 2021'!$D361)</f>
        <v>Yes</v>
      </c>
      <c r="E358" s="130" t="str">
        <f>IF('SIG 2021'!$E361="","",'SIG 2021'!$E361)</f>
        <v/>
      </c>
      <c r="F358" s="130" t="str">
        <f>IF('SIG 2021'!$F361="","",'SIG 2021'!F361)</f>
        <v/>
      </c>
      <c r="G358" s="130" t="s">
        <v>1538</v>
      </c>
      <c r="H358" s="130" t="s">
        <v>1551</v>
      </c>
      <c r="I358" s="130"/>
      <c r="J358" s="130" t="s">
        <v>1569</v>
      </c>
      <c r="K358" s="130" t="str">
        <f>IF('SIG 2021'!$AM361="","",'SIG 2021'!$AM361)</f>
        <v/>
      </c>
      <c r="L358" s="130" t="str">
        <f>IF('SIG 2021'!$AN361="","",'SIG 2021'!$AN361)</f>
        <v/>
      </c>
      <c r="M358" s="130" t="str">
        <f>IF('SIG 2021'!$AO361="","",'SIG 2021'!$AO361)</f>
        <v/>
      </c>
    </row>
    <row r="359" spans="1:13" ht="43.2" x14ac:dyDescent="0.5">
      <c r="A359" s="130">
        <v>2680</v>
      </c>
      <c r="B359" s="130" t="s">
        <v>1577</v>
      </c>
      <c r="C359" s="130" t="s">
        <v>1578</v>
      </c>
      <c r="D359" s="130" t="str">
        <f>IF('SIG 2021'!$D362="","",'SIG 2021'!$D362)</f>
        <v>Yes</v>
      </c>
      <c r="E359" s="130" t="str">
        <f>IF('SIG 2021'!$E362="","",'SIG 2021'!$E362)</f>
        <v/>
      </c>
      <c r="F359" s="130" t="str">
        <f>IF('SIG 2021'!$F362="","",'SIG 2021'!F362)</f>
        <v/>
      </c>
      <c r="G359" s="130" t="s">
        <v>1538</v>
      </c>
      <c r="H359" s="130" t="s">
        <v>1551</v>
      </c>
      <c r="I359" s="130"/>
      <c r="J359" s="130" t="s">
        <v>1569</v>
      </c>
      <c r="K359" s="130" t="str">
        <f>IF('SIG 2021'!$AM362="","",'SIG 2021'!$AM362)</f>
        <v/>
      </c>
      <c r="L359" s="130" t="str">
        <f>IF('SIG 2021'!$AN362="","",'SIG 2021'!$AN362)</f>
        <v/>
      </c>
      <c r="M359" s="130" t="str">
        <f>IF('SIG 2021'!$AO362="","",'SIG 2021'!$AO362)</f>
        <v/>
      </c>
    </row>
    <row r="360" spans="1:13" ht="43.2" x14ac:dyDescent="0.5">
      <c r="A360" s="130">
        <v>2681</v>
      </c>
      <c r="B360" s="130" t="s">
        <v>1579</v>
      </c>
      <c r="C360" s="130" t="s">
        <v>1580</v>
      </c>
      <c r="D360" s="130" t="str">
        <f>IF('SIG 2021'!$D363="","",'SIG 2021'!$D363)</f>
        <v>Yes</v>
      </c>
      <c r="E360" s="130" t="str">
        <f>IF('SIG 2021'!$E363="","",'SIG 2021'!$E363)</f>
        <v/>
      </c>
      <c r="F360" s="130" t="str">
        <f>IF('SIG 2021'!$F363="","",'SIG 2021'!F363)</f>
        <v/>
      </c>
      <c r="G360" s="130" t="s">
        <v>1538</v>
      </c>
      <c r="H360" s="130" t="s">
        <v>1551</v>
      </c>
      <c r="I360" s="130"/>
      <c r="J360" s="130" t="s">
        <v>1581</v>
      </c>
      <c r="K360" s="130" t="str">
        <f>IF('SIG 2021'!$AM363="","",'SIG 2021'!$AM363)</f>
        <v/>
      </c>
      <c r="L360" s="130" t="str">
        <f>IF('SIG 2021'!$AN363="","",'SIG 2021'!$AN363)</f>
        <v/>
      </c>
      <c r="M360" s="130" t="str">
        <f>IF('SIG 2021'!$AO363="","",'SIG 2021'!$AO363)</f>
        <v/>
      </c>
    </row>
    <row r="361" spans="1:13" ht="57.6" x14ac:dyDescent="0.5">
      <c r="A361" s="130">
        <v>2682</v>
      </c>
      <c r="B361" s="130" t="s">
        <v>1582</v>
      </c>
      <c r="C361" s="130" t="s">
        <v>1583</v>
      </c>
      <c r="D361" s="130" t="str">
        <f>IF('SIG 2021'!$D364="","",'SIG 2021'!$D364)</f>
        <v>Yes</v>
      </c>
      <c r="E361" s="130" t="str">
        <f>IF('SIG 2021'!$E364="","",'SIG 2021'!$E364)</f>
        <v/>
      </c>
      <c r="F361" s="130" t="str">
        <f>IF('SIG 2021'!$F364="","",'SIG 2021'!F364)</f>
        <v/>
      </c>
      <c r="G361" s="130" t="s">
        <v>1538</v>
      </c>
      <c r="H361" s="130" t="s">
        <v>1551</v>
      </c>
      <c r="I361" s="130"/>
      <c r="J361" s="130" t="s">
        <v>1569</v>
      </c>
      <c r="K361" s="130" t="str">
        <f>IF('SIG 2021'!$AM364="","",'SIG 2021'!$AM364)</f>
        <v/>
      </c>
      <c r="L361" s="130" t="str">
        <f>IF('SIG 2021'!$AN364="","",'SIG 2021'!$AN364)</f>
        <v/>
      </c>
      <c r="M361" s="130" t="str">
        <f>IF('SIG 2021'!$AO364="","",'SIG 2021'!$AO364)</f>
        <v/>
      </c>
    </row>
    <row r="362" spans="1:13" ht="43.2" x14ac:dyDescent="0.5">
      <c r="A362" s="130">
        <v>2212</v>
      </c>
      <c r="B362" s="130" t="s">
        <v>1584</v>
      </c>
      <c r="C362" s="130" t="s">
        <v>1585</v>
      </c>
      <c r="D362" s="130" t="str">
        <f>IF('SIG 2021'!$D365="","",'SIG 2021'!$D365)</f>
        <v>Yes</v>
      </c>
      <c r="E362" s="130" t="str">
        <f>IF('SIG 2021'!$E365="","",'SIG 2021'!$E365)</f>
        <v/>
      </c>
      <c r="F362" s="130" t="str">
        <f>IF('SIG 2021'!$F365="","",'SIG 2021'!F365)</f>
        <v/>
      </c>
      <c r="G362" s="130" t="s">
        <v>1538</v>
      </c>
      <c r="H362" s="130" t="s">
        <v>1551</v>
      </c>
      <c r="I362" s="130"/>
      <c r="J362" s="130" t="s">
        <v>1586</v>
      </c>
      <c r="K362" s="130" t="str">
        <f>IF('SIG 2021'!$AM365="","",'SIG 2021'!$AM365)</f>
        <v/>
      </c>
      <c r="L362" s="130" t="str">
        <f>IF('SIG 2021'!$AN365="","",'SIG 2021'!$AN365)</f>
        <v/>
      </c>
      <c r="M362" s="130" t="str">
        <f>IF('SIG 2021'!$AO365="","",'SIG 2021'!$AO365)</f>
        <v/>
      </c>
    </row>
    <row r="363" spans="1:13" ht="43.2" x14ac:dyDescent="0.5">
      <c r="A363" s="130">
        <v>3962</v>
      </c>
      <c r="B363" s="130" t="s">
        <v>1587</v>
      </c>
      <c r="C363" s="130" t="s">
        <v>1588</v>
      </c>
      <c r="D363" s="130" t="str">
        <f>IF('SIG 2021'!$D366="","",'SIG 2021'!$D366)</f>
        <v>Yes</v>
      </c>
      <c r="E363" s="130" t="str">
        <f>IF('SIG 2021'!$E366="","",'SIG 2021'!$E366)</f>
        <v>Seismic conducts Static and Dynamic Analysis testing on all code going to production.</v>
      </c>
      <c r="F363" s="130" t="str">
        <f>IF('SIG 2021'!$F366="","",'SIG 2021'!F366)</f>
        <v/>
      </c>
      <c r="G363" s="130" t="s">
        <v>1538</v>
      </c>
      <c r="H363" s="130" t="s">
        <v>1590</v>
      </c>
      <c r="I363" s="130" t="s">
        <v>1561</v>
      </c>
      <c r="J363" s="130" t="s">
        <v>1591</v>
      </c>
      <c r="K363" s="130" t="str">
        <f>IF('SIG 2021'!$AM366="","",'SIG 2021'!$AM366)</f>
        <v/>
      </c>
      <c r="L363" s="130" t="str">
        <f>IF('SIG 2021'!$AN366="","",'SIG 2021'!$AN366)</f>
        <v/>
      </c>
      <c r="M363" s="130" t="str">
        <f>IF('SIG 2021'!$AO366="","",'SIG 2021'!$AO366)</f>
        <v/>
      </c>
    </row>
    <row r="364" spans="1:13" ht="43.2" x14ac:dyDescent="0.5">
      <c r="A364" s="130">
        <v>3964</v>
      </c>
      <c r="B364" s="130" t="s">
        <v>1592</v>
      </c>
      <c r="C364" s="130" t="s">
        <v>1593</v>
      </c>
      <c r="D364" s="130" t="str">
        <f>IF('SIG 2021'!$D367="","",'SIG 2021'!$D367)</f>
        <v>Yes</v>
      </c>
      <c r="E364" s="130" t="str">
        <f>IF('SIG 2021'!$E367="","",'SIG 2021'!$E367)</f>
        <v/>
      </c>
      <c r="F364" s="130" t="str">
        <f>IF('SIG 2021'!$F367="","",'SIG 2021'!F367)</f>
        <v/>
      </c>
      <c r="G364" s="130" t="s">
        <v>1538</v>
      </c>
      <c r="H364" s="130" t="s">
        <v>1590</v>
      </c>
      <c r="I364" s="130" t="s">
        <v>1561</v>
      </c>
      <c r="J364" s="130" t="s">
        <v>1591</v>
      </c>
      <c r="K364" s="130" t="str">
        <f>IF('SIG 2021'!$AM367="","",'SIG 2021'!$AM367)</f>
        <v/>
      </c>
      <c r="L364" s="130" t="str">
        <f>IF('SIG 2021'!$AN367="","",'SIG 2021'!$AN367)</f>
        <v/>
      </c>
      <c r="M364" s="130" t="str">
        <f>IF('SIG 2021'!$AO367="","",'SIG 2021'!$AO367)</f>
        <v/>
      </c>
    </row>
    <row r="365" spans="1:13" ht="43.2" x14ac:dyDescent="0.5">
      <c r="A365" s="130">
        <v>3987</v>
      </c>
      <c r="B365" s="130" t="s">
        <v>1594</v>
      </c>
      <c r="C365" s="130" t="s">
        <v>1595</v>
      </c>
      <c r="D365" s="130" t="str">
        <f>IF('SIG 2021'!$D368="","",'SIG 2021'!$D368)</f>
        <v>Yes</v>
      </c>
      <c r="E365" s="130" t="str">
        <f>IF('SIG 2021'!$E368="","",'SIG 2021'!$E368)</f>
        <v>Seismic uses Source Code Analysis tools to inspect security flaws and licensing of all external code.</v>
      </c>
      <c r="F365" s="130" t="str">
        <f>IF('SIG 2021'!$F368="","",'SIG 2021'!F368)</f>
        <v/>
      </c>
      <c r="G365" s="130" t="s">
        <v>1538</v>
      </c>
      <c r="H365" s="130" t="s">
        <v>1597</v>
      </c>
      <c r="I365" s="130" t="s">
        <v>1561</v>
      </c>
      <c r="J365" s="130"/>
      <c r="K365" s="130" t="str">
        <f>IF('SIG 2021'!$AM368="","",'SIG 2021'!$AM368)</f>
        <v/>
      </c>
      <c r="L365" s="130" t="str">
        <f>IF('SIG 2021'!$AN368="","",'SIG 2021'!$AN368)</f>
        <v/>
      </c>
      <c r="M365" s="130" t="str">
        <f>IF('SIG 2021'!$AO368="","",'SIG 2021'!$AO368)</f>
        <v/>
      </c>
    </row>
    <row r="366" spans="1:13" ht="43.2" x14ac:dyDescent="0.5">
      <c r="A366" s="130">
        <v>4119</v>
      </c>
      <c r="B366" s="130" t="s">
        <v>1598</v>
      </c>
      <c r="C366" s="130" t="s">
        <v>1599</v>
      </c>
      <c r="D366" s="130" t="str">
        <f>IF('SIG 2021'!$D369="","",'SIG 2021'!$D369)</f>
        <v>Yes</v>
      </c>
      <c r="E366" s="130" t="str">
        <f>IF('SIG 2021'!$E369="","",'SIG 2021'!$E369)</f>
        <v/>
      </c>
      <c r="F366" s="130" t="str">
        <f>IF('SIG 2021'!$F369="","",'SIG 2021'!F369)</f>
        <v/>
      </c>
      <c r="G366" s="130" t="s">
        <v>1538</v>
      </c>
      <c r="H366" s="130" t="s">
        <v>1597</v>
      </c>
      <c r="I366" s="130"/>
      <c r="J366" s="130"/>
      <c r="K366" s="130" t="str">
        <f>IF('SIG 2021'!$AM369="","",'SIG 2021'!$AM369)</f>
        <v/>
      </c>
      <c r="L366" s="130" t="str">
        <f>IF('SIG 2021'!$AN369="","",'SIG 2021'!$AN369)</f>
        <v/>
      </c>
      <c r="M366" s="130" t="str">
        <f>IF('SIG 2021'!$AO369="","",'SIG 2021'!$AO369)</f>
        <v/>
      </c>
    </row>
    <row r="367" spans="1:13" ht="43.2" x14ac:dyDescent="0.5">
      <c r="A367" s="130">
        <v>4120</v>
      </c>
      <c r="B367" s="130" t="s">
        <v>1600</v>
      </c>
      <c r="C367" s="130" t="s">
        <v>1601</v>
      </c>
      <c r="D367" s="130" t="str">
        <f>IF('SIG 2021'!$D370="","",'SIG 2021'!$D370)</f>
        <v>Yes</v>
      </c>
      <c r="E367" s="130" t="str">
        <f>IF('SIG 2021'!$E370="","",'SIG 2021'!$E370)</f>
        <v/>
      </c>
      <c r="F367" s="130" t="str">
        <f>IF('SIG 2021'!$F370="","",'SIG 2021'!F370)</f>
        <v/>
      </c>
      <c r="G367" s="130" t="s">
        <v>1538</v>
      </c>
      <c r="H367" s="130" t="s">
        <v>1597</v>
      </c>
      <c r="I367" s="130"/>
      <c r="J367" s="130"/>
      <c r="K367" s="130" t="str">
        <f>IF('SIG 2021'!$AM370="","",'SIG 2021'!$AM370)</f>
        <v/>
      </c>
      <c r="L367" s="130" t="str">
        <f>IF('SIG 2021'!$AN370="","",'SIG 2021'!$AN370)</f>
        <v/>
      </c>
      <c r="M367" s="130" t="str">
        <f>IF('SIG 2021'!$AO370="","",'SIG 2021'!$AO370)</f>
        <v/>
      </c>
    </row>
    <row r="368" spans="1:13" ht="28.8" x14ac:dyDescent="0.5">
      <c r="A368" s="130">
        <v>4121</v>
      </c>
      <c r="B368" s="130" t="s">
        <v>1602</v>
      </c>
      <c r="C368" s="130" t="s">
        <v>1603</v>
      </c>
      <c r="D368" s="130" t="str">
        <f>IF('SIG 2021'!$D371="","",'SIG 2021'!$D371)</f>
        <v>Yes</v>
      </c>
      <c r="E368" s="130" t="str">
        <f>IF('SIG 2021'!$E371="","",'SIG 2021'!$E371)</f>
        <v/>
      </c>
      <c r="F368" s="130" t="str">
        <f>IF('SIG 2021'!$F371="","",'SIG 2021'!F371)</f>
        <v/>
      </c>
      <c r="G368" s="130" t="s">
        <v>1538</v>
      </c>
      <c r="H368" s="130" t="s">
        <v>1604</v>
      </c>
      <c r="I368" s="130"/>
      <c r="J368" s="130"/>
      <c r="K368" s="130" t="str">
        <f>IF('SIG 2021'!$AM371="","",'SIG 2021'!$AM371)</f>
        <v/>
      </c>
      <c r="L368" s="130" t="str">
        <f>IF('SIG 2021'!$AN371="","",'SIG 2021'!$AN371)</f>
        <v/>
      </c>
      <c r="M368" s="130" t="str">
        <f>IF('SIG 2021'!$AO371="","",'SIG 2021'!$AO371)</f>
        <v/>
      </c>
    </row>
    <row r="369" spans="1:13" ht="43.2" x14ac:dyDescent="0.5">
      <c r="A369" s="130">
        <v>4452</v>
      </c>
      <c r="B369" s="130" t="s">
        <v>1605</v>
      </c>
      <c r="C369" s="130" t="s">
        <v>1606</v>
      </c>
      <c r="D369" s="130" t="str">
        <f>IF('SIG 2021'!$D372="","",'SIG 2021'!$D372)</f>
        <v>Yes</v>
      </c>
      <c r="E369" s="130" t="str">
        <f>IF('SIG 2021'!$E372="","",'SIG 2021'!$E372)</f>
        <v>Seismic uses Source Code Analysis tools to inspect security flaws and licensing of all external code.</v>
      </c>
      <c r="F369" s="130" t="str">
        <f>IF('SIG 2021'!$F372="","",'SIG 2021'!F372)</f>
        <v/>
      </c>
      <c r="G369" s="130" t="s">
        <v>1538</v>
      </c>
      <c r="H369" s="130" t="s">
        <v>1604</v>
      </c>
      <c r="I369" s="130" t="s">
        <v>1607</v>
      </c>
      <c r="J369" s="130"/>
      <c r="K369" s="130" t="str">
        <f>IF('SIG 2021'!$AM372="","",'SIG 2021'!$AM372)</f>
        <v/>
      </c>
      <c r="L369" s="130" t="str">
        <f>IF('SIG 2021'!$AN372="","",'SIG 2021'!$AN372)</f>
        <v/>
      </c>
      <c r="M369" s="130" t="str">
        <f>IF('SIG 2021'!$AO372="","",'SIG 2021'!$AO372)</f>
        <v/>
      </c>
    </row>
    <row r="370" spans="1:13" ht="43.2" x14ac:dyDescent="0.5">
      <c r="A370" s="130">
        <v>1795</v>
      </c>
      <c r="B370" s="130" t="s">
        <v>1608</v>
      </c>
      <c r="C370" s="130" t="s">
        <v>1609</v>
      </c>
      <c r="D370" s="130" t="str">
        <f>IF('SIG 2021'!$D373="","",'SIG 2021'!$D373)</f>
        <v>Yes</v>
      </c>
      <c r="E370" s="130" t="str">
        <f>IF('SIG 2021'!$E373="","",'SIG 2021'!$E373)</f>
        <v/>
      </c>
      <c r="F370" s="130" t="str">
        <f>IF('SIG 2021'!$F373="","",'SIG 2021'!F373)</f>
        <v/>
      </c>
      <c r="G370" s="130" t="s">
        <v>1538</v>
      </c>
      <c r="H370" s="130" t="s">
        <v>1604</v>
      </c>
      <c r="I370" s="130" t="s">
        <v>1607</v>
      </c>
      <c r="J370" s="130"/>
      <c r="K370" s="130" t="str">
        <f>IF('SIG 2021'!$AM373="","",'SIG 2021'!$AM373)</f>
        <v/>
      </c>
      <c r="L370" s="130" t="str">
        <f>IF('SIG 2021'!$AN373="","",'SIG 2021'!$AN373)</f>
        <v/>
      </c>
      <c r="M370" s="130" t="str">
        <f>IF('SIG 2021'!$AO373="","",'SIG 2021'!$AO373)</f>
        <v/>
      </c>
    </row>
    <row r="371" spans="1:13" ht="14.4" x14ac:dyDescent="0.5">
      <c r="A371" s="130">
        <v>3936</v>
      </c>
      <c r="B371" s="130" t="s">
        <v>1610</v>
      </c>
      <c r="C371" s="130" t="s">
        <v>1611</v>
      </c>
      <c r="D371" s="130" t="str">
        <f>IF('SIG 2021'!$D374="","",'SIG 2021'!$D374)</f>
        <v>Yes</v>
      </c>
      <c r="E371" s="130" t="str">
        <f>IF('SIG 2021'!$E374="","",'SIG 2021'!$E374)</f>
        <v/>
      </c>
      <c r="F371" s="130" t="str">
        <f>IF('SIG 2021'!$F374="","",'SIG 2021'!F374)</f>
        <v/>
      </c>
      <c r="G371" s="130" t="s">
        <v>1538</v>
      </c>
      <c r="H371" s="130" t="s">
        <v>1612</v>
      </c>
      <c r="I371" s="130"/>
      <c r="J371" s="130"/>
      <c r="K371" s="130" t="str">
        <f>IF('SIG 2021'!$AM374="","",'SIG 2021'!$AM374)</f>
        <v/>
      </c>
      <c r="L371" s="130" t="str">
        <f>IF('SIG 2021'!$AN374="","",'SIG 2021'!$AN374)</f>
        <v/>
      </c>
      <c r="M371" s="130" t="str">
        <f>IF('SIG 2021'!$AO374="","",'SIG 2021'!$AO374)</f>
        <v/>
      </c>
    </row>
    <row r="372" spans="1:13" ht="57.6" x14ac:dyDescent="0.5">
      <c r="A372" s="130">
        <v>3970</v>
      </c>
      <c r="B372" s="130" t="s">
        <v>1613</v>
      </c>
      <c r="C372" s="130" t="s">
        <v>1614</v>
      </c>
      <c r="D372" s="130" t="str">
        <f>IF('SIG 2021'!$D375="","",'SIG 2021'!$D375)</f>
        <v>Yes</v>
      </c>
      <c r="E372" s="130" t="str">
        <f>IF('SIG 2021'!$E375="","",'SIG 2021'!$E375)</f>
        <v>All code changes are code reviewed for  security considerations.</v>
      </c>
      <c r="F372" s="130" t="str">
        <f>IF('SIG 2021'!$F375="","",'SIG 2021'!F375)</f>
        <v/>
      </c>
      <c r="G372" s="130" t="s">
        <v>1538</v>
      </c>
      <c r="H372" s="130" t="s">
        <v>1612</v>
      </c>
      <c r="I372" s="130"/>
      <c r="J372" s="130"/>
      <c r="K372" s="130" t="str">
        <f>IF('SIG 2021'!$AM375="","",'SIG 2021'!$AM375)</f>
        <v/>
      </c>
      <c r="L372" s="130" t="str">
        <f>IF('SIG 2021'!$AN375="","",'SIG 2021'!$AN375)</f>
        <v/>
      </c>
      <c r="M372" s="130" t="str">
        <f>IF('SIG 2021'!$AO375="","",'SIG 2021'!$AO375)</f>
        <v/>
      </c>
    </row>
    <row r="373" spans="1:13" ht="43.2" x14ac:dyDescent="0.5">
      <c r="A373" s="130">
        <v>3953</v>
      </c>
      <c r="B373" s="130" t="s">
        <v>1616</v>
      </c>
      <c r="C373" s="130" t="s">
        <v>1617</v>
      </c>
      <c r="D373" s="130" t="str">
        <f>IF('SIG 2021'!$D376="","",'SIG 2021'!$D376)</f>
        <v>Yes</v>
      </c>
      <c r="E373" s="130" t="str">
        <f>IF('SIG 2021'!$E376="","",'SIG 2021'!$E376)</f>
        <v/>
      </c>
      <c r="F373" s="130" t="str">
        <f>IF('SIG 2021'!$F376="","",'SIG 2021'!F376)</f>
        <v/>
      </c>
      <c r="G373" s="130" t="s">
        <v>1538</v>
      </c>
      <c r="H373" s="130" t="s">
        <v>1612</v>
      </c>
      <c r="I373" s="130"/>
      <c r="J373" s="130"/>
      <c r="K373" s="130" t="str">
        <f>IF('SIG 2021'!$AM376="","",'SIG 2021'!$AM376)</f>
        <v/>
      </c>
      <c r="L373" s="130" t="str">
        <f>IF('SIG 2021'!$AN376="","",'SIG 2021'!$AN376)</f>
        <v/>
      </c>
      <c r="M373" s="130" t="str">
        <f>IF('SIG 2021'!$AO376="","",'SIG 2021'!$AO376)</f>
        <v/>
      </c>
    </row>
    <row r="374" spans="1:13" ht="57.6" x14ac:dyDescent="0.5">
      <c r="A374" s="130">
        <v>2110</v>
      </c>
      <c r="B374" s="130" t="s">
        <v>1618</v>
      </c>
      <c r="C374" s="130" t="s">
        <v>1619</v>
      </c>
      <c r="D374" s="130" t="str">
        <f>IF('SIG 2021'!$D377="","",'SIG 2021'!$D377)</f>
        <v>Yes</v>
      </c>
      <c r="E374" s="130" t="str">
        <f>IF('SIG 2021'!$E377="","",'SIG 2021'!$E377)</f>
        <v/>
      </c>
      <c r="F374" s="130" t="str">
        <f>IF('SIG 2021'!$F377="","",'SIG 2021'!F377)</f>
        <v/>
      </c>
      <c r="G374" s="130" t="s">
        <v>1538</v>
      </c>
      <c r="H374" s="130" t="s">
        <v>1612</v>
      </c>
      <c r="I374" s="130" t="s">
        <v>1561</v>
      </c>
      <c r="J374" s="130"/>
      <c r="K374" s="130" t="str">
        <f>IF('SIG 2021'!$AM377="","",'SIG 2021'!$AM377)</f>
        <v/>
      </c>
      <c r="L374" s="130" t="str">
        <f>IF('SIG 2021'!$AN377="","",'SIG 2021'!$AN377)</f>
        <v/>
      </c>
      <c r="M374" s="130" t="str">
        <f>IF('SIG 2021'!$AO377="","",'SIG 2021'!$AO377)</f>
        <v/>
      </c>
    </row>
    <row r="375" spans="1:13" ht="28.8" x14ac:dyDescent="0.5">
      <c r="A375" s="130">
        <v>3990</v>
      </c>
      <c r="B375" s="130" t="s">
        <v>1620</v>
      </c>
      <c r="C375" s="130" t="s">
        <v>1621</v>
      </c>
      <c r="D375" s="130" t="str">
        <f>IF('SIG 2021'!$D378="","",'SIG 2021'!$D378)</f>
        <v>Yes</v>
      </c>
      <c r="E375" s="130" t="str">
        <f>IF('SIG 2021'!$E378="","",'SIG 2021'!$E378)</f>
        <v/>
      </c>
      <c r="F375" s="130" t="str">
        <f>IF('SIG 2021'!$F378="","",'SIG 2021'!F378)</f>
        <v/>
      </c>
      <c r="G375" s="130" t="s">
        <v>1538</v>
      </c>
      <c r="H375" s="130" t="s">
        <v>1612</v>
      </c>
      <c r="I375" s="130"/>
      <c r="J375" s="130"/>
      <c r="K375" s="130" t="str">
        <f>IF('SIG 2021'!$AM378="","",'SIG 2021'!$AM378)</f>
        <v/>
      </c>
      <c r="L375" s="130" t="str">
        <f>IF('SIG 2021'!$AN378="","",'SIG 2021'!$AN378)</f>
        <v/>
      </c>
      <c r="M375" s="130" t="str">
        <f>IF('SIG 2021'!$AO378="","",'SIG 2021'!$AO378)</f>
        <v/>
      </c>
    </row>
    <row r="376" spans="1:13" ht="43.2" x14ac:dyDescent="0.5">
      <c r="A376" s="130">
        <v>3966</v>
      </c>
      <c r="B376" s="130" t="s">
        <v>1622</v>
      </c>
      <c r="C376" s="130" t="s">
        <v>1623</v>
      </c>
      <c r="D376" s="130" t="str">
        <f>IF('SIG 2021'!$D379="","",'SIG 2021'!$D379)</f>
        <v>Yes</v>
      </c>
      <c r="E376" s="130" t="str">
        <f>IF('SIG 2021'!$E379="","",'SIG 2021'!$E379)</f>
        <v/>
      </c>
      <c r="F376" s="130" t="str">
        <f>IF('SIG 2021'!$F379="","",'SIG 2021'!F379)</f>
        <v/>
      </c>
      <c r="G376" s="130" t="s">
        <v>1538</v>
      </c>
      <c r="H376" s="130" t="s">
        <v>1612</v>
      </c>
      <c r="I376" s="130"/>
      <c r="J376" s="130"/>
      <c r="K376" s="130" t="str">
        <f>IF('SIG 2021'!$AM379="","",'SIG 2021'!$AM379)</f>
        <v/>
      </c>
      <c r="L376" s="130" t="str">
        <f>IF('SIG 2021'!$AN379="","",'SIG 2021'!$AN379)</f>
        <v/>
      </c>
      <c r="M376" s="130" t="str">
        <f>IF('SIG 2021'!$AO379="","",'SIG 2021'!$AO379)</f>
        <v/>
      </c>
    </row>
    <row r="377" spans="1:13" ht="43.2" x14ac:dyDescent="0.5">
      <c r="A377" s="130">
        <v>3952</v>
      </c>
      <c r="B377" s="130" t="s">
        <v>1624</v>
      </c>
      <c r="C377" s="130" t="s">
        <v>1625</v>
      </c>
      <c r="D377" s="130" t="str">
        <f>IF('SIG 2021'!$D380="","",'SIG 2021'!$D380)</f>
        <v>Yes</v>
      </c>
      <c r="E377" s="130" t="str">
        <f>IF('SIG 2021'!$E380="","",'SIG 2021'!$E380)</f>
        <v/>
      </c>
      <c r="F377" s="130" t="str">
        <f>IF('SIG 2021'!$F380="","",'SIG 2021'!F380)</f>
        <v/>
      </c>
      <c r="G377" s="130" t="s">
        <v>1538</v>
      </c>
      <c r="H377" s="130" t="s">
        <v>1612</v>
      </c>
      <c r="I377" s="130" t="s">
        <v>1626</v>
      </c>
      <c r="J377" s="130"/>
      <c r="K377" s="130" t="str">
        <f>IF('SIG 2021'!$AM380="","",'SIG 2021'!$AM380)</f>
        <v/>
      </c>
      <c r="L377" s="130" t="str">
        <f>IF('SIG 2021'!$AN380="","",'SIG 2021'!$AN380)</f>
        <v/>
      </c>
      <c r="M377" s="130" t="str">
        <f>IF('SIG 2021'!$AO380="","",'SIG 2021'!$AO380)</f>
        <v/>
      </c>
    </row>
    <row r="378" spans="1:13" ht="43.2" x14ac:dyDescent="0.5">
      <c r="A378" s="130">
        <v>3954</v>
      </c>
      <c r="B378" s="130" t="s">
        <v>1627</v>
      </c>
      <c r="C378" s="130" t="s">
        <v>1628</v>
      </c>
      <c r="D378" s="130" t="str">
        <f>IF('SIG 2021'!$D381="","",'SIG 2021'!$D381)</f>
        <v>Yes</v>
      </c>
      <c r="E378" s="130" t="str">
        <f>IF('SIG 2021'!$E381="","",'SIG 2021'!$E381)</f>
        <v/>
      </c>
      <c r="F378" s="130" t="str">
        <f>IF('SIG 2021'!$F381="","",'SIG 2021'!F381)</f>
        <v/>
      </c>
      <c r="G378" s="130" t="s">
        <v>1538</v>
      </c>
      <c r="H378" s="130" t="s">
        <v>1612</v>
      </c>
      <c r="I378" s="130" t="s">
        <v>1629</v>
      </c>
      <c r="J378" s="130"/>
      <c r="K378" s="130" t="str">
        <f>IF('SIG 2021'!$AM381="","",'SIG 2021'!$AM381)</f>
        <v/>
      </c>
      <c r="L378" s="130" t="str">
        <f>IF('SIG 2021'!$AN381="","",'SIG 2021'!$AN381)</f>
        <v/>
      </c>
      <c r="M378" s="130" t="str">
        <f>IF('SIG 2021'!$AO381="","",'SIG 2021'!$AO381)</f>
        <v/>
      </c>
    </row>
    <row r="379" spans="1:13" ht="43.2" x14ac:dyDescent="0.5">
      <c r="A379" s="130">
        <v>3445</v>
      </c>
      <c r="B379" s="130" t="s">
        <v>1630</v>
      </c>
      <c r="C379" s="130" t="s">
        <v>1631</v>
      </c>
      <c r="D379" s="130" t="str">
        <f>IF('SIG 2021'!$D382="","",'SIG 2021'!$D382)</f>
        <v>Yes</v>
      </c>
      <c r="E379" s="130" t="str">
        <f>IF('SIG 2021'!$E382="","",'SIG 2021'!$E382)</f>
        <v>At least monthly, and ad-hoc as part of the peer review process.</v>
      </c>
      <c r="F379" s="130" t="str">
        <f>IF('SIG 2021'!$F382="","",'SIG 2021'!F382)</f>
        <v/>
      </c>
      <c r="G379" s="130" t="s">
        <v>1538</v>
      </c>
      <c r="H379" s="130" t="s">
        <v>1612</v>
      </c>
      <c r="I379" s="130" t="s">
        <v>1565</v>
      </c>
      <c r="J379" s="130"/>
      <c r="K379" s="130" t="str">
        <f>IF('SIG 2021'!$AM382="","",'SIG 2021'!$AM382)</f>
        <v/>
      </c>
      <c r="L379" s="130" t="str">
        <f>IF('SIG 2021'!$AN382="","",'SIG 2021'!$AN382)</f>
        <v/>
      </c>
      <c r="M379" s="130" t="str">
        <f>IF('SIG 2021'!$AO382="","",'SIG 2021'!$AO382)</f>
        <v/>
      </c>
    </row>
    <row r="380" spans="1:13" ht="57.6" x14ac:dyDescent="0.5">
      <c r="A380" s="130">
        <v>3955</v>
      </c>
      <c r="B380" s="130" t="s">
        <v>1633</v>
      </c>
      <c r="C380" s="130" t="s">
        <v>1634</v>
      </c>
      <c r="D380" s="130" t="str">
        <f>IF('SIG 2021'!$D383="","",'SIG 2021'!$D383)</f>
        <v>Yes</v>
      </c>
      <c r="E380" s="130" t="str">
        <f>IF('SIG 2021'!$E383="","",'SIG 2021'!$E383)</f>
        <v/>
      </c>
      <c r="F380" s="130" t="str">
        <f>IF('SIG 2021'!$F383="","",'SIG 2021'!F383)</f>
        <v/>
      </c>
      <c r="G380" s="130" t="s">
        <v>1538</v>
      </c>
      <c r="H380" s="130" t="s">
        <v>1612</v>
      </c>
      <c r="I380" s="130" t="s">
        <v>1542</v>
      </c>
      <c r="J380" s="130"/>
      <c r="K380" s="130" t="str">
        <f>IF('SIG 2021'!$AM383="","",'SIG 2021'!$AM383)</f>
        <v/>
      </c>
      <c r="L380" s="130" t="str">
        <f>IF('SIG 2021'!$AN383="","",'SIG 2021'!$AN383)</f>
        <v/>
      </c>
      <c r="M380" s="130" t="str">
        <f>IF('SIG 2021'!$AO383="","",'SIG 2021'!$AO383)</f>
        <v/>
      </c>
    </row>
    <row r="381" spans="1:13" ht="28.8" x14ac:dyDescent="0.5">
      <c r="A381" s="130">
        <v>3968</v>
      </c>
      <c r="B381" s="130" t="s">
        <v>1635</v>
      </c>
      <c r="C381" s="130" t="s">
        <v>1636</v>
      </c>
      <c r="D381" s="130" t="str">
        <f>IF('SIG 2021'!$D384="","",'SIG 2021'!$D384)</f>
        <v>Yes</v>
      </c>
      <c r="E381" s="130" t="str">
        <f>IF('SIG 2021'!$E384="","",'SIG 2021'!$E384)</f>
        <v/>
      </c>
      <c r="F381" s="130" t="str">
        <f>IF('SIG 2021'!$F384="","",'SIG 2021'!F384)</f>
        <v/>
      </c>
      <c r="G381" s="130" t="s">
        <v>1538</v>
      </c>
      <c r="H381" s="130" t="s">
        <v>1637</v>
      </c>
      <c r="I381" s="130" t="s">
        <v>1638</v>
      </c>
      <c r="J381" s="130"/>
      <c r="K381" s="130" t="str">
        <f>IF('SIG 2021'!$AM384="","",'SIG 2021'!$AM384)</f>
        <v/>
      </c>
      <c r="L381" s="130" t="str">
        <f>IF('SIG 2021'!$AN384="","",'SIG 2021'!$AN384)</f>
        <v/>
      </c>
      <c r="M381" s="130" t="str">
        <f>IF('SIG 2021'!$AO384="","",'SIG 2021'!$AO384)</f>
        <v/>
      </c>
    </row>
    <row r="382" spans="1:13" ht="43.2" x14ac:dyDescent="0.5">
      <c r="A382" s="130">
        <v>3979</v>
      </c>
      <c r="B382" s="130" t="s">
        <v>1639</v>
      </c>
      <c r="C382" s="130" t="s">
        <v>1640</v>
      </c>
      <c r="D382" s="130" t="str">
        <f>IF('SIG 2021'!$D385="","",'SIG 2021'!$D385)</f>
        <v>Yes</v>
      </c>
      <c r="E382" s="130" t="str">
        <f>IF('SIG 2021'!$E385="","",'SIG 2021'!$E385)</f>
        <v/>
      </c>
      <c r="F382" s="130" t="str">
        <f>IF('SIG 2021'!$F385="","",'SIG 2021'!F385)</f>
        <v/>
      </c>
      <c r="G382" s="130" t="s">
        <v>1538</v>
      </c>
      <c r="H382" s="130" t="s">
        <v>1637</v>
      </c>
      <c r="I382" s="130" t="s">
        <v>1641</v>
      </c>
      <c r="J382" s="130"/>
      <c r="K382" s="130" t="str">
        <f>IF('SIG 2021'!$AM385="","",'SIG 2021'!$AM385)</f>
        <v/>
      </c>
      <c r="L382" s="130" t="str">
        <f>IF('SIG 2021'!$AN385="","",'SIG 2021'!$AN385)</f>
        <v/>
      </c>
      <c r="M382" s="130" t="str">
        <f>IF('SIG 2021'!$AO385="","",'SIG 2021'!$AO385)</f>
        <v/>
      </c>
    </row>
    <row r="383" spans="1:13" ht="28.8" x14ac:dyDescent="0.5">
      <c r="A383" s="130">
        <v>3982</v>
      </c>
      <c r="B383" s="130" t="s">
        <v>1642</v>
      </c>
      <c r="C383" s="130" t="s">
        <v>1643</v>
      </c>
      <c r="D383" s="130" t="str">
        <f>IF('SIG 2021'!$D386="","",'SIG 2021'!$D386)</f>
        <v>Yes</v>
      </c>
      <c r="E383" s="130" t="str">
        <f>IF('SIG 2021'!$E386="","",'SIG 2021'!$E386)</f>
        <v/>
      </c>
      <c r="F383" s="130" t="str">
        <f>IF('SIG 2021'!$F386="","",'SIG 2021'!F386)</f>
        <v/>
      </c>
      <c r="G383" s="130" t="s">
        <v>1538</v>
      </c>
      <c r="H383" s="130" t="s">
        <v>1637</v>
      </c>
      <c r="I383" s="130" t="s">
        <v>1638</v>
      </c>
      <c r="J383" s="130"/>
      <c r="K383" s="130" t="str">
        <f>IF('SIG 2021'!$AM386="","",'SIG 2021'!$AM386)</f>
        <v/>
      </c>
      <c r="L383" s="130" t="str">
        <f>IF('SIG 2021'!$AN386="","",'SIG 2021'!$AN386)</f>
        <v/>
      </c>
      <c r="M383" s="130" t="str">
        <f>IF('SIG 2021'!$AO386="","",'SIG 2021'!$AO386)</f>
        <v/>
      </c>
    </row>
    <row r="384" spans="1:13" ht="57.6" x14ac:dyDescent="0.5">
      <c r="A384" s="130">
        <v>3986</v>
      </c>
      <c r="B384" s="130" t="s">
        <v>1644</v>
      </c>
      <c r="C384" s="130" t="s">
        <v>1645</v>
      </c>
      <c r="D384" s="130" t="str">
        <f>IF('SIG 2021'!$D387="","",'SIG 2021'!$D387)</f>
        <v>Yes</v>
      </c>
      <c r="E384" s="130" t="str">
        <f>IF('SIG 2021'!$E387="","",'SIG 2021'!$E387)</f>
        <v/>
      </c>
      <c r="F384" s="130" t="str">
        <f>IF('SIG 2021'!$F387="","",'SIG 2021'!F387)</f>
        <v/>
      </c>
      <c r="G384" s="130" t="s">
        <v>1538</v>
      </c>
      <c r="H384" s="130" t="s">
        <v>1637</v>
      </c>
      <c r="I384" s="130"/>
      <c r="J384" s="130"/>
      <c r="K384" s="130" t="str">
        <f>IF('SIG 2021'!$AM387="","",'SIG 2021'!$AM387)</f>
        <v/>
      </c>
      <c r="L384" s="130" t="str">
        <f>IF('SIG 2021'!$AN387="","",'SIG 2021'!$AN387)</f>
        <v/>
      </c>
      <c r="M384" s="130" t="str">
        <f>IF('SIG 2021'!$AO387="","",'SIG 2021'!$AO387)</f>
        <v/>
      </c>
    </row>
    <row r="385" spans="1:13" ht="28.8" x14ac:dyDescent="0.5">
      <c r="A385" s="130">
        <v>2230</v>
      </c>
      <c r="B385" s="130" t="s">
        <v>279</v>
      </c>
      <c r="C385" s="130" t="s">
        <v>1646</v>
      </c>
      <c r="D385" s="130" t="str">
        <f>IF('SIG 2021'!$D388="","",'SIG 2021'!$D388)</f>
        <v>Yes</v>
      </c>
      <c r="E385" s="130" t="str">
        <f>IF('SIG 2021'!$E388="","",'SIG 2021'!$E388)</f>
        <v/>
      </c>
      <c r="F385" s="130" t="str">
        <f>IF('SIG 2021'!$F388="","",'SIG 2021'!F388)</f>
        <v/>
      </c>
      <c r="G385" s="130" t="s">
        <v>1647</v>
      </c>
      <c r="H385" s="130" t="s">
        <v>910</v>
      </c>
      <c r="I385" s="130"/>
      <c r="J385" s="130"/>
      <c r="K385" s="130" t="str">
        <f>IF('SIG 2021'!$AM388="","",'SIG 2021'!$AM388)</f>
        <v/>
      </c>
      <c r="L385" s="130" t="str">
        <f>IF('SIG 2021'!$AN388="","",'SIG 2021'!$AN388)</f>
        <v/>
      </c>
      <c r="M385" s="130" t="str">
        <f>IF('SIG 2021'!$AO388="","",'SIG 2021'!$AO388)</f>
        <v/>
      </c>
    </row>
    <row r="386" spans="1:13" ht="43.2" x14ac:dyDescent="0.5">
      <c r="A386" s="130">
        <v>2076</v>
      </c>
      <c r="B386" s="130" t="s">
        <v>1648</v>
      </c>
      <c r="C386" s="130" t="s">
        <v>1649</v>
      </c>
      <c r="D386" s="130" t="str">
        <f>IF('SIG 2021'!$D389="","",'SIG 2021'!$D389)</f>
        <v>Yes</v>
      </c>
      <c r="E386" s="130" t="str">
        <f>IF('SIG 2021'!$E389="","",'SIG 2021'!$E389)</f>
        <v/>
      </c>
      <c r="F386" s="130" t="str">
        <f>IF('SIG 2021'!$F389="","",'SIG 2021'!F389)</f>
        <v/>
      </c>
      <c r="G386" s="130" t="s">
        <v>1647</v>
      </c>
      <c r="H386" s="130" t="s">
        <v>1650</v>
      </c>
      <c r="I386" s="130" t="s">
        <v>1651</v>
      </c>
      <c r="J386" s="130"/>
      <c r="K386" s="130" t="str">
        <f>IF('SIG 2021'!$AM389="","",'SIG 2021'!$AM389)</f>
        <v/>
      </c>
      <c r="L386" s="130" t="str">
        <f>IF('SIG 2021'!$AN389="","",'SIG 2021'!$AN389)</f>
        <v/>
      </c>
      <c r="M386" s="130" t="str">
        <f>IF('SIG 2021'!$AO389="","",'SIG 2021'!$AO389)</f>
        <v/>
      </c>
    </row>
    <row r="387" spans="1:13" ht="28.8" x14ac:dyDescent="0.5">
      <c r="A387" s="130">
        <v>4241</v>
      </c>
      <c r="B387" s="130" t="s">
        <v>1652</v>
      </c>
      <c r="C387" s="130" t="s">
        <v>1653</v>
      </c>
      <c r="D387" s="130" t="str">
        <f>IF('SIG 2021'!$D390="","",'SIG 2021'!$D390)</f>
        <v>Yes</v>
      </c>
      <c r="E387" s="130" t="str">
        <f>IF('SIG 2021'!$E390="","",'SIG 2021'!$E390)</f>
        <v/>
      </c>
      <c r="F387" s="130" t="str">
        <f>IF('SIG 2021'!$F390="","",'SIG 2021'!F390)</f>
        <v/>
      </c>
      <c r="G387" s="130" t="s">
        <v>1647</v>
      </c>
      <c r="H387" s="130" t="s">
        <v>910</v>
      </c>
      <c r="I387" s="130"/>
      <c r="J387" s="130"/>
      <c r="K387" s="130" t="str">
        <f>IF('SIG 2021'!$AM390="","",'SIG 2021'!$AM390)</f>
        <v/>
      </c>
      <c r="L387" s="130" t="str">
        <f>IF('SIG 2021'!$AN390="","",'SIG 2021'!$AN390)</f>
        <v/>
      </c>
      <c r="M387" s="130" t="str">
        <f>IF('SIG 2021'!$AO390="","",'SIG 2021'!$AO390)</f>
        <v/>
      </c>
    </row>
    <row r="388" spans="1:13" ht="28.8" x14ac:dyDescent="0.5">
      <c r="A388" s="130">
        <v>4242</v>
      </c>
      <c r="B388" s="130" t="s">
        <v>1654</v>
      </c>
      <c r="C388" s="130" t="s">
        <v>1655</v>
      </c>
      <c r="D388" s="130" t="str">
        <f>IF('SIG 2021'!$D391="","",'SIG 2021'!$D391)</f>
        <v>Yes</v>
      </c>
      <c r="E388" s="130" t="str">
        <f>IF('SIG 2021'!$E391="","",'SIG 2021'!$E391)</f>
        <v/>
      </c>
      <c r="F388" s="130" t="str">
        <f>IF('SIG 2021'!$F391="","",'SIG 2021'!F391)</f>
        <v/>
      </c>
      <c r="G388" s="130" t="s">
        <v>1647</v>
      </c>
      <c r="H388" s="130" t="s">
        <v>1656</v>
      </c>
      <c r="I388" s="130" t="s">
        <v>1651</v>
      </c>
      <c r="J388" s="130"/>
      <c r="K388" s="130" t="str">
        <f>IF('SIG 2021'!$AM391="","",'SIG 2021'!$AM391)</f>
        <v/>
      </c>
      <c r="L388" s="130" t="str">
        <f>IF('SIG 2021'!$AN391="","",'SIG 2021'!$AN391)</f>
        <v/>
      </c>
      <c r="M388" s="130" t="str">
        <f>IF('SIG 2021'!$AO391="","",'SIG 2021'!$AO391)</f>
        <v/>
      </c>
    </row>
    <row r="389" spans="1:13" ht="72" x14ac:dyDescent="0.5">
      <c r="A389" s="130">
        <v>4243</v>
      </c>
      <c r="B389" s="130" t="s">
        <v>1657</v>
      </c>
      <c r="C389" s="130" t="s">
        <v>1658</v>
      </c>
      <c r="D389" s="130" t="str">
        <f>IF('SIG 2021'!$D392="","",'SIG 2021'!$D392)</f>
        <v>Yes</v>
      </c>
      <c r="E389" s="130" t="str">
        <f>IF('SIG 2021'!$E392="","",'SIG 2021'!$E392)</f>
        <v/>
      </c>
      <c r="F389" s="130" t="str">
        <f>IF('SIG 2021'!$F392="","",'SIG 2021'!F392)</f>
        <v/>
      </c>
      <c r="G389" s="130" t="s">
        <v>1647</v>
      </c>
      <c r="H389" s="130" t="s">
        <v>1656</v>
      </c>
      <c r="I389" s="130"/>
      <c r="J389" s="130"/>
      <c r="K389" s="130" t="str">
        <f>IF('SIG 2021'!$AM392="","",'SIG 2021'!$AM392)</f>
        <v/>
      </c>
      <c r="L389" s="130" t="str">
        <f>IF('SIG 2021'!$AN392="","",'SIG 2021'!$AN392)</f>
        <v/>
      </c>
      <c r="M389" s="130" t="str">
        <f>IF('SIG 2021'!$AO392="","",'SIG 2021'!$AO392)</f>
        <v/>
      </c>
    </row>
    <row r="390" spans="1:13" ht="43.2" x14ac:dyDescent="0.5">
      <c r="A390" s="130">
        <v>4244</v>
      </c>
      <c r="B390" s="130" t="s">
        <v>1659</v>
      </c>
      <c r="C390" s="130" t="s">
        <v>1660</v>
      </c>
      <c r="D390" s="130" t="str">
        <f>IF('SIG 2021'!$D393="","",'SIG 2021'!$D393)</f>
        <v>Yes</v>
      </c>
      <c r="E390" s="130" t="str">
        <f>IF('SIG 2021'!$E393="","",'SIG 2021'!$E393)</f>
        <v/>
      </c>
      <c r="F390" s="130" t="str">
        <f>IF('SIG 2021'!$F393="","",'SIG 2021'!F393)</f>
        <v/>
      </c>
      <c r="G390" s="130" t="s">
        <v>1647</v>
      </c>
      <c r="H390" s="130" t="s">
        <v>1656</v>
      </c>
      <c r="I390" s="130"/>
      <c r="J390" s="130"/>
      <c r="K390" s="130" t="str">
        <f>IF('SIG 2021'!$AM393="","",'SIG 2021'!$AM393)</f>
        <v/>
      </c>
      <c r="L390" s="130" t="str">
        <f>IF('SIG 2021'!$AN393="","",'SIG 2021'!$AN393)</f>
        <v/>
      </c>
      <c r="M390" s="130" t="str">
        <f>IF('SIG 2021'!$AO393="","",'SIG 2021'!$AO393)</f>
        <v/>
      </c>
    </row>
    <row r="391" spans="1:13" ht="28.8" x14ac:dyDescent="0.5">
      <c r="A391" s="130">
        <v>4245</v>
      </c>
      <c r="B391" s="130" t="s">
        <v>1661</v>
      </c>
      <c r="C391" s="130" t="s">
        <v>1662</v>
      </c>
      <c r="D391" s="130" t="str">
        <f>IF('SIG 2021'!$D394="","",'SIG 2021'!$D394)</f>
        <v>Yes</v>
      </c>
      <c r="E391" s="130" t="str">
        <f>IF('SIG 2021'!$E394="","",'SIG 2021'!$E394)</f>
        <v/>
      </c>
      <c r="F391" s="130" t="str">
        <f>IF('SIG 2021'!$F394="","",'SIG 2021'!F394)</f>
        <v/>
      </c>
      <c r="G391" s="130" t="s">
        <v>1647</v>
      </c>
      <c r="H391" s="130" t="s">
        <v>1663</v>
      </c>
      <c r="I391" s="130"/>
      <c r="J391" s="130"/>
      <c r="K391" s="130" t="str">
        <f>IF('SIG 2021'!$AM394="","",'SIG 2021'!$AM394)</f>
        <v/>
      </c>
      <c r="L391" s="130" t="str">
        <f>IF('SIG 2021'!$AN394="","",'SIG 2021'!$AN394)</f>
        <v/>
      </c>
      <c r="M391" s="130" t="str">
        <f>IF('SIG 2021'!$AO394="","",'SIG 2021'!$AO394)</f>
        <v/>
      </c>
    </row>
    <row r="392" spans="1:13" ht="28.8" x14ac:dyDescent="0.5">
      <c r="A392" s="130">
        <v>4246</v>
      </c>
      <c r="B392" s="130" t="s">
        <v>1664</v>
      </c>
      <c r="C392" s="130" t="s">
        <v>1665</v>
      </c>
      <c r="D392" s="130" t="str">
        <f>IF('SIG 2021'!$D395="","",'SIG 2021'!$D395)</f>
        <v>Yes</v>
      </c>
      <c r="E392" s="130" t="str">
        <f>IF('SIG 2021'!$E395="","",'SIG 2021'!$E395)</f>
        <v>TLS 1.2 with strong cipher suites.</v>
      </c>
      <c r="F392" s="130" t="str">
        <f>IF('SIG 2021'!$F395="","",'SIG 2021'!F395)</f>
        <v/>
      </c>
      <c r="G392" s="130" t="s">
        <v>1647</v>
      </c>
      <c r="H392" s="130" t="s">
        <v>1663</v>
      </c>
      <c r="I392" s="130"/>
      <c r="J392" s="130"/>
      <c r="K392" s="130" t="str">
        <f>IF('SIG 2021'!$AM395="","",'SIG 2021'!$AM395)</f>
        <v/>
      </c>
      <c r="L392" s="130" t="str">
        <f>IF('SIG 2021'!$AN395="","",'SIG 2021'!$AN395)</f>
        <v/>
      </c>
      <c r="M392" s="130" t="str">
        <f>IF('SIG 2021'!$AO395="","",'SIG 2021'!$AO395)</f>
        <v/>
      </c>
    </row>
    <row r="393" spans="1:13" ht="28.8" x14ac:dyDescent="0.5">
      <c r="A393" s="130">
        <v>4247</v>
      </c>
      <c r="B393" s="130" t="s">
        <v>1667</v>
      </c>
      <c r="C393" s="130" t="s">
        <v>1668</v>
      </c>
      <c r="D393" s="130" t="str">
        <f>IF('SIG 2021'!$D396="","",'SIG 2021'!$D396)</f>
        <v>Yes</v>
      </c>
      <c r="E393" s="130" t="str">
        <f>IF('SIG 2021'!$E396="","",'SIG 2021'!$E396)</f>
        <v>Certificates are renewed annually.</v>
      </c>
      <c r="F393" s="130" t="str">
        <f>IF('SIG 2021'!$F396="","",'SIG 2021'!F396)</f>
        <v/>
      </c>
      <c r="G393" s="130" t="s">
        <v>1647</v>
      </c>
      <c r="H393" s="130" t="s">
        <v>1663</v>
      </c>
      <c r="I393" s="130" t="s">
        <v>1670</v>
      </c>
      <c r="J393" s="130"/>
      <c r="K393" s="130" t="str">
        <f>IF('SIG 2021'!$AM396="","",'SIG 2021'!$AM396)</f>
        <v/>
      </c>
      <c r="L393" s="130" t="str">
        <f>IF('SIG 2021'!$AN396="","",'SIG 2021'!$AN396)</f>
        <v/>
      </c>
      <c r="M393" s="130" t="str">
        <f>IF('SIG 2021'!$AO396="","",'SIG 2021'!$AO396)</f>
        <v/>
      </c>
    </row>
    <row r="394" spans="1:13" ht="43.2" x14ac:dyDescent="0.5">
      <c r="A394" s="130">
        <v>4248</v>
      </c>
      <c r="B394" s="130" t="s">
        <v>1671</v>
      </c>
      <c r="C394" s="130" t="s">
        <v>1672</v>
      </c>
      <c r="D394" s="130" t="str">
        <f>IF('SIG 2021'!$D397="","",'SIG 2021'!$D397)</f>
        <v>Yes</v>
      </c>
      <c r="E394" s="130" t="str">
        <f>IF('SIG 2021'!$E397="","",'SIG 2021'!$E397)</f>
        <v/>
      </c>
      <c r="F394" s="130" t="str">
        <f>IF('SIG 2021'!$F397="","",'SIG 2021'!F397)</f>
        <v/>
      </c>
      <c r="G394" s="130" t="s">
        <v>1647</v>
      </c>
      <c r="H394" s="130" t="s">
        <v>1673</v>
      </c>
      <c r="I394" s="130"/>
      <c r="J394" s="130"/>
      <c r="K394" s="130" t="str">
        <f>IF('SIG 2021'!$AM397="","",'SIG 2021'!$AM397)</f>
        <v/>
      </c>
      <c r="L394" s="130" t="str">
        <f>IF('SIG 2021'!$AN397="","",'SIG 2021'!$AN397)</f>
        <v/>
      </c>
      <c r="M394" s="130" t="str">
        <f>IF('SIG 2021'!$AO397="","",'SIG 2021'!$AO397)</f>
        <v/>
      </c>
    </row>
    <row r="395" spans="1:13" ht="43.2" x14ac:dyDescent="0.5">
      <c r="A395" s="130">
        <v>4250</v>
      </c>
      <c r="B395" s="130" t="s">
        <v>1674</v>
      </c>
      <c r="C395" s="130" t="s">
        <v>1675</v>
      </c>
      <c r="D395" s="130" t="str">
        <f>IF('SIG 2021'!$D398="","",'SIG 2021'!$D398)</f>
        <v>Yes</v>
      </c>
      <c r="E395" s="130" t="str">
        <f>IF('SIG 2021'!$E398="","",'SIG 2021'!$E398)</f>
        <v/>
      </c>
      <c r="F395" s="130" t="str">
        <f>IF('SIG 2021'!$F398="","",'SIG 2021'!F398)</f>
        <v/>
      </c>
      <c r="G395" s="130" t="s">
        <v>1647</v>
      </c>
      <c r="H395" s="130" t="s">
        <v>1673</v>
      </c>
      <c r="I395" s="130"/>
      <c r="J395" s="130"/>
      <c r="K395" s="130" t="str">
        <f>IF('SIG 2021'!$AM398="","",'SIG 2021'!$AM398)</f>
        <v/>
      </c>
      <c r="L395" s="130" t="str">
        <f>IF('SIG 2021'!$AN398="","",'SIG 2021'!$AN398)</f>
        <v/>
      </c>
      <c r="M395" s="130" t="str">
        <f>IF('SIG 2021'!$AO398="","",'SIG 2021'!$AO398)</f>
        <v/>
      </c>
    </row>
    <row r="396" spans="1:13" ht="28.8" x14ac:dyDescent="0.5">
      <c r="A396" s="130">
        <v>4252</v>
      </c>
      <c r="B396" s="130" t="s">
        <v>1676</v>
      </c>
      <c r="C396" s="130" t="s">
        <v>1677</v>
      </c>
      <c r="D396" s="130" t="str">
        <f>IF('SIG 2021'!$D399="","",'SIG 2021'!$D399)</f>
        <v>Yes</v>
      </c>
      <c r="E396" s="130" t="str">
        <f>IF('SIG 2021'!$E399="","",'SIG 2021'!$E399)</f>
        <v/>
      </c>
      <c r="F396" s="130" t="str">
        <f>IF('SIG 2021'!$F399="","",'SIG 2021'!F399)</f>
        <v/>
      </c>
      <c r="G396" s="130" t="s">
        <v>1647</v>
      </c>
      <c r="H396" s="130" t="s">
        <v>1678</v>
      </c>
      <c r="I396" s="130"/>
      <c r="J396" s="130"/>
      <c r="K396" s="130" t="str">
        <f>IF('SIG 2021'!$AM399="","",'SIG 2021'!$AM399)</f>
        <v/>
      </c>
      <c r="L396" s="130" t="str">
        <f>IF('SIG 2021'!$AN399="","",'SIG 2021'!$AN399)</f>
        <v/>
      </c>
      <c r="M396" s="130" t="str">
        <f>IF('SIG 2021'!$AO399="","",'SIG 2021'!$AO399)</f>
        <v/>
      </c>
    </row>
    <row r="397" spans="1:13" ht="28.8" x14ac:dyDescent="0.5">
      <c r="A397" s="130">
        <v>4253</v>
      </c>
      <c r="B397" s="130" t="s">
        <v>1679</v>
      </c>
      <c r="C397" s="130" t="s">
        <v>1680</v>
      </c>
      <c r="D397" s="130" t="str">
        <f>IF('SIG 2021'!$D400="","",'SIG 2021'!$D400)</f>
        <v>Yes</v>
      </c>
      <c r="E397" s="130" t="str">
        <f>IF('SIG 2021'!$E400="","",'SIG 2021'!$E400)</f>
        <v/>
      </c>
      <c r="F397" s="130" t="str">
        <f>IF('SIG 2021'!$F400="","",'SIG 2021'!F400)</f>
        <v/>
      </c>
      <c r="G397" s="130" t="s">
        <v>1647</v>
      </c>
      <c r="H397" s="130" t="s">
        <v>1678</v>
      </c>
      <c r="I397" s="130"/>
      <c r="J397" s="130"/>
      <c r="K397" s="130" t="str">
        <f>IF('SIG 2021'!$AM400="","",'SIG 2021'!$AM400)</f>
        <v/>
      </c>
      <c r="L397" s="130" t="str">
        <f>IF('SIG 2021'!$AN400="","",'SIG 2021'!$AN400)</f>
        <v/>
      </c>
      <c r="M397" s="130" t="str">
        <f>IF('SIG 2021'!$AO400="","",'SIG 2021'!$AO400)</f>
        <v/>
      </c>
    </row>
    <row r="398" spans="1:13" ht="43.2" x14ac:dyDescent="0.5">
      <c r="A398" s="130">
        <v>4254</v>
      </c>
      <c r="B398" s="130" t="s">
        <v>1681</v>
      </c>
      <c r="C398" s="130" t="s">
        <v>1682</v>
      </c>
      <c r="D398" s="130" t="str">
        <f>IF('SIG 2021'!$D401="","",'SIG 2021'!$D401)</f>
        <v>Yes</v>
      </c>
      <c r="E398" s="130" t="str">
        <f>IF('SIG 2021'!$E401="","",'SIG 2021'!$E401)</f>
        <v/>
      </c>
      <c r="F398" s="130" t="str">
        <f>IF('SIG 2021'!$F401="","",'SIG 2021'!F401)</f>
        <v/>
      </c>
      <c r="G398" s="130" t="s">
        <v>1647</v>
      </c>
      <c r="H398" s="130" t="s">
        <v>1683</v>
      </c>
      <c r="I398" s="130"/>
      <c r="J398" s="130" t="s">
        <v>1684</v>
      </c>
      <c r="K398" s="130" t="str">
        <f>IF('SIG 2021'!$AM401="","",'SIG 2021'!$AM401)</f>
        <v/>
      </c>
      <c r="L398" s="130" t="str">
        <f>IF('SIG 2021'!$AN401="","",'SIG 2021'!$AN401)</f>
        <v/>
      </c>
      <c r="M398" s="130" t="str">
        <f>IF('SIG 2021'!$AO401="","",'SIG 2021'!$AO401)</f>
        <v/>
      </c>
    </row>
    <row r="399" spans="1:13" ht="43.2" x14ac:dyDescent="0.5">
      <c r="A399" s="130">
        <v>4255</v>
      </c>
      <c r="B399" s="130" t="s">
        <v>1685</v>
      </c>
      <c r="C399" s="130" t="s">
        <v>1686</v>
      </c>
      <c r="D399" s="130" t="str">
        <f>IF('SIG 2021'!$D402="","",'SIG 2021'!$D402)</f>
        <v>Yes</v>
      </c>
      <c r="E399" s="130" t="str">
        <f>IF('SIG 2021'!$E402="","",'SIG 2021'!$E402)</f>
        <v/>
      </c>
      <c r="F399" s="130" t="str">
        <f>IF('SIG 2021'!$F402="","",'SIG 2021'!F402)</f>
        <v/>
      </c>
      <c r="G399" s="130" t="s">
        <v>1647</v>
      </c>
      <c r="H399" s="130" t="s">
        <v>1683</v>
      </c>
      <c r="I399" s="130"/>
      <c r="J399" s="130" t="s">
        <v>1684</v>
      </c>
      <c r="K399" s="130" t="str">
        <f>IF('SIG 2021'!$AM402="","",'SIG 2021'!$AM402)</f>
        <v/>
      </c>
      <c r="L399" s="130" t="str">
        <f>IF('SIG 2021'!$AN402="","",'SIG 2021'!$AN402)</f>
        <v/>
      </c>
      <c r="M399" s="130" t="str">
        <f>IF('SIG 2021'!$AO402="","",'SIG 2021'!$AO402)</f>
        <v/>
      </c>
    </row>
    <row r="400" spans="1:13" ht="43.2" x14ac:dyDescent="0.5">
      <c r="A400" s="130">
        <v>4256</v>
      </c>
      <c r="B400" s="130" t="s">
        <v>1687</v>
      </c>
      <c r="C400" s="130" t="s">
        <v>1688</v>
      </c>
      <c r="D400" s="130" t="str">
        <f>IF('SIG 2021'!$D403="","",'SIG 2021'!$D403)</f>
        <v>Yes</v>
      </c>
      <c r="E400" s="130" t="str">
        <f>IF('SIG 2021'!$E403="","",'SIG 2021'!$E403)</f>
        <v/>
      </c>
      <c r="F400" s="130" t="str">
        <f>IF('SIG 2021'!$F403="","",'SIG 2021'!F403)</f>
        <v/>
      </c>
      <c r="G400" s="130" t="s">
        <v>1647</v>
      </c>
      <c r="H400" s="130" t="s">
        <v>1683</v>
      </c>
      <c r="I400" s="130" t="s">
        <v>1689</v>
      </c>
      <c r="J400" s="130" t="s">
        <v>1684</v>
      </c>
      <c r="K400" s="130" t="str">
        <f>IF('SIG 2021'!$AM403="","",'SIG 2021'!$AM403)</f>
        <v/>
      </c>
      <c r="L400" s="130" t="str">
        <f>IF('SIG 2021'!$AN403="","",'SIG 2021'!$AN403)</f>
        <v/>
      </c>
      <c r="M400" s="130" t="str">
        <f>IF('SIG 2021'!$AO403="","",'SIG 2021'!$AO403)</f>
        <v/>
      </c>
    </row>
    <row r="401" spans="1:13" ht="388.8" x14ac:dyDescent="0.5">
      <c r="A401" s="130">
        <v>4260</v>
      </c>
      <c r="B401" s="130" t="s">
        <v>1690</v>
      </c>
      <c r="C401" s="130" t="s">
        <v>1691</v>
      </c>
      <c r="D401" s="130" t="str">
        <f>IF('SIG 2021'!$D404="","",'SIG 2021'!$D404)</f>
        <v>Yes</v>
      </c>
      <c r="E401" s="130" t="str">
        <f>IF('SIG 2021'!$E404="","",'SIG 2021'!$E404)</f>
        <v>Specific responsibilities for risk assessment are documented by the information security team.
The information security team subscribes to US-CERT alerts and we are members of the Shared Assessments organization, a global community of risk management and information technology professionals, collaborating with industry peers on challenging issues and best practices in information and data security, privacy and business continuity. Shared Assessments puts a vast knowledge base, tools, and a network of global expertise at our fingertips to ensure that we are aware of security vulnerabilities.
Additionally, we use Threat Intelligence tools to identify latest software and security trends, and real-time Threat Intelligence monitoring and protection for Seismic assets and users.</v>
      </c>
      <c r="F401" s="130" t="str">
        <f>IF('SIG 2021'!$F404="","",'SIG 2021'!F404)</f>
        <v/>
      </c>
      <c r="G401" s="130" t="s">
        <v>1647</v>
      </c>
      <c r="H401" s="130" t="s">
        <v>1683</v>
      </c>
      <c r="I401" s="130"/>
      <c r="J401" s="130"/>
      <c r="K401" s="130" t="str">
        <f>IF('SIG 2021'!$AM404="","",'SIG 2021'!$AM404)</f>
        <v/>
      </c>
      <c r="L401" s="130" t="str">
        <f>IF('SIG 2021'!$AN404="","",'SIG 2021'!$AN404)</f>
        <v/>
      </c>
      <c r="M401" s="130" t="str">
        <f>IF('SIG 2021'!$AO404="","",'SIG 2021'!$AO404)</f>
        <v/>
      </c>
    </row>
    <row r="402" spans="1:13" ht="43.2" x14ac:dyDescent="0.5">
      <c r="A402" s="130">
        <v>4261</v>
      </c>
      <c r="B402" s="130" t="s">
        <v>1693</v>
      </c>
      <c r="C402" s="130" t="s">
        <v>1694</v>
      </c>
      <c r="D402" s="130" t="str">
        <f>IF('SIG 2021'!$D405="","",'SIG 2021'!$D405)</f>
        <v>Yes</v>
      </c>
      <c r="E402" s="130" t="str">
        <f>IF('SIG 2021'!$E405="","",'SIG 2021'!$E405)</f>
        <v/>
      </c>
      <c r="F402" s="130" t="str">
        <f>IF('SIG 2021'!$F405="","",'SIG 2021'!F405)</f>
        <v/>
      </c>
      <c r="G402" s="130" t="s">
        <v>1647</v>
      </c>
      <c r="H402" s="130" t="s">
        <v>1683</v>
      </c>
      <c r="I402" s="130"/>
      <c r="J402" s="130"/>
      <c r="K402" s="130" t="str">
        <f>IF('SIG 2021'!$AM405="","",'SIG 2021'!$AM405)</f>
        <v/>
      </c>
      <c r="L402" s="130" t="str">
        <f>IF('SIG 2021'!$AN405="","",'SIG 2021'!$AN405)</f>
        <v/>
      </c>
      <c r="M402" s="130" t="str">
        <f>IF('SIG 2021'!$AO405="","",'SIG 2021'!$AO405)</f>
        <v/>
      </c>
    </row>
    <row r="403" spans="1:13" ht="43.2" x14ac:dyDescent="0.5">
      <c r="A403" s="130">
        <v>4262</v>
      </c>
      <c r="B403" s="130" t="s">
        <v>1695</v>
      </c>
      <c r="C403" s="130" t="s">
        <v>1696</v>
      </c>
      <c r="D403" s="130" t="str">
        <f>IF('SIG 2021'!$D406="","",'SIG 2021'!$D406)</f>
        <v>Yes</v>
      </c>
      <c r="E403" s="130" t="str">
        <f>IF('SIG 2021'!$E406="","",'SIG 2021'!$E406)</f>
        <v/>
      </c>
      <c r="F403" s="130" t="str">
        <f>IF('SIG 2021'!$F406="","",'SIG 2021'!F406)</f>
        <v/>
      </c>
      <c r="G403" s="130" t="s">
        <v>1647</v>
      </c>
      <c r="H403" s="130" t="s">
        <v>1697</v>
      </c>
      <c r="I403" s="130"/>
      <c r="J403" s="130"/>
      <c r="K403" s="130" t="str">
        <f>IF('SIG 2021'!$AM406="","",'SIG 2021'!$AM406)</f>
        <v/>
      </c>
      <c r="L403" s="130" t="str">
        <f>IF('SIG 2021'!$AN406="","",'SIG 2021'!$AN406)</f>
        <v/>
      </c>
      <c r="M403" s="130" t="str">
        <f>IF('SIG 2021'!$AO406="","",'SIG 2021'!$AO406)</f>
        <v/>
      </c>
    </row>
    <row r="404" spans="1:13" ht="72" x14ac:dyDescent="0.5">
      <c r="A404" s="130">
        <v>4264</v>
      </c>
      <c r="B404" s="130" t="s">
        <v>1698</v>
      </c>
      <c r="C404" s="130" t="s">
        <v>1699</v>
      </c>
      <c r="D404" s="130" t="str">
        <f>IF('SIG 2021'!$D407="","",'SIG 2021'!$D407)</f>
        <v>Yes</v>
      </c>
      <c r="E404" s="130" t="str">
        <f>IF('SIG 2021'!$E407="","",'SIG 2021'!$E407)</f>
        <v/>
      </c>
      <c r="F404" s="130" t="str">
        <f>IF('SIG 2021'!$F407="","",'SIG 2021'!F407)</f>
        <v/>
      </c>
      <c r="G404" s="130" t="s">
        <v>1647</v>
      </c>
      <c r="H404" s="130" t="s">
        <v>1700</v>
      </c>
      <c r="I404" s="130" t="s">
        <v>1701</v>
      </c>
      <c r="J404" s="130" t="s">
        <v>1702</v>
      </c>
      <c r="K404" s="130" t="str">
        <f>IF('SIG 2021'!$AM407="","",'SIG 2021'!$AM407)</f>
        <v/>
      </c>
      <c r="L404" s="130" t="str">
        <f>IF('SIG 2021'!$AN407="","",'SIG 2021'!$AN407)</f>
        <v/>
      </c>
      <c r="M404" s="130" t="str">
        <f>IF('SIG 2021'!$AO407="","",'SIG 2021'!$AO407)</f>
        <v/>
      </c>
    </row>
    <row r="405" spans="1:13" ht="43.2" x14ac:dyDescent="0.5">
      <c r="A405" s="130">
        <v>4265</v>
      </c>
      <c r="B405" s="130" t="s">
        <v>1703</v>
      </c>
      <c r="C405" s="130" t="s">
        <v>1704</v>
      </c>
      <c r="D405" s="130" t="str">
        <f>IF('SIG 2021'!$D408="","",'SIG 2021'!$D408)</f>
        <v>Yes</v>
      </c>
      <c r="E405" s="130" t="str">
        <f>IF('SIG 2021'!$E408="","",'SIG 2021'!$E408)</f>
        <v/>
      </c>
      <c r="F405" s="130" t="str">
        <f>IF('SIG 2021'!$F408="","",'SIG 2021'!F408)</f>
        <v/>
      </c>
      <c r="G405" s="130" t="s">
        <v>1647</v>
      </c>
      <c r="H405" s="130" t="s">
        <v>1700</v>
      </c>
      <c r="I405" s="130" t="s">
        <v>1705</v>
      </c>
      <c r="J405" s="130"/>
      <c r="K405" s="130" t="str">
        <f>IF('SIG 2021'!$AM408="","",'SIG 2021'!$AM408)</f>
        <v/>
      </c>
      <c r="L405" s="130" t="str">
        <f>IF('SIG 2021'!$AN408="","",'SIG 2021'!$AN408)</f>
        <v/>
      </c>
      <c r="M405" s="130" t="str">
        <f>IF('SIG 2021'!$AO408="","",'SIG 2021'!$AO408)</f>
        <v/>
      </c>
    </row>
    <row r="406" spans="1:13" ht="72" x14ac:dyDescent="0.5">
      <c r="A406" s="130">
        <v>4268</v>
      </c>
      <c r="B406" s="130" t="s">
        <v>1706</v>
      </c>
      <c r="C406" s="130" t="s">
        <v>1707</v>
      </c>
      <c r="D406" s="130" t="str">
        <f>IF('SIG 2021'!$D409="","",'SIG 2021'!$D409)</f>
        <v>Yes</v>
      </c>
      <c r="E406" s="130" t="str">
        <f>IF('SIG 2021'!$E409="","",'SIG 2021'!$E409)</f>
        <v>Logs are written to a restricted storage partition then periodically copied to a SQL database with access only by operations personnel.</v>
      </c>
      <c r="F406" s="130" t="str">
        <f>IF('SIG 2021'!$F409="","",'SIG 2021'!F409)</f>
        <v/>
      </c>
      <c r="G406" s="130" t="s">
        <v>1647</v>
      </c>
      <c r="H406" s="130" t="s">
        <v>1700</v>
      </c>
      <c r="I406" s="130"/>
      <c r="J406" s="130" t="s">
        <v>1709</v>
      </c>
      <c r="K406" s="130" t="str">
        <f>IF('SIG 2021'!$AM409="","",'SIG 2021'!$AM409)</f>
        <v/>
      </c>
      <c r="L406" s="130" t="str">
        <f>IF('SIG 2021'!$AN409="","",'SIG 2021'!$AN409)</f>
        <v/>
      </c>
      <c r="M406" s="130" t="str">
        <f>IF('SIG 2021'!$AO409="","",'SIG 2021'!$AO409)</f>
        <v/>
      </c>
    </row>
    <row r="407" spans="1:13" ht="28.8" x14ac:dyDescent="0.5">
      <c r="A407" s="130">
        <v>2684</v>
      </c>
      <c r="B407" s="130" t="s">
        <v>1710</v>
      </c>
      <c r="C407" s="130" t="s">
        <v>1711</v>
      </c>
      <c r="D407" s="130" t="str">
        <f>IF('SIG 2021'!$D410="","",'SIG 2021'!$D410)</f>
        <v>No</v>
      </c>
      <c r="E407" s="130" t="str">
        <f>IF('SIG 2021'!$E410="","",'SIG 2021'!$E410)</f>
        <v/>
      </c>
      <c r="F407" s="130" t="str">
        <f>IF('SIG 2021'!$F410="","",'SIG 2021'!F410)</f>
        <v/>
      </c>
      <c r="G407" s="130" t="s">
        <v>1647</v>
      </c>
      <c r="H407" s="130" t="s">
        <v>1712</v>
      </c>
      <c r="I407" s="130"/>
      <c r="J407" s="130"/>
      <c r="K407" s="130" t="str">
        <f>IF('SIG 2021'!$AM410="","",'SIG 2021'!$AM410)</f>
        <v/>
      </c>
      <c r="L407" s="130" t="str">
        <f>IF('SIG 2021'!$AN410="","",'SIG 2021'!$AN410)</f>
        <v/>
      </c>
      <c r="M407" s="130" t="str">
        <f>IF('SIG 2021'!$AO410="","",'SIG 2021'!$AO410)</f>
        <v/>
      </c>
    </row>
    <row r="408" spans="1:13" ht="28.8" x14ac:dyDescent="0.5">
      <c r="A408" s="130">
        <v>3490</v>
      </c>
      <c r="B408" s="130" t="s">
        <v>1713</v>
      </c>
      <c r="C408" s="130" t="s">
        <v>1714</v>
      </c>
      <c r="D408" s="130" t="str">
        <f>IF('SIG 2021'!$D411="","",'SIG 2021'!$D411)</f>
        <v>Yes</v>
      </c>
      <c r="E408" s="130" t="str">
        <f>IF('SIG 2021'!$E411="","",'SIG 2021'!$E411)</f>
        <v/>
      </c>
      <c r="F408" s="130" t="str">
        <f>IF('SIG 2021'!$F411="","",'SIG 2021'!F411)</f>
        <v/>
      </c>
      <c r="G408" s="130" t="s">
        <v>1715</v>
      </c>
      <c r="H408" s="130" t="s">
        <v>910</v>
      </c>
      <c r="I408" s="130"/>
      <c r="J408" s="130"/>
      <c r="K408" s="130" t="str">
        <f>IF('SIG 2021'!$AM411="","",'SIG 2021'!$AM411)</f>
        <v/>
      </c>
      <c r="L408" s="130" t="str">
        <f>IF('SIG 2021'!$AN411="","",'SIG 2021'!$AN411)</f>
        <v/>
      </c>
      <c r="M408" s="130" t="str">
        <f>IF('SIG 2021'!$AO411="","",'SIG 2021'!$AO411)</f>
        <v/>
      </c>
    </row>
    <row r="409" spans="1:13" ht="43.2" x14ac:dyDescent="0.5">
      <c r="A409" s="130">
        <v>3491</v>
      </c>
      <c r="B409" s="130" t="s">
        <v>1716</v>
      </c>
      <c r="C409" s="130" t="s">
        <v>1717</v>
      </c>
      <c r="D409" s="130" t="str">
        <f>IF('SIG 2021'!$D412="","",'SIG 2021'!$D412)</f>
        <v>Yes</v>
      </c>
      <c r="E409" s="130" t="str">
        <f>IF('SIG 2021'!$E412="","",'SIG 2021'!$E412)</f>
        <v>Seismic conducts API security testing on all API endpoints on a continuous basis.</v>
      </c>
      <c r="F409" s="130" t="str">
        <f>IF('SIG 2021'!$F412="","",'SIG 2021'!F412)</f>
        <v/>
      </c>
      <c r="G409" s="130" t="s">
        <v>1715</v>
      </c>
      <c r="H409" s="130" t="s">
        <v>1715</v>
      </c>
      <c r="I409" s="130" t="s">
        <v>1561</v>
      </c>
      <c r="J409" s="130"/>
      <c r="K409" s="130" t="str">
        <f>IF('SIG 2021'!$AM412="","",'SIG 2021'!$AM412)</f>
        <v/>
      </c>
      <c r="L409" s="130" t="str">
        <f>IF('SIG 2021'!$AN412="","",'SIG 2021'!$AN412)</f>
        <v/>
      </c>
      <c r="M409" s="130" t="str">
        <f>IF('SIG 2021'!$AO412="","",'SIG 2021'!$AO412)</f>
        <v/>
      </c>
    </row>
    <row r="410" spans="1:13" ht="43.2" x14ac:dyDescent="0.5">
      <c r="A410" s="130">
        <v>4275</v>
      </c>
      <c r="B410" s="130" t="s">
        <v>1719</v>
      </c>
      <c r="C410" s="130" t="s">
        <v>1720</v>
      </c>
      <c r="D410" s="130" t="str">
        <f>IF('SIG 2021'!$D413="","",'SIG 2021'!$D413)</f>
        <v>Yes</v>
      </c>
      <c r="E410" s="130" t="str">
        <f>IF('SIG 2021'!$E413="","",'SIG 2021'!$E413)</f>
        <v/>
      </c>
      <c r="F410" s="130" t="str">
        <f>IF('SIG 2021'!$F413="","",'SIG 2021'!F413)</f>
        <v/>
      </c>
      <c r="G410" s="130" t="s">
        <v>1715</v>
      </c>
      <c r="H410" s="130" t="s">
        <v>1715</v>
      </c>
      <c r="I410" s="130"/>
      <c r="J410" s="130"/>
      <c r="K410" s="130" t="str">
        <f>IF('SIG 2021'!$AM413="","",'SIG 2021'!$AM413)</f>
        <v/>
      </c>
      <c r="L410" s="130" t="str">
        <f>IF('SIG 2021'!$AN413="","",'SIG 2021'!$AN413)</f>
        <v/>
      </c>
      <c r="M410" s="130" t="str">
        <f>IF('SIG 2021'!$AO413="","",'SIG 2021'!$AO413)</f>
        <v/>
      </c>
    </row>
    <row r="411" spans="1:13" ht="28.8" x14ac:dyDescent="0.5">
      <c r="A411" s="130">
        <v>3494</v>
      </c>
      <c r="B411" s="130" t="s">
        <v>1721</v>
      </c>
      <c r="C411" s="130" t="s">
        <v>1722</v>
      </c>
      <c r="D411" s="130" t="str">
        <f>IF('SIG 2021'!$D414="","",'SIG 2021'!$D414)</f>
        <v>Yes</v>
      </c>
      <c r="E411" s="130" t="str">
        <f>IF('SIG 2021'!$E414="","",'SIG 2021'!$E414)</f>
        <v>RBAC testing is conducted on all API endpoints.</v>
      </c>
      <c r="F411" s="130" t="str">
        <f>IF('SIG 2021'!$F414="","",'SIG 2021'!F414)</f>
        <v/>
      </c>
      <c r="G411" s="130" t="s">
        <v>1715</v>
      </c>
      <c r="H411" s="130" t="s">
        <v>1715</v>
      </c>
      <c r="I411" s="130"/>
      <c r="J411" s="130"/>
      <c r="K411" s="130" t="str">
        <f>IF('SIG 2021'!$AM414="","",'SIG 2021'!$AM414)</f>
        <v/>
      </c>
      <c r="L411" s="130" t="str">
        <f>IF('SIG 2021'!$AN414="","",'SIG 2021'!$AN414)</f>
        <v/>
      </c>
      <c r="M411" s="130" t="str">
        <f>IF('SIG 2021'!$AO414="","",'SIG 2021'!$AO414)</f>
        <v/>
      </c>
    </row>
    <row r="412" spans="1:13" ht="28.8" x14ac:dyDescent="0.5">
      <c r="A412" s="130">
        <v>3495</v>
      </c>
      <c r="B412" s="130" t="s">
        <v>1724</v>
      </c>
      <c r="C412" s="130" t="s">
        <v>1725</v>
      </c>
      <c r="D412" s="130" t="str">
        <f>IF('SIG 2021'!$D415="","",'SIG 2021'!$D415)</f>
        <v>Yes</v>
      </c>
      <c r="E412" s="130" t="str">
        <f>IF('SIG 2021'!$E415="","",'SIG 2021'!$E415)</f>
        <v/>
      </c>
      <c r="F412" s="130" t="str">
        <f>IF('SIG 2021'!$F415="","",'SIG 2021'!F415)</f>
        <v/>
      </c>
      <c r="G412" s="130" t="s">
        <v>1715</v>
      </c>
      <c r="H412" s="130" t="s">
        <v>1715</v>
      </c>
      <c r="I412" s="130" t="s">
        <v>1561</v>
      </c>
      <c r="J412" s="130"/>
      <c r="K412" s="130" t="str">
        <f>IF('SIG 2021'!$AM415="","",'SIG 2021'!$AM415)</f>
        <v/>
      </c>
      <c r="L412" s="130" t="str">
        <f>IF('SIG 2021'!$AN415="","",'SIG 2021'!$AN415)</f>
        <v/>
      </c>
      <c r="M412" s="130" t="str">
        <f>IF('SIG 2021'!$AO415="","",'SIG 2021'!$AO415)</f>
        <v/>
      </c>
    </row>
    <row r="413" spans="1:13" ht="28.8" x14ac:dyDescent="0.5">
      <c r="A413" s="130">
        <v>3503</v>
      </c>
      <c r="B413" s="130" t="s">
        <v>1726</v>
      </c>
      <c r="C413" s="130" t="s">
        <v>1727</v>
      </c>
      <c r="D413" s="130" t="str">
        <f>IF('SIG 2021'!$D416="","",'SIG 2021'!$D416)</f>
        <v>Yes</v>
      </c>
      <c r="E413" s="130" t="str">
        <f>IF('SIG 2021'!$E416="","",'SIG 2021'!$E416)</f>
        <v>API's are available to Premium subscription users only.</v>
      </c>
      <c r="F413" s="130" t="str">
        <f>IF('SIG 2021'!$F416="","",'SIG 2021'!F416)</f>
        <v/>
      </c>
      <c r="G413" s="130" t="s">
        <v>1715</v>
      </c>
      <c r="H413" s="130" t="s">
        <v>1729</v>
      </c>
      <c r="I413" s="130"/>
      <c r="J413" s="130"/>
      <c r="K413" s="130" t="str">
        <f>IF('SIG 2021'!$AM416="","",'SIG 2021'!$AM416)</f>
        <v/>
      </c>
      <c r="L413" s="130" t="str">
        <f>IF('SIG 2021'!$AN416="","",'SIG 2021'!$AN416)</f>
        <v/>
      </c>
      <c r="M413" s="130" t="str">
        <f>IF('SIG 2021'!$AO416="","",'SIG 2021'!$AO416)</f>
        <v/>
      </c>
    </row>
    <row r="414" spans="1:13" ht="28.8" x14ac:dyDescent="0.5">
      <c r="A414" s="130">
        <v>3512</v>
      </c>
      <c r="B414" s="130" t="s">
        <v>1730</v>
      </c>
      <c r="C414" s="130" t="s">
        <v>1731</v>
      </c>
      <c r="D414" s="130" t="str">
        <f>IF('SIG 2021'!$D417="","",'SIG 2021'!$D417)</f>
        <v>Yes</v>
      </c>
      <c r="E414" s="130" t="str">
        <f>IF('SIG 2021'!$E417="","",'SIG 2021'!$E417)</f>
        <v/>
      </c>
      <c r="F414" s="130" t="str">
        <f>IF('SIG 2021'!$F417="","",'SIG 2021'!F417)</f>
        <v/>
      </c>
      <c r="G414" s="130" t="s">
        <v>1715</v>
      </c>
      <c r="H414" s="130" t="s">
        <v>909</v>
      </c>
      <c r="I414" s="130"/>
      <c r="J414" s="130"/>
      <c r="K414" s="130" t="str">
        <f>IF('SIG 2021'!$AM417="","",'SIG 2021'!$AM417)</f>
        <v/>
      </c>
      <c r="L414" s="130" t="str">
        <f>IF('SIG 2021'!$AN417="","",'SIG 2021'!$AN417)</f>
        <v/>
      </c>
      <c r="M414" s="130" t="str">
        <f>IF('SIG 2021'!$AO417="","",'SIG 2021'!$AO417)</f>
        <v/>
      </c>
    </row>
    <row r="415" spans="1:13" ht="115.2" x14ac:dyDescent="0.5">
      <c r="A415" s="130">
        <v>3826</v>
      </c>
      <c r="B415" s="130" t="s">
        <v>281</v>
      </c>
      <c r="C415" s="130" t="s">
        <v>1732</v>
      </c>
      <c r="D415" s="130" t="str">
        <f>IF('SIG 2021'!$D418="","",'SIG 2021'!$D418)</f>
        <v>Yes</v>
      </c>
      <c r="E415" s="130" t="str">
        <f>IF('SIG 2021'!$E418="","",'SIG 2021'!$E418)</f>
        <v>Seismic has Android and iOS applications available for download in the respective app-stores. Mobile application usage is disabled by default and must be enabled the the customer in the administrative console. The mobile applications are MDM compatible.</v>
      </c>
      <c r="F415" s="130" t="str">
        <f>IF('SIG 2021'!$F418="","",'SIG 2021'!F418)</f>
        <v/>
      </c>
      <c r="G415" s="130" t="s">
        <v>1734</v>
      </c>
      <c r="H415" s="130" t="s">
        <v>910</v>
      </c>
      <c r="I415" s="130"/>
      <c r="J415" s="130"/>
      <c r="K415" s="130" t="str">
        <f>IF('SIG 2021'!$AM418="","",'SIG 2021'!$AM418)</f>
        <v/>
      </c>
      <c r="L415" s="130" t="str">
        <f>IF('SIG 2021'!$AN418="","",'SIG 2021'!$AN418)</f>
        <v/>
      </c>
      <c r="M415" s="130" t="str">
        <f>IF('SIG 2021'!$AO418="","",'SIG 2021'!$AO418)</f>
        <v/>
      </c>
    </row>
    <row r="416" spans="1:13" ht="43.2" x14ac:dyDescent="0.5">
      <c r="A416" s="130">
        <v>3829</v>
      </c>
      <c r="B416" s="130" t="s">
        <v>1735</v>
      </c>
      <c r="C416" s="130" t="s">
        <v>1736</v>
      </c>
      <c r="D416" s="130" t="str">
        <f>IF('SIG 2021'!$D419="","",'SIG 2021'!$D419)</f>
        <v>Yes</v>
      </c>
      <c r="E416" s="130" t="str">
        <f>IF('SIG 2021'!$E419="","",'SIG 2021'!$E419)</f>
        <v/>
      </c>
      <c r="F416" s="130" t="str">
        <f>IF('SIG 2021'!$F419="","",'SIG 2021'!F419)</f>
        <v/>
      </c>
      <c r="G416" s="130" t="s">
        <v>1734</v>
      </c>
      <c r="H416" s="130" t="s">
        <v>910</v>
      </c>
      <c r="I416" s="130"/>
      <c r="J416" s="130"/>
      <c r="K416" s="130" t="str">
        <f>IF('SIG 2021'!$AM419="","",'SIG 2021'!$AM419)</f>
        <v/>
      </c>
      <c r="L416" s="130" t="str">
        <f>IF('SIG 2021'!$AN419="","",'SIG 2021'!$AN419)</f>
        <v/>
      </c>
      <c r="M416" s="130" t="str">
        <f>IF('SIG 2021'!$AO419="","",'SIG 2021'!$AO419)</f>
        <v/>
      </c>
    </row>
    <row r="417" spans="1:13" ht="28.8" x14ac:dyDescent="0.5">
      <c r="A417" s="130">
        <v>4102</v>
      </c>
      <c r="B417" s="130" t="s">
        <v>1737</v>
      </c>
      <c r="C417" s="130" t="s">
        <v>1738</v>
      </c>
      <c r="D417" s="130" t="str">
        <f>IF('SIG 2021'!$D420="","",'SIG 2021'!$D420)</f>
        <v>Yes</v>
      </c>
      <c r="E417" s="130" t="str">
        <f>IF('SIG 2021'!$E420="","",'SIG 2021'!$E420)</f>
        <v/>
      </c>
      <c r="F417" s="130" t="str">
        <f>IF('SIG 2021'!$F420="","",'SIG 2021'!F420)</f>
        <v/>
      </c>
      <c r="G417" s="130" t="s">
        <v>1734</v>
      </c>
      <c r="H417" s="130" t="s">
        <v>1739</v>
      </c>
      <c r="I417" s="130"/>
      <c r="J417" s="130"/>
      <c r="K417" s="130" t="str">
        <f>IF('SIG 2021'!$AM420="","",'SIG 2021'!$AM420)</f>
        <v/>
      </c>
      <c r="L417" s="130" t="str">
        <f>IF('SIG 2021'!$AN420="","",'SIG 2021'!$AN420)</f>
        <v/>
      </c>
      <c r="M417" s="130" t="str">
        <f>IF('SIG 2021'!$AO420="","",'SIG 2021'!$AO420)</f>
        <v/>
      </c>
    </row>
    <row r="418" spans="1:13" ht="57.6" x14ac:dyDescent="0.5">
      <c r="A418" s="130">
        <v>2241</v>
      </c>
      <c r="B418" s="130" t="s">
        <v>314</v>
      </c>
      <c r="C418" s="130" t="s">
        <v>1740</v>
      </c>
      <c r="D418" s="130" t="str">
        <f>IF('SIG 2021'!$D421="","",'SIG 2021'!$D421)</f>
        <v>Yes</v>
      </c>
      <c r="E418" s="130" t="str">
        <f>IF('SIG 2021'!$E421="","",'SIG 2021'!$E421)</f>
        <v/>
      </c>
      <c r="F418" s="130" t="str">
        <f>IF('SIG 2021'!$F421="","",'SIG 2021'!F421)</f>
        <v/>
      </c>
      <c r="G418" s="130" t="s">
        <v>1741</v>
      </c>
      <c r="H418" s="130" t="s">
        <v>1742</v>
      </c>
      <c r="I418" s="130"/>
      <c r="J418" s="130" t="s">
        <v>1743</v>
      </c>
      <c r="K418" s="130" t="str">
        <f>IF('SIG 2021'!$AM421="","",'SIG 2021'!$AM421)</f>
        <v/>
      </c>
      <c r="L418" s="130" t="str">
        <f>IF('SIG 2021'!$AN421="","",'SIG 2021'!$AN421)</f>
        <v/>
      </c>
      <c r="M418" s="130" t="str">
        <f>IF('SIG 2021'!$AO421="","",'SIG 2021'!$AO421)</f>
        <v/>
      </c>
    </row>
    <row r="419" spans="1:13" ht="57.6" x14ac:dyDescent="0.5">
      <c r="A419" s="130">
        <v>2276</v>
      </c>
      <c r="B419" s="130" t="s">
        <v>1745</v>
      </c>
      <c r="C419" s="130" t="s">
        <v>1746</v>
      </c>
      <c r="D419" s="130" t="str">
        <f>IF('SIG 2021'!$D422="","",'SIG 2021'!$D422)</f>
        <v>Yes</v>
      </c>
      <c r="E419" s="130" t="str">
        <f>IF('SIG 2021'!$E422="","",'SIG 2021'!$E422)</f>
        <v>Seismic has 24x7x365 support personnel, as well as managed 24x7x365 SOC services.</v>
      </c>
      <c r="F419" s="130" t="str">
        <f>IF('SIG 2021'!$F422="","",'SIG 2021'!F422)</f>
        <v/>
      </c>
      <c r="G419" s="130" t="s">
        <v>1741</v>
      </c>
      <c r="H419" s="130" t="s">
        <v>1748</v>
      </c>
      <c r="I419" s="130" t="s">
        <v>1749</v>
      </c>
      <c r="J419" s="130"/>
      <c r="K419" s="130" t="str">
        <f>IF('SIG 2021'!$AM422="","",'SIG 2021'!$AM422)</f>
        <v/>
      </c>
      <c r="L419" s="130" t="str">
        <f>IF('SIG 2021'!$AN422="","",'SIG 2021'!$AN422)</f>
        <v/>
      </c>
      <c r="M419" s="130" t="str">
        <f>IF('SIG 2021'!$AO422="","",'SIG 2021'!$AO422)</f>
        <v/>
      </c>
    </row>
    <row r="420" spans="1:13" ht="43.2" x14ac:dyDescent="0.5">
      <c r="A420" s="130">
        <v>4745</v>
      </c>
      <c r="B420" s="130" t="s">
        <v>1750</v>
      </c>
      <c r="C420" s="130" t="s">
        <v>1751</v>
      </c>
      <c r="D420" s="130" t="str">
        <f>IF('SIG 2021'!$D423="","",'SIG 2021'!$D423)</f>
        <v>Yes</v>
      </c>
      <c r="E420" s="130" t="str">
        <f>IF('SIG 2021'!$E423="","",'SIG 2021'!$E423)</f>
        <v/>
      </c>
      <c r="F420" s="130" t="str">
        <f>IF('SIG 2021'!$F423="","",'SIG 2021'!F423)</f>
        <v/>
      </c>
      <c r="G420" s="130" t="s">
        <v>1741</v>
      </c>
      <c r="H420" s="130" t="s">
        <v>1748</v>
      </c>
      <c r="I420" s="130" t="s">
        <v>1752</v>
      </c>
      <c r="J420" s="130"/>
      <c r="K420" s="130" t="str">
        <f>IF('SIG 2021'!$AM423="","",'SIG 2021'!$AM423)</f>
        <v/>
      </c>
      <c r="L420" s="130" t="str">
        <f>IF('SIG 2021'!$AN423="","",'SIG 2021'!$AN423)</f>
        <v/>
      </c>
      <c r="M420" s="130" t="str">
        <f>IF('SIG 2021'!$AO423="","",'SIG 2021'!$AO423)</f>
        <v/>
      </c>
    </row>
    <row r="421" spans="1:13" ht="43.2" x14ac:dyDescent="0.5">
      <c r="A421" s="130">
        <v>4747</v>
      </c>
      <c r="B421" s="130" t="s">
        <v>1753</v>
      </c>
      <c r="C421" s="130" t="s">
        <v>1754</v>
      </c>
      <c r="D421" s="130" t="str">
        <f>IF('SIG 2021'!$D424="","",'SIG 2021'!$D424)</f>
        <v>Yes</v>
      </c>
      <c r="E421" s="130" t="str">
        <f>IF('SIG 2021'!$E424="","",'SIG 2021'!$E424)</f>
        <v/>
      </c>
      <c r="F421" s="130" t="str">
        <f>IF('SIG 2021'!$F424="","",'SIG 2021'!F424)</f>
        <v/>
      </c>
      <c r="G421" s="130" t="s">
        <v>1741</v>
      </c>
      <c r="H421" s="130" t="s">
        <v>1748</v>
      </c>
      <c r="I421" s="130"/>
      <c r="J421" s="130"/>
      <c r="K421" s="130" t="str">
        <f>IF('SIG 2021'!$AM424="","",'SIG 2021'!$AM424)</f>
        <v/>
      </c>
      <c r="L421" s="130" t="str">
        <f>IF('SIG 2021'!$AN424="","",'SIG 2021'!$AN424)</f>
        <v/>
      </c>
      <c r="M421" s="130" t="str">
        <f>IF('SIG 2021'!$AO424="","",'SIG 2021'!$AO424)</f>
        <v/>
      </c>
    </row>
    <row r="422" spans="1:13" ht="388.8" x14ac:dyDescent="0.5">
      <c r="A422" s="130">
        <v>2246</v>
      </c>
      <c r="B422" s="130" t="s">
        <v>316</v>
      </c>
      <c r="C422" s="130" t="s">
        <v>1755</v>
      </c>
      <c r="D422" s="130" t="str">
        <f>IF('SIG 2021'!$D425="","",'SIG 2021'!$D425)</f>
        <v>Yes</v>
      </c>
      <c r="E422" s="130" t="str">
        <f>IF('SIG 2021'!$E425="","",'SIG 2021'!$E425)</f>
        <v>Seismic has a formal Incident Response Plan that is tested and updated at least annually. The program is ran by Information Security. Upon identification or notice of an incident, through various alert systems, Seismic's Information Security, Operations, and IT Support team are all prepared to respond to an incident dependent on the type of incident. Steps are taken immediately to limit the scope of the incident, remediate the incident, and gather evidence and reporting requirements. Customers are notified within 24 hours of a Security or Privacy incident affecting their data, or as agreed upon in contract. This process is tested annually through table-top exercises. Each incident involves a lessons learned process afterwards to identify any errors in processes, systems, or controls, and to document and prevent the recurrence of incidents.</v>
      </c>
      <c r="F422" s="130" t="str">
        <f>IF('SIG 2021'!$F425="","",'SIG 2021'!F425)</f>
        <v/>
      </c>
      <c r="G422" s="130" t="s">
        <v>1741</v>
      </c>
      <c r="H422" s="130" t="s">
        <v>1757</v>
      </c>
      <c r="I422" s="130" t="s">
        <v>1758</v>
      </c>
      <c r="J422" s="130" t="s">
        <v>1759</v>
      </c>
      <c r="K422" s="130" t="str">
        <f>IF('SIG 2021'!$AM425="","",'SIG 2021'!$AM425)</f>
        <v/>
      </c>
      <c r="L422" s="130" t="str">
        <f>IF('SIG 2021'!$AN425="","",'SIG 2021'!$AN425)</f>
        <v/>
      </c>
      <c r="M422" s="130" t="str">
        <f>IF('SIG 2021'!$AO425="","",'SIG 2021'!$AO425)</f>
        <v/>
      </c>
    </row>
    <row r="423" spans="1:13" ht="43.2" x14ac:dyDescent="0.5">
      <c r="A423" s="130">
        <v>2699</v>
      </c>
      <c r="B423" s="130" t="s">
        <v>1760</v>
      </c>
      <c r="C423" s="130" t="s">
        <v>1761</v>
      </c>
      <c r="D423" s="130" t="str">
        <f>IF('SIG 2021'!$D426="","",'SIG 2021'!$D426)</f>
        <v>Yes</v>
      </c>
      <c r="E423" s="130" t="str">
        <f>IF('SIG 2021'!$E426="","",'SIG 2021'!$E426)</f>
        <v/>
      </c>
      <c r="F423" s="130" t="str">
        <f>IF('SIG 2021'!$F426="","",'SIG 2021'!F426)</f>
        <v/>
      </c>
      <c r="G423" s="130" t="s">
        <v>1741</v>
      </c>
      <c r="H423" s="130" t="s">
        <v>1757</v>
      </c>
      <c r="I423" s="130" t="s">
        <v>1758</v>
      </c>
      <c r="J423" s="130" t="s">
        <v>1762</v>
      </c>
      <c r="K423" s="130" t="str">
        <f>IF('SIG 2021'!$AM426="","",'SIG 2021'!$AM426)</f>
        <v/>
      </c>
      <c r="L423" s="130" t="str">
        <f>IF('SIG 2021'!$AN426="","",'SIG 2021'!$AN426)</f>
        <v/>
      </c>
      <c r="M423" s="130" t="str">
        <f>IF('SIG 2021'!$AO426="","",'SIG 2021'!$AO426)</f>
        <v/>
      </c>
    </row>
    <row r="424" spans="1:13" ht="43.2" x14ac:dyDescent="0.5">
      <c r="A424" s="130">
        <v>2280</v>
      </c>
      <c r="B424" s="130" t="s">
        <v>1763</v>
      </c>
      <c r="C424" s="130" t="s">
        <v>1764</v>
      </c>
      <c r="D424" s="130" t="str">
        <f>IF('SIG 2021'!$D427="","",'SIG 2021'!$D427)</f>
        <v>Yes</v>
      </c>
      <c r="E424" s="130" t="str">
        <f>IF('SIG 2021'!$E427="","",'SIG 2021'!$E427)</f>
        <v/>
      </c>
      <c r="F424" s="130" t="str">
        <f>IF('SIG 2021'!$F427="","",'SIG 2021'!F427)</f>
        <v/>
      </c>
      <c r="G424" s="130" t="s">
        <v>1741</v>
      </c>
      <c r="H424" s="130" t="s">
        <v>1757</v>
      </c>
      <c r="I424" s="130" t="s">
        <v>1758</v>
      </c>
      <c r="J424" s="130" t="s">
        <v>1765</v>
      </c>
      <c r="K424" s="130" t="str">
        <f>IF('SIG 2021'!$AM427="","",'SIG 2021'!$AM427)</f>
        <v/>
      </c>
      <c r="L424" s="130" t="str">
        <f>IF('SIG 2021'!$AN427="","",'SIG 2021'!$AN427)</f>
        <v/>
      </c>
      <c r="M424" s="130" t="str">
        <f>IF('SIG 2021'!$AO427="","",'SIG 2021'!$AO427)</f>
        <v/>
      </c>
    </row>
    <row r="425" spans="1:13" ht="57.6" x14ac:dyDescent="0.5">
      <c r="A425" s="130">
        <v>2702</v>
      </c>
      <c r="B425" s="130" t="s">
        <v>1766</v>
      </c>
      <c r="C425" s="130" t="s">
        <v>1767</v>
      </c>
      <c r="D425" s="130" t="str">
        <f>IF('SIG 2021'!$D428="","",'SIG 2021'!$D428)</f>
        <v>Yes</v>
      </c>
      <c r="E425" s="130" t="str">
        <f>IF('SIG 2021'!$E428="","",'SIG 2021'!$E428)</f>
        <v/>
      </c>
      <c r="F425" s="130" t="str">
        <f>IF('SIG 2021'!$F428="","",'SIG 2021'!F428)</f>
        <v/>
      </c>
      <c r="G425" s="130" t="s">
        <v>1741</v>
      </c>
      <c r="H425" s="130" t="s">
        <v>1757</v>
      </c>
      <c r="I425" s="130"/>
      <c r="J425" s="130" t="s">
        <v>1768</v>
      </c>
      <c r="K425" s="130" t="str">
        <f>IF('SIG 2021'!$AM428="","",'SIG 2021'!$AM428)</f>
        <v/>
      </c>
      <c r="L425" s="130" t="str">
        <f>IF('SIG 2021'!$AN428="","",'SIG 2021'!$AN428)</f>
        <v/>
      </c>
      <c r="M425" s="130" t="str">
        <f>IF('SIG 2021'!$AO428="","",'SIG 2021'!$AO428)</f>
        <v/>
      </c>
    </row>
    <row r="426" spans="1:13" ht="43.2" x14ac:dyDescent="0.5">
      <c r="A426" s="130">
        <v>2704</v>
      </c>
      <c r="B426" s="130" t="s">
        <v>1769</v>
      </c>
      <c r="C426" s="130" t="s">
        <v>1770</v>
      </c>
      <c r="D426" s="130" t="str">
        <f>IF('SIG 2021'!$D429="","",'SIG 2021'!$D429)</f>
        <v>Yes</v>
      </c>
      <c r="E426" s="130" t="str">
        <f>IF('SIG 2021'!$E429="","",'SIG 2021'!$E429)</f>
        <v/>
      </c>
      <c r="F426" s="130" t="str">
        <f>IF('SIG 2021'!$F429="","",'SIG 2021'!F429)</f>
        <v/>
      </c>
      <c r="G426" s="130" t="s">
        <v>1741</v>
      </c>
      <c r="H426" s="130" t="s">
        <v>1757</v>
      </c>
      <c r="I426" s="130" t="s">
        <v>1758</v>
      </c>
      <c r="J426" s="130" t="s">
        <v>1771</v>
      </c>
      <c r="K426" s="130" t="str">
        <f>IF('SIG 2021'!$AM429="","",'SIG 2021'!$AM429)</f>
        <v/>
      </c>
      <c r="L426" s="130" t="str">
        <f>IF('SIG 2021'!$AN429="","",'SIG 2021'!$AN429)</f>
        <v/>
      </c>
      <c r="M426" s="130" t="str">
        <f>IF('SIG 2021'!$AO429="","",'SIG 2021'!$AO429)</f>
        <v/>
      </c>
    </row>
    <row r="427" spans="1:13" ht="43.2" x14ac:dyDescent="0.5">
      <c r="A427" s="130">
        <v>2705</v>
      </c>
      <c r="B427" s="130" t="s">
        <v>1772</v>
      </c>
      <c r="C427" s="130" t="s">
        <v>1773</v>
      </c>
      <c r="D427" s="130" t="str">
        <f>IF('SIG 2021'!$D430="","",'SIG 2021'!$D430)</f>
        <v>Yes</v>
      </c>
      <c r="E427" s="130" t="str">
        <f>IF('SIG 2021'!$E430="","",'SIG 2021'!$E430)</f>
        <v/>
      </c>
      <c r="F427" s="130" t="str">
        <f>IF('SIG 2021'!$F430="","",'SIG 2021'!F430)</f>
        <v/>
      </c>
      <c r="G427" s="130" t="s">
        <v>1741</v>
      </c>
      <c r="H427" s="130" t="s">
        <v>1757</v>
      </c>
      <c r="I427" s="130" t="s">
        <v>1774</v>
      </c>
      <c r="J427" s="130" t="s">
        <v>1775</v>
      </c>
      <c r="K427" s="130" t="str">
        <f>IF('SIG 2021'!$AM430="","",'SIG 2021'!$AM430)</f>
        <v/>
      </c>
      <c r="L427" s="130" t="str">
        <f>IF('SIG 2021'!$AN430="","",'SIG 2021'!$AN430)</f>
        <v/>
      </c>
      <c r="M427" s="130" t="str">
        <f>IF('SIG 2021'!$AO430="","",'SIG 2021'!$AO430)</f>
        <v/>
      </c>
    </row>
    <row r="428" spans="1:13" ht="57.6" x14ac:dyDescent="0.5">
      <c r="A428" s="130">
        <v>2273</v>
      </c>
      <c r="B428" s="130" t="s">
        <v>1776</v>
      </c>
      <c r="C428" s="130" t="s">
        <v>1777</v>
      </c>
      <c r="D428" s="130" t="str">
        <f>IF('SIG 2021'!$D431="","",'SIG 2021'!$D431)</f>
        <v>Yes</v>
      </c>
      <c r="E428" s="130" t="str">
        <f>IF('SIG 2021'!$E431="","",'SIG 2021'!$E431)</f>
        <v/>
      </c>
      <c r="F428" s="130" t="str">
        <f>IF('SIG 2021'!$F431="","",'SIG 2021'!F431)</f>
        <v/>
      </c>
      <c r="G428" s="130" t="s">
        <v>1741</v>
      </c>
      <c r="H428" s="130" t="s">
        <v>1757</v>
      </c>
      <c r="I428" s="130" t="s">
        <v>1778</v>
      </c>
      <c r="J428" s="130" t="s">
        <v>1779</v>
      </c>
      <c r="K428" s="130" t="str">
        <f>IF('SIG 2021'!$AM431="","",'SIG 2021'!$AM431)</f>
        <v/>
      </c>
      <c r="L428" s="130" t="str">
        <f>IF('SIG 2021'!$AN431="","",'SIG 2021'!$AN431)</f>
        <v/>
      </c>
      <c r="M428" s="130" t="str">
        <f>IF('SIG 2021'!$AO431="","",'SIG 2021'!$AO431)</f>
        <v/>
      </c>
    </row>
    <row r="429" spans="1:13" ht="43.2" x14ac:dyDescent="0.5">
      <c r="A429" s="130">
        <v>4239</v>
      </c>
      <c r="B429" s="130" t="s">
        <v>1780</v>
      </c>
      <c r="C429" s="130" t="s">
        <v>1781</v>
      </c>
      <c r="D429" s="130" t="str">
        <f>IF('SIG 2021'!$D432="","",'SIG 2021'!$D432)</f>
        <v>Yes</v>
      </c>
      <c r="E429" s="130" t="str">
        <f>IF('SIG 2021'!$E432="","",'SIG 2021'!$E432)</f>
        <v/>
      </c>
      <c r="F429" s="130" t="str">
        <f>IF('SIG 2021'!$F432="","",'SIG 2021'!F432)</f>
        <v/>
      </c>
      <c r="G429" s="130" t="s">
        <v>1741</v>
      </c>
      <c r="H429" s="130" t="s">
        <v>1757</v>
      </c>
      <c r="I429" s="130" t="s">
        <v>1778</v>
      </c>
      <c r="J429" s="130" t="s">
        <v>1782</v>
      </c>
      <c r="K429" s="130" t="str">
        <f>IF('SIG 2021'!$AM432="","",'SIG 2021'!$AM432)</f>
        <v/>
      </c>
      <c r="L429" s="130" t="str">
        <f>IF('SIG 2021'!$AN432="","",'SIG 2021'!$AN432)</f>
        <v/>
      </c>
      <c r="M429" s="130" t="str">
        <f>IF('SIG 2021'!$AO432="","",'SIG 2021'!$AO432)</f>
        <v/>
      </c>
    </row>
    <row r="430" spans="1:13" ht="43.2" x14ac:dyDescent="0.5">
      <c r="A430" s="130">
        <v>4748</v>
      </c>
      <c r="B430" s="130" t="s">
        <v>1783</v>
      </c>
      <c r="C430" s="130" t="s">
        <v>1784</v>
      </c>
      <c r="D430" s="130" t="str">
        <f>IF('SIG 2021'!$D433="","",'SIG 2021'!$D433)</f>
        <v>Yes</v>
      </c>
      <c r="E430" s="130" t="str">
        <f>IF('SIG 2021'!$E433="","",'SIG 2021'!$E433)</f>
        <v/>
      </c>
      <c r="F430" s="130" t="str">
        <f>IF('SIG 2021'!$F433="","",'SIG 2021'!F433)</f>
        <v/>
      </c>
      <c r="G430" s="130" t="s">
        <v>1741</v>
      </c>
      <c r="H430" s="130" t="s">
        <v>1757</v>
      </c>
      <c r="I430" s="130" t="s">
        <v>1778</v>
      </c>
      <c r="J430" s="130" t="s">
        <v>1779</v>
      </c>
      <c r="K430" s="130" t="str">
        <f>IF('SIG 2021'!$AM433="","",'SIG 2021'!$AM433)</f>
        <v/>
      </c>
      <c r="L430" s="130" t="str">
        <f>IF('SIG 2021'!$AN433="","",'SIG 2021'!$AN433)</f>
        <v/>
      </c>
      <c r="M430" s="130" t="str">
        <f>IF('SIG 2021'!$AO433="","",'SIG 2021'!$AO433)</f>
        <v/>
      </c>
    </row>
    <row r="431" spans="1:13" ht="57.6" x14ac:dyDescent="0.5">
      <c r="A431" s="130">
        <v>4460</v>
      </c>
      <c r="B431" s="130" t="s">
        <v>1785</v>
      </c>
      <c r="C431" s="130" t="s">
        <v>1786</v>
      </c>
      <c r="D431" s="130" t="str">
        <f>IF('SIG 2021'!$D434="","",'SIG 2021'!$D434)</f>
        <v>Yes</v>
      </c>
      <c r="E431" s="130" t="str">
        <f>IF('SIG 2021'!$E434="","",'SIG 2021'!$E434)</f>
        <v/>
      </c>
      <c r="F431" s="130" t="str">
        <f>IF('SIG 2021'!$F434="","",'SIG 2021'!F434)</f>
        <v/>
      </c>
      <c r="G431" s="130" t="s">
        <v>1741</v>
      </c>
      <c r="H431" s="130" t="s">
        <v>1757</v>
      </c>
      <c r="I431" s="130" t="s">
        <v>1787</v>
      </c>
      <c r="J431" s="130" t="s">
        <v>1771</v>
      </c>
      <c r="K431" s="130" t="str">
        <f>IF('SIG 2021'!$AM434="","",'SIG 2021'!$AM434)</f>
        <v/>
      </c>
      <c r="L431" s="130" t="str">
        <f>IF('SIG 2021'!$AN434="","",'SIG 2021'!$AN434)</f>
        <v/>
      </c>
      <c r="M431" s="130" t="str">
        <f>IF('SIG 2021'!$AO434="","",'SIG 2021'!$AO434)</f>
        <v/>
      </c>
    </row>
    <row r="432" spans="1:13" ht="86.4" x14ac:dyDescent="0.5">
      <c r="A432" s="130">
        <v>4750</v>
      </c>
      <c r="B432" s="130" t="s">
        <v>1788</v>
      </c>
      <c r="C432" s="130" t="s">
        <v>1789</v>
      </c>
      <c r="D432" s="130" t="str">
        <f>IF('SIG 2021'!$D435="","",'SIG 2021'!$D435)</f>
        <v>Yes</v>
      </c>
      <c r="E432" s="130" t="str">
        <f>IF('SIG 2021'!$E435="","",'SIG 2021'!$E435)</f>
        <v/>
      </c>
      <c r="F432" s="130" t="str">
        <f>IF('SIG 2021'!$F435="","",'SIG 2021'!F435)</f>
        <v/>
      </c>
      <c r="G432" s="130" t="s">
        <v>1741</v>
      </c>
      <c r="H432" s="130" t="s">
        <v>1757</v>
      </c>
      <c r="I432" s="130" t="s">
        <v>1790</v>
      </c>
      <c r="J432" s="130" t="s">
        <v>1791</v>
      </c>
      <c r="K432" s="130" t="str">
        <f>IF('SIG 2021'!$AM435="","",'SIG 2021'!$AM435)</f>
        <v/>
      </c>
      <c r="L432" s="130" t="str">
        <f>IF('SIG 2021'!$AN435="","",'SIG 2021'!$AN435)</f>
        <v/>
      </c>
      <c r="M432" s="130" t="str">
        <f>IF('SIG 2021'!$AO435="","",'SIG 2021'!$AO435)</f>
        <v/>
      </c>
    </row>
    <row r="433" spans="1:13" ht="57.6" x14ac:dyDescent="0.5">
      <c r="A433" s="130">
        <v>4751</v>
      </c>
      <c r="B433" s="130" t="s">
        <v>1792</v>
      </c>
      <c r="C433" s="130" t="s">
        <v>1793</v>
      </c>
      <c r="D433" s="130" t="str">
        <f>IF('SIG 2021'!$D436="","",'SIG 2021'!$D436)</f>
        <v>Yes</v>
      </c>
      <c r="E433" s="130" t="str">
        <f>IF('SIG 2021'!$E436="","",'SIG 2021'!$E436)</f>
        <v/>
      </c>
      <c r="F433" s="130" t="str">
        <f>IF('SIG 2021'!$F436="","",'SIG 2021'!F436)</f>
        <v/>
      </c>
      <c r="G433" s="130" t="s">
        <v>1741</v>
      </c>
      <c r="H433" s="130" t="s">
        <v>1757</v>
      </c>
      <c r="I433" s="130" t="s">
        <v>1794</v>
      </c>
      <c r="J433" s="130" t="s">
        <v>1795</v>
      </c>
      <c r="K433" s="130" t="str">
        <f>IF('SIG 2021'!$AM436="","",'SIG 2021'!$AM436)</f>
        <v/>
      </c>
      <c r="L433" s="130" t="str">
        <f>IF('SIG 2021'!$AN436="","",'SIG 2021'!$AN436)</f>
        <v/>
      </c>
      <c r="M433" s="130" t="str">
        <f>IF('SIG 2021'!$AO436="","",'SIG 2021'!$AO436)</f>
        <v/>
      </c>
    </row>
    <row r="434" spans="1:13" ht="72" x14ac:dyDescent="0.5">
      <c r="A434" s="130">
        <v>4752</v>
      </c>
      <c r="B434" s="130" t="s">
        <v>1796</v>
      </c>
      <c r="C434" s="130" t="s">
        <v>1797</v>
      </c>
      <c r="D434" s="130" t="str">
        <f>IF('SIG 2021'!$D437="","",'SIG 2021'!$D437)</f>
        <v>Yes</v>
      </c>
      <c r="E434" s="130" t="str">
        <f>IF('SIG 2021'!$E437="","",'SIG 2021'!$E437)</f>
        <v/>
      </c>
      <c r="F434" s="130" t="str">
        <f>IF('SIG 2021'!$F437="","",'SIG 2021'!F437)</f>
        <v/>
      </c>
      <c r="G434" s="130" t="s">
        <v>1741</v>
      </c>
      <c r="H434" s="130" t="s">
        <v>1757</v>
      </c>
      <c r="I434" s="130" t="s">
        <v>1798</v>
      </c>
      <c r="J434" s="130" t="s">
        <v>1795</v>
      </c>
      <c r="K434" s="130" t="str">
        <f>IF('SIG 2021'!$AM437="","",'SIG 2021'!$AM437)</f>
        <v/>
      </c>
      <c r="L434" s="130" t="str">
        <f>IF('SIG 2021'!$AN437="","",'SIG 2021'!$AN437)</f>
        <v/>
      </c>
      <c r="M434" s="130" t="str">
        <f>IF('SIG 2021'!$AO437="","",'SIG 2021'!$AO437)</f>
        <v/>
      </c>
    </row>
    <row r="435" spans="1:13" ht="57.6" x14ac:dyDescent="0.5">
      <c r="A435" s="130">
        <v>4753</v>
      </c>
      <c r="B435" s="130" t="s">
        <v>1799</v>
      </c>
      <c r="C435" s="130" t="s">
        <v>1800</v>
      </c>
      <c r="D435" s="130" t="str">
        <f>IF('SIG 2021'!$D438="","",'SIG 2021'!$D438)</f>
        <v>Yes</v>
      </c>
      <c r="E435" s="130" t="str">
        <f>IF('SIG 2021'!$E438="","",'SIG 2021'!$E438)</f>
        <v/>
      </c>
      <c r="F435" s="130" t="str">
        <f>IF('SIG 2021'!$F438="","",'SIG 2021'!F438)</f>
        <v/>
      </c>
      <c r="G435" s="130" t="s">
        <v>1741</v>
      </c>
      <c r="H435" s="130" t="s">
        <v>1757</v>
      </c>
      <c r="I435" s="130" t="s">
        <v>1794</v>
      </c>
      <c r="J435" s="130"/>
      <c r="K435" s="130" t="str">
        <f>IF('SIG 2021'!$AM438="","",'SIG 2021'!$AM438)</f>
        <v/>
      </c>
      <c r="L435" s="130" t="str">
        <f>IF('SIG 2021'!$AN438="","",'SIG 2021'!$AN438)</f>
        <v/>
      </c>
      <c r="M435" s="130" t="str">
        <f>IF('SIG 2021'!$AO438="","",'SIG 2021'!$AO438)</f>
        <v/>
      </c>
    </row>
    <row r="436" spans="1:13" ht="43.2" x14ac:dyDescent="0.5">
      <c r="A436" s="130">
        <v>2709</v>
      </c>
      <c r="B436" s="130" t="s">
        <v>318</v>
      </c>
      <c r="C436" s="130" t="s">
        <v>1801</v>
      </c>
      <c r="D436" s="130" t="str">
        <f>IF('SIG 2021'!$D439="","",'SIG 2021'!$D439)</f>
        <v>Yes</v>
      </c>
      <c r="E436" s="130" t="str">
        <f>IF('SIG 2021'!$E439="","",'SIG 2021'!$E439)</f>
        <v/>
      </c>
      <c r="F436" s="130" t="str">
        <f>IF('SIG 2021'!$F439="","",'SIG 2021'!F439)</f>
        <v/>
      </c>
      <c r="G436" s="130" t="s">
        <v>1741</v>
      </c>
      <c r="H436" s="130" t="s">
        <v>1802</v>
      </c>
      <c r="I436" s="130" t="s">
        <v>1758</v>
      </c>
      <c r="J436" s="130" t="s">
        <v>1803</v>
      </c>
      <c r="K436" s="130" t="str">
        <f>IF('SIG 2021'!$AM439="","",'SIG 2021'!$AM439)</f>
        <v/>
      </c>
      <c r="L436" s="130" t="str">
        <f>IF('SIG 2021'!$AN439="","",'SIG 2021'!$AN439)</f>
        <v/>
      </c>
      <c r="M436" s="130" t="str">
        <f>IF('SIG 2021'!$AO439="","",'SIG 2021'!$AO439)</f>
        <v/>
      </c>
    </row>
    <row r="437" spans="1:13" ht="43.2" x14ac:dyDescent="0.5">
      <c r="A437" s="130">
        <v>3426</v>
      </c>
      <c r="B437" s="130" t="s">
        <v>320</v>
      </c>
      <c r="C437" s="130" t="s">
        <v>1804</v>
      </c>
      <c r="D437" s="130" t="str">
        <f>IF('SIG 2021'!$D440="","",'SIG 2021'!$D440)</f>
        <v>Yes</v>
      </c>
      <c r="E437" s="130" t="str">
        <f>IF('SIG 2021'!$E440="","",'SIG 2021'!$E440)</f>
        <v/>
      </c>
      <c r="F437" s="130" t="str">
        <f>IF('SIG 2021'!$F440="","",'SIG 2021'!F440)</f>
        <v/>
      </c>
      <c r="G437" s="130" t="s">
        <v>1741</v>
      </c>
      <c r="H437" s="130" t="s">
        <v>1805</v>
      </c>
      <c r="I437" s="130" t="s">
        <v>1758</v>
      </c>
      <c r="J437" s="130"/>
      <c r="K437" s="130" t="str">
        <f>IF('SIG 2021'!$AM440="","",'SIG 2021'!$AM440)</f>
        <v/>
      </c>
      <c r="L437" s="130" t="str">
        <f>IF('SIG 2021'!$AN440="","",'SIG 2021'!$AN440)</f>
        <v/>
      </c>
      <c r="M437" s="130" t="str">
        <f>IF('SIG 2021'!$AO440="","",'SIG 2021'!$AO440)</f>
        <v/>
      </c>
    </row>
    <row r="438" spans="1:13" ht="72" x14ac:dyDescent="0.5">
      <c r="A438" s="130">
        <v>4462</v>
      </c>
      <c r="B438" s="130" t="s">
        <v>322</v>
      </c>
      <c r="C438" s="130" t="s">
        <v>1806</v>
      </c>
      <c r="D438" s="130" t="str">
        <f>IF('SIG 2021'!$D441="","",'SIG 2021'!$D441)</f>
        <v>Yes</v>
      </c>
      <c r="E438" s="130" t="str">
        <f>IF('SIG 2021'!$E441="","",'SIG 2021'!$E441)</f>
        <v/>
      </c>
      <c r="F438" s="130" t="str">
        <f>IF('SIG 2021'!$F441="","",'SIG 2021'!F441)</f>
        <v/>
      </c>
      <c r="G438" s="130" t="s">
        <v>1807</v>
      </c>
      <c r="H438" s="130" t="s">
        <v>1808</v>
      </c>
      <c r="I438" s="130"/>
      <c r="J438" s="130" t="s">
        <v>1803</v>
      </c>
      <c r="K438" s="130" t="str">
        <f>IF('SIG 2021'!$AM441="","",'SIG 2021'!$AM441)</f>
        <v/>
      </c>
      <c r="L438" s="130" t="str">
        <f>IF('SIG 2021'!$AN441="","",'SIG 2021'!$AN441)</f>
        <v/>
      </c>
      <c r="M438" s="130" t="str">
        <f>IF('SIG 2021'!$AO441="","",'SIG 2021'!$AO441)</f>
        <v/>
      </c>
    </row>
    <row r="439" spans="1:13" ht="43.2" x14ac:dyDescent="0.5">
      <c r="A439" s="130">
        <v>4463</v>
      </c>
      <c r="B439" s="130" t="s">
        <v>1809</v>
      </c>
      <c r="C439" s="130" t="s">
        <v>1810</v>
      </c>
      <c r="D439" s="130" t="str">
        <f>IF('SIG 2021'!$D442="","",'SIG 2021'!$D442)</f>
        <v>Yes</v>
      </c>
      <c r="E439" s="130" t="str">
        <f>IF('SIG 2021'!$E442="","",'SIG 2021'!$E442)</f>
        <v/>
      </c>
      <c r="F439" s="130" t="str">
        <f>IF('SIG 2021'!$F442="","",'SIG 2021'!F442)</f>
        <v/>
      </c>
      <c r="G439" s="130" t="s">
        <v>1807</v>
      </c>
      <c r="H439" s="130" t="s">
        <v>1808</v>
      </c>
      <c r="I439" s="130" t="s">
        <v>1787</v>
      </c>
      <c r="J439" s="130" t="s">
        <v>646</v>
      </c>
      <c r="K439" s="130" t="str">
        <f>IF('SIG 2021'!$AM442="","",'SIG 2021'!$AM442)</f>
        <v/>
      </c>
      <c r="L439" s="130" t="str">
        <f>IF('SIG 2021'!$AN442="","",'SIG 2021'!$AN442)</f>
        <v/>
      </c>
      <c r="M439" s="130" t="str">
        <f>IF('SIG 2021'!$AO442="","",'SIG 2021'!$AO442)</f>
        <v/>
      </c>
    </row>
    <row r="440" spans="1:13" ht="28.8" x14ac:dyDescent="0.5">
      <c r="A440" s="130">
        <v>4464</v>
      </c>
      <c r="B440" s="130" t="s">
        <v>1811</v>
      </c>
      <c r="C440" s="130" t="s">
        <v>1812</v>
      </c>
      <c r="D440" s="130" t="str">
        <f>IF('SIG 2021'!$D443="","",'SIG 2021'!$D443)</f>
        <v>Yes</v>
      </c>
      <c r="E440" s="130" t="str">
        <f>IF('SIG 2021'!$E443="","",'SIG 2021'!$E443)</f>
        <v/>
      </c>
      <c r="F440" s="130" t="str">
        <f>IF('SIG 2021'!$F443="","",'SIG 2021'!F443)</f>
        <v/>
      </c>
      <c r="G440" s="130" t="s">
        <v>1807</v>
      </c>
      <c r="H440" s="130" t="s">
        <v>1808</v>
      </c>
      <c r="I440" s="130"/>
      <c r="J440" s="130"/>
      <c r="K440" s="130" t="str">
        <f>IF('SIG 2021'!$AM443="","",'SIG 2021'!$AM443)</f>
        <v/>
      </c>
      <c r="L440" s="130" t="str">
        <f>IF('SIG 2021'!$AN443="","",'SIG 2021'!$AN443)</f>
        <v/>
      </c>
      <c r="M440" s="130" t="str">
        <f>IF('SIG 2021'!$AO443="","",'SIG 2021'!$AO443)</f>
        <v/>
      </c>
    </row>
    <row r="441" spans="1:13" ht="28.8" x14ac:dyDescent="0.5">
      <c r="A441" s="130">
        <v>4755</v>
      </c>
      <c r="B441" s="130" t="s">
        <v>1813</v>
      </c>
      <c r="C441" s="130" t="s">
        <v>1814</v>
      </c>
      <c r="D441" s="130" t="str">
        <f>IF('SIG 2021'!$D444="","",'SIG 2021'!$D444)</f>
        <v>Yes</v>
      </c>
      <c r="E441" s="130" t="str">
        <f>IF('SIG 2021'!$E444="","",'SIG 2021'!$E444)</f>
        <v/>
      </c>
      <c r="F441" s="130" t="str">
        <f>IF('SIG 2021'!$F444="","",'SIG 2021'!F444)</f>
        <v/>
      </c>
      <c r="G441" s="130" t="s">
        <v>1412</v>
      </c>
      <c r="H441" s="130" t="s">
        <v>1815</v>
      </c>
      <c r="I441" s="130" t="s">
        <v>1414</v>
      </c>
      <c r="J441" s="130"/>
      <c r="K441" s="130" t="str">
        <f>IF('SIG 2021'!$AM444="","",'SIG 2021'!$AM444)</f>
        <v/>
      </c>
      <c r="L441" s="130" t="str">
        <f>IF('SIG 2021'!$AN444="","",'SIG 2021'!$AN444)</f>
        <v/>
      </c>
      <c r="M441" s="130" t="str">
        <f>IF('SIG 2021'!$AO444="","",'SIG 2021'!$AO444)</f>
        <v/>
      </c>
    </row>
    <row r="442" spans="1:13" ht="43.2" x14ac:dyDescent="0.5">
      <c r="A442" s="130">
        <v>4756</v>
      </c>
      <c r="B442" s="130" t="s">
        <v>1816</v>
      </c>
      <c r="C442" s="130" t="s">
        <v>1817</v>
      </c>
      <c r="D442" s="130" t="str">
        <f>IF('SIG 2021'!$D445="","",'SIG 2021'!$D445)</f>
        <v>Yes</v>
      </c>
      <c r="E442" s="130" t="str">
        <f>IF('SIG 2021'!$E445="","",'SIG 2021'!$E445)</f>
        <v/>
      </c>
      <c r="F442" s="130" t="str">
        <f>IF('SIG 2021'!$F445="","",'SIG 2021'!F445)</f>
        <v/>
      </c>
      <c r="G442" s="130" t="s">
        <v>1412</v>
      </c>
      <c r="H442" s="130" t="s">
        <v>1815</v>
      </c>
      <c r="I442" s="130"/>
      <c r="J442" s="130"/>
      <c r="K442" s="130" t="str">
        <f>IF('SIG 2021'!$AM445="","",'SIG 2021'!$AM445)</f>
        <v/>
      </c>
      <c r="L442" s="130" t="str">
        <f>IF('SIG 2021'!$AN445="","",'SIG 2021'!$AN445)</f>
        <v/>
      </c>
      <c r="M442" s="130" t="str">
        <f>IF('SIG 2021'!$AO445="","",'SIG 2021'!$AO445)</f>
        <v/>
      </c>
    </row>
    <row r="443" spans="1:13" ht="28.8" x14ac:dyDescent="0.5">
      <c r="A443" s="130">
        <v>4466</v>
      </c>
      <c r="B443" s="130" t="s">
        <v>1818</v>
      </c>
      <c r="C443" s="130" t="s">
        <v>1819</v>
      </c>
      <c r="D443" s="130" t="str">
        <f>IF('SIG 2021'!$D446="","",'SIG 2021'!$D446)</f>
        <v>Yes</v>
      </c>
      <c r="E443" s="130" t="str">
        <f>IF('SIG 2021'!$E446="","",'SIG 2021'!$E446)</f>
        <v/>
      </c>
      <c r="F443" s="130" t="str">
        <f>IF('SIG 2021'!$F446="","",'SIG 2021'!F446)</f>
        <v/>
      </c>
      <c r="G443" s="130" t="s">
        <v>1807</v>
      </c>
      <c r="H443" s="130" t="s">
        <v>1820</v>
      </c>
      <c r="I443" s="130"/>
      <c r="J443" s="130"/>
      <c r="K443" s="130" t="str">
        <f>IF('SIG 2021'!$AM446="","",'SIG 2021'!$AM446)</f>
        <v/>
      </c>
      <c r="L443" s="130" t="str">
        <f>IF('SIG 2021'!$AN446="","",'SIG 2021'!$AN446)</f>
        <v/>
      </c>
      <c r="M443" s="130" t="str">
        <f>IF('SIG 2021'!$AO446="","",'SIG 2021'!$AO446)</f>
        <v/>
      </c>
    </row>
    <row r="444" spans="1:13" ht="28.8" x14ac:dyDescent="0.5">
      <c r="A444" s="130">
        <v>4467</v>
      </c>
      <c r="B444" s="130" t="s">
        <v>1821</v>
      </c>
      <c r="C444" s="130" t="s">
        <v>1822</v>
      </c>
      <c r="D444" s="130" t="str">
        <f>IF('SIG 2021'!$D447="","",'SIG 2021'!$D447)</f>
        <v>Yes</v>
      </c>
      <c r="E444" s="130" t="str">
        <f>IF('SIG 2021'!$E447="","",'SIG 2021'!$E447)</f>
        <v/>
      </c>
      <c r="F444" s="130" t="str">
        <f>IF('SIG 2021'!$F447="","",'SIG 2021'!F447)</f>
        <v/>
      </c>
      <c r="G444" s="130" t="s">
        <v>1807</v>
      </c>
      <c r="H444" s="130" t="s">
        <v>1823</v>
      </c>
      <c r="I444" s="130" t="s">
        <v>1263</v>
      </c>
      <c r="J444" s="130"/>
      <c r="K444" s="130" t="str">
        <f>IF('SIG 2021'!$AM447="","",'SIG 2021'!$AM447)</f>
        <v/>
      </c>
      <c r="L444" s="130" t="str">
        <f>IF('SIG 2021'!$AN447="","",'SIG 2021'!$AN447)</f>
        <v/>
      </c>
      <c r="M444" s="130" t="str">
        <f>IF('SIG 2021'!$AO447="","",'SIG 2021'!$AO447)</f>
        <v/>
      </c>
    </row>
    <row r="445" spans="1:13" ht="28.8" x14ac:dyDescent="0.5">
      <c r="A445" s="130">
        <v>4337</v>
      </c>
      <c r="B445" s="130" t="s">
        <v>1824</v>
      </c>
      <c r="C445" s="130" t="s">
        <v>1825</v>
      </c>
      <c r="D445" s="130" t="str">
        <f>IF('SIG 2021'!$D448="","",'SIG 2021'!$D448)</f>
        <v>Yes</v>
      </c>
      <c r="E445" s="130" t="str">
        <f>IF('SIG 2021'!$E448="","",'SIG 2021'!$E448)</f>
        <v/>
      </c>
      <c r="F445" s="130" t="str">
        <f>IF('SIG 2021'!$F448="","",'SIG 2021'!F448)</f>
        <v/>
      </c>
      <c r="G445" s="130" t="s">
        <v>1807</v>
      </c>
      <c r="H445" s="130" t="s">
        <v>1826</v>
      </c>
      <c r="I445" s="130"/>
      <c r="J445" s="130"/>
      <c r="K445" s="130" t="str">
        <f>IF('SIG 2021'!$AM448="","",'SIG 2021'!$AM448)</f>
        <v/>
      </c>
      <c r="L445" s="130" t="str">
        <f>IF('SIG 2021'!$AN448="","",'SIG 2021'!$AN448)</f>
        <v/>
      </c>
      <c r="M445" s="130" t="str">
        <f>IF('SIG 2021'!$AO448="","",'SIG 2021'!$AO448)</f>
        <v/>
      </c>
    </row>
    <row r="446" spans="1:13" ht="28.8" x14ac:dyDescent="0.5">
      <c r="A446" s="130">
        <v>4382</v>
      </c>
      <c r="B446" s="130" t="s">
        <v>1827</v>
      </c>
      <c r="C446" s="130" t="s">
        <v>1828</v>
      </c>
      <c r="D446" s="130" t="str">
        <f>IF('SIG 2021'!$D449="","",'SIG 2021'!$D449)</f>
        <v>Yes</v>
      </c>
      <c r="E446" s="130" t="str">
        <f>IF('SIG 2021'!$E449="","",'SIG 2021'!$E449)</f>
        <v/>
      </c>
      <c r="F446" s="130" t="str">
        <f>IF('SIG 2021'!$F449="","",'SIG 2021'!F449)</f>
        <v/>
      </c>
      <c r="G446" s="130" t="s">
        <v>1807</v>
      </c>
      <c r="H446" s="130" t="s">
        <v>1829</v>
      </c>
      <c r="I446" s="130"/>
      <c r="J446" s="130"/>
      <c r="K446" s="130" t="str">
        <f>IF('SIG 2021'!$AM449="","",'SIG 2021'!$AM449)</f>
        <v/>
      </c>
      <c r="L446" s="130" t="str">
        <f>IF('SIG 2021'!$AN449="","",'SIG 2021'!$AN449)</f>
        <v/>
      </c>
      <c r="M446" s="130" t="str">
        <f>IF('SIG 2021'!$AO449="","",'SIG 2021'!$AO449)</f>
        <v/>
      </c>
    </row>
    <row r="447" spans="1:13" ht="28.8" x14ac:dyDescent="0.5">
      <c r="A447" s="130">
        <v>3654</v>
      </c>
      <c r="B447" s="130" t="s">
        <v>1830</v>
      </c>
      <c r="C447" s="130" t="s">
        <v>1831</v>
      </c>
      <c r="D447" s="130" t="str">
        <f>IF('SIG 2021'!$D450="","",'SIG 2021'!$D450)</f>
        <v>Yes</v>
      </c>
      <c r="E447" s="130" t="str">
        <f>IF('SIG 2021'!$E450="","",'SIG 2021'!$E450)</f>
        <v/>
      </c>
      <c r="F447" s="130" t="str">
        <f>IF('SIG 2021'!$F450="","",'SIG 2021'!F450)</f>
        <v/>
      </c>
      <c r="G447" s="130" t="s">
        <v>1807</v>
      </c>
      <c r="H447" s="130" t="s">
        <v>1832</v>
      </c>
      <c r="I447" s="130"/>
      <c r="J447" s="130"/>
      <c r="K447" s="130" t="str">
        <f>IF('SIG 2021'!$AM450="","",'SIG 2021'!$AM450)</f>
        <v/>
      </c>
      <c r="L447" s="130" t="str">
        <f>IF('SIG 2021'!$AN450="","",'SIG 2021'!$AN450)</f>
        <v/>
      </c>
      <c r="M447" s="130" t="str">
        <f>IF('SIG 2021'!$AO450="","",'SIG 2021'!$AO450)</f>
        <v/>
      </c>
    </row>
    <row r="448" spans="1:13" ht="43.2" x14ac:dyDescent="0.5">
      <c r="A448" s="130">
        <v>4468</v>
      </c>
      <c r="B448" s="130" t="s">
        <v>1833</v>
      </c>
      <c r="C448" s="130" t="s">
        <v>1834</v>
      </c>
      <c r="D448" s="130" t="str">
        <f>IF('SIG 2021'!$D451="","",'SIG 2021'!$D451)</f>
        <v>Yes</v>
      </c>
      <c r="E448" s="130" t="str">
        <f>IF('SIG 2021'!$E451="","",'SIG 2021'!$E451)</f>
        <v/>
      </c>
      <c r="F448" s="130" t="str">
        <f>IF('SIG 2021'!$F451="","",'SIG 2021'!F451)</f>
        <v/>
      </c>
      <c r="G448" s="130" t="s">
        <v>1807</v>
      </c>
      <c r="H448" s="130" t="s">
        <v>1835</v>
      </c>
      <c r="I448" s="130" t="s">
        <v>1651</v>
      </c>
      <c r="J448" s="130"/>
      <c r="K448" s="130" t="str">
        <f>IF('SIG 2021'!$AM451="","",'SIG 2021'!$AM451)</f>
        <v/>
      </c>
      <c r="L448" s="130" t="str">
        <f>IF('SIG 2021'!$AN451="","",'SIG 2021'!$AN451)</f>
        <v/>
      </c>
      <c r="M448" s="130" t="str">
        <f>IF('SIG 2021'!$AO451="","",'SIG 2021'!$AO451)</f>
        <v/>
      </c>
    </row>
    <row r="449" spans="1:13" ht="43.2" x14ac:dyDescent="0.5">
      <c r="A449" s="130">
        <v>4385</v>
      </c>
      <c r="B449" s="130" t="s">
        <v>1836</v>
      </c>
      <c r="C449" s="130" t="s">
        <v>1837</v>
      </c>
      <c r="D449" s="130" t="str">
        <f>IF('SIG 2021'!$D452="","",'SIG 2021'!$D452)</f>
        <v>Yes</v>
      </c>
      <c r="E449" s="130" t="str">
        <f>IF('SIG 2021'!$E452="","",'SIG 2021'!$E452)</f>
        <v/>
      </c>
      <c r="F449" s="130" t="str">
        <f>IF('SIG 2021'!$F452="","",'SIG 2021'!F452)</f>
        <v/>
      </c>
      <c r="G449" s="130" t="s">
        <v>1807</v>
      </c>
      <c r="H449" s="130" t="s">
        <v>1838</v>
      </c>
      <c r="I449" s="130" t="s">
        <v>1758</v>
      </c>
      <c r="J449" s="130"/>
      <c r="K449" s="130" t="str">
        <f>IF('SIG 2021'!$AM452="","",'SIG 2021'!$AM452)</f>
        <v/>
      </c>
      <c r="L449" s="130" t="str">
        <f>IF('SIG 2021'!$AN452="","",'SIG 2021'!$AN452)</f>
        <v/>
      </c>
      <c r="M449" s="130" t="str">
        <f>IF('SIG 2021'!$AO452="","",'SIG 2021'!$AO452)</f>
        <v/>
      </c>
    </row>
    <row r="450" spans="1:13" ht="43.2" x14ac:dyDescent="0.5">
      <c r="A450" s="130">
        <v>3596</v>
      </c>
      <c r="B450" s="130" t="s">
        <v>324</v>
      </c>
      <c r="C450" s="130" t="s">
        <v>1839</v>
      </c>
      <c r="D450" s="130" t="str">
        <f>IF('SIG 2021'!$D453="","",'SIG 2021'!$D453)</f>
        <v>Yes</v>
      </c>
      <c r="E450" s="130" t="str">
        <f>IF('SIG 2021'!$E453="","",'SIG 2021'!$E453)</f>
        <v/>
      </c>
      <c r="F450" s="130" t="str">
        <f>IF('SIG 2021'!$F453="","",'SIG 2021'!F453)</f>
        <v/>
      </c>
      <c r="G450" s="130" t="s">
        <v>1807</v>
      </c>
      <c r="H450" s="130" t="s">
        <v>1840</v>
      </c>
      <c r="I450" s="130"/>
      <c r="J450" s="130"/>
      <c r="K450" s="130" t="str">
        <f>IF('SIG 2021'!$AM453="","",'SIG 2021'!$AM453)</f>
        <v/>
      </c>
      <c r="L450" s="130" t="str">
        <f>IF('SIG 2021'!$AN453="","",'SIG 2021'!$AN453)</f>
        <v/>
      </c>
      <c r="M450" s="130" t="str">
        <f>IF('SIG 2021'!$AO453="","",'SIG 2021'!$AO453)</f>
        <v/>
      </c>
    </row>
    <row r="451" spans="1:13" ht="86.4" x14ac:dyDescent="0.5">
      <c r="A451" s="130">
        <v>2719</v>
      </c>
      <c r="B451" s="130" t="s">
        <v>336</v>
      </c>
      <c r="C451" s="130" t="s">
        <v>1841</v>
      </c>
      <c r="D451" s="130" t="str">
        <f>IF('SIG 2021'!$D454="","",'SIG 2021'!$D454)</f>
        <v>Yes</v>
      </c>
      <c r="E451" s="130" t="str">
        <f>IF('SIG 2021'!$E454="","",'SIG 2021'!$E454)</f>
        <v>Seismic has a documented Business Resiliency program approved by Management.  The program is owned by the Director of Information Security and is reviewed annually.</v>
      </c>
      <c r="F451" s="130" t="str">
        <f>IF('SIG 2021'!$F454="","",'SIG 2021'!F454)</f>
        <v/>
      </c>
      <c r="G451" s="130" t="s">
        <v>1843</v>
      </c>
      <c r="H451" s="130" t="s">
        <v>1844</v>
      </c>
      <c r="I451" s="130" t="s">
        <v>1845</v>
      </c>
      <c r="J451" s="130"/>
      <c r="K451" s="130" t="str">
        <f>IF('SIG 2021'!$AM454="","",'SIG 2021'!$AM454)</f>
        <v/>
      </c>
      <c r="L451" s="130" t="str">
        <f>IF('SIG 2021'!$AN454="","",'SIG 2021'!$AN454)</f>
        <v/>
      </c>
      <c r="M451" s="130" t="str">
        <f>IF('SIG 2021'!$AO454="","",'SIG 2021'!$AO454)</f>
        <v/>
      </c>
    </row>
    <row r="452" spans="1:13" ht="43.2" x14ac:dyDescent="0.5">
      <c r="A452" s="130">
        <v>4014</v>
      </c>
      <c r="B452" s="130" t="s">
        <v>1847</v>
      </c>
      <c r="C452" s="130" t="s">
        <v>1848</v>
      </c>
      <c r="D452" s="130" t="str">
        <f>IF('SIG 2021'!$D455="","",'SIG 2021'!$D455)</f>
        <v>Yes</v>
      </c>
      <c r="E452" s="130" t="str">
        <f>IF('SIG 2021'!$E455="","",'SIG 2021'!$E455)</f>
        <v/>
      </c>
      <c r="F452" s="130" t="str">
        <f>IF('SIG 2021'!$F455="","",'SIG 2021'!F455)</f>
        <v/>
      </c>
      <c r="G452" s="130" t="s">
        <v>1843</v>
      </c>
      <c r="H452" s="130" t="s">
        <v>1844</v>
      </c>
      <c r="I452" s="130" t="s">
        <v>1845</v>
      </c>
      <c r="J452" s="130"/>
      <c r="K452" s="130" t="str">
        <f>IF('SIG 2021'!$AM455="","",'SIG 2021'!$AM455)</f>
        <v/>
      </c>
      <c r="L452" s="130" t="str">
        <f>IF('SIG 2021'!$AN455="","",'SIG 2021'!$AN455)</f>
        <v/>
      </c>
      <c r="M452" s="130" t="str">
        <f>IF('SIG 2021'!$AO455="","",'SIG 2021'!$AO455)</f>
        <v/>
      </c>
    </row>
    <row r="453" spans="1:13" ht="57.6" x14ac:dyDescent="0.5">
      <c r="A453" s="130">
        <v>4026</v>
      </c>
      <c r="B453" s="130" t="s">
        <v>1849</v>
      </c>
      <c r="C453" s="130" t="s">
        <v>1850</v>
      </c>
      <c r="D453" s="130" t="str">
        <f>IF('SIG 2021'!$D456="","",'SIG 2021'!$D456)</f>
        <v>Yes</v>
      </c>
      <c r="E453" s="130" t="str">
        <f>IF('SIG 2021'!$E456="","",'SIG 2021'!$E456)</f>
        <v/>
      </c>
      <c r="F453" s="130" t="str">
        <f>IF('SIG 2021'!$F456="","",'SIG 2021'!F456)</f>
        <v/>
      </c>
      <c r="G453" s="130" t="s">
        <v>1843</v>
      </c>
      <c r="H453" s="130" t="s">
        <v>1851</v>
      </c>
      <c r="I453" s="130" t="s">
        <v>1845</v>
      </c>
      <c r="J453" s="130"/>
      <c r="K453" s="130" t="str">
        <f>IF('SIG 2021'!$AM456="","",'SIG 2021'!$AM456)</f>
        <v/>
      </c>
      <c r="L453" s="130" t="str">
        <f>IF('SIG 2021'!$AN456="","",'SIG 2021'!$AN456)</f>
        <v/>
      </c>
      <c r="M453" s="130" t="str">
        <f>IF('SIG 2021'!$AO456="","",'SIG 2021'!$AO456)</f>
        <v/>
      </c>
    </row>
    <row r="454" spans="1:13" ht="72" x14ac:dyDescent="0.5">
      <c r="A454" s="130">
        <v>2341</v>
      </c>
      <c r="B454" s="130" t="s">
        <v>1852</v>
      </c>
      <c r="C454" s="130" t="s">
        <v>1853</v>
      </c>
      <c r="D454" s="130" t="str">
        <f>IF('SIG 2021'!$D457="","",'SIG 2021'!$D457)</f>
        <v>Yes</v>
      </c>
      <c r="E454" s="130" t="str">
        <f>IF('SIG 2021'!$E457="","",'SIG 2021'!$E457)</f>
        <v/>
      </c>
      <c r="F454" s="130" t="str">
        <f>IF('SIG 2021'!$F457="","",'SIG 2021'!F457)</f>
        <v/>
      </c>
      <c r="G454" s="130" t="s">
        <v>1843</v>
      </c>
      <c r="H454" s="130" t="s">
        <v>1854</v>
      </c>
      <c r="I454" s="130" t="s">
        <v>1845</v>
      </c>
      <c r="J454" s="130" t="s">
        <v>1855</v>
      </c>
      <c r="K454" s="130" t="str">
        <f>IF('SIG 2021'!$AM457="","",'SIG 2021'!$AM457)</f>
        <v/>
      </c>
      <c r="L454" s="130" t="str">
        <f>IF('SIG 2021'!$AN457="","",'SIG 2021'!$AN457)</f>
        <v/>
      </c>
      <c r="M454" s="130" t="str">
        <f>IF('SIG 2021'!$AO457="","",'SIG 2021'!$AO457)</f>
        <v/>
      </c>
    </row>
    <row r="455" spans="1:13" ht="43.2" x14ac:dyDescent="0.5">
      <c r="A455" s="130">
        <v>4018</v>
      </c>
      <c r="B455" s="130" t="s">
        <v>1856</v>
      </c>
      <c r="C455" s="130" t="s">
        <v>1857</v>
      </c>
      <c r="D455" s="130" t="str">
        <f>IF('SIG 2021'!$D458="","",'SIG 2021'!$D458)</f>
        <v>Yes</v>
      </c>
      <c r="E455" s="130" t="str">
        <f>IF('SIG 2021'!$E458="","",'SIG 2021'!$E458)</f>
        <v/>
      </c>
      <c r="F455" s="130" t="str">
        <f>IF('SIG 2021'!$F458="","",'SIG 2021'!F458)</f>
        <v/>
      </c>
      <c r="G455" s="130" t="s">
        <v>1843</v>
      </c>
      <c r="H455" s="130" t="s">
        <v>1854</v>
      </c>
      <c r="I455" s="130" t="s">
        <v>1845</v>
      </c>
      <c r="J455" s="130"/>
      <c r="K455" s="130" t="str">
        <f>IF('SIG 2021'!$AM458="","",'SIG 2021'!$AM458)</f>
        <v/>
      </c>
      <c r="L455" s="130" t="str">
        <f>IF('SIG 2021'!$AN458="","",'SIG 2021'!$AN458)</f>
        <v/>
      </c>
      <c r="M455" s="130" t="str">
        <f>IF('SIG 2021'!$AO458="","",'SIG 2021'!$AO458)</f>
        <v/>
      </c>
    </row>
    <row r="456" spans="1:13" ht="57.6" x14ac:dyDescent="0.5">
      <c r="A456" s="130">
        <v>4019</v>
      </c>
      <c r="B456" s="130" t="s">
        <v>1858</v>
      </c>
      <c r="C456" s="130" t="s">
        <v>1859</v>
      </c>
      <c r="D456" s="130" t="str">
        <f>IF('SIG 2021'!$D459="","",'SIG 2021'!$D459)</f>
        <v>Yes</v>
      </c>
      <c r="E456" s="130" t="str">
        <f>IF('SIG 2021'!$E459="","",'SIG 2021'!$E459)</f>
        <v/>
      </c>
      <c r="F456" s="130" t="str">
        <f>IF('SIG 2021'!$F459="","",'SIG 2021'!F459)</f>
        <v/>
      </c>
      <c r="G456" s="130" t="s">
        <v>1843</v>
      </c>
      <c r="H456" s="130" t="s">
        <v>1854</v>
      </c>
      <c r="I456" s="130" t="s">
        <v>1845</v>
      </c>
      <c r="J456" s="130" t="s">
        <v>1855</v>
      </c>
      <c r="K456" s="130" t="str">
        <f>IF('SIG 2021'!$AM459="","",'SIG 2021'!$AM459)</f>
        <v/>
      </c>
      <c r="L456" s="130" t="str">
        <f>IF('SIG 2021'!$AN459="","",'SIG 2021'!$AN459)</f>
        <v/>
      </c>
      <c r="M456" s="130" t="str">
        <f>IF('SIG 2021'!$AO459="","",'SIG 2021'!$AO459)</f>
        <v/>
      </c>
    </row>
    <row r="457" spans="1:13" ht="57.6" x14ac:dyDescent="0.5">
      <c r="A457" s="130">
        <v>4020</v>
      </c>
      <c r="B457" s="130" t="s">
        <v>1860</v>
      </c>
      <c r="C457" s="130" t="s">
        <v>1861</v>
      </c>
      <c r="D457" s="130" t="str">
        <f>IF('SIG 2021'!$D460="","",'SIG 2021'!$D460)</f>
        <v>Yes</v>
      </c>
      <c r="E457" s="130" t="str">
        <f>IF('SIG 2021'!$E460="","",'SIG 2021'!$E460)</f>
        <v/>
      </c>
      <c r="F457" s="130" t="str">
        <f>IF('SIG 2021'!$F460="","",'SIG 2021'!F460)</f>
        <v/>
      </c>
      <c r="G457" s="130" t="s">
        <v>1843</v>
      </c>
      <c r="H457" s="130" t="s">
        <v>1854</v>
      </c>
      <c r="I457" s="130" t="s">
        <v>1845</v>
      </c>
      <c r="J457" s="130"/>
      <c r="K457" s="130" t="str">
        <f>IF('SIG 2021'!$AM460="","",'SIG 2021'!$AM460)</f>
        <v/>
      </c>
      <c r="L457" s="130" t="str">
        <f>IF('SIG 2021'!$AN460="","",'SIG 2021'!$AN460)</f>
        <v/>
      </c>
      <c r="M457" s="130" t="str">
        <f>IF('SIG 2021'!$AO460="","",'SIG 2021'!$AO460)</f>
        <v/>
      </c>
    </row>
    <row r="458" spans="1:13" ht="43.2" x14ac:dyDescent="0.5">
      <c r="A458" s="130">
        <v>5780</v>
      </c>
      <c r="B458" s="130" t="s">
        <v>1862</v>
      </c>
      <c r="C458" s="130" t="s">
        <v>1863</v>
      </c>
      <c r="D458" s="130" t="str">
        <f>IF('SIG 2021'!$D461="","",'SIG 2021'!$D461)</f>
        <v>Yes</v>
      </c>
      <c r="E458" s="130" t="str">
        <f>IF('SIG 2021'!$E461="","",'SIG 2021'!$E461)</f>
        <v/>
      </c>
      <c r="F458" s="130" t="str">
        <f>IF('SIG 2021'!$F461="","",'SIG 2021'!F461)</f>
        <v/>
      </c>
      <c r="G458" s="130" t="s">
        <v>1843</v>
      </c>
      <c r="H458" s="130" t="s">
        <v>1844</v>
      </c>
      <c r="I458" s="130" t="s">
        <v>1864</v>
      </c>
      <c r="J458" s="130"/>
      <c r="K458" s="130" t="str">
        <f>IF('SIG 2021'!$AM461="","",'SIG 2021'!$AM461)</f>
        <v/>
      </c>
      <c r="L458" s="130" t="str">
        <f>IF('SIG 2021'!$AN461="","",'SIG 2021'!$AN461)</f>
        <v/>
      </c>
      <c r="M458" s="130" t="str">
        <f>IF('SIG 2021'!$AO461="","",'SIG 2021'!$AO461)</f>
        <v/>
      </c>
    </row>
    <row r="459" spans="1:13" ht="28.8" x14ac:dyDescent="0.5">
      <c r="A459" s="130">
        <v>4021</v>
      </c>
      <c r="B459" s="130" t="s">
        <v>1865</v>
      </c>
      <c r="C459" s="130" t="s">
        <v>1866</v>
      </c>
      <c r="D459" s="130" t="str">
        <f>IF('SIG 2021'!$D462="","",'SIG 2021'!$D462)</f>
        <v>Yes</v>
      </c>
      <c r="E459" s="130" t="str">
        <f>IF('SIG 2021'!$E462="","",'SIG 2021'!$E462)</f>
        <v/>
      </c>
      <c r="F459" s="130" t="str">
        <f>IF('SIG 2021'!$F462="","",'SIG 2021'!F462)</f>
        <v/>
      </c>
      <c r="G459" s="130" t="s">
        <v>1843</v>
      </c>
      <c r="H459" s="130" t="s">
        <v>1854</v>
      </c>
      <c r="I459" s="130" t="s">
        <v>1845</v>
      </c>
      <c r="J459" s="130" t="s">
        <v>1855</v>
      </c>
      <c r="K459" s="130" t="str">
        <f>IF('SIG 2021'!$AM462="","",'SIG 2021'!$AM462)</f>
        <v/>
      </c>
      <c r="L459" s="130" t="str">
        <f>IF('SIG 2021'!$AN462="","",'SIG 2021'!$AN462)</f>
        <v/>
      </c>
      <c r="M459" s="130" t="str">
        <f>IF('SIG 2021'!$AO462="","",'SIG 2021'!$AO462)</f>
        <v/>
      </c>
    </row>
    <row r="460" spans="1:13" ht="43.2" x14ac:dyDescent="0.5">
      <c r="A460" s="130">
        <v>4023</v>
      </c>
      <c r="B460" s="130" t="s">
        <v>1867</v>
      </c>
      <c r="C460" s="130" t="s">
        <v>1868</v>
      </c>
      <c r="D460" s="130" t="str">
        <f>IF('SIG 2021'!$D463="","",'SIG 2021'!$D463)</f>
        <v>Yes</v>
      </c>
      <c r="E460" s="130" t="str">
        <f>IF('SIG 2021'!$E463="","",'SIG 2021'!$E463)</f>
        <v/>
      </c>
      <c r="F460" s="130" t="str">
        <f>IF('SIG 2021'!$F463="","",'SIG 2021'!F463)</f>
        <v/>
      </c>
      <c r="G460" s="130" t="s">
        <v>1843</v>
      </c>
      <c r="H460" s="130" t="s">
        <v>1854</v>
      </c>
      <c r="I460" s="130" t="s">
        <v>1845</v>
      </c>
      <c r="J460" s="130"/>
      <c r="K460" s="130" t="str">
        <f>IF('SIG 2021'!$AM463="","",'SIG 2021'!$AM463)</f>
        <v/>
      </c>
      <c r="L460" s="130" t="str">
        <f>IF('SIG 2021'!$AN463="","",'SIG 2021'!$AN463)</f>
        <v/>
      </c>
      <c r="M460" s="130" t="str">
        <f>IF('SIG 2021'!$AO463="","",'SIG 2021'!$AO463)</f>
        <v/>
      </c>
    </row>
    <row r="461" spans="1:13" ht="43.2" x14ac:dyDescent="0.5">
      <c r="A461" s="130">
        <v>5855</v>
      </c>
      <c r="B461" s="130" t="s">
        <v>1869</v>
      </c>
      <c r="C461" s="130" t="s">
        <v>1870</v>
      </c>
      <c r="D461" s="130" t="str">
        <f>IF('SIG 2021'!$D464="","",'SIG 2021'!$D464)</f>
        <v>Yes</v>
      </c>
      <c r="E461" s="130" t="str">
        <f>IF('SIG 2021'!$E464="","",'SIG 2021'!$E464)</f>
        <v/>
      </c>
      <c r="F461" s="130" t="str">
        <f>IF('SIG 2021'!$F464="","",'SIG 2021'!F464)</f>
        <v/>
      </c>
      <c r="G461" s="130" t="s">
        <v>1843</v>
      </c>
      <c r="H461" s="130" t="s">
        <v>1854</v>
      </c>
      <c r="I461" s="130"/>
      <c r="J461" s="130"/>
      <c r="K461" s="130" t="str">
        <f>IF('SIG 2021'!$AM464="","",'SIG 2021'!$AM464)</f>
        <v/>
      </c>
      <c r="L461" s="130" t="str">
        <f>IF('SIG 2021'!$AN464="","",'SIG 2021'!$AN464)</f>
        <v/>
      </c>
      <c r="M461" s="130" t="str">
        <f>IF('SIG 2021'!$AO464="","",'SIG 2021'!$AO464)</f>
        <v/>
      </c>
    </row>
    <row r="462" spans="1:13" ht="43.2" x14ac:dyDescent="0.5">
      <c r="A462" s="130">
        <v>4027</v>
      </c>
      <c r="B462" s="130" t="s">
        <v>1871</v>
      </c>
      <c r="C462" s="130" t="s">
        <v>1872</v>
      </c>
      <c r="D462" s="130" t="str">
        <f>IF('SIG 2021'!$D465="","",'SIG 2021'!$D465)</f>
        <v>Yes</v>
      </c>
      <c r="E462" s="130" t="str">
        <f>IF('SIG 2021'!$E465="","",'SIG 2021'!$E465)</f>
        <v/>
      </c>
      <c r="F462" s="130" t="str">
        <f>IF('SIG 2021'!$F465="","",'SIG 2021'!F465)</f>
        <v/>
      </c>
      <c r="G462" s="130" t="s">
        <v>1843</v>
      </c>
      <c r="H462" s="130" t="s">
        <v>1873</v>
      </c>
      <c r="I462" s="130"/>
      <c r="J462" s="130"/>
      <c r="K462" s="130" t="str">
        <f>IF('SIG 2021'!$AM465="","",'SIG 2021'!$AM465)</f>
        <v/>
      </c>
      <c r="L462" s="130" t="str">
        <f>IF('SIG 2021'!$AN465="","",'SIG 2021'!$AN465)</f>
        <v/>
      </c>
      <c r="M462" s="130" t="str">
        <f>IF('SIG 2021'!$AO465="","",'SIG 2021'!$AO465)</f>
        <v/>
      </c>
    </row>
    <row r="463" spans="1:13" ht="43.2" x14ac:dyDescent="0.5">
      <c r="A463" s="130">
        <v>4028</v>
      </c>
      <c r="B463" s="130" t="s">
        <v>1874</v>
      </c>
      <c r="C463" s="130" t="s">
        <v>1875</v>
      </c>
      <c r="D463" s="130" t="str">
        <f>IF('SIG 2021'!$D466="","",'SIG 2021'!$D466)</f>
        <v>Yes</v>
      </c>
      <c r="E463" s="130" t="str">
        <f>IF('SIG 2021'!$E466="","",'SIG 2021'!$E466)</f>
        <v/>
      </c>
      <c r="F463" s="130" t="str">
        <f>IF('SIG 2021'!$F466="","",'SIG 2021'!F466)</f>
        <v/>
      </c>
      <c r="G463" s="130" t="s">
        <v>1843</v>
      </c>
      <c r="H463" s="130" t="s">
        <v>1873</v>
      </c>
      <c r="I463" s="130"/>
      <c r="J463" s="130"/>
      <c r="K463" s="130" t="str">
        <f>IF('SIG 2021'!$AM466="","",'SIG 2021'!$AM466)</f>
        <v/>
      </c>
      <c r="L463" s="130" t="str">
        <f>IF('SIG 2021'!$AN466="","",'SIG 2021'!$AN466)</f>
        <v/>
      </c>
      <c r="M463" s="130" t="str">
        <f>IF('SIG 2021'!$AO466="","",'SIG 2021'!$AO466)</f>
        <v/>
      </c>
    </row>
    <row r="464" spans="1:13" ht="43.2" x14ac:dyDescent="0.5">
      <c r="A464" s="130">
        <v>4030</v>
      </c>
      <c r="B464" s="130" t="s">
        <v>1876</v>
      </c>
      <c r="C464" s="130" t="s">
        <v>1877</v>
      </c>
      <c r="D464" s="130" t="str">
        <f>IF('SIG 2021'!$D467="","",'SIG 2021'!$D467)</f>
        <v>Yes</v>
      </c>
      <c r="E464" s="130" t="str">
        <f>IF('SIG 2021'!$E467="","",'SIG 2021'!$E467)</f>
        <v/>
      </c>
      <c r="F464" s="130" t="str">
        <f>IF('SIG 2021'!$F467="","",'SIG 2021'!F467)</f>
        <v/>
      </c>
      <c r="G464" s="130" t="s">
        <v>1843</v>
      </c>
      <c r="H464" s="130" t="s">
        <v>1873</v>
      </c>
      <c r="I464" s="130"/>
      <c r="J464" s="130"/>
      <c r="K464" s="130" t="str">
        <f>IF('SIG 2021'!$AM467="","",'SIG 2021'!$AM467)</f>
        <v/>
      </c>
      <c r="L464" s="130" t="str">
        <f>IF('SIG 2021'!$AN467="","",'SIG 2021'!$AN467)</f>
        <v/>
      </c>
      <c r="M464" s="130" t="str">
        <f>IF('SIG 2021'!$AO467="","",'SIG 2021'!$AO467)</f>
        <v/>
      </c>
    </row>
    <row r="465" spans="1:13" ht="43.2" x14ac:dyDescent="0.5">
      <c r="A465" s="130">
        <v>2765</v>
      </c>
      <c r="B465" s="130" t="s">
        <v>1878</v>
      </c>
      <c r="C465" s="130" t="s">
        <v>1879</v>
      </c>
      <c r="D465" s="130" t="str">
        <f>IF('SIG 2021'!$D468="","",'SIG 2021'!$D468)</f>
        <v>Yes</v>
      </c>
      <c r="E465" s="130" t="str">
        <f>IF('SIG 2021'!$E468="","",'SIG 2021'!$E468)</f>
        <v/>
      </c>
      <c r="F465" s="130" t="str">
        <f>IF('SIG 2021'!$F468="","",'SIG 2021'!F468)</f>
        <v/>
      </c>
      <c r="G465" s="130" t="s">
        <v>1843</v>
      </c>
      <c r="H465" s="130" t="s">
        <v>1880</v>
      </c>
      <c r="I465" s="130"/>
      <c r="J465" s="130"/>
      <c r="K465" s="130" t="str">
        <f>IF('SIG 2021'!$AM468="","",'SIG 2021'!$AM468)</f>
        <v/>
      </c>
      <c r="L465" s="130" t="str">
        <f>IF('SIG 2021'!$AN468="","",'SIG 2021'!$AN468)</f>
        <v/>
      </c>
      <c r="M465" s="130" t="str">
        <f>IF('SIG 2021'!$AO468="","",'SIG 2021'!$AO468)</f>
        <v/>
      </c>
    </row>
    <row r="466" spans="1:13" ht="72" x14ac:dyDescent="0.5">
      <c r="A466" s="130">
        <v>2329</v>
      </c>
      <c r="B466" s="130" t="s">
        <v>338</v>
      </c>
      <c r="C466" s="130" t="s">
        <v>1881</v>
      </c>
      <c r="D466" s="130" t="str">
        <f>IF('SIG 2021'!$D469="","",'SIG 2021'!$D469)</f>
        <v>Yes</v>
      </c>
      <c r="E466" s="130" t="str">
        <f>IF('SIG 2021'!$E469="","",'SIG 2021'!$E469)</f>
        <v/>
      </c>
      <c r="F466" s="130" t="str">
        <f>IF('SIG 2021'!$F469="","",'SIG 2021'!F469)</f>
        <v/>
      </c>
      <c r="G466" s="130" t="s">
        <v>1882</v>
      </c>
      <c r="H466" s="130" t="s">
        <v>1883</v>
      </c>
      <c r="I466" s="130"/>
      <c r="J466" s="130" t="s">
        <v>1884</v>
      </c>
      <c r="K466" s="130" t="str">
        <f>IF('SIG 2021'!$AM469="","",'SIG 2021'!$AM469)</f>
        <v/>
      </c>
      <c r="L466" s="130" t="str">
        <f>IF('SIG 2021'!$AN469="","",'SIG 2021'!$AN469)</f>
        <v/>
      </c>
      <c r="M466" s="130" t="str">
        <f>IF('SIG 2021'!$AO469="","",'SIG 2021'!$AO469)</f>
        <v/>
      </c>
    </row>
    <row r="467" spans="1:13" ht="28.8" x14ac:dyDescent="0.5">
      <c r="A467" s="130">
        <v>4035</v>
      </c>
      <c r="B467" s="130" t="s">
        <v>1885</v>
      </c>
      <c r="C467" s="130" t="s">
        <v>1886</v>
      </c>
      <c r="D467" s="130" t="str">
        <f>IF('SIG 2021'!$D470="","",'SIG 2021'!$D470)</f>
        <v>Yes</v>
      </c>
      <c r="E467" s="130" t="str">
        <f>IF('SIG 2021'!$E470="","",'SIG 2021'!$E470)</f>
        <v/>
      </c>
      <c r="F467" s="130" t="str">
        <f>IF('SIG 2021'!$F470="","",'SIG 2021'!F470)</f>
        <v/>
      </c>
      <c r="G467" s="130" t="s">
        <v>1882</v>
      </c>
      <c r="H467" s="130" t="s">
        <v>1883</v>
      </c>
      <c r="I467" s="130" t="s">
        <v>1887</v>
      </c>
      <c r="J467" s="130" t="s">
        <v>1855</v>
      </c>
      <c r="K467" s="130" t="str">
        <f>IF('SIG 2021'!$AM470="","",'SIG 2021'!$AM470)</f>
        <v/>
      </c>
      <c r="L467" s="130" t="str">
        <f>IF('SIG 2021'!$AN470="","",'SIG 2021'!$AN470)</f>
        <v/>
      </c>
      <c r="M467" s="130" t="str">
        <f>IF('SIG 2021'!$AO470="","",'SIG 2021'!$AO470)</f>
        <v/>
      </c>
    </row>
    <row r="468" spans="1:13" ht="72" x14ac:dyDescent="0.5">
      <c r="A468" s="130">
        <v>2334</v>
      </c>
      <c r="B468" s="130" t="s">
        <v>1888</v>
      </c>
      <c r="C468" s="130" t="s">
        <v>1889</v>
      </c>
      <c r="D468" s="130" t="str">
        <f>IF('SIG 2021'!$D471="","",'SIG 2021'!$D471)</f>
        <v>Yes</v>
      </c>
      <c r="E468" s="130" t="str">
        <f>IF('SIG 2021'!$E471="","",'SIG 2021'!$E471)</f>
        <v/>
      </c>
      <c r="F468" s="130" t="str">
        <f>IF('SIG 2021'!$F471="","",'SIG 2021'!F471)</f>
        <v/>
      </c>
      <c r="G468" s="130" t="s">
        <v>1882</v>
      </c>
      <c r="H468" s="130" t="s">
        <v>1883</v>
      </c>
      <c r="I468" s="130" t="s">
        <v>1887</v>
      </c>
      <c r="J468" s="130"/>
      <c r="K468" s="130" t="str">
        <f>IF('SIG 2021'!$AM471="","",'SIG 2021'!$AM471)</f>
        <v/>
      </c>
      <c r="L468" s="130" t="str">
        <f>IF('SIG 2021'!$AN471="","",'SIG 2021'!$AN471)</f>
        <v/>
      </c>
      <c r="M468" s="130" t="str">
        <f>IF('SIG 2021'!$AO471="","",'SIG 2021'!$AO471)</f>
        <v/>
      </c>
    </row>
    <row r="469" spans="1:13" ht="72" x14ac:dyDescent="0.5">
      <c r="A469" s="130">
        <v>2299</v>
      </c>
      <c r="B469" s="130" t="s">
        <v>1890</v>
      </c>
      <c r="C469" s="130" t="s">
        <v>1891</v>
      </c>
      <c r="D469" s="130" t="str">
        <f>IF('SIG 2021'!$D472="","",'SIG 2021'!$D472)</f>
        <v>Yes</v>
      </c>
      <c r="E469" s="130" t="str">
        <f>IF('SIG 2021'!$E472="","",'SIG 2021'!$E472)</f>
        <v/>
      </c>
      <c r="F469" s="130" t="str">
        <f>IF('SIG 2021'!$F472="","",'SIG 2021'!F472)</f>
        <v/>
      </c>
      <c r="G469" s="130" t="s">
        <v>1882</v>
      </c>
      <c r="H469" s="130" t="s">
        <v>1883</v>
      </c>
      <c r="I469" s="130" t="s">
        <v>1887</v>
      </c>
      <c r="J469" s="130"/>
      <c r="K469" s="130" t="str">
        <f>IF('SIG 2021'!$AM472="","",'SIG 2021'!$AM472)</f>
        <v/>
      </c>
      <c r="L469" s="130" t="str">
        <f>IF('SIG 2021'!$AN472="","",'SIG 2021'!$AN472)</f>
        <v/>
      </c>
      <c r="M469" s="130" t="str">
        <f>IF('SIG 2021'!$AO472="","",'SIG 2021'!$AO472)</f>
        <v/>
      </c>
    </row>
    <row r="470" spans="1:13" ht="43.2" x14ac:dyDescent="0.5">
      <c r="A470" s="130">
        <v>5781</v>
      </c>
      <c r="B470" s="130" t="s">
        <v>1892</v>
      </c>
      <c r="C470" s="130" t="s">
        <v>1893</v>
      </c>
      <c r="D470" s="130" t="str">
        <f>IF('SIG 2021'!$D473="","",'SIG 2021'!$D473)</f>
        <v>Yes</v>
      </c>
      <c r="E470" s="130" t="str">
        <f>IF('SIG 2021'!$E473="","",'SIG 2021'!$E473)</f>
        <v/>
      </c>
      <c r="F470" s="130" t="str">
        <f>IF('SIG 2021'!$F473="","",'SIG 2021'!F473)</f>
        <v/>
      </c>
      <c r="G470" s="130" t="s">
        <v>1882</v>
      </c>
      <c r="H470" s="130" t="s">
        <v>1883</v>
      </c>
      <c r="I470" s="130" t="s">
        <v>1887</v>
      </c>
      <c r="J470" s="130"/>
      <c r="K470" s="130" t="str">
        <f>IF('SIG 2021'!$AM473="","",'SIG 2021'!$AM473)</f>
        <v/>
      </c>
      <c r="L470" s="130" t="str">
        <f>IF('SIG 2021'!$AN473="","",'SIG 2021'!$AN473)</f>
        <v/>
      </c>
      <c r="M470" s="130" t="str">
        <f>IF('SIG 2021'!$AO473="","",'SIG 2021'!$AO473)</f>
        <v/>
      </c>
    </row>
    <row r="471" spans="1:13" ht="57.6" x14ac:dyDescent="0.5">
      <c r="A471" s="130">
        <v>2338</v>
      </c>
      <c r="B471" s="130" t="s">
        <v>1894</v>
      </c>
      <c r="C471" s="130" t="s">
        <v>1895</v>
      </c>
      <c r="D471" s="130" t="str">
        <f>IF('SIG 2021'!$D474="","",'SIG 2021'!$D474)</f>
        <v>Yes</v>
      </c>
      <c r="E471" s="130" t="str">
        <f>IF('SIG 2021'!$E474="","",'SIG 2021'!$E474)</f>
        <v/>
      </c>
      <c r="F471" s="130" t="str">
        <f>IF('SIG 2021'!$F474="","",'SIG 2021'!F474)</f>
        <v/>
      </c>
      <c r="G471" s="130" t="s">
        <v>1882</v>
      </c>
      <c r="H471" s="130" t="s">
        <v>1883</v>
      </c>
      <c r="I471" s="130" t="s">
        <v>1887</v>
      </c>
      <c r="J471" s="130"/>
      <c r="K471" s="130" t="str">
        <f>IF('SIG 2021'!$AM474="","",'SIG 2021'!$AM474)</f>
        <v/>
      </c>
      <c r="L471" s="130" t="str">
        <f>IF('SIG 2021'!$AN474="","",'SIG 2021'!$AN474)</f>
        <v/>
      </c>
      <c r="M471" s="130" t="str">
        <f>IF('SIG 2021'!$AO474="","",'SIG 2021'!$AO474)</f>
        <v/>
      </c>
    </row>
    <row r="472" spans="1:13" ht="57.6" x14ac:dyDescent="0.5">
      <c r="A472" s="130">
        <v>2335</v>
      </c>
      <c r="B472" s="130" t="s">
        <v>1896</v>
      </c>
      <c r="C472" s="130" t="s">
        <v>1897</v>
      </c>
      <c r="D472" s="130" t="str">
        <f>IF('SIG 2021'!$D475="","",'SIG 2021'!$D475)</f>
        <v>Yes</v>
      </c>
      <c r="E472" s="130" t="str">
        <f>IF('SIG 2021'!$E475="","",'SIG 2021'!$E475)</f>
        <v/>
      </c>
      <c r="F472" s="130" t="str">
        <f>IF('SIG 2021'!$F475="","",'SIG 2021'!F475)</f>
        <v/>
      </c>
      <c r="G472" s="130" t="s">
        <v>1882</v>
      </c>
      <c r="H472" s="130" t="s">
        <v>1883</v>
      </c>
      <c r="I472" s="130" t="s">
        <v>1887</v>
      </c>
      <c r="J472" s="130"/>
      <c r="K472" s="130" t="str">
        <f>IF('SIG 2021'!$AM475="","",'SIG 2021'!$AM475)</f>
        <v/>
      </c>
      <c r="L472" s="130" t="str">
        <f>IF('SIG 2021'!$AN475="","",'SIG 2021'!$AN475)</f>
        <v/>
      </c>
      <c r="M472" s="130" t="str">
        <f>IF('SIG 2021'!$AO475="","",'SIG 2021'!$AO475)</f>
        <v/>
      </c>
    </row>
    <row r="473" spans="1:13" ht="28.8" x14ac:dyDescent="0.5">
      <c r="A473" s="130">
        <v>2337</v>
      </c>
      <c r="B473" s="130" t="s">
        <v>1898</v>
      </c>
      <c r="C473" s="130" t="s">
        <v>1899</v>
      </c>
      <c r="D473" s="130" t="str">
        <f>IF('SIG 2021'!$D476="","",'SIG 2021'!$D476)</f>
        <v>Yes</v>
      </c>
      <c r="E473" s="130" t="str">
        <f>IF('SIG 2021'!$E476="","",'SIG 2021'!$E476)</f>
        <v/>
      </c>
      <c r="F473" s="130" t="str">
        <f>IF('SIG 2021'!$F476="","",'SIG 2021'!F476)</f>
        <v/>
      </c>
      <c r="G473" s="130" t="s">
        <v>1882</v>
      </c>
      <c r="H473" s="130" t="s">
        <v>1883</v>
      </c>
      <c r="I473" s="130" t="s">
        <v>1887</v>
      </c>
      <c r="J473" s="130"/>
      <c r="K473" s="130" t="str">
        <f>IF('SIG 2021'!$AM476="","",'SIG 2021'!$AM476)</f>
        <v/>
      </c>
      <c r="L473" s="130" t="str">
        <f>IF('SIG 2021'!$AN476="","",'SIG 2021'!$AN476)</f>
        <v/>
      </c>
      <c r="M473" s="130" t="str">
        <f>IF('SIG 2021'!$AO476="","",'SIG 2021'!$AO476)</f>
        <v/>
      </c>
    </row>
    <row r="474" spans="1:13" ht="43.2" x14ac:dyDescent="0.5">
      <c r="A474" s="130">
        <v>2760</v>
      </c>
      <c r="B474" s="130" t="s">
        <v>1900</v>
      </c>
      <c r="C474" s="130" t="s">
        <v>1901</v>
      </c>
      <c r="D474" s="130" t="str">
        <f>IF('SIG 2021'!$D477="","",'SIG 2021'!$D477)</f>
        <v>Yes</v>
      </c>
      <c r="E474" s="130" t="str">
        <f>IF('SIG 2021'!$E477="","",'SIG 2021'!$E477)</f>
        <v/>
      </c>
      <c r="F474" s="130" t="str">
        <f>IF('SIG 2021'!$F477="","",'SIG 2021'!F477)</f>
        <v/>
      </c>
      <c r="G474" s="130" t="s">
        <v>1882</v>
      </c>
      <c r="H474" s="130" t="s">
        <v>1883</v>
      </c>
      <c r="I474" s="130" t="s">
        <v>1887</v>
      </c>
      <c r="J474" s="130" t="s">
        <v>1902</v>
      </c>
      <c r="K474" s="130" t="str">
        <f>IF('SIG 2021'!$AM477="","",'SIG 2021'!$AM477)</f>
        <v/>
      </c>
      <c r="L474" s="130" t="str">
        <f>IF('SIG 2021'!$AN477="","",'SIG 2021'!$AN477)</f>
        <v/>
      </c>
      <c r="M474" s="130" t="str">
        <f>IF('SIG 2021'!$AO477="","",'SIG 2021'!$AO477)</f>
        <v/>
      </c>
    </row>
    <row r="475" spans="1:13" ht="72" x14ac:dyDescent="0.5">
      <c r="A475" s="130">
        <v>5782</v>
      </c>
      <c r="B475" s="130" t="s">
        <v>1903</v>
      </c>
      <c r="C475" s="130" t="s">
        <v>1904</v>
      </c>
      <c r="D475" s="130" t="str">
        <f>IF('SIG 2021'!$D478="","",'SIG 2021'!$D478)</f>
        <v>Yes</v>
      </c>
      <c r="E475" s="130" t="str">
        <f>IF('SIG 2021'!$E478="","",'SIG 2021'!$E478)</f>
        <v/>
      </c>
      <c r="F475" s="130" t="str">
        <f>IF('SIG 2021'!$F478="","",'SIG 2021'!F478)</f>
        <v/>
      </c>
      <c r="G475" s="130" t="s">
        <v>1882</v>
      </c>
      <c r="H475" s="130" t="s">
        <v>1883</v>
      </c>
      <c r="I475" s="130" t="s">
        <v>1887</v>
      </c>
      <c r="J475" s="130"/>
      <c r="K475" s="130" t="str">
        <f>IF('SIG 2021'!$AM478="","",'SIG 2021'!$AM478)</f>
        <v/>
      </c>
      <c r="L475" s="130" t="str">
        <f>IF('SIG 2021'!$AN478="","",'SIG 2021'!$AN478)</f>
        <v/>
      </c>
      <c r="M475" s="130" t="str">
        <f>IF('SIG 2021'!$AO478="","",'SIG 2021'!$AO478)</f>
        <v/>
      </c>
    </row>
    <row r="476" spans="1:13" ht="86.4" x14ac:dyDescent="0.5">
      <c r="A476" s="130">
        <v>5783</v>
      </c>
      <c r="B476" s="130" t="s">
        <v>1905</v>
      </c>
      <c r="C476" s="130" t="s">
        <v>1906</v>
      </c>
      <c r="D476" s="130" t="str">
        <f>IF('SIG 2021'!$D479="","",'SIG 2021'!$D479)</f>
        <v>Yes</v>
      </c>
      <c r="E476" s="130" t="str">
        <f>IF('SIG 2021'!$E479="","",'SIG 2021'!$E479)</f>
        <v/>
      </c>
      <c r="F476" s="130" t="str">
        <f>IF('SIG 2021'!$F479="","",'SIG 2021'!F479)</f>
        <v/>
      </c>
      <c r="G476" s="130" t="s">
        <v>1882</v>
      </c>
      <c r="H476" s="130" t="s">
        <v>1883</v>
      </c>
      <c r="I476" s="130" t="s">
        <v>1887</v>
      </c>
      <c r="J476" s="130" t="s">
        <v>1907</v>
      </c>
      <c r="K476" s="130" t="str">
        <f>IF('SIG 2021'!$AM479="","",'SIG 2021'!$AM479)</f>
        <v/>
      </c>
      <c r="L476" s="130" t="str">
        <f>IF('SIG 2021'!$AN479="","",'SIG 2021'!$AN479)</f>
        <v/>
      </c>
      <c r="M476" s="130" t="str">
        <f>IF('SIG 2021'!$AO479="","",'SIG 2021'!$AO479)</f>
        <v/>
      </c>
    </row>
    <row r="477" spans="1:13" ht="72" x14ac:dyDescent="0.5">
      <c r="A477" s="130">
        <v>5856</v>
      </c>
      <c r="B477" s="130" t="s">
        <v>1908</v>
      </c>
      <c r="C477" s="130" t="s">
        <v>1909</v>
      </c>
      <c r="D477" s="130" t="str">
        <f>IF('SIG 2021'!$D480="","",'SIG 2021'!$D480)</f>
        <v>Yes</v>
      </c>
      <c r="E477" s="130" t="str">
        <f>IF('SIG 2021'!$E480="","",'SIG 2021'!$E480)</f>
        <v/>
      </c>
      <c r="F477" s="130" t="str">
        <f>IF('SIG 2021'!$F480="","",'SIG 2021'!F480)</f>
        <v/>
      </c>
      <c r="G477" s="130" t="s">
        <v>1882</v>
      </c>
      <c r="H477" s="130" t="s">
        <v>1883</v>
      </c>
      <c r="I477" s="130"/>
      <c r="J477" s="130"/>
      <c r="K477" s="130" t="str">
        <f>IF('SIG 2021'!$AM480="","",'SIG 2021'!$AM480)</f>
        <v/>
      </c>
      <c r="L477" s="130" t="str">
        <f>IF('SIG 2021'!$AN480="","",'SIG 2021'!$AN480)</f>
        <v/>
      </c>
      <c r="M477" s="130" t="str">
        <f>IF('SIG 2021'!$AO480="","",'SIG 2021'!$AO480)</f>
        <v/>
      </c>
    </row>
    <row r="478" spans="1:13" ht="43.2" x14ac:dyDescent="0.5">
      <c r="A478" s="130">
        <v>5857</v>
      </c>
      <c r="B478" s="130" t="s">
        <v>1910</v>
      </c>
      <c r="C478" s="130" t="s">
        <v>1911</v>
      </c>
      <c r="D478" s="130" t="str">
        <f>IF('SIG 2021'!$D481="","",'SIG 2021'!$D481)</f>
        <v>Yes</v>
      </c>
      <c r="E478" s="130" t="str">
        <f>IF('SIG 2021'!$E481="","",'SIG 2021'!$E481)</f>
        <v/>
      </c>
      <c r="F478" s="130" t="str">
        <f>IF('SIG 2021'!$F481="","",'SIG 2021'!F481)</f>
        <v/>
      </c>
      <c r="G478" s="130" t="s">
        <v>1882</v>
      </c>
      <c r="H478" s="130" t="s">
        <v>1883</v>
      </c>
      <c r="I478" s="130"/>
      <c r="J478" s="130"/>
      <c r="K478" s="130" t="str">
        <f>IF('SIG 2021'!$AM481="","",'SIG 2021'!$AM481)</f>
        <v/>
      </c>
      <c r="L478" s="130" t="str">
        <f>IF('SIG 2021'!$AN481="","",'SIG 2021'!$AN481)</f>
        <v/>
      </c>
      <c r="M478" s="130" t="str">
        <f>IF('SIG 2021'!$AO481="","",'SIG 2021'!$AO481)</f>
        <v/>
      </c>
    </row>
    <row r="479" spans="1:13" ht="28.8" x14ac:dyDescent="0.5">
      <c r="A479" s="130">
        <v>5858</v>
      </c>
      <c r="B479" s="130" t="s">
        <v>1912</v>
      </c>
      <c r="C479" s="130" t="s">
        <v>1913</v>
      </c>
      <c r="D479" s="130" t="str">
        <f>IF('SIG 2021'!$D482="","",'SIG 2021'!$D482)</f>
        <v>Yes</v>
      </c>
      <c r="E479" s="130" t="str">
        <f>IF('SIG 2021'!$E482="","",'SIG 2021'!$E482)</f>
        <v/>
      </c>
      <c r="F479" s="130" t="str">
        <f>IF('SIG 2021'!$F482="","",'SIG 2021'!F482)</f>
        <v/>
      </c>
      <c r="G479" s="130" t="s">
        <v>1882</v>
      </c>
      <c r="H479" s="130" t="s">
        <v>1883</v>
      </c>
      <c r="I479" s="130" t="s">
        <v>1887</v>
      </c>
      <c r="J479" s="130"/>
      <c r="K479" s="130" t="str">
        <f>IF('SIG 2021'!$AM482="","",'SIG 2021'!$AM482)</f>
        <v/>
      </c>
      <c r="L479" s="130" t="str">
        <f>IF('SIG 2021'!$AN482="","",'SIG 2021'!$AN482)</f>
        <v/>
      </c>
      <c r="M479" s="130" t="str">
        <f>IF('SIG 2021'!$AO482="","",'SIG 2021'!$AO482)</f>
        <v/>
      </c>
    </row>
    <row r="480" spans="1:13" ht="28.8" x14ac:dyDescent="0.5">
      <c r="A480" s="130">
        <v>5859</v>
      </c>
      <c r="B480" s="130" t="s">
        <v>1914</v>
      </c>
      <c r="C480" s="130" t="s">
        <v>1915</v>
      </c>
      <c r="D480" s="130" t="str">
        <f>IF('SIG 2021'!$D483="","",'SIG 2021'!$D483)</f>
        <v>Yes</v>
      </c>
      <c r="E480" s="130" t="str">
        <f>IF('SIG 2021'!$E483="","",'SIG 2021'!$E483)</f>
        <v/>
      </c>
      <c r="F480" s="130" t="str">
        <f>IF('SIG 2021'!$F483="","",'SIG 2021'!F483)</f>
        <v/>
      </c>
      <c r="G480" s="130" t="s">
        <v>1882</v>
      </c>
      <c r="H480" s="130" t="s">
        <v>1883</v>
      </c>
      <c r="I480" s="130" t="s">
        <v>1887</v>
      </c>
      <c r="J480" s="130"/>
      <c r="K480" s="130" t="str">
        <f>IF('SIG 2021'!$AM483="","",'SIG 2021'!$AM483)</f>
        <v/>
      </c>
      <c r="L480" s="130" t="str">
        <f>IF('SIG 2021'!$AN483="","",'SIG 2021'!$AN483)</f>
        <v/>
      </c>
      <c r="M480" s="130" t="str">
        <f>IF('SIG 2021'!$AO483="","",'SIG 2021'!$AO483)</f>
        <v/>
      </c>
    </row>
    <row r="481" spans="1:13" ht="86.4" x14ac:dyDescent="0.5">
      <c r="A481" s="130">
        <v>4038</v>
      </c>
      <c r="B481" s="130" t="s">
        <v>340</v>
      </c>
      <c r="C481" s="130" t="s">
        <v>1916</v>
      </c>
      <c r="D481" s="130" t="str">
        <f>IF('SIG 2021'!$D484="","",'SIG 2021'!$D484)</f>
        <v>Yes</v>
      </c>
      <c r="E481" s="130" t="str">
        <f>IF('SIG 2021'!$E484="","",'SIG 2021'!$E484)</f>
        <v>A formal risk assessment is undertaken to determine the requirements for business continuity planning and disaster recovery processes at least annually by Information Security.</v>
      </c>
      <c r="F481" s="130" t="str">
        <f>IF('SIG 2021'!$F484="","",'SIG 2021'!F484)</f>
        <v/>
      </c>
      <c r="G481" s="130" t="s">
        <v>1882</v>
      </c>
      <c r="H481" s="130" t="s">
        <v>1918</v>
      </c>
      <c r="I481" s="130"/>
      <c r="J481" s="130"/>
      <c r="K481" s="130" t="str">
        <f>IF('SIG 2021'!$AM484="","",'SIG 2021'!$AM484)</f>
        <v/>
      </c>
      <c r="L481" s="130" t="str">
        <f>IF('SIG 2021'!$AN484="","",'SIG 2021'!$AN484)</f>
        <v/>
      </c>
      <c r="M481" s="130" t="str">
        <f>IF('SIG 2021'!$AO484="","",'SIG 2021'!$AO484)</f>
        <v/>
      </c>
    </row>
    <row r="482" spans="1:13" ht="43.2" x14ac:dyDescent="0.5">
      <c r="A482" s="130">
        <v>5784</v>
      </c>
      <c r="B482" s="130" t="s">
        <v>1919</v>
      </c>
      <c r="C482" s="130" t="s">
        <v>1920</v>
      </c>
      <c r="D482" s="130" t="str">
        <f>IF('SIG 2021'!$D485="","",'SIG 2021'!$D485)</f>
        <v>Yes</v>
      </c>
      <c r="E482" s="130" t="str">
        <f>IF('SIG 2021'!$E485="","",'SIG 2021'!$E485)</f>
        <v/>
      </c>
      <c r="F482" s="130" t="str">
        <f>IF('SIG 2021'!$F485="","",'SIG 2021'!F485)</f>
        <v/>
      </c>
      <c r="G482" s="130" t="s">
        <v>1882</v>
      </c>
      <c r="H482" s="130" t="s">
        <v>1918</v>
      </c>
      <c r="I482" s="130"/>
      <c r="J482" s="130"/>
      <c r="K482" s="130" t="str">
        <f>IF('SIG 2021'!$AM485="","",'SIG 2021'!$AM485)</f>
        <v/>
      </c>
      <c r="L482" s="130" t="str">
        <f>IF('SIG 2021'!$AN485="","",'SIG 2021'!$AN485)</f>
        <v/>
      </c>
      <c r="M482" s="130" t="str">
        <f>IF('SIG 2021'!$AO485="","",'SIG 2021'!$AO485)</f>
        <v/>
      </c>
    </row>
    <row r="483" spans="1:13" ht="72" x14ac:dyDescent="0.5">
      <c r="A483" s="130">
        <v>5785</v>
      </c>
      <c r="B483" s="130" t="s">
        <v>1921</v>
      </c>
      <c r="C483" s="130" t="s">
        <v>1922</v>
      </c>
      <c r="D483" s="130" t="str">
        <f>IF('SIG 2021'!$D486="","",'SIG 2021'!$D486)</f>
        <v>Yes</v>
      </c>
      <c r="E483" s="130" t="str">
        <f>IF('SIG 2021'!$E486="","",'SIG 2021'!$E486)</f>
        <v/>
      </c>
      <c r="F483" s="130" t="str">
        <f>IF('SIG 2021'!$F486="","",'SIG 2021'!F486)</f>
        <v/>
      </c>
      <c r="G483" s="130" t="s">
        <v>1882</v>
      </c>
      <c r="H483" s="130" t="s">
        <v>1918</v>
      </c>
      <c r="I483" s="130"/>
      <c r="J483" s="130"/>
      <c r="K483" s="130" t="str">
        <f>IF('SIG 2021'!$AM486="","",'SIG 2021'!$AM486)</f>
        <v/>
      </c>
      <c r="L483" s="130" t="str">
        <f>IF('SIG 2021'!$AN486="","",'SIG 2021'!$AN486)</f>
        <v/>
      </c>
      <c r="M483" s="130" t="str">
        <f>IF('SIG 2021'!$AO486="","",'SIG 2021'!$AO486)</f>
        <v/>
      </c>
    </row>
    <row r="484" spans="1:13" ht="43.2" x14ac:dyDescent="0.5">
      <c r="A484" s="130">
        <v>4040</v>
      </c>
      <c r="B484" s="130" t="s">
        <v>1923</v>
      </c>
      <c r="C484" s="130" t="s">
        <v>1924</v>
      </c>
      <c r="D484" s="130" t="str">
        <f>IF('SIG 2021'!$D487="","",'SIG 2021'!$D487)</f>
        <v>Yes</v>
      </c>
      <c r="E484" s="130" t="str">
        <f>IF('SIG 2021'!$E487="","",'SIG 2021'!$E487)</f>
        <v/>
      </c>
      <c r="F484" s="130" t="str">
        <f>IF('SIG 2021'!$F487="","",'SIG 2021'!F487)</f>
        <v/>
      </c>
      <c r="G484" s="130" t="s">
        <v>1882</v>
      </c>
      <c r="H484" s="130" t="s">
        <v>1918</v>
      </c>
      <c r="I484" s="130"/>
      <c r="J484" s="130"/>
      <c r="K484" s="130" t="str">
        <f>IF('SIG 2021'!$AM487="","",'SIG 2021'!$AM487)</f>
        <v/>
      </c>
      <c r="L484" s="130" t="str">
        <f>IF('SIG 2021'!$AN487="","",'SIG 2021'!$AN487)</f>
        <v/>
      </c>
      <c r="M484" s="130" t="str">
        <f>IF('SIG 2021'!$AO487="","",'SIG 2021'!$AO487)</f>
        <v/>
      </c>
    </row>
    <row r="485" spans="1:13" ht="28.8" x14ac:dyDescent="0.5">
      <c r="A485" s="130">
        <v>4041</v>
      </c>
      <c r="B485" s="130" t="s">
        <v>1925</v>
      </c>
      <c r="C485" s="130" t="s">
        <v>1926</v>
      </c>
      <c r="D485" s="130" t="str">
        <f>IF('SIG 2021'!$D488="","",'SIG 2021'!$D488)</f>
        <v>Yes</v>
      </c>
      <c r="E485" s="130" t="str">
        <f>IF('SIG 2021'!$E488="","",'SIG 2021'!$E488)</f>
        <v/>
      </c>
      <c r="F485" s="130" t="str">
        <f>IF('SIG 2021'!$F488="","",'SIG 2021'!F488)</f>
        <v/>
      </c>
      <c r="G485" s="130" t="s">
        <v>1882</v>
      </c>
      <c r="H485" s="130" t="s">
        <v>1918</v>
      </c>
      <c r="I485" s="130"/>
      <c r="J485" s="130"/>
      <c r="K485" s="130" t="str">
        <f>IF('SIG 2021'!$AM488="","",'SIG 2021'!$AM488)</f>
        <v/>
      </c>
      <c r="L485" s="130" t="str">
        <f>IF('SIG 2021'!$AN488="","",'SIG 2021'!$AN488)</f>
        <v/>
      </c>
      <c r="M485" s="130" t="str">
        <f>IF('SIG 2021'!$AO488="","",'SIG 2021'!$AO488)</f>
        <v/>
      </c>
    </row>
    <row r="486" spans="1:13" ht="28.8" x14ac:dyDescent="0.5">
      <c r="A486" s="130">
        <v>4042</v>
      </c>
      <c r="B486" s="130" t="s">
        <v>342</v>
      </c>
      <c r="C486" s="130" t="s">
        <v>1927</v>
      </c>
      <c r="D486" s="130" t="str">
        <f>IF('SIG 2021'!$D489="","",'SIG 2021'!$D489)</f>
        <v>Yes</v>
      </c>
      <c r="E486" s="130" t="str">
        <f>IF('SIG 2021'!$E489="","",'SIG 2021'!$E489)</f>
        <v/>
      </c>
      <c r="F486" s="130" t="str">
        <f>IF('SIG 2021'!$F489="","",'SIG 2021'!F489)</f>
        <v/>
      </c>
      <c r="G486" s="130" t="s">
        <v>1882</v>
      </c>
      <c r="H486" s="130" t="s">
        <v>1928</v>
      </c>
      <c r="I486" s="130" t="s">
        <v>1929</v>
      </c>
      <c r="J486" s="130"/>
      <c r="K486" s="130" t="str">
        <f>IF('SIG 2021'!$AM489="","",'SIG 2021'!$AM489)</f>
        <v/>
      </c>
      <c r="L486" s="130" t="str">
        <f>IF('SIG 2021'!$AN489="","",'SIG 2021'!$AN489)</f>
        <v/>
      </c>
      <c r="M486" s="130" t="str">
        <f>IF('SIG 2021'!$AO489="","",'SIG 2021'!$AO489)</f>
        <v/>
      </c>
    </row>
    <row r="487" spans="1:13" ht="43.2" x14ac:dyDescent="0.5">
      <c r="A487" s="130">
        <v>4044</v>
      </c>
      <c r="B487" s="130" t="s">
        <v>1930</v>
      </c>
      <c r="C487" s="130" t="s">
        <v>1931</v>
      </c>
      <c r="D487" s="130" t="str">
        <f>IF('SIG 2021'!$D490="","",'SIG 2021'!$D490)</f>
        <v>Yes</v>
      </c>
      <c r="E487" s="130" t="str">
        <f>IF('SIG 2021'!$E490="","",'SIG 2021'!$E490)</f>
        <v/>
      </c>
      <c r="F487" s="130" t="str">
        <f>IF('SIG 2021'!$F490="","",'SIG 2021'!F490)</f>
        <v/>
      </c>
      <c r="G487" s="130" t="s">
        <v>1882</v>
      </c>
      <c r="H487" s="130" t="s">
        <v>1928</v>
      </c>
      <c r="I487" s="130"/>
      <c r="J487" s="130"/>
      <c r="K487" s="130" t="str">
        <f>IF('SIG 2021'!$AM490="","",'SIG 2021'!$AM490)</f>
        <v/>
      </c>
      <c r="L487" s="130" t="str">
        <f>IF('SIG 2021'!$AN490="","",'SIG 2021'!$AN490)</f>
        <v/>
      </c>
      <c r="M487" s="130" t="str">
        <f>IF('SIG 2021'!$AO490="","",'SIG 2021'!$AO490)</f>
        <v/>
      </c>
    </row>
    <row r="488" spans="1:13" ht="28.8" x14ac:dyDescent="0.5">
      <c r="A488" s="130">
        <v>4045</v>
      </c>
      <c r="B488" s="130" t="s">
        <v>1932</v>
      </c>
      <c r="C488" s="130" t="s">
        <v>1933</v>
      </c>
      <c r="D488" s="130" t="str">
        <f>IF('SIG 2021'!$D491="","",'SIG 2021'!$D491)</f>
        <v>Yes</v>
      </c>
      <c r="E488" s="130" t="str">
        <f>IF('SIG 2021'!$E491="","",'SIG 2021'!$E491)</f>
        <v/>
      </c>
      <c r="F488" s="130" t="str">
        <f>IF('SIG 2021'!$F491="","",'SIG 2021'!F491)</f>
        <v/>
      </c>
      <c r="G488" s="130" t="s">
        <v>1882</v>
      </c>
      <c r="H488" s="130" t="s">
        <v>1928</v>
      </c>
      <c r="I488" s="130"/>
      <c r="J488" s="130"/>
      <c r="K488" s="130" t="str">
        <f>IF('SIG 2021'!$AM491="","",'SIG 2021'!$AM491)</f>
        <v/>
      </c>
      <c r="L488" s="130" t="str">
        <f>IF('SIG 2021'!$AN491="","",'SIG 2021'!$AN491)</f>
        <v/>
      </c>
      <c r="M488" s="130" t="str">
        <f>IF('SIG 2021'!$AO491="","",'SIG 2021'!$AO491)</f>
        <v/>
      </c>
    </row>
    <row r="489" spans="1:13" ht="43.2" x14ac:dyDescent="0.5">
      <c r="A489" s="130">
        <v>4046</v>
      </c>
      <c r="B489" s="130" t="s">
        <v>1934</v>
      </c>
      <c r="C489" s="130" t="s">
        <v>1935</v>
      </c>
      <c r="D489" s="130" t="str">
        <f>IF('SIG 2021'!$D492="","",'SIG 2021'!$D492)</f>
        <v>Yes</v>
      </c>
      <c r="E489" s="130" t="str">
        <f>IF('SIG 2021'!$E492="","",'SIG 2021'!$E492)</f>
        <v/>
      </c>
      <c r="F489" s="130" t="str">
        <f>IF('SIG 2021'!$F492="","",'SIG 2021'!F492)</f>
        <v/>
      </c>
      <c r="G489" s="130" t="s">
        <v>1882</v>
      </c>
      <c r="H489" s="130" t="s">
        <v>1928</v>
      </c>
      <c r="I489" s="130"/>
      <c r="J489" s="130"/>
      <c r="K489" s="130" t="str">
        <f>IF('SIG 2021'!$AM492="","",'SIG 2021'!$AM492)</f>
        <v/>
      </c>
      <c r="L489" s="130" t="str">
        <f>IF('SIG 2021'!$AN492="","",'SIG 2021'!$AN492)</f>
        <v/>
      </c>
      <c r="M489" s="130" t="str">
        <f>IF('SIG 2021'!$AO492="","",'SIG 2021'!$AO492)</f>
        <v/>
      </c>
    </row>
    <row r="490" spans="1:13" ht="43.2" x14ac:dyDescent="0.5">
      <c r="A490" s="130">
        <v>4047</v>
      </c>
      <c r="B490" s="130" t="s">
        <v>1936</v>
      </c>
      <c r="C490" s="130" t="s">
        <v>1937</v>
      </c>
      <c r="D490" s="130" t="str">
        <f>IF('SIG 2021'!$D493="","",'SIG 2021'!$D493)</f>
        <v>Yes</v>
      </c>
      <c r="E490" s="130" t="str">
        <f>IF('SIG 2021'!$E493="","",'SIG 2021'!$E493)</f>
        <v/>
      </c>
      <c r="F490" s="130" t="str">
        <f>IF('SIG 2021'!$F493="","",'SIG 2021'!F493)</f>
        <v/>
      </c>
      <c r="G490" s="130" t="s">
        <v>1882</v>
      </c>
      <c r="H490" s="130" t="s">
        <v>1928</v>
      </c>
      <c r="I490" s="130" t="s">
        <v>1929</v>
      </c>
      <c r="J490" s="130"/>
      <c r="K490" s="130" t="str">
        <f>IF('SIG 2021'!$AM493="","",'SIG 2021'!$AM493)</f>
        <v/>
      </c>
      <c r="L490" s="130" t="str">
        <f>IF('SIG 2021'!$AN493="","",'SIG 2021'!$AN493)</f>
        <v/>
      </c>
      <c r="M490" s="130" t="str">
        <f>IF('SIG 2021'!$AO493="","",'SIG 2021'!$AO493)</f>
        <v/>
      </c>
    </row>
    <row r="491" spans="1:13" ht="43.2" x14ac:dyDescent="0.5">
      <c r="A491" s="130">
        <v>4048</v>
      </c>
      <c r="B491" s="130" t="s">
        <v>1938</v>
      </c>
      <c r="C491" s="130" t="s">
        <v>1939</v>
      </c>
      <c r="D491" s="130" t="str">
        <f>IF('SIG 2021'!$D494="","",'SIG 2021'!$D494)</f>
        <v>Yes</v>
      </c>
      <c r="E491" s="130" t="str">
        <f>IF('SIG 2021'!$E494="","",'SIG 2021'!$E494)</f>
        <v/>
      </c>
      <c r="F491" s="130" t="str">
        <f>IF('SIG 2021'!$F494="","",'SIG 2021'!F494)</f>
        <v/>
      </c>
      <c r="G491" s="130" t="s">
        <v>1882</v>
      </c>
      <c r="H491" s="130" t="s">
        <v>1928</v>
      </c>
      <c r="I491" s="130" t="s">
        <v>1929</v>
      </c>
      <c r="J491" s="130"/>
      <c r="K491" s="130" t="str">
        <f>IF('SIG 2021'!$AM494="","",'SIG 2021'!$AM494)</f>
        <v/>
      </c>
      <c r="L491" s="130" t="str">
        <f>IF('SIG 2021'!$AN494="","",'SIG 2021'!$AN494)</f>
        <v/>
      </c>
      <c r="M491" s="130" t="str">
        <f>IF('SIG 2021'!$AO494="","",'SIG 2021'!$AO494)</f>
        <v/>
      </c>
    </row>
    <row r="492" spans="1:13" ht="57.6" x14ac:dyDescent="0.5">
      <c r="A492" s="130">
        <v>5861</v>
      </c>
      <c r="B492" s="130" t="s">
        <v>1940</v>
      </c>
      <c r="C492" s="130" t="s">
        <v>1941</v>
      </c>
      <c r="D492" s="130" t="str">
        <f>IF('SIG 2021'!$D495="","",'SIG 2021'!$D495)</f>
        <v>Yes</v>
      </c>
      <c r="E492" s="130" t="str">
        <f>IF('SIG 2021'!$E495="","",'SIG 2021'!$E495)</f>
        <v/>
      </c>
      <c r="F492" s="130" t="str">
        <f>IF('SIG 2021'!$F495="","",'SIG 2021'!F495)</f>
        <v/>
      </c>
      <c r="G492" s="130" t="s">
        <v>1882</v>
      </c>
      <c r="H492" s="130" t="s">
        <v>1928</v>
      </c>
      <c r="I492" s="130"/>
      <c r="J492" s="130"/>
      <c r="K492" s="130" t="str">
        <f>IF('SIG 2021'!$AM495="","",'SIG 2021'!$AM495)</f>
        <v/>
      </c>
      <c r="L492" s="130" t="str">
        <f>IF('SIG 2021'!$AN495="","",'SIG 2021'!$AN495)</f>
        <v/>
      </c>
      <c r="M492" s="130" t="str">
        <f>IF('SIG 2021'!$AO495="","",'SIG 2021'!$AO495)</f>
        <v/>
      </c>
    </row>
    <row r="493" spans="1:13" ht="172.8" x14ac:dyDescent="0.5">
      <c r="A493" s="130">
        <v>4049</v>
      </c>
      <c r="B493" s="130" t="s">
        <v>344</v>
      </c>
      <c r="C493" s="130" t="s">
        <v>1942</v>
      </c>
      <c r="D493" s="130" t="str">
        <f>IF('SIG 2021'!$D496="","",'SIG 2021'!$D496)</f>
        <v>Yes</v>
      </c>
      <c r="E493" s="130" t="str">
        <f>IF('SIG 2021'!$E496="","",'SIG 2021'!$E496)</f>
        <v xml:space="preserve">Seismic's disaster recovery plan covers all essential and critical infrastructure elements, systems, and networks, in accordance with key business activities. 
Seismic states the following time objectives:
RTO &lt; 8 hours
RPO &lt; 8 hours
</v>
      </c>
      <c r="F493" s="130" t="str">
        <f>IF('SIG 2021'!$F496="","",'SIG 2021'!F496)</f>
        <v/>
      </c>
      <c r="G493" s="130" t="s">
        <v>1882</v>
      </c>
      <c r="H493" s="130" t="s">
        <v>1943</v>
      </c>
      <c r="I493" s="130"/>
      <c r="J493" s="130"/>
      <c r="K493" s="130" t="str">
        <f>IF('SIG 2021'!$AM496="","",'SIG 2021'!$AM496)</f>
        <v/>
      </c>
      <c r="L493" s="130" t="str">
        <f>IF('SIG 2021'!$AN496="","",'SIG 2021'!$AN496)</f>
        <v/>
      </c>
      <c r="M493" s="130" t="str">
        <f>IF('SIG 2021'!$AO496="","",'SIG 2021'!$AO496)</f>
        <v/>
      </c>
    </row>
    <row r="494" spans="1:13" ht="72" x14ac:dyDescent="0.5">
      <c r="A494" s="130">
        <v>4050</v>
      </c>
      <c r="B494" s="130" t="s">
        <v>1944</v>
      </c>
      <c r="C494" s="130" t="s">
        <v>1945</v>
      </c>
      <c r="D494" s="130" t="str">
        <f>IF('SIG 2021'!$D497="","",'SIG 2021'!$D497)</f>
        <v>Yes</v>
      </c>
      <c r="E494" s="130" t="str">
        <f>IF('SIG 2021'!$E497="","",'SIG 2021'!$E497)</f>
        <v/>
      </c>
      <c r="F494" s="130" t="str">
        <f>IF('SIG 2021'!$F497="","",'SIG 2021'!F497)</f>
        <v/>
      </c>
      <c r="G494" s="130" t="s">
        <v>1882</v>
      </c>
      <c r="H494" s="130" t="s">
        <v>1943</v>
      </c>
      <c r="I494" s="130"/>
      <c r="J494" s="130"/>
      <c r="K494" s="130" t="str">
        <f>IF('SIG 2021'!$AM497="","",'SIG 2021'!$AM497)</f>
        <v/>
      </c>
      <c r="L494" s="130" t="str">
        <f>IF('SIG 2021'!$AN497="","",'SIG 2021'!$AN497)</f>
        <v/>
      </c>
      <c r="M494" s="130" t="str">
        <f>IF('SIG 2021'!$AO497="","",'SIG 2021'!$AO497)</f>
        <v/>
      </c>
    </row>
    <row r="495" spans="1:13" ht="43.2" x14ac:dyDescent="0.5">
      <c r="A495" s="130">
        <v>5862</v>
      </c>
      <c r="B495" s="130" t="s">
        <v>1946</v>
      </c>
      <c r="C495" s="130" t="s">
        <v>1947</v>
      </c>
      <c r="D495" s="130" t="str">
        <f>IF('SIG 2021'!$D498="","",'SIG 2021'!$D498)</f>
        <v>Yes</v>
      </c>
      <c r="E495" s="130" t="str">
        <f>IF('SIG 2021'!$E498="","",'SIG 2021'!$E498)</f>
        <v/>
      </c>
      <c r="F495" s="130" t="str">
        <f>IF('SIG 2021'!$F498="","",'SIG 2021'!F498)</f>
        <v/>
      </c>
      <c r="G495" s="130" t="s">
        <v>1882</v>
      </c>
      <c r="H495" s="130" t="s">
        <v>1943</v>
      </c>
      <c r="I495" s="130"/>
      <c r="J495" s="130"/>
      <c r="K495" s="130" t="str">
        <f>IF('SIG 2021'!$AM498="","",'SIG 2021'!$AM498)</f>
        <v/>
      </c>
      <c r="L495" s="130" t="str">
        <f>IF('SIG 2021'!$AN498="","",'SIG 2021'!$AN498)</f>
        <v/>
      </c>
      <c r="M495" s="130" t="str">
        <f>IF('SIG 2021'!$AO498="","",'SIG 2021'!$AO498)</f>
        <v/>
      </c>
    </row>
    <row r="496" spans="1:13" ht="57.6" x14ac:dyDescent="0.5">
      <c r="A496" s="130">
        <v>4052</v>
      </c>
      <c r="B496" s="130" t="s">
        <v>1948</v>
      </c>
      <c r="C496" s="130" t="s">
        <v>1949</v>
      </c>
      <c r="D496" s="130" t="str">
        <f>IF('SIG 2021'!$D499="","",'SIG 2021'!$D499)</f>
        <v>Yes</v>
      </c>
      <c r="E496" s="130" t="str">
        <f>IF('SIG 2021'!$E499="","",'SIG 2021'!$E499)</f>
        <v/>
      </c>
      <c r="F496" s="130" t="str">
        <f>IF('SIG 2021'!$F499="","",'SIG 2021'!F499)</f>
        <v/>
      </c>
      <c r="G496" s="130" t="s">
        <v>1882</v>
      </c>
      <c r="H496" s="130" t="s">
        <v>1943</v>
      </c>
      <c r="I496" s="130"/>
      <c r="J496" s="130"/>
      <c r="K496" s="130" t="str">
        <f>IF('SIG 2021'!$AM499="","",'SIG 2021'!$AM499)</f>
        <v/>
      </c>
      <c r="L496" s="130" t="str">
        <f>IF('SIG 2021'!$AN499="","",'SIG 2021'!$AN499)</f>
        <v/>
      </c>
      <c r="M496" s="130" t="str">
        <f>IF('SIG 2021'!$AO499="","",'SIG 2021'!$AO499)</f>
        <v/>
      </c>
    </row>
    <row r="497" spans="1:13" ht="57.6" x14ac:dyDescent="0.5">
      <c r="A497" s="130">
        <v>4053</v>
      </c>
      <c r="B497" s="130" t="s">
        <v>1950</v>
      </c>
      <c r="C497" s="130" t="s">
        <v>1951</v>
      </c>
      <c r="D497" s="130" t="str">
        <f>IF('SIG 2021'!$D500="","",'SIG 2021'!$D500)</f>
        <v>Yes</v>
      </c>
      <c r="E497" s="130" t="str">
        <f>IF('SIG 2021'!$E500="","",'SIG 2021'!$E500)</f>
        <v/>
      </c>
      <c r="F497" s="130" t="str">
        <f>IF('SIG 2021'!$F500="","",'SIG 2021'!F500)</f>
        <v/>
      </c>
      <c r="G497" s="130" t="s">
        <v>1882</v>
      </c>
      <c r="H497" s="130" t="s">
        <v>1943</v>
      </c>
      <c r="I497" s="130"/>
      <c r="J497" s="130"/>
      <c r="K497" s="130" t="str">
        <f>IF('SIG 2021'!$AM500="","",'SIG 2021'!$AM500)</f>
        <v/>
      </c>
      <c r="L497" s="130" t="str">
        <f>IF('SIG 2021'!$AN500="","",'SIG 2021'!$AN500)</f>
        <v/>
      </c>
      <c r="M497" s="130" t="str">
        <f>IF('SIG 2021'!$AO500="","",'SIG 2021'!$AO500)</f>
        <v/>
      </c>
    </row>
    <row r="498" spans="1:13" ht="43.2" x14ac:dyDescent="0.5">
      <c r="A498" s="130">
        <v>4054</v>
      </c>
      <c r="B498" s="130" t="s">
        <v>346</v>
      </c>
      <c r="C498" s="130" t="s">
        <v>1952</v>
      </c>
      <c r="D498" s="130" t="str">
        <f>IF('SIG 2021'!$D501="","",'SIG 2021'!$D501)</f>
        <v>Yes</v>
      </c>
      <c r="E498" s="130" t="str">
        <f>IF('SIG 2021'!$E501="","",'SIG 2021'!$E501)</f>
        <v/>
      </c>
      <c r="F498" s="130" t="str">
        <f>IF('SIG 2021'!$F501="","",'SIG 2021'!F501)</f>
        <v/>
      </c>
      <c r="G498" s="130" t="s">
        <v>1882</v>
      </c>
      <c r="H498" s="130" t="s">
        <v>1953</v>
      </c>
      <c r="I498" s="130"/>
      <c r="J498" s="130" t="s">
        <v>1954</v>
      </c>
      <c r="K498" s="130" t="str">
        <f>IF('SIG 2021'!$AM501="","",'SIG 2021'!$AM501)</f>
        <v/>
      </c>
      <c r="L498" s="130" t="str">
        <f>IF('SIG 2021'!$AN501="","",'SIG 2021'!$AN501)</f>
        <v/>
      </c>
      <c r="M498" s="130" t="str">
        <f>IF('SIG 2021'!$AO501="","",'SIG 2021'!$AO501)</f>
        <v/>
      </c>
    </row>
    <row r="499" spans="1:13" ht="72" x14ac:dyDescent="0.5">
      <c r="A499" s="130">
        <v>2342</v>
      </c>
      <c r="B499" s="130" t="s">
        <v>1955</v>
      </c>
      <c r="C499" s="130" t="s">
        <v>1956</v>
      </c>
      <c r="D499" s="130" t="str">
        <f>IF('SIG 2021'!$D502="","",'SIG 2021'!$D502)</f>
        <v>Yes</v>
      </c>
      <c r="E499" s="130" t="str">
        <f>IF('SIG 2021'!$E502="","",'SIG 2021'!$E502)</f>
        <v/>
      </c>
      <c r="F499" s="130" t="str">
        <f>IF('SIG 2021'!$F502="","",'SIG 2021'!F502)</f>
        <v/>
      </c>
      <c r="G499" s="130" t="s">
        <v>1882</v>
      </c>
      <c r="H499" s="130" t="s">
        <v>1953</v>
      </c>
      <c r="I499" s="130" t="s">
        <v>1929</v>
      </c>
      <c r="J499" s="130" t="s">
        <v>1743</v>
      </c>
      <c r="K499" s="130" t="str">
        <f>IF('SIG 2021'!$AM502="","",'SIG 2021'!$AM502)</f>
        <v/>
      </c>
      <c r="L499" s="130" t="str">
        <f>IF('SIG 2021'!$AN502="","",'SIG 2021'!$AN502)</f>
        <v/>
      </c>
      <c r="M499" s="130" t="str">
        <f>IF('SIG 2021'!$AO502="","",'SIG 2021'!$AO502)</f>
        <v/>
      </c>
    </row>
    <row r="500" spans="1:13" ht="57.6" x14ac:dyDescent="0.5">
      <c r="A500" s="130">
        <v>2289</v>
      </c>
      <c r="B500" s="130" t="s">
        <v>1957</v>
      </c>
      <c r="C500" s="130" t="s">
        <v>1958</v>
      </c>
      <c r="D500" s="130" t="str">
        <f>IF('SIG 2021'!$D503="","",'SIG 2021'!$D503)</f>
        <v>Yes</v>
      </c>
      <c r="E500" s="130" t="str">
        <f>IF('SIG 2021'!$E503="","",'SIG 2021'!$E503)</f>
        <v/>
      </c>
      <c r="F500" s="130" t="str">
        <f>IF('SIG 2021'!$F503="","",'SIG 2021'!F503)</f>
        <v/>
      </c>
      <c r="G500" s="130" t="s">
        <v>1882</v>
      </c>
      <c r="H500" s="130" t="s">
        <v>1953</v>
      </c>
      <c r="I500" s="130" t="s">
        <v>1929</v>
      </c>
      <c r="J500" s="130" t="s">
        <v>1743</v>
      </c>
      <c r="K500" s="130" t="str">
        <f>IF('SIG 2021'!$AM503="","",'SIG 2021'!$AM503)</f>
        <v/>
      </c>
      <c r="L500" s="130" t="str">
        <f>IF('SIG 2021'!$AN503="","",'SIG 2021'!$AN503)</f>
        <v/>
      </c>
      <c r="M500" s="130" t="str">
        <f>IF('SIG 2021'!$AO503="","",'SIG 2021'!$AO503)</f>
        <v/>
      </c>
    </row>
    <row r="501" spans="1:13" ht="57.6" x14ac:dyDescent="0.5">
      <c r="A501" s="130">
        <v>2294</v>
      </c>
      <c r="B501" s="130" t="s">
        <v>1959</v>
      </c>
      <c r="C501" s="130" t="s">
        <v>1960</v>
      </c>
      <c r="D501" s="130" t="str">
        <f>IF('SIG 2021'!$D504="","",'SIG 2021'!$D504)</f>
        <v>Yes</v>
      </c>
      <c r="E501" s="130" t="str">
        <f>IF('SIG 2021'!$E504="","",'SIG 2021'!$E504)</f>
        <v/>
      </c>
      <c r="F501" s="130" t="str">
        <f>IF('SIG 2021'!$F504="","",'SIG 2021'!F504)</f>
        <v/>
      </c>
      <c r="G501" s="130" t="s">
        <v>1882</v>
      </c>
      <c r="H501" s="130" t="s">
        <v>1953</v>
      </c>
      <c r="I501" s="130" t="s">
        <v>1929</v>
      </c>
      <c r="J501" s="130" t="s">
        <v>1743</v>
      </c>
      <c r="K501" s="130" t="str">
        <f>IF('SIG 2021'!$AM504="","",'SIG 2021'!$AM504)</f>
        <v/>
      </c>
      <c r="L501" s="130" t="str">
        <f>IF('SIG 2021'!$AN504="","",'SIG 2021'!$AN504)</f>
        <v/>
      </c>
      <c r="M501" s="130" t="str">
        <f>IF('SIG 2021'!$AO504="","",'SIG 2021'!$AO504)</f>
        <v/>
      </c>
    </row>
    <row r="502" spans="1:13" ht="43.2" x14ac:dyDescent="0.5">
      <c r="A502" s="130">
        <v>2303</v>
      </c>
      <c r="B502" s="130" t="s">
        <v>1961</v>
      </c>
      <c r="C502" s="130" t="s">
        <v>1962</v>
      </c>
      <c r="D502" s="130" t="str">
        <f>IF('SIG 2021'!$D505="","",'SIG 2021'!$D505)</f>
        <v>Yes</v>
      </c>
      <c r="E502" s="130" t="str">
        <f>IF('SIG 2021'!$E505="","",'SIG 2021'!$E505)</f>
        <v/>
      </c>
      <c r="F502" s="130" t="str">
        <f>IF('SIG 2021'!$F505="","",'SIG 2021'!F505)</f>
        <v/>
      </c>
      <c r="G502" s="130" t="s">
        <v>1882</v>
      </c>
      <c r="H502" s="130" t="s">
        <v>1953</v>
      </c>
      <c r="I502" s="130" t="s">
        <v>1929</v>
      </c>
      <c r="J502" s="130" t="s">
        <v>1954</v>
      </c>
      <c r="K502" s="130" t="str">
        <f>IF('SIG 2021'!$AM505="","",'SIG 2021'!$AM505)</f>
        <v/>
      </c>
      <c r="L502" s="130" t="str">
        <f>IF('SIG 2021'!$AN505="","",'SIG 2021'!$AN505)</f>
        <v/>
      </c>
      <c r="M502" s="130" t="str">
        <f>IF('SIG 2021'!$AO505="","",'SIG 2021'!$AO505)</f>
        <v/>
      </c>
    </row>
    <row r="503" spans="1:13" ht="72" x14ac:dyDescent="0.5">
      <c r="A503" s="130">
        <v>2728</v>
      </c>
      <c r="B503" s="130" t="s">
        <v>1963</v>
      </c>
      <c r="C503" s="130" t="s">
        <v>1964</v>
      </c>
      <c r="D503" s="130" t="str">
        <f>IF('SIG 2021'!$D506="","",'SIG 2021'!$D506)</f>
        <v>Yes</v>
      </c>
      <c r="E503" s="130" t="str">
        <f>IF('SIG 2021'!$E506="","",'SIG 2021'!$E506)</f>
        <v/>
      </c>
      <c r="F503" s="130" t="str">
        <f>IF('SIG 2021'!$F506="","",'SIG 2021'!F506)</f>
        <v/>
      </c>
      <c r="G503" s="130" t="s">
        <v>1882</v>
      </c>
      <c r="H503" s="130" t="s">
        <v>1953</v>
      </c>
      <c r="I503" s="130" t="s">
        <v>1929</v>
      </c>
      <c r="J503" s="130" t="s">
        <v>1743</v>
      </c>
      <c r="K503" s="130" t="str">
        <f>IF('SIG 2021'!$AM506="","",'SIG 2021'!$AM506)</f>
        <v/>
      </c>
      <c r="L503" s="130" t="str">
        <f>IF('SIG 2021'!$AN506="","",'SIG 2021'!$AN506)</f>
        <v/>
      </c>
      <c r="M503" s="130" t="str">
        <f>IF('SIG 2021'!$AO506="","",'SIG 2021'!$AO506)</f>
        <v/>
      </c>
    </row>
    <row r="504" spans="1:13" ht="43.2" x14ac:dyDescent="0.5">
      <c r="A504" s="130">
        <v>5863</v>
      </c>
      <c r="B504" s="130" t="s">
        <v>1965</v>
      </c>
      <c r="C504" s="130" t="s">
        <v>1966</v>
      </c>
      <c r="D504" s="130" t="str">
        <f>IF('SIG 2021'!$D507="","",'SIG 2021'!$D507)</f>
        <v>Yes</v>
      </c>
      <c r="E504" s="130" t="str">
        <f>IF('SIG 2021'!$E507="","",'SIG 2021'!$E507)</f>
        <v/>
      </c>
      <c r="F504" s="130" t="str">
        <f>IF('SIG 2021'!$F507="","",'SIG 2021'!F507)</f>
        <v/>
      </c>
      <c r="G504" s="130" t="s">
        <v>1882</v>
      </c>
      <c r="H504" s="130" t="s">
        <v>1967</v>
      </c>
      <c r="I504" s="130" t="s">
        <v>1929</v>
      </c>
      <c r="J504" s="130" t="s">
        <v>1743</v>
      </c>
      <c r="K504" s="130" t="str">
        <f>IF('SIG 2021'!$AM507="","",'SIG 2021'!$AM507)</f>
        <v/>
      </c>
      <c r="L504" s="130" t="str">
        <f>IF('SIG 2021'!$AN507="","",'SIG 2021'!$AN507)</f>
        <v/>
      </c>
      <c r="M504" s="130" t="str">
        <f>IF('SIG 2021'!$AO507="","",'SIG 2021'!$AO507)</f>
        <v/>
      </c>
    </row>
    <row r="505" spans="1:13" ht="100.8" x14ac:dyDescent="0.5">
      <c r="A505" s="130">
        <v>2286</v>
      </c>
      <c r="B505" s="130" t="s">
        <v>348</v>
      </c>
      <c r="C505" s="130" t="s">
        <v>1968</v>
      </c>
      <c r="D505" s="130" t="str">
        <f>IF('SIG 2021'!$D508="","",'SIG 2021'!$D508)</f>
        <v>Yes</v>
      </c>
      <c r="E505" s="130" t="str">
        <f>IF('SIG 2021'!$E508="","",'SIG 2021'!$E508)</f>
        <v>The disaster recovery plan is reviewed at least annually and kept up to date to take into account changing circumstances. Business continuity processes are tested at least annually through table-top exercise or functional test.</v>
      </c>
      <c r="F505" s="130" t="str">
        <f>IF('SIG 2021'!$F508="","",'SIG 2021'!F508)</f>
        <v/>
      </c>
      <c r="G505" s="130" t="s">
        <v>1882</v>
      </c>
      <c r="H505" s="130" t="s">
        <v>1970</v>
      </c>
      <c r="I505" s="130" t="s">
        <v>1929</v>
      </c>
      <c r="J505" s="130"/>
      <c r="K505" s="130" t="str">
        <f>IF('SIG 2021'!$AM508="","",'SIG 2021'!$AM508)</f>
        <v/>
      </c>
      <c r="L505" s="130" t="str">
        <f>IF('SIG 2021'!$AN508="","",'SIG 2021'!$AN508)</f>
        <v/>
      </c>
      <c r="M505" s="130" t="str">
        <f>IF('SIG 2021'!$AO508="","",'SIG 2021'!$AO508)</f>
        <v/>
      </c>
    </row>
    <row r="506" spans="1:13" ht="43.2" x14ac:dyDescent="0.5">
      <c r="A506" s="130">
        <v>4055</v>
      </c>
      <c r="B506" s="130" t="s">
        <v>1971</v>
      </c>
      <c r="C506" s="130" t="s">
        <v>1972</v>
      </c>
      <c r="D506" s="130" t="str">
        <f>IF('SIG 2021'!$D509="","",'SIG 2021'!$D509)</f>
        <v>Yes</v>
      </c>
      <c r="E506" s="130" t="str">
        <f>IF('SIG 2021'!$E509="","",'SIG 2021'!$E509)</f>
        <v/>
      </c>
      <c r="F506" s="130" t="str">
        <f>IF('SIG 2021'!$F509="","",'SIG 2021'!F509)</f>
        <v/>
      </c>
      <c r="G506" s="130" t="s">
        <v>1882</v>
      </c>
      <c r="H506" s="130" t="s">
        <v>1970</v>
      </c>
      <c r="I506" s="130"/>
      <c r="J506" s="130"/>
      <c r="K506" s="130" t="str">
        <f>IF('SIG 2021'!$AM509="","",'SIG 2021'!$AM509)</f>
        <v/>
      </c>
      <c r="L506" s="130" t="str">
        <f>IF('SIG 2021'!$AN509="","",'SIG 2021'!$AN509)</f>
        <v/>
      </c>
      <c r="M506" s="130" t="str">
        <f>IF('SIG 2021'!$AO509="","",'SIG 2021'!$AO509)</f>
        <v/>
      </c>
    </row>
    <row r="507" spans="1:13" ht="43.2" x14ac:dyDescent="0.5">
      <c r="A507" s="130">
        <v>4056</v>
      </c>
      <c r="B507" s="130" t="s">
        <v>1973</v>
      </c>
      <c r="C507" s="130" t="s">
        <v>1974</v>
      </c>
      <c r="D507" s="130" t="str">
        <f>IF('SIG 2021'!$D510="","",'SIG 2021'!$D510)</f>
        <v>Yes</v>
      </c>
      <c r="E507" s="130" t="str">
        <f>IF('SIG 2021'!$E510="","",'SIG 2021'!$E510)</f>
        <v/>
      </c>
      <c r="F507" s="130" t="str">
        <f>IF('SIG 2021'!$F510="","",'SIG 2021'!F510)</f>
        <v/>
      </c>
      <c r="G507" s="130" t="s">
        <v>1882</v>
      </c>
      <c r="H507" s="130" t="s">
        <v>1970</v>
      </c>
      <c r="I507" s="130" t="s">
        <v>1845</v>
      </c>
      <c r="J507" s="130"/>
      <c r="K507" s="130" t="str">
        <f>IF('SIG 2021'!$AM510="","",'SIG 2021'!$AM510)</f>
        <v/>
      </c>
      <c r="L507" s="130" t="str">
        <f>IF('SIG 2021'!$AN510="","",'SIG 2021'!$AN510)</f>
        <v/>
      </c>
      <c r="M507" s="130" t="str">
        <f>IF('SIG 2021'!$AO510="","",'SIG 2021'!$AO510)</f>
        <v/>
      </c>
    </row>
    <row r="508" spans="1:13" ht="43.2" x14ac:dyDescent="0.5">
      <c r="A508" s="130">
        <v>4057</v>
      </c>
      <c r="B508" s="130" t="s">
        <v>1975</v>
      </c>
      <c r="C508" s="130" t="s">
        <v>1976</v>
      </c>
      <c r="D508" s="130" t="str">
        <f>IF('SIG 2021'!$D511="","",'SIG 2021'!$D511)</f>
        <v>Yes</v>
      </c>
      <c r="E508" s="130" t="str">
        <f>IF('SIG 2021'!$E511="","",'SIG 2021'!$E511)</f>
        <v/>
      </c>
      <c r="F508" s="130" t="str">
        <f>IF('SIG 2021'!$F511="","",'SIG 2021'!F511)</f>
        <v/>
      </c>
      <c r="G508" s="130" t="s">
        <v>1882</v>
      </c>
      <c r="H508" s="130" t="s">
        <v>1970</v>
      </c>
      <c r="I508" s="130" t="s">
        <v>1845</v>
      </c>
      <c r="J508" s="130"/>
      <c r="K508" s="130" t="str">
        <f>IF('SIG 2021'!$AM511="","",'SIG 2021'!$AM511)</f>
        <v/>
      </c>
      <c r="L508" s="130" t="str">
        <f>IF('SIG 2021'!$AN511="","",'SIG 2021'!$AN511)</f>
        <v/>
      </c>
      <c r="M508" s="130" t="str">
        <f>IF('SIG 2021'!$AO511="","",'SIG 2021'!$AO511)</f>
        <v/>
      </c>
    </row>
    <row r="509" spans="1:13" ht="43.2" x14ac:dyDescent="0.5">
      <c r="A509" s="130">
        <v>4058</v>
      </c>
      <c r="B509" s="130" t="s">
        <v>1977</v>
      </c>
      <c r="C509" s="130" t="s">
        <v>1978</v>
      </c>
      <c r="D509" s="130" t="str">
        <f>IF('SIG 2021'!$D512="","",'SIG 2021'!$D512)</f>
        <v>Yes</v>
      </c>
      <c r="E509" s="130" t="str">
        <f>IF('SIG 2021'!$E512="","",'SIG 2021'!$E512)</f>
        <v/>
      </c>
      <c r="F509" s="130" t="str">
        <f>IF('SIG 2021'!$F512="","",'SIG 2021'!F512)</f>
        <v/>
      </c>
      <c r="G509" s="130" t="s">
        <v>1882</v>
      </c>
      <c r="H509" s="130" t="s">
        <v>1970</v>
      </c>
      <c r="I509" s="130" t="s">
        <v>1845</v>
      </c>
      <c r="J509" s="130"/>
      <c r="K509" s="130" t="str">
        <f>IF('SIG 2021'!$AM512="","",'SIG 2021'!$AM512)</f>
        <v/>
      </c>
      <c r="L509" s="130" t="str">
        <f>IF('SIG 2021'!$AN512="","",'SIG 2021'!$AN512)</f>
        <v/>
      </c>
      <c r="M509" s="130" t="str">
        <f>IF('SIG 2021'!$AO512="","",'SIG 2021'!$AO512)</f>
        <v/>
      </c>
    </row>
    <row r="510" spans="1:13" ht="43.2" x14ac:dyDescent="0.5">
      <c r="A510" s="130">
        <v>4059</v>
      </c>
      <c r="B510" s="130" t="s">
        <v>1979</v>
      </c>
      <c r="C510" s="130" t="s">
        <v>1980</v>
      </c>
      <c r="D510" s="130" t="str">
        <f>IF('SIG 2021'!$D513="","",'SIG 2021'!$D513)</f>
        <v>Yes</v>
      </c>
      <c r="E510" s="130" t="str">
        <f>IF('SIG 2021'!$E513="","",'SIG 2021'!$E513)</f>
        <v/>
      </c>
      <c r="F510" s="130" t="str">
        <f>IF('SIG 2021'!$F513="","",'SIG 2021'!F513)</f>
        <v/>
      </c>
      <c r="G510" s="130" t="s">
        <v>1882</v>
      </c>
      <c r="H510" s="130" t="s">
        <v>1970</v>
      </c>
      <c r="I510" s="130" t="s">
        <v>1845</v>
      </c>
      <c r="J510" s="130"/>
      <c r="K510" s="130" t="str">
        <f>IF('SIG 2021'!$AM513="","",'SIG 2021'!$AM513)</f>
        <v/>
      </c>
      <c r="L510" s="130" t="str">
        <f>IF('SIG 2021'!$AN513="","",'SIG 2021'!$AN513)</f>
        <v/>
      </c>
      <c r="M510" s="130" t="str">
        <f>IF('SIG 2021'!$AO513="","",'SIG 2021'!$AO513)</f>
        <v/>
      </c>
    </row>
    <row r="511" spans="1:13" ht="57.6" x14ac:dyDescent="0.5">
      <c r="A511" s="130">
        <v>2300</v>
      </c>
      <c r="B511" s="130" t="s">
        <v>1981</v>
      </c>
      <c r="C511" s="130" t="s">
        <v>1982</v>
      </c>
      <c r="D511" s="130" t="str">
        <f>IF('SIG 2021'!$D514="","",'SIG 2021'!$D514)</f>
        <v>Yes</v>
      </c>
      <c r="E511" s="130" t="str">
        <f>IF('SIG 2021'!$E514="","",'SIG 2021'!$E514)</f>
        <v/>
      </c>
      <c r="F511" s="130" t="str">
        <f>IF('SIG 2021'!$F514="","",'SIG 2021'!F514)</f>
        <v/>
      </c>
      <c r="G511" s="130" t="s">
        <v>1882</v>
      </c>
      <c r="H511" s="130" t="s">
        <v>1970</v>
      </c>
      <c r="I511" s="130" t="s">
        <v>1845</v>
      </c>
      <c r="J511" s="130"/>
      <c r="K511" s="130" t="str">
        <f>IF('SIG 2021'!$AM514="","",'SIG 2021'!$AM514)</f>
        <v/>
      </c>
      <c r="L511" s="130" t="str">
        <f>IF('SIG 2021'!$AN514="","",'SIG 2021'!$AN514)</f>
        <v/>
      </c>
      <c r="M511" s="130" t="str">
        <f>IF('SIG 2021'!$AO514="","",'SIG 2021'!$AO514)</f>
        <v/>
      </c>
    </row>
    <row r="512" spans="1:13" ht="28.8" x14ac:dyDescent="0.5">
      <c r="A512" s="130">
        <v>2729</v>
      </c>
      <c r="B512" s="130" t="s">
        <v>350</v>
      </c>
      <c r="C512" s="130" t="s">
        <v>1983</v>
      </c>
      <c r="D512" s="130" t="str">
        <f>IF('SIG 2021'!$D515="","",'SIG 2021'!$D515)</f>
        <v>Yes</v>
      </c>
      <c r="E512" s="130" t="str">
        <f>IF('SIG 2021'!$E515="","",'SIG 2021'!$E515)</f>
        <v>AWS</v>
      </c>
      <c r="F512" s="130" t="str">
        <f>IF('SIG 2021'!$F515="","",'SIG 2021'!F515)</f>
        <v/>
      </c>
      <c r="G512" s="130" t="s">
        <v>1882</v>
      </c>
      <c r="H512" s="130" t="s">
        <v>1985</v>
      </c>
      <c r="I512" s="130"/>
      <c r="J512" s="130"/>
      <c r="K512" s="130" t="str">
        <f>IF('SIG 2021'!$AM515="","",'SIG 2021'!$AM515)</f>
        <v/>
      </c>
      <c r="L512" s="130" t="str">
        <f>IF('SIG 2021'!$AN515="","",'SIG 2021'!$AN515)</f>
        <v/>
      </c>
      <c r="M512" s="130" t="str">
        <f>IF('SIG 2021'!$AO515="","",'SIG 2021'!$AO515)</f>
        <v/>
      </c>
    </row>
    <row r="513" spans="1:13" ht="28.8" x14ac:dyDescent="0.5">
      <c r="A513" s="130">
        <v>2308</v>
      </c>
      <c r="B513" s="130" t="s">
        <v>1986</v>
      </c>
      <c r="C513" s="130" t="s">
        <v>1987</v>
      </c>
      <c r="D513" s="130" t="str">
        <f>IF('SIG 2021'!$D516="","",'SIG 2021'!$D516)</f>
        <v>Yes</v>
      </c>
      <c r="E513" s="130" t="str">
        <f>IF('SIG 2021'!$E516="","",'SIG 2021'!$E516)</f>
        <v/>
      </c>
      <c r="F513" s="130" t="str">
        <f>IF('SIG 2021'!$F516="","",'SIG 2021'!F516)</f>
        <v/>
      </c>
      <c r="G513" s="130" t="s">
        <v>1882</v>
      </c>
      <c r="H513" s="130" t="s">
        <v>1985</v>
      </c>
      <c r="I513" s="130" t="s">
        <v>1929</v>
      </c>
      <c r="J513" s="130"/>
      <c r="K513" s="130" t="str">
        <f>IF('SIG 2021'!$AM516="","",'SIG 2021'!$AM516)</f>
        <v/>
      </c>
      <c r="L513" s="130" t="str">
        <f>IF('SIG 2021'!$AN516="","",'SIG 2021'!$AN516)</f>
        <v/>
      </c>
      <c r="M513" s="130" t="str">
        <f>IF('SIG 2021'!$AO516="","",'SIG 2021'!$AO516)</f>
        <v/>
      </c>
    </row>
    <row r="514" spans="1:13" ht="28.8" x14ac:dyDescent="0.5">
      <c r="A514" s="130">
        <v>4060</v>
      </c>
      <c r="B514" s="130" t="s">
        <v>1988</v>
      </c>
      <c r="C514" s="130" t="s">
        <v>1989</v>
      </c>
      <c r="D514" s="130" t="str">
        <f>IF('SIG 2021'!$D517="","",'SIG 2021'!$D517)</f>
        <v>Yes</v>
      </c>
      <c r="E514" s="130" t="str">
        <f>IF('SIG 2021'!$E517="","",'SIG 2021'!$E517)</f>
        <v/>
      </c>
      <c r="F514" s="130" t="str">
        <f>IF('SIG 2021'!$F517="","",'SIG 2021'!F517)</f>
        <v/>
      </c>
      <c r="G514" s="130" t="s">
        <v>1882</v>
      </c>
      <c r="H514" s="130" t="s">
        <v>1985</v>
      </c>
      <c r="I514" s="130" t="s">
        <v>1929</v>
      </c>
      <c r="J514" s="130"/>
      <c r="K514" s="130" t="str">
        <f>IF('SIG 2021'!$AM517="","",'SIG 2021'!$AM517)</f>
        <v/>
      </c>
      <c r="L514" s="130" t="str">
        <f>IF('SIG 2021'!$AN517="","",'SIG 2021'!$AN517)</f>
        <v/>
      </c>
      <c r="M514" s="130" t="str">
        <f>IF('SIG 2021'!$AO517="","",'SIG 2021'!$AO517)</f>
        <v/>
      </c>
    </row>
    <row r="515" spans="1:13" ht="28.8" x14ac:dyDescent="0.5">
      <c r="A515" s="130">
        <v>2295</v>
      </c>
      <c r="B515" s="130" t="s">
        <v>1990</v>
      </c>
      <c r="C515" s="130" t="s">
        <v>1991</v>
      </c>
      <c r="D515" s="130" t="str">
        <f>IF('SIG 2021'!$D518="","",'SIG 2021'!$D518)</f>
        <v>Yes</v>
      </c>
      <c r="E515" s="130" t="str">
        <f>IF('SIG 2021'!$E518="","",'SIG 2021'!$E518)</f>
        <v/>
      </c>
      <c r="F515" s="130" t="str">
        <f>IF('SIG 2021'!$F518="","",'SIG 2021'!F518)</f>
        <v/>
      </c>
      <c r="G515" s="130" t="s">
        <v>1882</v>
      </c>
      <c r="H515" s="130" t="s">
        <v>1985</v>
      </c>
      <c r="I515" s="130" t="s">
        <v>1929</v>
      </c>
      <c r="J515" s="130"/>
      <c r="K515" s="130" t="str">
        <f>IF('SIG 2021'!$AM518="","",'SIG 2021'!$AM518)</f>
        <v/>
      </c>
      <c r="L515" s="130" t="str">
        <f>IF('SIG 2021'!$AN518="","",'SIG 2021'!$AN518)</f>
        <v/>
      </c>
      <c r="M515" s="130" t="str">
        <f>IF('SIG 2021'!$AO518="","",'SIG 2021'!$AO518)</f>
        <v/>
      </c>
    </row>
    <row r="516" spans="1:13" ht="72" x14ac:dyDescent="0.5">
      <c r="A516" s="130">
        <v>2730</v>
      </c>
      <c r="B516" s="130" t="s">
        <v>1992</v>
      </c>
      <c r="C516" s="130" t="s">
        <v>1993</v>
      </c>
      <c r="D516" s="130" t="str">
        <f>IF('SIG 2021'!$D519="","",'SIG 2021'!$D519)</f>
        <v>Yes</v>
      </c>
      <c r="E516" s="130" t="str">
        <f>IF('SIG 2021'!$E519="","",'SIG 2021'!$E519)</f>
        <v/>
      </c>
      <c r="F516" s="130" t="str">
        <f>IF('SIG 2021'!$F519="","",'SIG 2021'!F519)</f>
        <v/>
      </c>
      <c r="G516" s="130" t="s">
        <v>1882</v>
      </c>
      <c r="H516" s="130" t="s">
        <v>1985</v>
      </c>
      <c r="I516" s="130"/>
      <c r="J516" s="130"/>
      <c r="K516" s="130" t="str">
        <f>IF('SIG 2021'!$AM519="","",'SIG 2021'!$AM519)</f>
        <v/>
      </c>
      <c r="L516" s="130" t="str">
        <f>IF('SIG 2021'!$AN519="","",'SIG 2021'!$AN519)</f>
        <v/>
      </c>
      <c r="M516" s="130" t="str">
        <f>IF('SIG 2021'!$AO519="","",'SIG 2021'!$AO519)</f>
        <v/>
      </c>
    </row>
    <row r="517" spans="1:13" ht="28.8" x14ac:dyDescent="0.5">
      <c r="A517" s="130">
        <v>5873</v>
      </c>
      <c r="B517" s="130" t="s">
        <v>1994</v>
      </c>
      <c r="C517" s="130" t="s">
        <v>1995</v>
      </c>
      <c r="D517" s="130" t="str">
        <f>IF('SIG 2021'!$D520="","",'SIG 2021'!$D520)</f>
        <v>Yes</v>
      </c>
      <c r="E517" s="130" t="str">
        <f>IF('SIG 2021'!$E520="","",'SIG 2021'!$E520)</f>
        <v/>
      </c>
      <c r="F517" s="130" t="str">
        <f>IF('SIG 2021'!$F520="","",'SIG 2021'!F520)</f>
        <v/>
      </c>
      <c r="G517" s="130" t="s">
        <v>1882</v>
      </c>
      <c r="H517" s="130" t="s">
        <v>1985</v>
      </c>
      <c r="I517" s="130"/>
      <c r="J517" s="130"/>
      <c r="K517" s="130" t="str">
        <f>IF('SIG 2021'!$AM520="","",'SIG 2021'!$AM520)</f>
        <v/>
      </c>
      <c r="L517" s="130" t="str">
        <f>IF('SIG 2021'!$AN520="","",'SIG 2021'!$AN520)</f>
        <v/>
      </c>
      <c r="M517" s="130" t="str">
        <f>IF('SIG 2021'!$AO520="","",'SIG 2021'!$AO520)</f>
        <v/>
      </c>
    </row>
    <row r="518" spans="1:13" ht="57.6" x14ac:dyDescent="0.5">
      <c r="A518" s="130">
        <v>2731</v>
      </c>
      <c r="B518" s="130" t="s">
        <v>1996</v>
      </c>
      <c r="C518" s="130" t="s">
        <v>1997</v>
      </c>
      <c r="D518" s="130" t="str">
        <f>IF('SIG 2021'!$D521="","",'SIG 2021'!$D521)</f>
        <v>Yes</v>
      </c>
      <c r="E518" s="130" t="str">
        <f>IF('SIG 2021'!$E521="","",'SIG 2021'!$E521)</f>
        <v/>
      </c>
      <c r="F518" s="130" t="str">
        <f>IF('SIG 2021'!$F521="","",'SIG 2021'!F521)</f>
        <v/>
      </c>
      <c r="G518" s="130" t="s">
        <v>1882</v>
      </c>
      <c r="H518" s="130" t="s">
        <v>1985</v>
      </c>
      <c r="I518" s="130"/>
      <c r="J518" s="130"/>
      <c r="K518" s="130" t="str">
        <f>IF('SIG 2021'!$AM521="","",'SIG 2021'!$AM521)</f>
        <v/>
      </c>
      <c r="L518" s="130" t="str">
        <f>IF('SIG 2021'!$AN521="","",'SIG 2021'!$AN521)</f>
        <v/>
      </c>
      <c r="M518" s="130" t="str">
        <f>IF('SIG 2021'!$AO521="","",'SIG 2021'!$AO521)</f>
        <v/>
      </c>
    </row>
    <row r="519" spans="1:13" ht="28.8" x14ac:dyDescent="0.5">
      <c r="A519" s="130">
        <v>5793</v>
      </c>
      <c r="B519" s="130" t="s">
        <v>1998</v>
      </c>
      <c r="C519" s="130" t="s">
        <v>1999</v>
      </c>
      <c r="D519" s="130" t="str">
        <f>IF('SIG 2021'!$D522="","",'SIG 2021'!$D522)</f>
        <v>Yes</v>
      </c>
      <c r="E519" s="130" t="str">
        <f>IF('SIG 2021'!$E522="","",'SIG 2021'!$E522)</f>
        <v/>
      </c>
      <c r="F519" s="130" t="str">
        <f>IF('SIG 2021'!$F522="","",'SIG 2021'!F522)</f>
        <v/>
      </c>
      <c r="G519" s="130" t="s">
        <v>1882</v>
      </c>
      <c r="H519" s="130" t="s">
        <v>1985</v>
      </c>
      <c r="I519" s="130" t="s">
        <v>1929</v>
      </c>
      <c r="J519" s="130"/>
      <c r="K519" s="130" t="str">
        <f>IF('SIG 2021'!$AM522="","",'SIG 2021'!$AM522)</f>
        <v/>
      </c>
      <c r="L519" s="130" t="str">
        <f>IF('SIG 2021'!$AN522="","",'SIG 2021'!$AN522)</f>
        <v/>
      </c>
      <c r="M519" s="130" t="str">
        <f>IF('SIG 2021'!$AO522="","",'SIG 2021'!$AO522)</f>
        <v/>
      </c>
    </row>
    <row r="520" spans="1:13" ht="57.6" x14ac:dyDescent="0.5">
      <c r="A520" s="130">
        <v>5794</v>
      </c>
      <c r="B520" s="130" t="s">
        <v>2000</v>
      </c>
      <c r="C520" s="130" t="s">
        <v>2001</v>
      </c>
      <c r="D520" s="130" t="str">
        <f>IF('SIG 2021'!$D523="","",'SIG 2021'!$D523)</f>
        <v>Yes</v>
      </c>
      <c r="E520" s="130" t="str">
        <f>IF('SIG 2021'!$E523="","",'SIG 2021'!$E523)</f>
        <v/>
      </c>
      <c r="F520" s="130" t="str">
        <f>IF('SIG 2021'!$F523="","",'SIG 2021'!F523)</f>
        <v/>
      </c>
      <c r="G520" s="130" t="s">
        <v>1882</v>
      </c>
      <c r="H520" s="130" t="s">
        <v>1985</v>
      </c>
      <c r="I520" s="130"/>
      <c r="J520" s="130"/>
      <c r="K520" s="130" t="str">
        <f>IF('SIG 2021'!$AM523="","",'SIG 2021'!$AM523)</f>
        <v/>
      </c>
      <c r="L520" s="130" t="str">
        <f>IF('SIG 2021'!$AN523="","",'SIG 2021'!$AN523)</f>
        <v/>
      </c>
      <c r="M520" s="130" t="str">
        <f>IF('SIG 2021'!$AO523="","",'SIG 2021'!$AO523)</f>
        <v/>
      </c>
    </row>
    <row r="521" spans="1:13" ht="28.8" x14ac:dyDescent="0.5">
      <c r="A521" s="130">
        <v>3605</v>
      </c>
      <c r="B521" s="130" t="s">
        <v>2002</v>
      </c>
      <c r="C521" s="130" t="s">
        <v>2003</v>
      </c>
      <c r="D521" s="130" t="str">
        <f>IF('SIG 2021'!$D524="","",'SIG 2021'!$D524)</f>
        <v>Yes</v>
      </c>
      <c r="E521" s="130" t="str">
        <f>IF('SIG 2021'!$E524="","",'SIG 2021'!$E524)</f>
        <v>Provided with the contract</v>
      </c>
      <c r="F521" s="130" t="str">
        <f>IF('SIG 2021'!$F524="","",'SIG 2021'!F524)</f>
        <v/>
      </c>
      <c r="G521" s="130" t="s">
        <v>1882</v>
      </c>
      <c r="H521" s="130" t="s">
        <v>1985</v>
      </c>
      <c r="I521" s="130" t="s">
        <v>1929</v>
      </c>
      <c r="J521" s="130"/>
      <c r="K521" s="130" t="str">
        <f>IF('SIG 2021'!$AM524="","",'SIG 2021'!$AM524)</f>
        <v/>
      </c>
      <c r="L521" s="130" t="str">
        <f>IF('SIG 2021'!$AN524="","",'SIG 2021'!$AN524)</f>
        <v/>
      </c>
      <c r="M521" s="130" t="str">
        <f>IF('SIG 2021'!$AO524="","",'SIG 2021'!$AO524)</f>
        <v/>
      </c>
    </row>
    <row r="522" spans="1:13" ht="57.6" x14ac:dyDescent="0.5">
      <c r="A522" s="130">
        <v>3639</v>
      </c>
      <c r="B522" s="130" t="s">
        <v>2005</v>
      </c>
      <c r="C522" s="130" t="s">
        <v>2006</v>
      </c>
      <c r="D522" s="130" t="str">
        <f>IF('SIG 2021'!$D525="","",'SIG 2021'!$D525)</f>
        <v>Yes</v>
      </c>
      <c r="E522" s="130" t="str">
        <f>IF('SIG 2021'!$E525="","",'SIG 2021'!$E525)</f>
        <v/>
      </c>
      <c r="F522" s="130" t="str">
        <f>IF('SIG 2021'!$F525="","",'SIG 2021'!F525)</f>
        <v/>
      </c>
      <c r="G522" s="130" t="s">
        <v>1882</v>
      </c>
      <c r="H522" s="130" t="s">
        <v>1985</v>
      </c>
      <c r="I522" s="130"/>
      <c r="J522" s="130"/>
      <c r="K522" s="130" t="str">
        <f>IF('SIG 2021'!$AM525="","",'SIG 2021'!$AM525)</f>
        <v/>
      </c>
      <c r="L522" s="130" t="str">
        <f>IF('SIG 2021'!$AN525="","",'SIG 2021'!$AN525)</f>
        <v/>
      </c>
      <c r="M522" s="130" t="str">
        <f>IF('SIG 2021'!$AO525="","",'SIG 2021'!$AO525)</f>
        <v/>
      </c>
    </row>
    <row r="523" spans="1:13" ht="43.2" x14ac:dyDescent="0.5">
      <c r="A523" s="130">
        <v>5874</v>
      </c>
      <c r="B523" s="130" t="s">
        <v>2007</v>
      </c>
      <c r="C523" s="130" t="s">
        <v>2008</v>
      </c>
      <c r="D523" s="130" t="str">
        <f>IF('SIG 2021'!$D526="","",'SIG 2021'!$D526)</f>
        <v>Yes</v>
      </c>
      <c r="E523" s="130" t="str">
        <f>IF('SIG 2021'!$E526="","",'SIG 2021'!$E526)</f>
        <v/>
      </c>
      <c r="F523" s="130" t="str">
        <f>IF('SIG 2021'!$F526="","",'SIG 2021'!F526)</f>
        <v/>
      </c>
      <c r="G523" s="130" t="s">
        <v>2009</v>
      </c>
      <c r="H523" s="130" t="s">
        <v>2010</v>
      </c>
      <c r="I523" s="130" t="s">
        <v>1845</v>
      </c>
      <c r="J523" s="130"/>
      <c r="K523" s="130" t="str">
        <f>IF('SIG 2021'!$AM526="","",'SIG 2021'!$AM526)</f>
        <v/>
      </c>
      <c r="L523" s="130" t="str">
        <f>IF('SIG 2021'!$AN526="","",'SIG 2021'!$AN526)</f>
        <v/>
      </c>
      <c r="M523" s="130" t="str">
        <f>IF('SIG 2021'!$AO526="","",'SIG 2021'!$AO526)</f>
        <v/>
      </c>
    </row>
    <row r="524" spans="1:13" ht="28.8" x14ac:dyDescent="0.5">
      <c r="A524" s="130">
        <v>5875</v>
      </c>
      <c r="B524" s="130" t="s">
        <v>2011</v>
      </c>
      <c r="C524" s="130" t="s">
        <v>2012</v>
      </c>
      <c r="D524" s="130" t="str">
        <f>IF('SIG 2021'!$D527="","",'SIG 2021'!$D527)</f>
        <v>Yes</v>
      </c>
      <c r="E524" s="130" t="str">
        <f>IF('SIG 2021'!$E527="","",'SIG 2021'!$E527)</f>
        <v/>
      </c>
      <c r="F524" s="130" t="str">
        <f>IF('SIG 2021'!$F527="","",'SIG 2021'!F527)</f>
        <v/>
      </c>
      <c r="G524" s="130" t="s">
        <v>2009</v>
      </c>
      <c r="H524" s="130" t="s">
        <v>2013</v>
      </c>
      <c r="I524" s="130"/>
      <c r="J524" s="130"/>
      <c r="K524" s="130" t="str">
        <f>IF('SIG 2021'!$AM527="","",'SIG 2021'!$AM527)</f>
        <v/>
      </c>
      <c r="L524" s="130" t="str">
        <f>IF('SIG 2021'!$AN527="","",'SIG 2021'!$AN527)</f>
        <v/>
      </c>
      <c r="M524" s="130" t="str">
        <f>IF('SIG 2021'!$AO527="","",'SIG 2021'!$AO527)</f>
        <v/>
      </c>
    </row>
    <row r="525" spans="1:13" ht="86.4" x14ac:dyDescent="0.5">
      <c r="A525" s="130">
        <v>5876</v>
      </c>
      <c r="B525" s="130" t="s">
        <v>2014</v>
      </c>
      <c r="C525" s="130" t="s">
        <v>2015</v>
      </c>
      <c r="D525" s="130" t="str">
        <f>IF('SIG 2021'!$D528="","",'SIG 2021'!$D528)</f>
        <v>Yes</v>
      </c>
      <c r="E525" s="130" t="str">
        <f>IF('SIG 2021'!$E528="","",'SIG 2021'!$E528)</f>
        <v/>
      </c>
      <c r="F525" s="130" t="str">
        <f>IF('SIG 2021'!$F528="","",'SIG 2021'!F528)</f>
        <v/>
      </c>
      <c r="G525" s="130" t="s">
        <v>2009</v>
      </c>
      <c r="H525" s="130" t="s">
        <v>2010</v>
      </c>
      <c r="I525" s="130" t="s">
        <v>2016</v>
      </c>
      <c r="J525" s="130" t="s">
        <v>2017</v>
      </c>
      <c r="K525" s="130" t="str">
        <f>IF('SIG 2021'!$AM528="","",'SIG 2021'!$AM528)</f>
        <v/>
      </c>
      <c r="L525" s="130" t="str">
        <f>IF('SIG 2021'!$AN528="","",'SIG 2021'!$AN528)</f>
        <v/>
      </c>
      <c r="M525" s="130" t="str">
        <f>IF('SIG 2021'!$AO528="","",'SIG 2021'!$AO528)</f>
        <v/>
      </c>
    </row>
    <row r="526" spans="1:13" ht="43.2" x14ac:dyDescent="0.5">
      <c r="A526" s="130">
        <v>5877</v>
      </c>
      <c r="B526" s="130" t="s">
        <v>2018</v>
      </c>
      <c r="C526" s="130" t="s">
        <v>2019</v>
      </c>
      <c r="D526" s="130" t="str">
        <f>IF('SIG 2021'!$D529="","",'SIG 2021'!$D529)</f>
        <v>Yes</v>
      </c>
      <c r="E526" s="130" t="str">
        <f>IF('SIG 2021'!$E529="","",'SIG 2021'!$E529)</f>
        <v/>
      </c>
      <c r="F526" s="130" t="str">
        <f>IF('SIG 2021'!$F529="","",'SIG 2021'!F529)</f>
        <v/>
      </c>
      <c r="G526" s="130" t="s">
        <v>2009</v>
      </c>
      <c r="H526" s="130" t="s">
        <v>2010</v>
      </c>
      <c r="I526" s="130" t="s">
        <v>1887</v>
      </c>
      <c r="J526" s="130" t="s">
        <v>2017</v>
      </c>
      <c r="K526" s="130" t="str">
        <f>IF('SIG 2021'!$AM529="","",'SIG 2021'!$AM529)</f>
        <v/>
      </c>
      <c r="L526" s="130" t="str">
        <f>IF('SIG 2021'!$AN529="","",'SIG 2021'!$AN529)</f>
        <v/>
      </c>
      <c r="M526" s="130" t="str">
        <f>IF('SIG 2021'!$AO529="","",'SIG 2021'!$AO529)</f>
        <v/>
      </c>
    </row>
    <row r="527" spans="1:13" ht="43.2" x14ac:dyDescent="0.5">
      <c r="A527" s="130">
        <v>5878</v>
      </c>
      <c r="B527" s="130" t="s">
        <v>2020</v>
      </c>
      <c r="C527" s="130" t="s">
        <v>2021</v>
      </c>
      <c r="D527" s="130" t="str">
        <f>IF('SIG 2021'!$D530="","",'SIG 2021'!$D530)</f>
        <v>Yes</v>
      </c>
      <c r="E527" s="130" t="str">
        <f>IF('SIG 2021'!$E530="","",'SIG 2021'!$E530)</f>
        <v/>
      </c>
      <c r="F527" s="130" t="str">
        <f>IF('SIG 2021'!$F530="","",'SIG 2021'!F530)</f>
        <v/>
      </c>
      <c r="G527" s="130" t="s">
        <v>2009</v>
      </c>
      <c r="H527" s="130" t="s">
        <v>2010</v>
      </c>
      <c r="I527" s="130" t="s">
        <v>2022</v>
      </c>
      <c r="J527" s="130" t="s">
        <v>2017</v>
      </c>
      <c r="K527" s="130" t="str">
        <f>IF('SIG 2021'!$AM530="","",'SIG 2021'!$AM530)</f>
        <v/>
      </c>
      <c r="L527" s="130" t="str">
        <f>IF('SIG 2021'!$AN530="","",'SIG 2021'!$AN530)</f>
        <v/>
      </c>
      <c r="M527" s="130" t="str">
        <f>IF('SIG 2021'!$AO530="","",'SIG 2021'!$AO530)</f>
        <v/>
      </c>
    </row>
    <row r="528" spans="1:13" ht="43.2" x14ac:dyDescent="0.5">
      <c r="A528" s="130">
        <v>5879</v>
      </c>
      <c r="B528" s="130" t="s">
        <v>2023</v>
      </c>
      <c r="C528" s="130" t="s">
        <v>2024</v>
      </c>
      <c r="D528" s="130" t="str">
        <f>IF('SIG 2021'!$D531="","",'SIG 2021'!$D531)</f>
        <v>Yes</v>
      </c>
      <c r="E528" s="130" t="str">
        <f>IF('SIG 2021'!$E531="","",'SIG 2021'!$E531)</f>
        <v/>
      </c>
      <c r="F528" s="130" t="str">
        <f>IF('SIG 2021'!$F531="","",'SIG 2021'!F531)</f>
        <v/>
      </c>
      <c r="G528" s="130" t="s">
        <v>2009</v>
      </c>
      <c r="H528" s="130" t="s">
        <v>2010</v>
      </c>
      <c r="I528" s="130"/>
      <c r="J528" s="130" t="s">
        <v>2017</v>
      </c>
      <c r="K528" s="130" t="str">
        <f>IF('SIG 2021'!$AM531="","",'SIG 2021'!$AM531)</f>
        <v/>
      </c>
      <c r="L528" s="130" t="str">
        <f>IF('SIG 2021'!$AN531="","",'SIG 2021'!$AN531)</f>
        <v/>
      </c>
      <c r="M528" s="130" t="str">
        <f>IF('SIG 2021'!$AO531="","",'SIG 2021'!$AO531)</f>
        <v/>
      </c>
    </row>
    <row r="529" spans="1:13" ht="28.8" x14ac:dyDescent="0.5">
      <c r="A529" s="130">
        <v>5880</v>
      </c>
      <c r="B529" s="130" t="s">
        <v>2025</v>
      </c>
      <c r="C529" s="130" t="s">
        <v>2026</v>
      </c>
      <c r="D529" s="130" t="str">
        <f>IF('SIG 2021'!$D532="","",'SIG 2021'!$D532)</f>
        <v>Yes</v>
      </c>
      <c r="E529" s="130" t="str">
        <f>IF('SIG 2021'!$E532="","",'SIG 2021'!$E532)</f>
        <v/>
      </c>
      <c r="F529" s="130" t="str">
        <f>IF('SIG 2021'!$F532="","",'SIG 2021'!F532)</f>
        <v/>
      </c>
      <c r="G529" s="130" t="s">
        <v>2009</v>
      </c>
      <c r="H529" s="130" t="s">
        <v>2010</v>
      </c>
      <c r="I529" s="130"/>
      <c r="J529" s="130"/>
      <c r="K529" s="130" t="str">
        <f>IF('SIG 2021'!$AM532="","",'SIG 2021'!$AM532)</f>
        <v/>
      </c>
      <c r="L529" s="130" t="str">
        <f>IF('SIG 2021'!$AN532="","",'SIG 2021'!$AN532)</f>
        <v/>
      </c>
      <c r="M529" s="130" t="str">
        <f>IF('SIG 2021'!$AO532="","",'SIG 2021'!$AO532)</f>
        <v/>
      </c>
    </row>
    <row r="530" spans="1:13" ht="57.6" x14ac:dyDescent="0.5">
      <c r="A530" s="130">
        <v>5884</v>
      </c>
      <c r="B530" s="130" t="s">
        <v>2027</v>
      </c>
      <c r="C530" s="130" t="s">
        <v>2028</v>
      </c>
      <c r="D530" s="130" t="str">
        <f>IF('SIG 2021'!$D533="","",'SIG 2021'!$D533)</f>
        <v>N/A</v>
      </c>
      <c r="E530" s="130" t="str">
        <f>IF('SIG 2021'!$E533="","",'SIG 2021'!$E533)</f>
        <v>not performing transactions</v>
      </c>
      <c r="F530" s="130" t="str">
        <f>IF('SIG 2021'!$F533="","",'SIG 2021'!F533)</f>
        <v/>
      </c>
      <c r="G530" s="130" t="s">
        <v>2009</v>
      </c>
      <c r="H530" s="130" t="s">
        <v>2010</v>
      </c>
      <c r="I530" s="130"/>
      <c r="J530" s="130"/>
      <c r="K530" s="130" t="str">
        <f>IF('SIG 2021'!$AM533="","",'SIG 2021'!$AM533)</f>
        <v/>
      </c>
      <c r="L530" s="130" t="str">
        <f>IF('SIG 2021'!$AN533="","",'SIG 2021'!$AN533)</f>
        <v/>
      </c>
      <c r="M530" s="130" t="str">
        <f>IF('SIG 2021'!$AO533="","",'SIG 2021'!$AO533)</f>
        <v/>
      </c>
    </row>
    <row r="531" spans="1:13" ht="144" x14ac:dyDescent="0.5">
      <c r="A531" s="130">
        <v>2343</v>
      </c>
      <c r="B531" s="130" t="s">
        <v>2030</v>
      </c>
      <c r="C531" s="130" t="s">
        <v>2031</v>
      </c>
      <c r="D531" s="130" t="str">
        <f>IF('SIG 2021'!$D534="","",'SIG 2021'!$D534)</f>
        <v>Yes</v>
      </c>
      <c r="E531" s="130" t="str">
        <f>IF('SIG 2021'!$E534="","",'SIG 2021'!$E534)</f>
        <v xml:space="preserve">The disaster recovery plan is periodically tested (at least once each calendar year) in a simulated environment to ensure that it can be implemented in emergency situations and that the management and staff understand how it is to be executed. All staff are aware of the disaster recovery plan and their own respective roles. </v>
      </c>
      <c r="F531" s="130" t="str">
        <f>IF('SIG 2021'!$F534="","",'SIG 2021'!F534)</f>
        <v/>
      </c>
      <c r="G531" s="130" t="s">
        <v>2033</v>
      </c>
      <c r="H531" s="130" t="s">
        <v>2034</v>
      </c>
      <c r="I531" s="130" t="s">
        <v>2016</v>
      </c>
      <c r="J531" s="130"/>
      <c r="K531" s="130" t="str">
        <f>IF('SIG 2021'!$AM534="","",'SIG 2021'!$AM534)</f>
        <v/>
      </c>
      <c r="L531" s="130" t="str">
        <f>IF('SIG 2021'!$AN534="","",'SIG 2021'!$AN534)</f>
        <v/>
      </c>
      <c r="M531" s="130" t="str">
        <f>IF('SIG 2021'!$AO534="","",'SIG 2021'!$AO534)</f>
        <v/>
      </c>
    </row>
    <row r="532" spans="1:13" ht="43.2" x14ac:dyDescent="0.5">
      <c r="A532" s="130">
        <v>5865</v>
      </c>
      <c r="B532" s="130" t="s">
        <v>2035</v>
      </c>
      <c r="C532" s="130" t="s">
        <v>2036</v>
      </c>
      <c r="D532" s="130" t="str">
        <f>IF('SIG 2021'!$D535="","",'SIG 2021'!$D535)</f>
        <v>Yes</v>
      </c>
      <c r="E532" s="130" t="str">
        <f>IF('SIG 2021'!$E535="","",'SIG 2021'!$E535)</f>
        <v/>
      </c>
      <c r="F532" s="130" t="str">
        <f>IF('SIG 2021'!$F535="","",'SIG 2021'!F535)</f>
        <v/>
      </c>
      <c r="G532" s="130" t="s">
        <v>2033</v>
      </c>
      <c r="H532" s="130" t="s">
        <v>2037</v>
      </c>
      <c r="I532" s="130" t="s">
        <v>1845</v>
      </c>
      <c r="J532" s="130"/>
      <c r="K532" s="130" t="str">
        <f>IF('SIG 2021'!$AM535="","",'SIG 2021'!$AM535)</f>
        <v/>
      </c>
      <c r="L532" s="130" t="str">
        <f>IF('SIG 2021'!$AN535="","",'SIG 2021'!$AN535)</f>
        <v/>
      </c>
      <c r="M532" s="130" t="str">
        <f>IF('SIG 2021'!$AO535="","",'SIG 2021'!$AO535)</f>
        <v/>
      </c>
    </row>
    <row r="533" spans="1:13" ht="43.2" x14ac:dyDescent="0.5">
      <c r="A533" s="130">
        <v>2346</v>
      </c>
      <c r="B533" s="130" t="s">
        <v>2038</v>
      </c>
      <c r="C533" s="130" t="s">
        <v>2039</v>
      </c>
      <c r="D533" s="130" t="str">
        <f>IF('SIG 2021'!$D536="","",'SIG 2021'!$D536)</f>
        <v>Yes</v>
      </c>
      <c r="E533" s="130" t="str">
        <f>IF('SIG 2021'!$E536="","",'SIG 2021'!$E536)</f>
        <v/>
      </c>
      <c r="F533" s="130" t="str">
        <f>IF('SIG 2021'!$F536="","",'SIG 2021'!F536)</f>
        <v/>
      </c>
      <c r="G533" s="130" t="s">
        <v>2033</v>
      </c>
      <c r="H533" s="130" t="s">
        <v>2034</v>
      </c>
      <c r="I533" s="130"/>
      <c r="J533" s="130"/>
      <c r="K533" s="130" t="str">
        <f>IF('SIG 2021'!$AM536="","",'SIG 2021'!$AM536)</f>
        <v/>
      </c>
      <c r="L533" s="130" t="str">
        <f>IF('SIG 2021'!$AN536="","",'SIG 2021'!$AN536)</f>
        <v/>
      </c>
      <c r="M533" s="130" t="str">
        <f>IF('SIG 2021'!$AO536="","",'SIG 2021'!$AO536)</f>
        <v/>
      </c>
    </row>
    <row r="534" spans="1:13" ht="28.8" x14ac:dyDescent="0.5">
      <c r="A534" s="130">
        <v>4061</v>
      </c>
      <c r="B534" s="130" t="s">
        <v>2040</v>
      </c>
      <c r="C534" s="130" t="s">
        <v>2041</v>
      </c>
      <c r="D534" s="130" t="str">
        <f>IF('SIG 2021'!$D537="","",'SIG 2021'!$D537)</f>
        <v>Yes</v>
      </c>
      <c r="E534" s="130" t="str">
        <f>IF('SIG 2021'!$E537="","",'SIG 2021'!$E537)</f>
        <v/>
      </c>
      <c r="F534" s="130" t="str">
        <f>IF('SIG 2021'!$F537="","",'SIG 2021'!F537)</f>
        <v/>
      </c>
      <c r="G534" s="130" t="s">
        <v>2033</v>
      </c>
      <c r="H534" s="130" t="s">
        <v>2034</v>
      </c>
      <c r="I534" s="130" t="s">
        <v>2016</v>
      </c>
      <c r="J534" s="130"/>
      <c r="K534" s="130" t="str">
        <f>IF('SIG 2021'!$AM537="","",'SIG 2021'!$AM537)</f>
        <v/>
      </c>
      <c r="L534" s="130" t="str">
        <f>IF('SIG 2021'!$AN537="","",'SIG 2021'!$AN537)</f>
        <v/>
      </c>
      <c r="M534" s="130" t="str">
        <f>IF('SIG 2021'!$AO537="","",'SIG 2021'!$AO537)</f>
        <v/>
      </c>
    </row>
    <row r="535" spans="1:13" ht="28.8" x14ac:dyDescent="0.5">
      <c r="A535" s="130">
        <v>4062</v>
      </c>
      <c r="B535" s="130" t="s">
        <v>2042</v>
      </c>
      <c r="C535" s="130" t="s">
        <v>2043</v>
      </c>
      <c r="D535" s="130" t="str">
        <f>IF('SIG 2021'!$D538="","",'SIG 2021'!$D538)</f>
        <v>Yes</v>
      </c>
      <c r="E535" s="130" t="str">
        <f>IF('SIG 2021'!$E538="","",'SIG 2021'!$E538)</f>
        <v/>
      </c>
      <c r="F535" s="130" t="str">
        <f>IF('SIG 2021'!$F538="","",'SIG 2021'!F538)</f>
        <v/>
      </c>
      <c r="G535" s="130" t="s">
        <v>2033</v>
      </c>
      <c r="H535" s="130" t="s">
        <v>2034</v>
      </c>
      <c r="I535" s="130" t="s">
        <v>2016</v>
      </c>
      <c r="J535" s="130"/>
      <c r="K535" s="130" t="str">
        <f>IF('SIG 2021'!$AM538="","",'SIG 2021'!$AM538)</f>
        <v/>
      </c>
      <c r="L535" s="130" t="str">
        <f>IF('SIG 2021'!$AN538="","",'SIG 2021'!$AN538)</f>
        <v/>
      </c>
      <c r="M535" s="130" t="str">
        <f>IF('SIG 2021'!$AO538="","",'SIG 2021'!$AO538)</f>
        <v/>
      </c>
    </row>
    <row r="536" spans="1:13" ht="43.2" x14ac:dyDescent="0.5">
      <c r="A536" s="130">
        <v>4064</v>
      </c>
      <c r="B536" s="130" t="s">
        <v>2044</v>
      </c>
      <c r="C536" s="130" t="s">
        <v>2045</v>
      </c>
      <c r="D536" s="130" t="str">
        <f>IF('SIG 2021'!$D539="","",'SIG 2021'!$D539)</f>
        <v>Yes</v>
      </c>
      <c r="E536" s="130" t="str">
        <f>IF('SIG 2021'!$E539="","",'SIG 2021'!$E539)</f>
        <v/>
      </c>
      <c r="F536" s="130" t="str">
        <f>IF('SIG 2021'!$F539="","",'SIG 2021'!F539)</f>
        <v/>
      </c>
      <c r="G536" s="130" t="s">
        <v>2033</v>
      </c>
      <c r="H536" s="130" t="s">
        <v>2034</v>
      </c>
      <c r="I536" s="130" t="s">
        <v>2016</v>
      </c>
      <c r="J536" s="130"/>
      <c r="K536" s="130" t="str">
        <f>IF('SIG 2021'!$AM539="","",'SIG 2021'!$AM539)</f>
        <v/>
      </c>
      <c r="L536" s="130" t="str">
        <f>IF('SIG 2021'!$AN539="","",'SIG 2021'!$AN539)</f>
        <v/>
      </c>
      <c r="M536" s="130" t="str">
        <f>IF('SIG 2021'!$AO539="","",'SIG 2021'!$AO539)</f>
        <v/>
      </c>
    </row>
    <row r="537" spans="1:13" ht="28.8" x14ac:dyDescent="0.5">
      <c r="A537" s="130">
        <v>4071</v>
      </c>
      <c r="B537" s="130" t="s">
        <v>2046</v>
      </c>
      <c r="C537" s="130" t="s">
        <v>2047</v>
      </c>
      <c r="D537" s="130" t="str">
        <f>IF('SIG 2021'!$D540="","",'SIG 2021'!$D540)</f>
        <v>Yes</v>
      </c>
      <c r="E537" s="130" t="str">
        <f>IF('SIG 2021'!$E540="","",'SIG 2021'!$E540)</f>
        <v/>
      </c>
      <c r="F537" s="130" t="str">
        <f>IF('SIG 2021'!$F540="","",'SIG 2021'!F540)</f>
        <v/>
      </c>
      <c r="G537" s="130" t="s">
        <v>2033</v>
      </c>
      <c r="H537" s="130" t="s">
        <v>2048</v>
      </c>
      <c r="I537" s="130" t="s">
        <v>2016</v>
      </c>
      <c r="J537" s="130"/>
      <c r="K537" s="130" t="str">
        <f>IF('SIG 2021'!$AM540="","",'SIG 2021'!$AM540)</f>
        <v/>
      </c>
      <c r="L537" s="130" t="str">
        <f>IF('SIG 2021'!$AN540="","",'SIG 2021'!$AN540)</f>
        <v/>
      </c>
      <c r="M537" s="130" t="str">
        <f>IF('SIG 2021'!$AO540="","",'SIG 2021'!$AO540)</f>
        <v/>
      </c>
    </row>
    <row r="538" spans="1:13" ht="57.6" x14ac:dyDescent="0.5">
      <c r="A538" s="130">
        <v>4072</v>
      </c>
      <c r="B538" s="130" t="s">
        <v>2049</v>
      </c>
      <c r="C538" s="130" t="s">
        <v>2050</v>
      </c>
      <c r="D538" s="130" t="str">
        <f>IF('SIG 2021'!$D541="","",'SIG 2021'!$D541)</f>
        <v>Yes</v>
      </c>
      <c r="E538" s="130" t="str">
        <f>IF('SIG 2021'!$E541="","",'SIG 2021'!$E541)</f>
        <v>RTO &lt;8 hours</v>
      </c>
      <c r="F538" s="130" t="str">
        <f>IF('SIG 2021'!$F541="","",'SIG 2021'!F541)</f>
        <v/>
      </c>
      <c r="G538" s="130" t="s">
        <v>2033</v>
      </c>
      <c r="H538" s="130" t="s">
        <v>2048</v>
      </c>
      <c r="I538" s="130"/>
      <c r="J538" s="130"/>
      <c r="K538" s="130" t="str">
        <f>IF('SIG 2021'!$AM541="","",'SIG 2021'!$AM541)</f>
        <v/>
      </c>
      <c r="L538" s="130" t="str">
        <f>IF('SIG 2021'!$AN541="","",'SIG 2021'!$AN541)</f>
        <v/>
      </c>
      <c r="M538" s="130" t="str">
        <f>IF('SIG 2021'!$AO541="","",'SIG 2021'!$AO541)</f>
        <v/>
      </c>
    </row>
    <row r="539" spans="1:13" ht="43.2" x14ac:dyDescent="0.5">
      <c r="A539" s="130">
        <v>4073</v>
      </c>
      <c r="B539" s="130" t="s">
        <v>2051</v>
      </c>
      <c r="C539" s="130" t="s">
        <v>2052</v>
      </c>
      <c r="D539" s="130" t="str">
        <f>IF('SIG 2021'!$D542="","",'SIG 2021'!$D542)</f>
        <v>Yes</v>
      </c>
      <c r="E539" s="130" t="str">
        <f>IF('SIG 2021'!$E542="","",'SIG 2021'!$E542)</f>
        <v>RPO &lt;8 hours</v>
      </c>
      <c r="F539" s="130" t="str">
        <f>IF('SIG 2021'!$F542="","",'SIG 2021'!F542)</f>
        <v/>
      </c>
      <c r="G539" s="130" t="s">
        <v>2033</v>
      </c>
      <c r="H539" s="130" t="s">
        <v>2048</v>
      </c>
      <c r="I539" s="130"/>
      <c r="J539" s="130"/>
      <c r="K539" s="130" t="str">
        <f>IF('SIG 2021'!$AM542="","",'SIG 2021'!$AM542)</f>
        <v/>
      </c>
      <c r="L539" s="130" t="str">
        <f>IF('SIG 2021'!$AN542="","",'SIG 2021'!$AN542)</f>
        <v/>
      </c>
      <c r="M539" s="130" t="str">
        <f>IF('SIG 2021'!$AO542="","",'SIG 2021'!$AO542)</f>
        <v/>
      </c>
    </row>
    <row r="540" spans="1:13" ht="43.2" x14ac:dyDescent="0.5">
      <c r="A540" s="130">
        <v>2779</v>
      </c>
      <c r="B540" s="130" t="s">
        <v>2053</v>
      </c>
      <c r="C540" s="130" t="s">
        <v>2054</v>
      </c>
      <c r="D540" s="130" t="str">
        <f>IF('SIG 2021'!$D543="","",'SIG 2021'!$D543)</f>
        <v>Yes</v>
      </c>
      <c r="E540" s="130" t="str">
        <f>IF('SIG 2021'!$E543="","",'SIG 2021'!$E543)</f>
        <v/>
      </c>
      <c r="F540" s="130" t="str">
        <f>IF('SIG 2021'!$F543="","",'SIG 2021'!F543)</f>
        <v/>
      </c>
      <c r="G540" s="130" t="s">
        <v>2033</v>
      </c>
      <c r="H540" s="130" t="s">
        <v>2055</v>
      </c>
      <c r="I540" s="130" t="s">
        <v>1845</v>
      </c>
      <c r="J540" s="130"/>
      <c r="K540" s="130" t="str">
        <f>IF('SIG 2021'!$AM543="","",'SIG 2021'!$AM543)</f>
        <v/>
      </c>
      <c r="L540" s="130" t="str">
        <f>IF('SIG 2021'!$AN543="","",'SIG 2021'!$AN543)</f>
        <v/>
      </c>
      <c r="M540" s="130" t="str">
        <f>IF('SIG 2021'!$AO543="","",'SIG 2021'!$AO543)</f>
        <v/>
      </c>
    </row>
    <row r="541" spans="1:13" ht="43.2" x14ac:dyDescent="0.5">
      <c r="A541" s="130">
        <v>2351</v>
      </c>
      <c r="B541" s="130" t="s">
        <v>2056</v>
      </c>
      <c r="C541" s="130" t="s">
        <v>2057</v>
      </c>
      <c r="D541" s="130" t="str">
        <f>IF('SIG 2021'!$D544="","",'SIG 2021'!$D544)</f>
        <v>Yes</v>
      </c>
      <c r="E541" s="130" t="str">
        <f>IF('SIG 2021'!$E544="","",'SIG 2021'!$E544)</f>
        <v/>
      </c>
      <c r="F541" s="130" t="str">
        <f>IF('SIG 2021'!$F544="","",'SIG 2021'!F544)</f>
        <v/>
      </c>
      <c r="G541" s="130" t="s">
        <v>2033</v>
      </c>
      <c r="H541" s="130" t="s">
        <v>2055</v>
      </c>
      <c r="I541" s="130" t="s">
        <v>2016</v>
      </c>
      <c r="J541" s="130"/>
      <c r="K541" s="130" t="str">
        <f>IF('SIG 2021'!$AM544="","",'SIG 2021'!$AM544)</f>
        <v/>
      </c>
      <c r="L541" s="130" t="str">
        <f>IF('SIG 2021'!$AN544="","",'SIG 2021'!$AN544)</f>
        <v/>
      </c>
      <c r="M541" s="130" t="str">
        <f>IF('SIG 2021'!$AO544="","",'SIG 2021'!$AO544)</f>
        <v/>
      </c>
    </row>
    <row r="542" spans="1:13" ht="43.2" x14ac:dyDescent="0.5">
      <c r="A542" s="130">
        <v>2352</v>
      </c>
      <c r="B542" s="130" t="s">
        <v>2058</v>
      </c>
      <c r="C542" s="130" t="s">
        <v>2059</v>
      </c>
      <c r="D542" s="130" t="str">
        <f>IF('SIG 2021'!$D545="","",'SIG 2021'!$D545)</f>
        <v>Yes</v>
      </c>
      <c r="E542" s="130" t="str">
        <f>IF('SIG 2021'!$E545="","",'SIG 2021'!$E545)</f>
        <v/>
      </c>
      <c r="F542" s="130" t="str">
        <f>IF('SIG 2021'!$F545="","",'SIG 2021'!F545)</f>
        <v/>
      </c>
      <c r="G542" s="130" t="s">
        <v>2033</v>
      </c>
      <c r="H542" s="130" t="s">
        <v>2055</v>
      </c>
      <c r="I542" s="130" t="s">
        <v>2016</v>
      </c>
      <c r="J542" s="130"/>
      <c r="K542" s="130" t="str">
        <f>IF('SIG 2021'!$AM545="","",'SIG 2021'!$AM545)</f>
        <v/>
      </c>
      <c r="L542" s="130" t="str">
        <f>IF('SIG 2021'!$AN545="","",'SIG 2021'!$AN545)</f>
        <v/>
      </c>
      <c r="M542" s="130" t="str">
        <f>IF('SIG 2021'!$AO545="","",'SIG 2021'!$AO545)</f>
        <v/>
      </c>
    </row>
    <row r="543" spans="1:13" ht="43.2" x14ac:dyDescent="0.5">
      <c r="A543" s="130">
        <v>2354</v>
      </c>
      <c r="B543" s="130" t="s">
        <v>2060</v>
      </c>
      <c r="C543" s="130" t="s">
        <v>2061</v>
      </c>
      <c r="D543" s="130" t="str">
        <f>IF('SIG 2021'!$D546="","",'SIG 2021'!$D546)</f>
        <v>Yes</v>
      </c>
      <c r="E543" s="130" t="str">
        <f>IF('SIG 2021'!$E546="","",'SIG 2021'!$E546)</f>
        <v/>
      </c>
      <c r="F543" s="130" t="str">
        <f>IF('SIG 2021'!$F546="","",'SIG 2021'!F546)</f>
        <v/>
      </c>
      <c r="G543" s="130" t="s">
        <v>2033</v>
      </c>
      <c r="H543" s="130" t="s">
        <v>2055</v>
      </c>
      <c r="I543" s="130" t="s">
        <v>2016</v>
      </c>
      <c r="J543" s="130"/>
      <c r="K543" s="130" t="str">
        <f>IF('SIG 2021'!$AM546="","",'SIG 2021'!$AM546)</f>
        <v/>
      </c>
      <c r="L543" s="130" t="str">
        <f>IF('SIG 2021'!$AN546="","",'SIG 2021'!$AN546)</f>
        <v/>
      </c>
      <c r="M543" s="130" t="str">
        <f>IF('SIG 2021'!$AO546="","",'SIG 2021'!$AO546)</f>
        <v/>
      </c>
    </row>
    <row r="544" spans="1:13" ht="43.2" x14ac:dyDescent="0.5">
      <c r="A544" s="130">
        <v>2355</v>
      </c>
      <c r="B544" s="130" t="s">
        <v>2062</v>
      </c>
      <c r="C544" s="130" t="s">
        <v>2063</v>
      </c>
      <c r="D544" s="130" t="str">
        <f>IF('SIG 2021'!$D547="","",'SIG 2021'!$D547)</f>
        <v>Yes</v>
      </c>
      <c r="E544" s="130" t="str">
        <f>IF('SIG 2021'!$E547="","",'SIG 2021'!$E547)</f>
        <v/>
      </c>
      <c r="F544" s="130" t="str">
        <f>IF('SIG 2021'!$F547="","",'SIG 2021'!F547)</f>
        <v/>
      </c>
      <c r="G544" s="130" t="s">
        <v>2033</v>
      </c>
      <c r="H544" s="130" t="s">
        <v>2055</v>
      </c>
      <c r="I544" s="130" t="s">
        <v>2016</v>
      </c>
      <c r="J544" s="130"/>
      <c r="K544" s="130" t="str">
        <f>IF('SIG 2021'!$AM547="","",'SIG 2021'!$AM547)</f>
        <v/>
      </c>
      <c r="L544" s="130" t="str">
        <f>IF('SIG 2021'!$AN547="","",'SIG 2021'!$AN547)</f>
        <v/>
      </c>
      <c r="M544" s="130" t="str">
        <f>IF('SIG 2021'!$AO547="","",'SIG 2021'!$AO547)</f>
        <v/>
      </c>
    </row>
    <row r="545" spans="1:13" ht="43.2" x14ac:dyDescent="0.5">
      <c r="A545" s="130">
        <v>4076</v>
      </c>
      <c r="B545" s="130" t="s">
        <v>2064</v>
      </c>
      <c r="C545" s="130" t="s">
        <v>2065</v>
      </c>
      <c r="D545" s="130" t="str">
        <f>IF('SIG 2021'!$D548="","",'SIG 2021'!$D548)</f>
        <v>Yes</v>
      </c>
      <c r="E545" s="130" t="str">
        <f>IF('SIG 2021'!$E548="","",'SIG 2021'!$E548)</f>
        <v/>
      </c>
      <c r="F545" s="130" t="str">
        <f>IF('SIG 2021'!$F548="","",'SIG 2021'!F548)</f>
        <v/>
      </c>
      <c r="G545" s="130" t="s">
        <v>2033</v>
      </c>
      <c r="H545" s="130" t="s">
        <v>2055</v>
      </c>
      <c r="I545" s="130"/>
      <c r="J545" s="130"/>
      <c r="K545" s="130" t="str">
        <f>IF('SIG 2021'!$AM548="","",'SIG 2021'!$AM548)</f>
        <v/>
      </c>
      <c r="L545" s="130" t="str">
        <f>IF('SIG 2021'!$AN548="","",'SIG 2021'!$AN548)</f>
        <v/>
      </c>
      <c r="M545" s="130" t="str">
        <f>IF('SIG 2021'!$AO548="","",'SIG 2021'!$AO548)</f>
        <v/>
      </c>
    </row>
    <row r="546" spans="1:13" ht="43.2" x14ac:dyDescent="0.5">
      <c r="A546" s="130">
        <v>4077</v>
      </c>
      <c r="B546" s="130" t="s">
        <v>2066</v>
      </c>
      <c r="C546" s="130" t="s">
        <v>2067</v>
      </c>
      <c r="D546" s="130" t="str">
        <f>IF('SIG 2021'!$D549="","",'SIG 2021'!$D549)</f>
        <v>Yes</v>
      </c>
      <c r="E546" s="130" t="str">
        <f>IF('SIG 2021'!$E549="","",'SIG 2021'!$E549)</f>
        <v/>
      </c>
      <c r="F546" s="130" t="str">
        <f>IF('SIG 2021'!$F549="","",'SIG 2021'!F549)</f>
        <v/>
      </c>
      <c r="G546" s="130" t="s">
        <v>2033</v>
      </c>
      <c r="H546" s="130" t="s">
        <v>2055</v>
      </c>
      <c r="I546" s="130" t="s">
        <v>2016</v>
      </c>
      <c r="J546" s="130"/>
      <c r="K546" s="130" t="str">
        <f>IF('SIG 2021'!$AM549="","",'SIG 2021'!$AM549)</f>
        <v/>
      </c>
      <c r="L546" s="130" t="str">
        <f>IF('SIG 2021'!$AN549="","",'SIG 2021'!$AN549)</f>
        <v/>
      </c>
      <c r="M546" s="130" t="str">
        <f>IF('SIG 2021'!$AO549="","",'SIG 2021'!$AO549)</f>
        <v/>
      </c>
    </row>
    <row r="547" spans="1:13" ht="43.2" x14ac:dyDescent="0.5">
      <c r="A547" s="130">
        <v>2762</v>
      </c>
      <c r="B547" s="130" t="s">
        <v>2068</v>
      </c>
      <c r="C547" s="130" t="s">
        <v>2069</v>
      </c>
      <c r="D547" s="130" t="str">
        <f>IF('SIG 2021'!$D550="","",'SIG 2021'!$D550)</f>
        <v>Yes</v>
      </c>
      <c r="E547" s="130" t="str">
        <f>IF('SIG 2021'!$E550="","",'SIG 2021'!$E550)</f>
        <v/>
      </c>
      <c r="F547" s="130" t="str">
        <f>IF('SIG 2021'!$F550="","",'SIG 2021'!F550)</f>
        <v/>
      </c>
      <c r="G547" s="130" t="s">
        <v>2033</v>
      </c>
      <c r="H547" s="130" t="s">
        <v>2055</v>
      </c>
      <c r="I547" s="130" t="s">
        <v>2016</v>
      </c>
      <c r="J547" s="130"/>
      <c r="K547" s="130" t="str">
        <f>IF('SIG 2021'!$AM550="","",'SIG 2021'!$AM550)</f>
        <v/>
      </c>
      <c r="L547" s="130" t="str">
        <f>IF('SIG 2021'!$AN550="","",'SIG 2021'!$AN550)</f>
        <v/>
      </c>
      <c r="M547" s="130" t="str">
        <f>IF('SIG 2021'!$AO550="","",'SIG 2021'!$AO550)</f>
        <v/>
      </c>
    </row>
    <row r="548" spans="1:13" ht="43.2" x14ac:dyDescent="0.5">
      <c r="A548" s="130">
        <v>2763</v>
      </c>
      <c r="B548" s="130" t="s">
        <v>2070</v>
      </c>
      <c r="C548" s="130" t="s">
        <v>2071</v>
      </c>
      <c r="D548" s="130" t="str">
        <f>IF('SIG 2021'!$D551="","",'SIG 2021'!$D551)</f>
        <v>Yes</v>
      </c>
      <c r="E548" s="130" t="str">
        <f>IF('SIG 2021'!$E551="","",'SIG 2021'!$E551)</f>
        <v/>
      </c>
      <c r="F548" s="130" t="str">
        <f>IF('SIG 2021'!$F551="","",'SIG 2021'!F551)</f>
        <v/>
      </c>
      <c r="G548" s="130" t="s">
        <v>2033</v>
      </c>
      <c r="H548" s="130" t="s">
        <v>2055</v>
      </c>
      <c r="I548" s="130" t="s">
        <v>2016</v>
      </c>
      <c r="J548" s="130"/>
      <c r="K548" s="130" t="str">
        <f>IF('SIG 2021'!$AM551="","",'SIG 2021'!$AM551)</f>
        <v/>
      </c>
      <c r="L548" s="130" t="str">
        <f>IF('SIG 2021'!$AN551="","",'SIG 2021'!$AN551)</f>
        <v/>
      </c>
      <c r="M548" s="130" t="str">
        <f>IF('SIG 2021'!$AO551="","",'SIG 2021'!$AO551)</f>
        <v/>
      </c>
    </row>
    <row r="549" spans="1:13" ht="43.2" x14ac:dyDescent="0.5">
      <c r="A549" s="130">
        <v>2764</v>
      </c>
      <c r="B549" s="130" t="s">
        <v>2072</v>
      </c>
      <c r="C549" s="130" t="s">
        <v>2073</v>
      </c>
      <c r="D549" s="130" t="str">
        <f>IF('SIG 2021'!$D552="","",'SIG 2021'!$D552)</f>
        <v>Yes</v>
      </c>
      <c r="E549" s="130" t="str">
        <f>IF('SIG 2021'!$E552="","",'SIG 2021'!$E552)</f>
        <v/>
      </c>
      <c r="F549" s="130" t="str">
        <f>IF('SIG 2021'!$F552="","",'SIG 2021'!F552)</f>
        <v/>
      </c>
      <c r="G549" s="130" t="s">
        <v>2033</v>
      </c>
      <c r="H549" s="130" t="s">
        <v>2055</v>
      </c>
      <c r="I549" s="130" t="s">
        <v>2016</v>
      </c>
      <c r="J549" s="130"/>
      <c r="K549" s="130" t="str">
        <f>IF('SIG 2021'!$AM552="","",'SIG 2021'!$AM552)</f>
        <v/>
      </c>
      <c r="L549" s="130" t="str">
        <f>IF('SIG 2021'!$AN552="","",'SIG 2021'!$AN552)</f>
        <v/>
      </c>
      <c r="M549" s="130" t="str">
        <f>IF('SIG 2021'!$AO552="","",'SIG 2021'!$AO552)</f>
        <v/>
      </c>
    </row>
    <row r="550" spans="1:13" ht="72" x14ac:dyDescent="0.5">
      <c r="A550" s="130">
        <v>4078</v>
      </c>
      <c r="B550" s="130" t="s">
        <v>2074</v>
      </c>
      <c r="C550" s="130" t="s">
        <v>2075</v>
      </c>
      <c r="D550" s="130" t="str">
        <f>IF('SIG 2021'!$D553="","",'SIG 2021'!$D553)</f>
        <v>Yes</v>
      </c>
      <c r="E550" s="130" t="str">
        <f>IF('SIG 2021'!$E553="","",'SIG 2021'!$E553)</f>
        <v/>
      </c>
      <c r="F550" s="130" t="str">
        <f>IF('SIG 2021'!$F553="","",'SIG 2021'!F553)</f>
        <v/>
      </c>
      <c r="G550" s="130" t="s">
        <v>2033</v>
      </c>
      <c r="H550" s="130" t="s">
        <v>2055</v>
      </c>
      <c r="I550" s="130"/>
      <c r="J550" s="130"/>
      <c r="K550" s="130" t="str">
        <f>IF('SIG 2021'!$AM553="","",'SIG 2021'!$AM553)</f>
        <v/>
      </c>
      <c r="L550" s="130" t="str">
        <f>IF('SIG 2021'!$AN553="","",'SIG 2021'!$AN553)</f>
        <v/>
      </c>
      <c r="M550" s="130" t="str">
        <f>IF('SIG 2021'!$AO553="","",'SIG 2021'!$AO553)</f>
        <v/>
      </c>
    </row>
    <row r="551" spans="1:13" ht="43.2" x14ac:dyDescent="0.5">
      <c r="A551" s="130">
        <v>5867</v>
      </c>
      <c r="B551" s="130" t="s">
        <v>2076</v>
      </c>
      <c r="C551" s="130" t="s">
        <v>2077</v>
      </c>
      <c r="D551" s="130" t="str">
        <f>IF('SIG 2021'!$D554="","",'SIG 2021'!$D554)</f>
        <v>Yes</v>
      </c>
      <c r="E551" s="130" t="str">
        <f>IF('SIG 2021'!$E554="","",'SIG 2021'!$E554)</f>
        <v/>
      </c>
      <c r="F551" s="130" t="str">
        <f>IF('SIG 2021'!$F554="","",'SIG 2021'!F554)</f>
        <v/>
      </c>
      <c r="G551" s="130" t="s">
        <v>2033</v>
      </c>
      <c r="H551" s="130" t="s">
        <v>2078</v>
      </c>
      <c r="I551" s="130" t="s">
        <v>2016</v>
      </c>
      <c r="J551" s="130"/>
      <c r="K551" s="130" t="str">
        <f>IF('SIG 2021'!$AM554="","",'SIG 2021'!$AM554)</f>
        <v/>
      </c>
      <c r="L551" s="130" t="str">
        <f>IF('SIG 2021'!$AN554="","",'SIG 2021'!$AN554)</f>
        <v/>
      </c>
      <c r="M551" s="130" t="str">
        <f>IF('SIG 2021'!$AO554="","",'SIG 2021'!$AO554)</f>
        <v/>
      </c>
    </row>
    <row r="552" spans="1:13" ht="43.2" x14ac:dyDescent="0.5">
      <c r="A552" s="130">
        <v>5868</v>
      </c>
      <c r="B552" s="130" t="s">
        <v>2079</v>
      </c>
      <c r="C552" s="130" t="s">
        <v>2080</v>
      </c>
      <c r="D552" s="130" t="str">
        <f>IF('SIG 2021'!$D555="","",'SIG 2021'!$D555)</f>
        <v>Yes</v>
      </c>
      <c r="E552" s="130" t="str">
        <f>IF('SIG 2021'!$E555="","",'SIG 2021'!$E555)</f>
        <v/>
      </c>
      <c r="F552" s="130" t="str">
        <f>IF('SIG 2021'!$F555="","",'SIG 2021'!F555)</f>
        <v/>
      </c>
      <c r="G552" s="130" t="s">
        <v>2033</v>
      </c>
      <c r="H552" s="130" t="s">
        <v>2078</v>
      </c>
      <c r="I552" s="130" t="s">
        <v>2016</v>
      </c>
      <c r="J552" s="130"/>
      <c r="K552" s="130" t="str">
        <f>IF('SIG 2021'!$AM555="","",'SIG 2021'!$AM555)</f>
        <v/>
      </c>
      <c r="L552" s="130" t="str">
        <f>IF('SIG 2021'!$AN555="","",'SIG 2021'!$AN555)</f>
        <v/>
      </c>
      <c r="M552" s="130" t="str">
        <f>IF('SIG 2021'!$AO555="","",'SIG 2021'!$AO555)</f>
        <v/>
      </c>
    </row>
    <row r="553" spans="1:13" ht="43.2" x14ac:dyDescent="0.5">
      <c r="A553" s="130">
        <v>5869</v>
      </c>
      <c r="B553" s="130" t="s">
        <v>2081</v>
      </c>
      <c r="C553" s="130" t="s">
        <v>2082</v>
      </c>
      <c r="D553" s="130" t="str">
        <f>IF('SIG 2021'!$D556="","",'SIG 2021'!$D556)</f>
        <v>Yes</v>
      </c>
      <c r="E553" s="130" t="str">
        <f>IF('SIG 2021'!$E556="","",'SIG 2021'!$E556)</f>
        <v/>
      </c>
      <c r="F553" s="130" t="str">
        <f>IF('SIG 2021'!$F556="","",'SIG 2021'!F556)</f>
        <v/>
      </c>
      <c r="G553" s="130" t="s">
        <v>2033</v>
      </c>
      <c r="H553" s="130" t="s">
        <v>2078</v>
      </c>
      <c r="I553" s="130"/>
      <c r="J553" s="130"/>
      <c r="K553" s="130" t="str">
        <f>IF('SIG 2021'!$AM556="","",'SIG 2021'!$AM556)</f>
        <v/>
      </c>
      <c r="L553" s="130" t="str">
        <f>IF('SIG 2021'!$AN556="","",'SIG 2021'!$AN556)</f>
        <v/>
      </c>
      <c r="M553" s="130" t="str">
        <f>IF('SIG 2021'!$AO556="","",'SIG 2021'!$AO556)</f>
        <v/>
      </c>
    </row>
    <row r="554" spans="1:13" ht="57.6" x14ac:dyDescent="0.5">
      <c r="A554" s="130">
        <v>5872</v>
      </c>
      <c r="B554" s="130" t="s">
        <v>2083</v>
      </c>
      <c r="C554" s="130" t="s">
        <v>2084</v>
      </c>
      <c r="D554" s="130" t="str">
        <f>IF('SIG 2021'!$D557="","",'SIG 2021'!$D557)</f>
        <v>Yes</v>
      </c>
      <c r="E554" s="130" t="str">
        <f>IF('SIG 2021'!$E557="","",'SIG 2021'!$E557)</f>
        <v/>
      </c>
      <c r="F554" s="130" t="str">
        <f>IF('SIG 2021'!$F557="","",'SIG 2021'!F557)</f>
        <v/>
      </c>
      <c r="G554" s="130" t="s">
        <v>2033</v>
      </c>
      <c r="H554" s="130" t="s">
        <v>2078</v>
      </c>
      <c r="I554" s="130"/>
      <c r="J554" s="130"/>
      <c r="K554" s="130" t="str">
        <f>IF('SIG 2021'!$AM557="","",'SIG 2021'!$AM557)</f>
        <v/>
      </c>
      <c r="L554" s="130" t="str">
        <f>IF('SIG 2021'!$AN557="","",'SIG 2021'!$AN557)</f>
        <v/>
      </c>
      <c r="M554" s="130" t="str">
        <f>IF('SIG 2021'!$AO557="","",'SIG 2021'!$AO557)</f>
        <v/>
      </c>
    </row>
    <row r="555" spans="1:13" ht="43.2" x14ac:dyDescent="0.5">
      <c r="A555" s="130">
        <v>4063</v>
      </c>
      <c r="B555" s="130" t="s">
        <v>2085</v>
      </c>
      <c r="C555" s="130" t="s">
        <v>2086</v>
      </c>
      <c r="D555" s="130" t="str">
        <f>IF('SIG 2021'!$D558="","",'SIG 2021'!$D558)</f>
        <v>Yes</v>
      </c>
      <c r="E555" s="130" t="str">
        <f>IF('SIG 2021'!$E558="","",'SIG 2021'!$E558)</f>
        <v/>
      </c>
      <c r="F555" s="130" t="str">
        <f>IF('SIG 2021'!$F558="","",'SIG 2021'!F558)</f>
        <v/>
      </c>
      <c r="G555" s="130" t="s">
        <v>2087</v>
      </c>
      <c r="H555" s="130" t="s">
        <v>2088</v>
      </c>
      <c r="I555" s="130" t="s">
        <v>2016</v>
      </c>
      <c r="J555" s="130"/>
      <c r="K555" s="130" t="str">
        <f>IF('SIG 2021'!$AM558="","",'SIG 2021'!$AM558)</f>
        <v/>
      </c>
      <c r="L555" s="130" t="str">
        <f>IF('SIG 2021'!$AN558="","",'SIG 2021'!$AN558)</f>
        <v/>
      </c>
      <c r="M555" s="130" t="str">
        <f>IF('SIG 2021'!$AO558="","",'SIG 2021'!$AO558)</f>
        <v/>
      </c>
    </row>
    <row r="556" spans="1:13" ht="57.6" x14ac:dyDescent="0.5">
      <c r="A556" s="130">
        <v>4065</v>
      </c>
      <c r="B556" s="130" t="s">
        <v>2089</v>
      </c>
      <c r="C556" s="130" t="s">
        <v>2090</v>
      </c>
      <c r="D556" s="130" t="str">
        <f>IF('SIG 2021'!$D559="","",'SIG 2021'!$D559)</f>
        <v>Yes</v>
      </c>
      <c r="E556" s="130" t="str">
        <f>IF('SIG 2021'!$E559="","",'SIG 2021'!$E559)</f>
        <v/>
      </c>
      <c r="F556" s="130" t="str">
        <f>IF('SIG 2021'!$F559="","",'SIG 2021'!F559)</f>
        <v/>
      </c>
      <c r="G556" s="130" t="s">
        <v>2087</v>
      </c>
      <c r="H556" s="130" t="s">
        <v>2091</v>
      </c>
      <c r="I556" s="130" t="s">
        <v>2016</v>
      </c>
      <c r="J556" s="130"/>
      <c r="K556" s="130" t="str">
        <f>IF('SIG 2021'!$AM559="","",'SIG 2021'!$AM559)</f>
        <v/>
      </c>
      <c r="L556" s="130" t="str">
        <f>IF('SIG 2021'!$AN559="","",'SIG 2021'!$AN559)</f>
        <v/>
      </c>
      <c r="M556" s="130" t="str">
        <f>IF('SIG 2021'!$AO559="","",'SIG 2021'!$AO559)</f>
        <v/>
      </c>
    </row>
    <row r="557" spans="1:13" ht="86.4" x14ac:dyDescent="0.5">
      <c r="A557" s="130">
        <v>4079</v>
      </c>
      <c r="B557" s="130" t="s">
        <v>2092</v>
      </c>
      <c r="C557" s="130" t="s">
        <v>2093</v>
      </c>
      <c r="D557" s="130" t="str">
        <f>IF('SIG 2021'!$D560="","",'SIG 2021'!$D560)</f>
        <v>Yes</v>
      </c>
      <c r="E557" s="130" t="str">
        <f>IF('SIG 2021'!$E560="","",'SIG 2021'!$E560)</f>
        <v/>
      </c>
      <c r="F557" s="130" t="str">
        <f>IF('SIG 2021'!$F560="","",'SIG 2021'!F560)</f>
        <v/>
      </c>
      <c r="G557" s="130" t="s">
        <v>2087</v>
      </c>
      <c r="H557" s="130" t="s">
        <v>2094</v>
      </c>
      <c r="I557" s="130" t="s">
        <v>2016</v>
      </c>
      <c r="J557" s="130"/>
      <c r="K557" s="130" t="str">
        <f>IF('SIG 2021'!$AM560="","",'SIG 2021'!$AM560)</f>
        <v/>
      </c>
      <c r="L557" s="130" t="str">
        <f>IF('SIG 2021'!$AN560="","",'SIG 2021'!$AN560)</f>
        <v/>
      </c>
      <c r="M557" s="130" t="str">
        <f>IF('SIG 2021'!$AO560="","",'SIG 2021'!$AO560)</f>
        <v/>
      </c>
    </row>
    <row r="558" spans="1:13" ht="86.4" x14ac:dyDescent="0.5">
      <c r="A558" s="130">
        <v>4080</v>
      </c>
      <c r="B558" s="130" t="s">
        <v>2095</v>
      </c>
      <c r="C558" s="130" t="s">
        <v>2096</v>
      </c>
      <c r="D558" s="130" t="str">
        <f>IF('SIG 2021'!$D561="","",'SIG 2021'!$D561)</f>
        <v>Yes</v>
      </c>
      <c r="E558" s="130" t="str">
        <f>IF('SIG 2021'!$E561="","",'SIG 2021'!$E561)</f>
        <v/>
      </c>
      <c r="F558" s="130" t="str">
        <f>IF('SIG 2021'!$F561="","",'SIG 2021'!F561)</f>
        <v/>
      </c>
      <c r="G558" s="130" t="s">
        <v>2087</v>
      </c>
      <c r="H558" s="130" t="s">
        <v>2094</v>
      </c>
      <c r="I558" s="130" t="s">
        <v>2016</v>
      </c>
      <c r="J558" s="130"/>
      <c r="K558" s="130" t="str">
        <f>IF('SIG 2021'!$AM561="","",'SIG 2021'!$AM561)</f>
        <v/>
      </c>
      <c r="L558" s="130" t="str">
        <f>IF('SIG 2021'!$AN561="","",'SIG 2021'!$AN561)</f>
        <v/>
      </c>
      <c r="M558" s="130" t="str">
        <f>IF('SIG 2021'!$AO561="","",'SIG 2021'!$AO561)</f>
        <v/>
      </c>
    </row>
    <row r="559" spans="1:13" ht="43.2" x14ac:dyDescent="0.5">
      <c r="A559" s="130">
        <v>4082</v>
      </c>
      <c r="B559" s="130" t="s">
        <v>2097</v>
      </c>
      <c r="C559" s="130" t="s">
        <v>2098</v>
      </c>
      <c r="D559" s="130" t="str">
        <f>IF('SIG 2021'!$D562="","",'SIG 2021'!$D562)</f>
        <v>Yes</v>
      </c>
      <c r="E559" s="130" t="str">
        <f>IF('SIG 2021'!$E562="","",'SIG 2021'!$E562)</f>
        <v/>
      </c>
      <c r="F559" s="130" t="str">
        <f>IF('SIG 2021'!$F562="","",'SIG 2021'!F562)</f>
        <v/>
      </c>
      <c r="G559" s="130" t="s">
        <v>2087</v>
      </c>
      <c r="H559" s="130" t="s">
        <v>2094</v>
      </c>
      <c r="I559" s="130" t="s">
        <v>2016</v>
      </c>
      <c r="J559" s="130"/>
      <c r="K559" s="130" t="str">
        <f>IF('SIG 2021'!$AM562="","",'SIG 2021'!$AM562)</f>
        <v/>
      </c>
      <c r="L559" s="130" t="str">
        <f>IF('SIG 2021'!$AN562="","",'SIG 2021'!$AN562)</f>
        <v/>
      </c>
      <c r="M559" s="130" t="str">
        <f>IF('SIG 2021'!$AO562="","",'SIG 2021'!$AO562)</f>
        <v/>
      </c>
    </row>
    <row r="560" spans="1:13" ht="43.2" x14ac:dyDescent="0.5">
      <c r="A560" s="130">
        <v>4083</v>
      </c>
      <c r="B560" s="130" t="s">
        <v>2099</v>
      </c>
      <c r="C560" s="130" t="s">
        <v>2100</v>
      </c>
      <c r="D560" s="130" t="str">
        <f>IF('SIG 2021'!$D563="","",'SIG 2021'!$D563)</f>
        <v>Yes</v>
      </c>
      <c r="E560" s="130" t="str">
        <f>IF('SIG 2021'!$E563="","",'SIG 2021'!$E563)</f>
        <v/>
      </c>
      <c r="F560" s="130" t="str">
        <f>IF('SIG 2021'!$F563="","",'SIG 2021'!F563)</f>
        <v/>
      </c>
      <c r="G560" s="130" t="s">
        <v>2087</v>
      </c>
      <c r="H560" s="130" t="s">
        <v>2094</v>
      </c>
      <c r="I560" s="130" t="s">
        <v>2016</v>
      </c>
      <c r="J560" s="130"/>
      <c r="K560" s="130" t="str">
        <f>IF('SIG 2021'!$AM563="","",'SIG 2021'!$AM563)</f>
        <v/>
      </c>
      <c r="L560" s="130" t="str">
        <f>IF('SIG 2021'!$AN563="","",'SIG 2021'!$AN563)</f>
        <v/>
      </c>
      <c r="M560" s="130" t="str">
        <f>IF('SIG 2021'!$AO563="","",'SIG 2021'!$AO563)</f>
        <v/>
      </c>
    </row>
    <row r="561" spans="1:13" ht="28.8" x14ac:dyDescent="0.5">
      <c r="A561" s="130">
        <v>4084</v>
      </c>
      <c r="B561" s="130" t="s">
        <v>2101</v>
      </c>
      <c r="C561" s="130" t="s">
        <v>2102</v>
      </c>
      <c r="D561" s="130" t="str">
        <f>IF('SIG 2021'!$D564="","",'SIG 2021'!$D564)</f>
        <v>Yes</v>
      </c>
      <c r="E561" s="130" t="str">
        <f>IF('SIG 2021'!$E564="","",'SIG 2021'!$E564)</f>
        <v/>
      </c>
      <c r="F561" s="130" t="str">
        <f>IF('SIG 2021'!$F564="","",'SIG 2021'!F564)</f>
        <v/>
      </c>
      <c r="G561" s="130" t="s">
        <v>2103</v>
      </c>
      <c r="H561" s="130" t="s">
        <v>2104</v>
      </c>
      <c r="I561" s="130" t="s">
        <v>2016</v>
      </c>
      <c r="J561" s="130"/>
      <c r="K561" s="130" t="str">
        <f>IF('SIG 2021'!$AM564="","",'SIG 2021'!$AM564)</f>
        <v/>
      </c>
      <c r="L561" s="130" t="str">
        <f>IF('SIG 2021'!$AN564="","",'SIG 2021'!$AN564)</f>
        <v/>
      </c>
      <c r="M561" s="130" t="str">
        <f>IF('SIG 2021'!$AO564="","",'SIG 2021'!$AO564)</f>
        <v/>
      </c>
    </row>
    <row r="562" spans="1:13" ht="28.8" x14ac:dyDescent="0.5">
      <c r="A562" s="130">
        <v>2305</v>
      </c>
      <c r="B562" s="130" t="s">
        <v>2105</v>
      </c>
      <c r="C562" s="130" t="s">
        <v>2106</v>
      </c>
      <c r="D562" s="130" t="str">
        <f>IF('SIG 2021'!$D565="","",'SIG 2021'!$D565)</f>
        <v>Yes</v>
      </c>
      <c r="E562" s="130" t="str">
        <f>IF('SIG 2021'!$E565="","",'SIG 2021'!$E565)</f>
        <v/>
      </c>
      <c r="F562" s="130" t="str">
        <f>IF('SIG 2021'!$F565="","",'SIG 2021'!F565)</f>
        <v/>
      </c>
      <c r="G562" s="130" t="s">
        <v>2107</v>
      </c>
      <c r="H562" s="130" t="s">
        <v>2108</v>
      </c>
      <c r="I562" s="130" t="s">
        <v>2016</v>
      </c>
      <c r="J562" s="130"/>
      <c r="K562" s="130" t="str">
        <f>IF('SIG 2021'!$AM565="","",'SIG 2021'!$AM565)</f>
        <v/>
      </c>
      <c r="L562" s="130" t="str">
        <f>IF('SIG 2021'!$AN565="","",'SIG 2021'!$AN565)</f>
        <v/>
      </c>
      <c r="M562" s="130" t="str">
        <f>IF('SIG 2021'!$AO565="","",'SIG 2021'!$AO565)</f>
        <v/>
      </c>
    </row>
    <row r="563" spans="1:13" ht="57.6" x14ac:dyDescent="0.5">
      <c r="A563" s="130">
        <v>5788</v>
      </c>
      <c r="B563" s="130" t="s">
        <v>2109</v>
      </c>
      <c r="C563" s="130" t="s">
        <v>2110</v>
      </c>
      <c r="D563" s="130" t="str">
        <f>IF('SIG 2021'!$D566="","",'SIG 2021'!$D566)</f>
        <v>Yes</v>
      </c>
      <c r="E563" s="130" t="str">
        <f>IF('SIG 2021'!$E566="","",'SIG 2021'!$E566)</f>
        <v/>
      </c>
      <c r="F563" s="130" t="str">
        <f>IF('SIG 2021'!$F566="","",'SIG 2021'!F566)</f>
        <v/>
      </c>
      <c r="G563" s="130" t="s">
        <v>2107</v>
      </c>
      <c r="H563" s="130" t="s">
        <v>2108</v>
      </c>
      <c r="I563" s="130" t="s">
        <v>2111</v>
      </c>
      <c r="J563" s="130"/>
      <c r="K563" s="130" t="str">
        <f>IF('SIG 2021'!$AM566="","",'SIG 2021'!$AM566)</f>
        <v/>
      </c>
      <c r="L563" s="130" t="str">
        <f>IF('SIG 2021'!$AN566="","",'SIG 2021'!$AN566)</f>
        <v/>
      </c>
      <c r="M563" s="130" t="str">
        <f>IF('SIG 2021'!$AO566="","",'SIG 2021'!$AO566)</f>
        <v/>
      </c>
    </row>
    <row r="564" spans="1:13" ht="57.6" x14ac:dyDescent="0.5">
      <c r="A564" s="130">
        <v>5789</v>
      </c>
      <c r="B564" s="130" t="s">
        <v>2112</v>
      </c>
      <c r="C564" s="130" t="s">
        <v>2113</v>
      </c>
      <c r="D564" s="130" t="str">
        <f>IF('SIG 2021'!$D567="","",'SIG 2021'!$D567)</f>
        <v>Yes</v>
      </c>
      <c r="E564" s="130" t="str">
        <f>IF('SIG 2021'!$E567="","",'SIG 2021'!$E567)</f>
        <v/>
      </c>
      <c r="F564" s="130" t="str">
        <f>IF('SIG 2021'!$F567="","",'SIG 2021'!F567)</f>
        <v/>
      </c>
      <c r="G564" s="130" t="s">
        <v>2107</v>
      </c>
      <c r="H564" s="130" t="s">
        <v>2108</v>
      </c>
      <c r="I564" s="130"/>
      <c r="J564" s="130"/>
      <c r="K564" s="130" t="str">
        <f>IF('SIG 2021'!$AM567="","",'SIG 2021'!$AM567)</f>
        <v/>
      </c>
      <c r="L564" s="130" t="str">
        <f>IF('SIG 2021'!$AN567="","",'SIG 2021'!$AN567)</f>
        <v/>
      </c>
      <c r="M564" s="130" t="str">
        <f>IF('SIG 2021'!$AO567="","",'SIG 2021'!$AO567)</f>
        <v/>
      </c>
    </row>
    <row r="565" spans="1:13" ht="72" x14ac:dyDescent="0.5">
      <c r="A565" s="130">
        <v>5790</v>
      </c>
      <c r="B565" s="130" t="s">
        <v>2114</v>
      </c>
      <c r="C565" s="130" t="s">
        <v>2115</v>
      </c>
      <c r="D565" s="130" t="str">
        <f>IF('SIG 2021'!$D568="","",'SIG 2021'!$D568)</f>
        <v>Yes</v>
      </c>
      <c r="E565" s="130" t="str">
        <f>IF('SIG 2021'!$E568="","",'SIG 2021'!$E568)</f>
        <v/>
      </c>
      <c r="F565" s="130" t="str">
        <f>IF('SIG 2021'!$F568="","",'SIG 2021'!F568)</f>
        <v/>
      </c>
      <c r="G565" s="130" t="s">
        <v>2107</v>
      </c>
      <c r="H565" s="130" t="s">
        <v>2108</v>
      </c>
      <c r="I565" s="130" t="s">
        <v>2111</v>
      </c>
      <c r="J565" s="130"/>
      <c r="K565" s="130" t="str">
        <f>IF('SIG 2021'!$AM568="","",'SIG 2021'!$AM568)</f>
        <v/>
      </c>
      <c r="L565" s="130" t="str">
        <f>IF('SIG 2021'!$AN568="","",'SIG 2021'!$AN568)</f>
        <v/>
      </c>
      <c r="M565" s="130" t="str">
        <f>IF('SIG 2021'!$AO568="","",'SIG 2021'!$AO568)</f>
        <v/>
      </c>
    </row>
    <row r="566" spans="1:13" ht="57.6" x14ac:dyDescent="0.5">
      <c r="A566" s="130">
        <v>5791</v>
      </c>
      <c r="B566" s="130" t="s">
        <v>2116</v>
      </c>
      <c r="C566" s="130" t="s">
        <v>2117</v>
      </c>
      <c r="D566" s="130" t="str">
        <f>IF('SIG 2021'!$D569="","",'SIG 2021'!$D569)</f>
        <v>Yes</v>
      </c>
      <c r="E566" s="130" t="str">
        <f>IF('SIG 2021'!$E569="","",'SIG 2021'!$E569)</f>
        <v/>
      </c>
      <c r="F566" s="130" t="str">
        <f>IF('SIG 2021'!$F569="","",'SIG 2021'!F569)</f>
        <v/>
      </c>
      <c r="G566" s="130" t="s">
        <v>2107</v>
      </c>
      <c r="H566" s="130" t="s">
        <v>2108</v>
      </c>
      <c r="I566" s="130" t="s">
        <v>2111</v>
      </c>
      <c r="J566" s="130"/>
      <c r="K566" s="130" t="str">
        <f>IF('SIG 2021'!$AM569="","",'SIG 2021'!$AM569)</f>
        <v/>
      </c>
      <c r="L566" s="130" t="str">
        <f>IF('SIG 2021'!$AN569="","",'SIG 2021'!$AN569)</f>
        <v/>
      </c>
      <c r="M566" s="130" t="str">
        <f>IF('SIG 2021'!$AO569="","",'SIG 2021'!$AO569)</f>
        <v/>
      </c>
    </row>
    <row r="567" spans="1:13" ht="72" x14ac:dyDescent="0.5">
      <c r="A567" s="130">
        <v>5792</v>
      </c>
      <c r="B567" s="130" t="s">
        <v>2118</v>
      </c>
      <c r="C567" s="130" t="s">
        <v>2119</v>
      </c>
      <c r="D567" s="130" t="str">
        <f>IF('SIG 2021'!$D570="","",'SIG 2021'!$D570)</f>
        <v>Yes</v>
      </c>
      <c r="E567" s="130" t="str">
        <f>IF('SIG 2021'!$E570="","",'SIG 2021'!$E570)</f>
        <v/>
      </c>
      <c r="F567" s="130" t="str">
        <f>IF('SIG 2021'!$F570="","",'SIG 2021'!F570)</f>
        <v/>
      </c>
      <c r="G567" s="130" t="s">
        <v>2107</v>
      </c>
      <c r="H567" s="130" t="s">
        <v>2108</v>
      </c>
      <c r="I567" s="130"/>
      <c r="J567" s="130"/>
      <c r="K567" s="130" t="str">
        <f>IF('SIG 2021'!$AM570="","",'SIG 2021'!$AM570)</f>
        <v/>
      </c>
      <c r="L567" s="130" t="str">
        <f>IF('SIG 2021'!$AN570="","",'SIG 2021'!$AN570)</f>
        <v/>
      </c>
      <c r="M567" s="130" t="str">
        <f>IF('SIG 2021'!$AO570="","",'SIG 2021'!$AO570)</f>
        <v/>
      </c>
    </row>
    <row r="568" spans="1:13" ht="57.6" x14ac:dyDescent="0.5">
      <c r="A568" s="130">
        <v>3637</v>
      </c>
      <c r="B568" s="130" t="s">
        <v>2120</v>
      </c>
      <c r="C568" s="130" t="s">
        <v>2121</v>
      </c>
      <c r="D568" s="130" t="str">
        <f>IF('SIG 2021'!$D571="","",'SIG 2021'!$D571)</f>
        <v>Yes</v>
      </c>
      <c r="E568" s="130" t="str">
        <f>IF('SIG 2021'!$E571="","",'SIG 2021'!$E571)</f>
        <v/>
      </c>
      <c r="F568" s="130" t="str">
        <f>IF('SIG 2021'!$F571="","",'SIG 2021'!F571)</f>
        <v/>
      </c>
      <c r="G568" s="130" t="s">
        <v>2122</v>
      </c>
      <c r="H568" s="130" t="s">
        <v>2123</v>
      </c>
      <c r="I568" s="130" t="s">
        <v>1929</v>
      </c>
      <c r="J568" s="130"/>
      <c r="K568" s="130" t="str">
        <f>IF('SIG 2021'!$AM571="","",'SIG 2021'!$AM571)</f>
        <v/>
      </c>
      <c r="L568" s="130" t="str">
        <f>IF('SIG 2021'!$AN571="","",'SIG 2021'!$AN571)</f>
        <v/>
      </c>
      <c r="M568" s="130" t="str">
        <f>IF('SIG 2021'!$AO571="","",'SIG 2021'!$AO571)</f>
        <v/>
      </c>
    </row>
    <row r="569" spans="1:13" ht="43.2" x14ac:dyDescent="0.5">
      <c r="A569" s="130">
        <v>3638</v>
      </c>
      <c r="B569" s="130" t="s">
        <v>2124</v>
      </c>
      <c r="C569" s="130" t="s">
        <v>2125</v>
      </c>
      <c r="D569" s="130" t="str">
        <f>IF('SIG 2021'!$D572="","",'SIG 2021'!$D572)</f>
        <v>Yes</v>
      </c>
      <c r="E569" s="130" t="str">
        <f>IF('SIG 2021'!$E572="","",'SIG 2021'!$E572)</f>
        <v>Built in geo-redundant cloud data centers</v>
      </c>
      <c r="F569" s="130" t="str">
        <f>IF('SIG 2021'!$F572="","",'SIG 2021'!F572)</f>
        <v/>
      </c>
      <c r="G569" s="130" t="s">
        <v>2122</v>
      </c>
      <c r="H569" s="130" t="s">
        <v>2127</v>
      </c>
      <c r="I569" s="130" t="s">
        <v>1929</v>
      </c>
      <c r="J569" s="130"/>
      <c r="K569" s="130" t="str">
        <f>IF('SIG 2021'!$AM572="","",'SIG 2021'!$AM572)</f>
        <v/>
      </c>
      <c r="L569" s="130" t="str">
        <f>IF('SIG 2021'!$AN572="","",'SIG 2021'!$AN572)</f>
        <v/>
      </c>
      <c r="M569" s="130" t="str">
        <f>IF('SIG 2021'!$AO572="","",'SIG 2021'!$AO572)</f>
        <v/>
      </c>
    </row>
    <row r="570" spans="1:13" ht="43.2" x14ac:dyDescent="0.5">
      <c r="A570" s="130">
        <v>3679</v>
      </c>
      <c r="B570" s="130" t="s">
        <v>2128</v>
      </c>
      <c r="C570" s="130" t="s">
        <v>2129</v>
      </c>
      <c r="D570" s="130" t="str">
        <f>IF('SIG 2021'!$D573="","",'SIG 2021'!$D573)</f>
        <v>Yes</v>
      </c>
      <c r="E570" s="130" t="str">
        <f>IF('SIG 2021'!$E573="","",'SIG 2021'!$E573)</f>
        <v/>
      </c>
      <c r="F570" s="130" t="str">
        <f>IF('SIG 2021'!$F573="","",'SIG 2021'!F573)</f>
        <v/>
      </c>
      <c r="G570" s="130" t="s">
        <v>2122</v>
      </c>
      <c r="H570" s="130" t="s">
        <v>2130</v>
      </c>
      <c r="I570" s="130" t="s">
        <v>1929</v>
      </c>
      <c r="J570" s="130"/>
      <c r="K570" s="130" t="str">
        <f>IF('SIG 2021'!$AM573="","",'SIG 2021'!$AM573)</f>
        <v/>
      </c>
      <c r="L570" s="130" t="str">
        <f>IF('SIG 2021'!$AN573="","",'SIG 2021'!$AN573)</f>
        <v/>
      </c>
      <c r="M570" s="130" t="str">
        <f>IF('SIG 2021'!$AO573="","",'SIG 2021'!$AO573)</f>
        <v/>
      </c>
    </row>
    <row r="571" spans="1:13" ht="331.2" x14ac:dyDescent="0.5">
      <c r="A571" s="130">
        <v>922</v>
      </c>
      <c r="B571" s="130" t="s">
        <v>2131</v>
      </c>
      <c r="C571" s="130" t="s">
        <v>2132</v>
      </c>
      <c r="D571" s="130" t="str">
        <f>IF('SIG 2021'!$D574="","",'SIG 2021'!$D574)</f>
        <v>Yes</v>
      </c>
      <c r="E571" s="130" t="str">
        <f>IF('SIG 2021'!$E574="","",'SIG 2021'!$E574)</f>
        <v>For the production environment, which operates with live customer data, regular backups are performed to ensure the integrity and recoverability of customers' data. Persistently stored data is actively geo-replicated in near real time to a geographically separate data center for immediate fail-over and seamless continuity of operations with no data loss in the event of a loss of database or storage service in the primary data center. Additionally, nightly full backups are performed with encrypted backups stored in an alternate data center. The backup process backs up customer files and databases and the restore from backup process is tested daily through normal operations, with automated alerts for failed instances.</v>
      </c>
      <c r="F571" s="130" t="str">
        <f>IF('SIG 2021'!$F574="","",'SIG 2021'!F574)</f>
        <v/>
      </c>
      <c r="G571" s="130" t="s">
        <v>2107</v>
      </c>
      <c r="H571" s="130" t="s">
        <v>2134</v>
      </c>
      <c r="I571" s="130"/>
      <c r="J571" s="130" t="s">
        <v>2135</v>
      </c>
      <c r="K571" s="130" t="str">
        <f>IF('SIG 2021'!$AM574="","",'SIG 2021'!$AM574)</f>
        <v/>
      </c>
      <c r="L571" s="130" t="str">
        <f>IF('SIG 2021'!$AN574="","",'SIG 2021'!$AN574)</f>
        <v/>
      </c>
      <c r="M571" s="130" t="str">
        <f>IF('SIG 2021'!$AO574="","",'SIG 2021'!$AO574)</f>
        <v/>
      </c>
    </row>
    <row r="572" spans="1:13" ht="43.2" x14ac:dyDescent="0.5">
      <c r="A572" s="130">
        <v>923</v>
      </c>
      <c r="B572" s="130" t="s">
        <v>2136</v>
      </c>
      <c r="C572" s="130" t="s">
        <v>2137</v>
      </c>
      <c r="D572" s="130" t="str">
        <f>IF('SIG 2021'!$D575="","",'SIG 2021'!$D575)</f>
        <v>Yes</v>
      </c>
      <c r="E572" s="130" t="str">
        <f>IF('SIG 2021'!$E575="","",'SIG 2021'!$E575)</f>
        <v/>
      </c>
      <c r="F572" s="130" t="str">
        <f>IF('SIG 2021'!$F575="","",'SIG 2021'!F575)</f>
        <v/>
      </c>
      <c r="G572" s="130" t="s">
        <v>2107</v>
      </c>
      <c r="H572" s="130" t="s">
        <v>2134</v>
      </c>
      <c r="I572" s="130" t="s">
        <v>2022</v>
      </c>
      <c r="J572" s="130" t="s">
        <v>2135</v>
      </c>
      <c r="K572" s="130" t="str">
        <f>IF('SIG 2021'!$AM575="","",'SIG 2021'!$AM575)</f>
        <v/>
      </c>
      <c r="L572" s="130" t="str">
        <f>IF('SIG 2021'!$AN575="","",'SIG 2021'!$AN575)</f>
        <v/>
      </c>
      <c r="M572" s="130" t="str">
        <f>IF('SIG 2021'!$AO575="","",'SIG 2021'!$AO575)</f>
        <v/>
      </c>
    </row>
    <row r="573" spans="1:13" ht="43.2" x14ac:dyDescent="0.5">
      <c r="A573" s="130">
        <v>2602</v>
      </c>
      <c r="B573" s="130" t="s">
        <v>2138</v>
      </c>
      <c r="C573" s="130" t="s">
        <v>2139</v>
      </c>
      <c r="D573" s="130" t="str">
        <f>IF('SIG 2021'!$D576="","",'SIG 2021'!$D576)</f>
        <v>Yes</v>
      </c>
      <c r="E573" s="130" t="str">
        <f>IF('SIG 2021'!$E576="","",'SIG 2021'!$E576)</f>
        <v/>
      </c>
      <c r="F573" s="130" t="str">
        <f>IF('SIG 2021'!$F576="","",'SIG 2021'!F576)</f>
        <v/>
      </c>
      <c r="G573" s="130" t="s">
        <v>2107</v>
      </c>
      <c r="H573" s="130" t="s">
        <v>2134</v>
      </c>
      <c r="I573" s="130" t="s">
        <v>2022</v>
      </c>
      <c r="J573" s="130" t="s">
        <v>2135</v>
      </c>
      <c r="K573" s="130" t="str">
        <f>IF('SIG 2021'!$AM576="","",'SIG 2021'!$AM576)</f>
        <v/>
      </c>
      <c r="L573" s="130" t="str">
        <f>IF('SIG 2021'!$AN576="","",'SIG 2021'!$AN576)</f>
        <v/>
      </c>
      <c r="M573" s="130" t="str">
        <f>IF('SIG 2021'!$AO576="","",'SIG 2021'!$AO576)</f>
        <v/>
      </c>
    </row>
    <row r="574" spans="1:13" ht="43.2" x14ac:dyDescent="0.5">
      <c r="A574" s="130">
        <v>4211</v>
      </c>
      <c r="B574" s="130" t="s">
        <v>2140</v>
      </c>
      <c r="C574" s="130" t="s">
        <v>2141</v>
      </c>
      <c r="D574" s="130" t="str">
        <f>IF('SIG 2021'!$D577="","",'SIG 2021'!$D577)</f>
        <v>Yes</v>
      </c>
      <c r="E574" s="130" t="str">
        <f>IF('SIG 2021'!$E577="","",'SIG 2021'!$E577)</f>
        <v/>
      </c>
      <c r="F574" s="130" t="str">
        <f>IF('SIG 2021'!$F577="","",'SIG 2021'!F577)</f>
        <v/>
      </c>
      <c r="G574" s="130" t="s">
        <v>2107</v>
      </c>
      <c r="H574" s="130" t="s">
        <v>2134</v>
      </c>
      <c r="I574" s="130"/>
      <c r="J574" s="130" t="s">
        <v>2135</v>
      </c>
      <c r="K574" s="130" t="str">
        <f>IF('SIG 2021'!$AM577="","",'SIG 2021'!$AM577)</f>
        <v/>
      </c>
      <c r="L574" s="130" t="str">
        <f>IF('SIG 2021'!$AN577="","",'SIG 2021'!$AN577)</f>
        <v/>
      </c>
      <c r="M574" s="130" t="str">
        <f>IF('SIG 2021'!$AO577="","",'SIG 2021'!$AO577)</f>
        <v/>
      </c>
    </row>
    <row r="575" spans="1:13" ht="43.2" x14ac:dyDescent="0.5">
      <c r="A575" s="130">
        <v>4469</v>
      </c>
      <c r="B575" s="130" t="s">
        <v>2142</v>
      </c>
      <c r="C575" s="130" t="s">
        <v>2143</v>
      </c>
      <c r="D575" s="130" t="str">
        <f>IF('SIG 2021'!$D578="","",'SIG 2021'!$D578)</f>
        <v>Yes</v>
      </c>
      <c r="E575" s="130" t="str">
        <f>IF('SIG 2021'!$E578="","",'SIG 2021'!$E578)</f>
        <v/>
      </c>
      <c r="F575" s="130" t="str">
        <f>IF('SIG 2021'!$F578="","",'SIG 2021'!F578)</f>
        <v/>
      </c>
      <c r="G575" s="130" t="s">
        <v>2107</v>
      </c>
      <c r="H575" s="130" t="s">
        <v>2134</v>
      </c>
      <c r="I575" s="130" t="s">
        <v>2022</v>
      </c>
      <c r="J575" s="130" t="s">
        <v>2144</v>
      </c>
      <c r="K575" s="130" t="str">
        <f>IF('SIG 2021'!$AM578="","",'SIG 2021'!$AM578)</f>
        <v/>
      </c>
      <c r="L575" s="130" t="str">
        <f>IF('SIG 2021'!$AN578="","",'SIG 2021'!$AN578)</f>
        <v/>
      </c>
      <c r="M575" s="130" t="str">
        <f>IF('SIG 2021'!$AO578="","",'SIG 2021'!$AO578)</f>
        <v/>
      </c>
    </row>
    <row r="576" spans="1:13" ht="43.2" x14ac:dyDescent="0.5">
      <c r="A576" s="130">
        <v>4212</v>
      </c>
      <c r="B576" s="130" t="s">
        <v>2145</v>
      </c>
      <c r="C576" s="130" t="s">
        <v>2146</v>
      </c>
      <c r="D576" s="130" t="str">
        <f>IF('SIG 2021'!$D579="","",'SIG 2021'!$D579)</f>
        <v>Yes</v>
      </c>
      <c r="E576" s="130" t="str">
        <f>IF('SIG 2021'!$E579="","",'SIG 2021'!$E579)</f>
        <v/>
      </c>
      <c r="F576" s="130" t="str">
        <f>IF('SIG 2021'!$F579="","",'SIG 2021'!F579)</f>
        <v/>
      </c>
      <c r="G576" s="130" t="s">
        <v>2107</v>
      </c>
      <c r="H576" s="130" t="s">
        <v>2134</v>
      </c>
      <c r="I576" s="130"/>
      <c r="J576" s="130" t="s">
        <v>2144</v>
      </c>
      <c r="K576" s="130" t="str">
        <f>IF('SIG 2021'!$AM579="","",'SIG 2021'!$AM579)</f>
        <v/>
      </c>
      <c r="L576" s="130" t="str">
        <f>IF('SIG 2021'!$AN579="","",'SIG 2021'!$AN579)</f>
        <v/>
      </c>
      <c r="M576" s="130" t="str">
        <f>IF('SIG 2021'!$AO579="","",'SIG 2021'!$AO579)</f>
        <v/>
      </c>
    </row>
    <row r="577" spans="1:13" ht="43.2" x14ac:dyDescent="0.5">
      <c r="A577" s="130">
        <v>951</v>
      </c>
      <c r="B577" s="130" t="s">
        <v>2147</v>
      </c>
      <c r="C577" s="130" t="s">
        <v>2148</v>
      </c>
      <c r="D577" s="130" t="str">
        <f>IF('SIG 2021'!$D580="","",'SIG 2021'!$D580)</f>
        <v>Yes</v>
      </c>
      <c r="E577" s="130" t="str">
        <f>IF('SIG 2021'!$E580="","",'SIG 2021'!$E580)</f>
        <v>Stored logically in AWS</v>
      </c>
      <c r="F577" s="130" t="str">
        <f>IF('SIG 2021'!$F580="","",'SIG 2021'!F580)</f>
        <v/>
      </c>
      <c r="G577" s="130" t="s">
        <v>2107</v>
      </c>
      <c r="H577" s="130" t="s">
        <v>2134</v>
      </c>
      <c r="I577" s="130"/>
      <c r="J577" s="130" t="s">
        <v>2144</v>
      </c>
      <c r="K577" s="130" t="str">
        <f>IF('SIG 2021'!$AM580="","",'SIG 2021'!$AM580)</f>
        <v/>
      </c>
      <c r="L577" s="130" t="str">
        <f>IF('SIG 2021'!$AN580="","",'SIG 2021'!$AN580)</f>
        <v/>
      </c>
      <c r="M577" s="130" t="str">
        <f>IF('SIG 2021'!$AO580="","",'SIG 2021'!$AO580)</f>
        <v/>
      </c>
    </row>
    <row r="578" spans="1:13" ht="57.6" x14ac:dyDescent="0.5">
      <c r="A578" s="130">
        <v>4219</v>
      </c>
      <c r="B578" s="130" t="s">
        <v>2150</v>
      </c>
      <c r="C578" s="130" t="s">
        <v>2151</v>
      </c>
      <c r="D578" s="130" t="str">
        <f>IF('SIG 2021'!$D581="","",'SIG 2021'!$D581)</f>
        <v>Yes</v>
      </c>
      <c r="E578" s="130" t="str">
        <f>IF('SIG 2021'!$E581="","",'SIG 2021'!$E581)</f>
        <v/>
      </c>
      <c r="F578" s="130" t="str">
        <f>IF('SIG 2021'!$F581="","",'SIG 2021'!F581)</f>
        <v/>
      </c>
      <c r="G578" s="130" t="s">
        <v>2107</v>
      </c>
      <c r="H578" s="130" t="s">
        <v>2134</v>
      </c>
      <c r="I578" s="130"/>
      <c r="J578" s="130" t="s">
        <v>2144</v>
      </c>
      <c r="K578" s="130" t="str">
        <f>IF('SIG 2021'!$AM581="","",'SIG 2021'!$AM581)</f>
        <v/>
      </c>
      <c r="L578" s="130" t="str">
        <f>IF('SIG 2021'!$AN581="","",'SIG 2021'!$AN581)</f>
        <v/>
      </c>
      <c r="M578" s="130" t="str">
        <f>IF('SIG 2021'!$AO581="","",'SIG 2021'!$AO581)</f>
        <v/>
      </c>
    </row>
    <row r="579" spans="1:13" ht="57.6" x14ac:dyDescent="0.5">
      <c r="A579" s="130">
        <v>5800</v>
      </c>
      <c r="B579" s="130" t="s">
        <v>2152</v>
      </c>
      <c r="C579" s="130" t="s">
        <v>2153</v>
      </c>
      <c r="D579" s="130" t="str">
        <f>IF('SIG 2021'!$D582="","",'SIG 2021'!$D582)</f>
        <v>Yes</v>
      </c>
      <c r="E579" s="130" t="str">
        <f>IF('SIG 2021'!$E582="","",'SIG 2021'!$E582)</f>
        <v/>
      </c>
      <c r="F579" s="130" t="str">
        <f>IF('SIG 2021'!$F582="","",'SIG 2021'!F582)</f>
        <v/>
      </c>
      <c r="G579" s="130" t="s">
        <v>2107</v>
      </c>
      <c r="H579" s="130" t="s">
        <v>2154</v>
      </c>
      <c r="I579" s="130" t="s">
        <v>2022</v>
      </c>
      <c r="J579" s="130"/>
      <c r="K579" s="130" t="str">
        <f>IF('SIG 2021'!$AM582="","",'SIG 2021'!$AM582)</f>
        <v/>
      </c>
      <c r="L579" s="130" t="str">
        <f>IF('SIG 2021'!$AN582="","",'SIG 2021'!$AN582)</f>
        <v/>
      </c>
      <c r="M579" s="130" t="str">
        <f>IF('SIG 2021'!$AO582="","",'SIG 2021'!$AO582)</f>
        <v/>
      </c>
    </row>
    <row r="580" spans="1:13" ht="57.6" x14ac:dyDescent="0.5">
      <c r="A580" s="130">
        <v>5801</v>
      </c>
      <c r="B580" s="130" t="s">
        <v>2155</v>
      </c>
      <c r="C580" s="130" t="s">
        <v>2156</v>
      </c>
      <c r="D580" s="130" t="str">
        <f>IF('SIG 2021'!$D583="","",'SIG 2021'!$D583)</f>
        <v>Yes</v>
      </c>
      <c r="E580" s="130" t="str">
        <f>IF('SIG 2021'!$E583="","",'SIG 2021'!$E583)</f>
        <v/>
      </c>
      <c r="F580" s="130" t="str">
        <f>IF('SIG 2021'!$F583="","",'SIG 2021'!F583)</f>
        <v/>
      </c>
      <c r="G580" s="130" t="s">
        <v>2107</v>
      </c>
      <c r="H580" s="130" t="s">
        <v>2154</v>
      </c>
      <c r="I580" s="130" t="s">
        <v>2022</v>
      </c>
      <c r="J580" s="130"/>
      <c r="K580" s="130" t="str">
        <f>IF('SIG 2021'!$AM583="","",'SIG 2021'!$AM583)</f>
        <v/>
      </c>
      <c r="L580" s="130" t="str">
        <f>IF('SIG 2021'!$AN583="","",'SIG 2021'!$AN583)</f>
        <v/>
      </c>
      <c r="M580" s="130" t="str">
        <f>IF('SIG 2021'!$AO583="","",'SIG 2021'!$AO583)</f>
        <v/>
      </c>
    </row>
    <row r="581" spans="1:13" ht="57.6" x14ac:dyDescent="0.5">
      <c r="A581" s="130">
        <v>5802</v>
      </c>
      <c r="B581" s="130" t="s">
        <v>2157</v>
      </c>
      <c r="C581" s="130" t="s">
        <v>2158</v>
      </c>
      <c r="D581" s="130" t="str">
        <f>IF('SIG 2021'!$D584="","",'SIG 2021'!$D584)</f>
        <v>Yes</v>
      </c>
      <c r="E581" s="130" t="str">
        <f>IF('SIG 2021'!$E584="","",'SIG 2021'!$E584)</f>
        <v/>
      </c>
      <c r="F581" s="130" t="str">
        <f>IF('SIG 2021'!$F584="","",'SIG 2021'!F584)</f>
        <v/>
      </c>
      <c r="G581" s="130" t="s">
        <v>2107</v>
      </c>
      <c r="H581" s="130" t="s">
        <v>2154</v>
      </c>
      <c r="I581" s="130"/>
      <c r="J581" s="130"/>
      <c r="K581" s="130" t="str">
        <f>IF('SIG 2021'!$AM584="","",'SIG 2021'!$AM584)</f>
        <v/>
      </c>
      <c r="L581" s="130" t="str">
        <f>IF('SIG 2021'!$AN584="","",'SIG 2021'!$AN584)</f>
        <v/>
      </c>
      <c r="M581" s="130" t="str">
        <f>IF('SIG 2021'!$AO584="","",'SIG 2021'!$AO584)</f>
        <v/>
      </c>
    </row>
    <row r="582" spans="1:13" ht="57.6" x14ac:dyDescent="0.5">
      <c r="A582" s="130">
        <v>5803</v>
      </c>
      <c r="B582" s="130" t="s">
        <v>2159</v>
      </c>
      <c r="C582" s="130" t="s">
        <v>2160</v>
      </c>
      <c r="D582" s="130" t="str">
        <f>IF('SIG 2021'!$D585="","",'SIG 2021'!$D585)</f>
        <v>N/A</v>
      </c>
      <c r="E582" s="130" t="str">
        <f>IF('SIG 2021'!$E585="","",'SIG 2021'!$E585)</f>
        <v>No offline data backups</v>
      </c>
      <c r="F582" s="130" t="str">
        <f>IF('SIG 2021'!$F585="","",'SIG 2021'!F585)</f>
        <v/>
      </c>
      <c r="G582" s="130" t="s">
        <v>2107</v>
      </c>
      <c r="H582" s="130" t="s">
        <v>2154</v>
      </c>
      <c r="I582" s="130" t="s">
        <v>2022</v>
      </c>
      <c r="J582" s="130" t="s">
        <v>2144</v>
      </c>
      <c r="K582" s="130" t="str">
        <f>IF('SIG 2021'!$AM585="","",'SIG 2021'!$AM585)</f>
        <v/>
      </c>
      <c r="L582" s="130" t="str">
        <f>IF('SIG 2021'!$AN585="","",'SIG 2021'!$AN585)</f>
        <v/>
      </c>
      <c r="M582" s="130" t="str">
        <f>IF('SIG 2021'!$AO585="","",'SIG 2021'!$AO585)</f>
        <v/>
      </c>
    </row>
    <row r="583" spans="1:13" ht="72" x14ac:dyDescent="0.5">
      <c r="A583" s="130">
        <v>5804</v>
      </c>
      <c r="B583" s="130" t="s">
        <v>2162</v>
      </c>
      <c r="C583" s="130" t="s">
        <v>2163</v>
      </c>
      <c r="D583" s="130" t="str">
        <f>IF('SIG 2021'!$D586="","",'SIG 2021'!$D586)</f>
        <v>Yes</v>
      </c>
      <c r="E583" s="130" t="str">
        <f>IF('SIG 2021'!$E586="","",'SIG 2021'!$E586)</f>
        <v/>
      </c>
      <c r="F583" s="130" t="str">
        <f>IF('SIG 2021'!$F586="","",'SIG 2021'!F586)</f>
        <v/>
      </c>
      <c r="G583" s="130" t="s">
        <v>2107</v>
      </c>
      <c r="H583" s="130" t="s">
        <v>2154</v>
      </c>
      <c r="I583" s="130" t="s">
        <v>2022</v>
      </c>
      <c r="J583" s="130"/>
      <c r="K583" s="130" t="str">
        <f>IF('SIG 2021'!$AM586="","",'SIG 2021'!$AM586)</f>
        <v/>
      </c>
      <c r="L583" s="130" t="str">
        <f>IF('SIG 2021'!$AN586="","",'SIG 2021'!$AN586)</f>
        <v/>
      </c>
      <c r="M583" s="130" t="str">
        <f>IF('SIG 2021'!$AO586="","",'SIG 2021'!$AO586)</f>
        <v/>
      </c>
    </row>
    <row r="584" spans="1:13" ht="28.8" x14ac:dyDescent="0.5">
      <c r="A584" s="130">
        <v>5805</v>
      </c>
      <c r="B584" s="130" t="s">
        <v>2164</v>
      </c>
      <c r="C584" s="130" t="s">
        <v>2165</v>
      </c>
      <c r="D584" s="130" t="str">
        <f>IF('SIG 2021'!$D587="","",'SIG 2021'!$D587)</f>
        <v>Yes</v>
      </c>
      <c r="E584" s="130" t="str">
        <f>IF('SIG 2021'!$E587="","",'SIG 2021'!$E587)</f>
        <v/>
      </c>
      <c r="F584" s="130" t="str">
        <f>IF('SIG 2021'!$F587="","",'SIG 2021'!F587)</f>
        <v/>
      </c>
      <c r="G584" s="130" t="s">
        <v>2107</v>
      </c>
      <c r="H584" s="130" t="s">
        <v>2166</v>
      </c>
      <c r="I584" s="130" t="s">
        <v>2167</v>
      </c>
      <c r="J584" s="130"/>
      <c r="K584" s="130" t="str">
        <f>IF('SIG 2021'!$AM587="","",'SIG 2021'!$AM587)</f>
        <v/>
      </c>
      <c r="L584" s="130" t="str">
        <f>IF('SIG 2021'!$AN587="","",'SIG 2021'!$AN587)</f>
        <v/>
      </c>
      <c r="M584" s="130" t="str">
        <f>IF('SIG 2021'!$AO587="","",'SIG 2021'!$AO587)</f>
        <v/>
      </c>
    </row>
    <row r="585" spans="1:13" ht="28.8" x14ac:dyDescent="0.5">
      <c r="A585" s="130">
        <v>5806</v>
      </c>
      <c r="B585" s="130" t="s">
        <v>2168</v>
      </c>
      <c r="C585" s="130" t="s">
        <v>2169</v>
      </c>
      <c r="D585" s="130" t="str">
        <f>IF('SIG 2021'!$D588="","",'SIG 2021'!$D588)</f>
        <v>Yes</v>
      </c>
      <c r="E585" s="130" t="str">
        <f>IF('SIG 2021'!$E588="","",'SIG 2021'!$E588)</f>
        <v/>
      </c>
      <c r="F585" s="130" t="str">
        <f>IF('SIG 2021'!$F588="","",'SIG 2021'!F588)</f>
        <v/>
      </c>
      <c r="G585" s="130" t="s">
        <v>2107</v>
      </c>
      <c r="H585" s="130" t="s">
        <v>2166</v>
      </c>
      <c r="I585" s="130"/>
      <c r="J585" s="130"/>
      <c r="K585" s="130" t="str">
        <f>IF('SIG 2021'!$AM588="","",'SIG 2021'!$AM588)</f>
        <v/>
      </c>
      <c r="L585" s="130" t="str">
        <f>IF('SIG 2021'!$AN588="","",'SIG 2021'!$AN588)</f>
        <v/>
      </c>
      <c r="M585" s="130" t="str">
        <f>IF('SIG 2021'!$AO588="","",'SIG 2021'!$AO588)</f>
        <v/>
      </c>
    </row>
    <row r="586" spans="1:13" ht="28.8" x14ac:dyDescent="0.5">
      <c r="A586" s="130">
        <v>5807</v>
      </c>
      <c r="B586" s="130" t="s">
        <v>2170</v>
      </c>
      <c r="C586" s="130" t="s">
        <v>2171</v>
      </c>
      <c r="D586" s="130" t="str">
        <f>IF('SIG 2021'!$D589="","",'SIG 2021'!$D589)</f>
        <v>Yes</v>
      </c>
      <c r="E586" s="130" t="str">
        <f>IF('SIG 2021'!$E589="","",'SIG 2021'!$E589)</f>
        <v/>
      </c>
      <c r="F586" s="130" t="str">
        <f>IF('SIG 2021'!$F589="","",'SIG 2021'!F589)</f>
        <v/>
      </c>
      <c r="G586" s="130" t="s">
        <v>2107</v>
      </c>
      <c r="H586" s="130" t="s">
        <v>2166</v>
      </c>
      <c r="I586" s="130"/>
      <c r="J586" s="130"/>
      <c r="K586" s="130" t="str">
        <f>IF('SIG 2021'!$AM589="","",'SIG 2021'!$AM589)</f>
        <v/>
      </c>
      <c r="L586" s="130" t="str">
        <f>IF('SIG 2021'!$AN589="","",'SIG 2021'!$AN589)</f>
        <v/>
      </c>
      <c r="M586" s="130" t="str">
        <f>IF('SIG 2021'!$AO589="","",'SIG 2021'!$AO589)</f>
        <v/>
      </c>
    </row>
    <row r="587" spans="1:13" ht="43.2" x14ac:dyDescent="0.5">
      <c r="A587" s="130">
        <v>4759</v>
      </c>
      <c r="B587" s="130" t="s">
        <v>352</v>
      </c>
      <c r="C587" s="130" t="s">
        <v>2172</v>
      </c>
      <c r="D587" s="130" t="str">
        <f>IF('SIG 2021'!$D590="","",'SIG 2021'!$D590)</f>
        <v>Yes</v>
      </c>
      <c r="E587" s="130" t="str">
        <f>IF('SIG 2021'!$E590="","",'SIG 2021'!$E590)</f>
        <v/>
      </c>
      <c r="F587" s="130" t="str">
        <f>IF('SIG 2021'!$F590="","",'SIG 2021'!F590)</f>
        <v/>
      </c>
      <c r="G587" s="130" t="s">
        <v>2173</v>
      </c>
      <c r="H587" s="130" t="s">
        <v>1742</v>
      </c>
      <c r="I587" s="130" t="s">
        <v>2174</v>
      </c>
      <c r="J587" s="130" t="s">
        <v>2175</v>
      </c>
      <c r="K587" s="130" t="str">
        <f>IF('SIG 2021'!$AM590="","",'SIG 2021'!$AM590)</f>
        <v/>
      </c>
      <c r="L587" s="130" t="str">
        <f>IF('SIG 2021'!$AN590="","",'SIG 2021'!$AN590)</f>
        <v/>
      </c>
      <c r="M587" s="130" t="str">
        <f>IF('SIG 2021'!$AO590="","",'SIG 2021'!$AO590)</f>
        <v/>
      </c>
    </row>
    <row r="588" spans="1:13" ht="57.6" x14ac:dyDescent="0.5">
      <c r="A588" s="130">
        <v>4760</v>
      </c>
      <c r="B588" s="130" t="s">
        <v>2177</v>
      </c>
      <c r="C588" s="130" t="s">
        <v>2178</v>
      </c>
      <c r="D588" s="130" t="str">
        <f>IF('SIG 2021'!$D591="","",'SIG 2021'!$D591)</f>
        <v>Yes</v>
      </c>
      <c r="E588" s="130" t="str">
        <f>IF('SIG 2021'!$E591="","",'SIG 2021'!$E591)</f>
        <v/>
      </c>
      <c r="F588" s="130" t="str">
        <f>IF('SIG 2021'!$F591="","",'SIG 2021'!F591)</f>
        <v/>
      </c>
      <c r="G588" s="130" t="s">
        <v>2173</v>
      </c>
      <c r="H588" s="130" t="s">
        <v>1742</v>
      </c>
      <c r="I588" s="130" t="s">
        <v>2179</v>
      </c>
      <c r="J588" s="130"/>
      <c r="K588" s="130" t="str">
        <f>IF('SIG 2021'!$AM591="","",'SIG 2021'!$AM591)</f>
        <v/>
      </c>
      <c r="L588" s="130" t="str">
        <f>IF('SIG 2021'!$AN591="","",'SIG 2021'!$AN591)</f>
        <v/>
      </c>
      <c r="M588" s="130" t="str">
        <f>IF('SIG 2021'!$AO591="","",'SIG 2021'!$AO591)</f>
        <v/>
      </c>
    </row>
    <row r="589" spans="1:13" ht="72" x14ac:dyDescent="0.5">
      <c r="A589" s="130">
        <v>4152</v>
      </c>
      <c r="B589" s="130" t="s">
        <v>2180</v>
      </c>
      <c r="C589" s="130" t="s">
        <v>2181</v>
      </c>
      <c r="D589" s="130" t="str">
        <f>IF('SIG 2021'!$D592="","",'SIG 2021'!$D592)</f>
        <v>Yes</v>
      </c>
      <c r="E589" s="130" t="str">
        <f>IF('SIG 2021'!$E592="","",'SIG 2021'!$E592)</f>
        <v/>
      </c>
      <c r="F589" s="130" t="str">
        <f>IF('SIG 2021'!$F592="","",'SIG 2021'!F592)</f>
        <v/>
      </c>
      <c r="G589" s="130" t="s">
        <v>2173</v>
      </c>
      <c r="H589" s="130" t="s">
        <v>1742</v>
      </c>
      <c r="I589" s="130" t="s">
        <v>2179</v>
      </c>
      <c r="J589" s="130" t="s">
        <v>2182</v>
      </c>
      <c r="K589" s="130" t="str">
        <f>IF('SIG 2021'!$AM592="","",'SIG 2021'!$AM592)</f>
        <v/>
      </c>
      <c r="L589" s="130" t="str">
        <f>IF('SIG 2021'!$AN592="","",'SIG 2021'!$AN592)</f>
        <v/>
      </c>
      <c r="M589" s="130" t="str">
        <f>IF('SIG 2021'!$AO592="","",'SIG 2021'!$AO592)</f>
        <v/>
      </c>
    </row>
    <row r="590" spans="1:13" ht="28.8" x14ac:dyDescent="0.5">
      <c r="A590" s="130">
        <v>4127</v>
      </c>
      <c r="B590" s="130" t="s">
        <v>2183</v>
      </c>
      <c r="C590" s="130" t="s">
        <v>2184</v>
      </c>
      <c r="D590" s="130" t="str">
        <f>IF('SIG 2021'!$D593="","",'SIG 2021'!$D593)</f>
        <v>Yes</v>
      </c>
      <c r="E590" s="130" t="str">
        <f>IF('SIG 2021'!$E593="","",'SIG 2021'!$E593)</f>
        <v/>
      </c>
      <c r="F590" s="130" t="str">
        <f>IF('SIG 2021'!$F593="","",'SIG 2021'!F593)</f>
        <v/>
      </c>
      <c r="G590" s="130" t="s">
        <v>2173</v>
      </c>
      <c r="H590" s="130" t="s">
        <v>1742</v>
      </c>
      <c r="I590" s="130" t="s">
        <v>2185</v>
      </c>
      <c r="J590" s="130"/>
      <c r="K590" s="130" t="str">
        <f>IF('SIG 2021'!$AM593="","",'SIG 2021'!$AM593)</f>
        <v/>
      </c>
      <c r="L590" s="130" t="str">
        <f>IF('SIG 2021'!$AN593="","",'SIG 2021'!$AN593)</f>
        <v/>
      </c>
      <c r="M590" s="130" t="str">
        <f>IF('SIG 2021'!$AO593="","",'SIG 2021'!$AO593)</f>
        <v/>
      </c>
    </row>
    <row r="591" spans="1:13" ht="57.6" x14ac:dyDescent="0.5">
      <c r="A591" s="130">
        <v>4124</v>
      </c>
      <c r="B591" s="130" t="s">
        <v>354</v>
      </c>
      <c r="C591" s="130" t="s">
        <v>2186</v>
      </c>
      <c r="D591" s="130" t="str">
        <f>IF('SIG 2021'!$D594="","",'SIG 2021'!$D594)</f>
        <v>Yes</v>
      </c>
      <c r="E591" s="130" t="str">
        <f>IF('SIG 2021'!$E594="","",'SIG 2021'!$E594)</f>
        <v/>
      </c>
      <c r="F591" s="130" t="str">
        <f>IF('SIG 2021'!$F594="","",'SIG 2021'!F594)</f>
        <v/>
      </c>
      <c r="G591" s="130" t="s">
        <v>2173</v>
      </c>
      <c r="H591" s="130" t="s">
        <v>2187</v>
      </c>
      <c r="I591" s="130" t="s">
        <v>2174</v>
      </c>
      <c r="J591" s="130" t="s">
        <v>2188</v>
      </c>
      <c r="K591" s="130" t="str">
        <f>IF('SIG 2021'!$AM594="","",'SIG 2021'!$AM594)</f>
        <v/>
      </c>
      <c r="L591" s="130" t="str">
        <f>IF('SIG 2021'!$AN594="","",'SIG 2021'!$AN594)</f>
        <v/>
      </c>
      <c r="M591" s="130" t="str">
        <f>IF('SIG 2021'!$AO594="","",'SIG 2021'!$AO594)</f>
        <v/>
      </c>
    </row>
    <row r="592" spans="1:13" ht="72" x14ac:dyDescent="0.5">
      <c r="A592" s="130">
        <v>2826</v>
      </c>
      <c r="B592" s="130" t="s">
        <v>356</v>
      </c>
      <c r="C592" s="130" t="s">
        <v>2189</v>
      </c>
      <c r="D592" s="130" t="str">
        <f>IF('SIG 2021'!$D595="","",'SIG 2021'!$D595)</f>
        <v>Yes</v>
      </c>
      <c r="E592" s="130" t="str">
        <f>IF('SIG 2021'!$E595="","",'SIG 2021'!$E595)</f>
        <v>We have a designated internal Information Security team responsible for assessing, identifying, and tracking resolution of outstanding regulatory issues.</v>
      </c>
      <c r="F592" s="130" t="str">
        <f>IF('SIG 2021'!$F595="","",'SIG 2021'!F595)</f>
        <v/>
      </c>
      <c r="G592" s="130" t="s">
        <v>2173</v>
      </c>
      <c r="H592" s="130" t="s">
        <v>2191</v>
      </c>
      <c r="I592" s="130" t="s">
        <v>2174</v>
      </c>
      <c r="J592" s="130" t="s">
        <v>2192</v>
      </c>
      <c r="K592" s="130" t="str">
        <f>IF('SIG 2021'!$AM595="","",'SIG 2021'!$AM595)</f>
        <v/>
      </c>
      <c r="L592" s="130" t="str">
        <f>IF('SIG 2021'!$AN595="","",'SIG 2021'!$AN595)</f>
        <v/>
      </c>
      <c r="M592" s="130" t="str">
        <f>IF('SIG 2021'!$AO595="","",'SIG 2021'!$AO595)</f>
        <v/>
      </c>
    </row>
    <row r="593" spans="1:13" ht="28.8" x14ac:dyDescent="0.5">
      <c r="A593" s="130">
        <v>4122</v>
      </c>
      <c r="B593" s="130" t="s">
        <v>2193</v>
      </c>
      <c r="C593" s="130" t="s">
        <v>2194</v>
      </c>
      <c r="D593" s="130" t="str">
        <f>IF('SIG 2021'!$D596="","",'SIG 2021'!$D596)</f>
        <v>No</v>
      </c>
      <c r="E593" s="130" t="str">
        <f>IF('SIG 2021'!$E596="","",'SIG 2021'!$E596)</f>
        <v>Information Security reports to the CFO</v>
      </c>
      <c r="F593" s="130" t="str">
        <f>IF('SIG 2021'!$F596="","",'SIG 2021'!F596)</f>
        <v/>
      </c>
      <c r="G593" s="130" t="s">
        <v>2173</v>
      </c>
      <c r="H593" s="130" t="s">
        <v>2191</v>
      </c>
      <c r="I593" s="130"/>
      <c r="J593" s="130" t="s">
        <v>2196</v>
      </c>
      <c r="K593" s="130" t="str">
        <f>IF('SIG 2021'!$AM596="","",'SIG 2021'!$AM596)</f>
        <v/>
      </c>
      <c r="L593" s="130" t="str">
        <f>IF('SIG 2021'!$AN596="","",'SIG 2021'!$AN596)</f>
        <v/>
      </c>
      <c r="M593" s="130" t="str">
        <f>IF('SIG 2021'!$AO596="","",'SIG 2021'!$AO596)</f>
        <v/>
      </c>
    </row>
    <row r="594" spans="1:13" ht="28.8" x14ac:dyDescent="0.5">
      <c r="A594" s="130">
        <v>4123</v>
      </c>
      <c r="B594" s="130" t="s">
        <v>2197</v>
      </c>
      <c r="C594" s="130" t="s">
        <v>2198</v>
      </c>
      <c r="D594" s="130" t="str">
        <f>IF('SIG 2021'!$D597="","",'SIG 2021'!$D597)</f>
        <v>Yes</v>
      </c>
      <c r="E594" s="130" t="str">
        <f>IF('SIG 2021'!$E597="","",'SIG 2021'!$E597)</f>
        <v>This falls under the responsibility of the information security team.</v>
      </c>
      <c r="F594" s="130" t="str">
        <f>IF('SIG 2021'!$F597="","",'SIG 2021'!F597)</f>
        <v/>
      </c>
      <c r="G594" s="130" t="s">
        <v>2173</v>
      </c>
      <c r="H594" s="130" t="s">
        <v>2191</v>
      </c>
      <c r="I594" s="130"/>
      <c r="J594" s="130"/>
      <c r="K594" s="130" t="str">
        <f>IF('SIG 2021'!$AM597="","",'SIG 2021'!$AM597)</f>
        <v/>
      </c>
      <c r="L594" s="130" t="str">
        <f>IF('SIG 2021'!$AN597="","",'SIG 2021'!$AN597)</f>
        <v/>
      </c>
      <c r="M594" s="130" t="str">
        <f>IF('SIG 2021'!$AO597="","",'SIG 2021'!$AO597)</f>
        <v/>
      </c>
    </row>
    <row r="595" spans="1:13" ht="43.2" x14ac:dyDescent="0.5">
      <c r="A595" s="130">
        <v>2376</v>
      </c>
      <c r="B595" s="130" t="s">
        <v>2200</v>
      </c>
      <c r="C595" s="130" t="s">
        <v>2201</v>
      </c>
      <c r="D595" s="130" t="str">
        <f>IF('SIG 2021'!$D598="","",'SIG 2021'!$D598)</f>
        <v>Yes</v>
      </c>
      <c r="E595" s="130" t="str">
        <f>IF('SIG 2021'!$E598="","",'SIG 2021'!$E598)</f>
        <v/>
      </c>
      <c r="F595" s="130" t="str">
        <f>IF('SIG 2021'!$F598="","",'SIG 2021'!F598)</f>
        <v/>
      </c>
      <c r="G595" s="130" t="s">
        <v>2173</v>
      </c>
      <c r="H595" s="130" t="s">
        <v>2202</v>
      </c>
      <c r="I595" s="130" t="s">
        <v>2174</v>
      </c>
      <c r="J595" s="130" t="s">
        <v>2192</v>
      </c>
      <c r="K595" s="130" t="str">
        <f>IF('SIG 2021'!$AM598="","",'SIG 2021'!$AM598)</f>
        <v/>
      </c>
      <c r="L595" s="130" t="str">
        <f>IF('SIG 2021'!$AN598="","",'SIG 2021'!$AN598)</f>
        <v/>
      </c>
      <c r="M595" s="130" t="str">
        <f>IF('SIG 2021'!$AO598="","",'SIG 2021'!$AO598)</f>
        <v/>
      </c>
    </row>
    <row r="596" spans="1:13" ht="43.2" x14ac:dyDescent="0.5">
      <c r="A596" s="130">
        <v>4762</v>
      </c>
      <c r="B596" s="130" t="s">
        <v>358</v>
      </c>
      <c r="C596" s="130" t="s">
        <v>2203</v>
      </c>
      <c r="D596" s="130" t="str">
        <f>IF('SIG 2021'!$D599="","",'SIG 2021'!$D599)</f>
        <v>Yes</v>
      </c>
      <c r="E596" s="130" t="str">
        <f>IF('SIG 2021'!$E599="","",'SIG 2021'!$E599)</f>
        <v/>
      </c>
      <c r="F596" s="130" t="str">
        <f>IF('SIG 2021'!$F599="","",'SIG 2021'!F599)</f>
        <v/>
      </c>
      <c r="G596" s="130" t="s">
        <v>2173</v>
      </c>
      <c r="H596" s="130" t="s">
        <v>2204</v>
      </c>
      <c r="I596" s="130" t="s">
        <v>2185</v>
      </c>
      <c r="J596" s="130" t="s">
        <v>2196</v>
      </c>
      <c r="K596" s="130" t="str">
        <f>IF('SIG 2021'!$AM599="","",'SIG 2021'!$AM599)</f>
        <v/>
      </c>
      <c r="L596" s="130" t="str">
        <f>IF('SIG 2021'!$AN599="","",'SIG 2021'!$AN599)</f>
        <v/>
      </c>
      <c r="M596" s="130" t="str">
        <f>IF('SIG 2021'!$AO599="","",'SIG 2021'!$AO599)</f>
        <v/>
      </c>
    </row>
    <row r="597" spans="1:13" ht="57.6" x14ac:dyDescent="0.5">
      <c r="A597" s="130">
        <v>4763</v>
      </c>
      <c r="B597" s="130" t="s">
        <v>2205</v>
      </c>
      <c r="C597" s="130" t="s">
        <v>2206</v>
      </c>
      <c r="D597" s="130" t="str">
        <f>IF('SIG 2021'!$D600="","",'SIG 2021'!$D600)</f>
        <v>Yes</v>
      </c>
      <c r="E597" s="130" t="str">
        <f>IF('SIG 2021'!$E600="","",'SIG 2021'!$E600)</f>
        <v/>
      </c>
      <c r="F597" s="130" t="str">
        <f>IF('SIG 2021'!$F600="","",'SIG 2021'!F600)</f>
        <v/>
      </c>
      <c r="G597" s="130" t="s">
        <v>2173</v>
      </c>
      <c r="H597" s="130" t="s">
        <v>2204</v>
      </c>
      <c r="I597" s="130" t="s">
        <v>2179</v>
      </c>
      <c r="J597" s="130" t="s">
        <v>2207</v>
      </c>
      <c r="K597" s="130" t="str">
        <f>IF('SIG 2021'!$AM600="","",'SIG 2021'!$AM600)</f>
        <v/>
      </c>
      <c r="L597" s="130" t="str">
        <f>IF('SIG 2021'!$AN600="","",'SIG 2021'!$AN600)</f>
        <v/>
      </c>
      <c r="M597" s="130" t="str">
        <f>IF('SIG 2021'!$AO600="","",'SIG 2021'!$AO600)</f>
        <v/>
      </c>
    </row>
    <row r="598" spans="1:13" ht="43.2" x14ac:dyDescent="0.5">
      <c r="A598" s="130">
        <v>4125</v>
      </c>
      <c r="B598" s="130" t="s">
        <v>2208</v>
      </c>
      <c r="C598" s="130" t="s">
        <v>2209</v>
      </c>
      <c r="D598" s="130" t="str">
        <f>IF('SIG 2021'!$D601="","",'SIG 2021'!$D601)</f>
        <v>Yes</v>
      </c>
      <c r="E598" s="130" t="str">
        <f>IF('SIG 2021'!$E601="","",'SIG 2021'!$E601)</f>
        <v/>
      </c>
      <c r="F598" s="130" t="str">
        <f>IF('SIG 2021'!$F601="","",'SIG 2021'!F601)</f>
        <v/>
      </c>
      <c r="G598" s="130" t="s">
        <v>2173</v>
      </c>
      <c r="H598" s="130" t="s">
        <v>2204</v>
      </c>
      <c r="I598" s="130" t="s">
        <v>2210</v>
      </c>
      <c r="J598" s="130" t="s">
        <v>2211</v>
      </c>
      <c r="K598" s="130" t="str">
        <f>IF('SIG 2021'!$AM601="","",'SIG 2021'!$AM601)</f>
        <v/>
      </c>
      <c r="L598" s="130" t="str">
        <f>IF('SIG 2021'!$AN601="","",'SIG 2021'!$AN601)</f>
        <v/>
      </c>
      <c r="M598" s="130" t="str">
        <f>IF('SIG 2021'!$AO601="","",'SIG 2021'!$AO601)</f>
        <v/>
      </c>
    </row>
    <row r="599" spans="1:13" ht="57.6" x14ac:dyDescent="0.5">
      <c r="A599" s="130">
        <v>4554</v>
      </c>
      <c r="B599" s="130" t="s">
        <v>2212</v>
      </c>
      <c r="C599" s="130" t="s">
        <v>2213</v>
      </c>
      <c r="D599" s="130" t="str">
        <f>IF('SIG 2021'!$D602="","",'SIG 2021'!$D602)</f>
        <v>Yes</v>
      </c>
      <c r="E599" s="130" t="str">
        <f>IF('SIG 2021'!$E602="","",'SIG 2021'!$E602)</f>
        <v/>
      </c>
      <c r="F599" s="130" t="str">
        <f>IF('SIG 2021'!$F602="","",'SIG 2021'!F602)</f>
        <v/>
      </c>
      <c r="G599" s="130" t="s">
        <v>2173</v>
      </c>
      <c r="H599" s="130" t="s">
        <v>2204</v>
      </c>
      <c r="I599" s="130" t="s">
        <v>2179</v>
      </c>
      <c r="J599" s="130" t="s">
        <v>2175</v>
      </c>
      <c r="K599" s="130" t="str">
        <f>IF('SIG 2021'!$AM602="","",'SIG 2021'!$AM602)</f>
        <v/>
      </c>
      <c r="L599" s="130" t="str">
        <f>IF('SIG 2021'!$AN602="","",'SIG 2021'!$AN602)</f>
        <v/>
      </c>
      <c r="M599" s="130" t="str">
        <f>IF('SIG 2021'!$AO602="","",'SIG 2021'!$AO602)</f>
        <v/>
      </c>
    </row>
    <row r="600" spans="1:13" ht="72" x14ac:dyDescent="0.5">
      <c r="A600" s="130">
        <v>4765</v>
      </c>
      <c r="B600" s="130" t="s">
        <v>2214</v>
      </c>
      <c r="C600" s="130" t="s">
        <v>2215</v>
      </c>
      <c r="D600" s="130" t="str">
        <f>IF('SIG 2021'!$D603="","",'SIG 2021'!$D603)</f>
        <v>Yes</v>
      </c>
      <c r="E600" s="130" t="str">
        <f>IF('SIG 2021'!$E603="","",'SIG 2021'!$E603)</f>
        <v>Employees sign a Code of Ethics agreement via acknowledgement of the Employee Handbook upon hire.</v>
      </c>
      <c r="F600" s="130" t="str">
        <f>IF('SIG 2021'!$F603="","",'SIG 2021'!F603)</f>
        <v/>
      </c>
      <c r="G600" s="130" t="s">
        <v>2217</v>
      </c>
      <c r="H600" s="130" t="s">
        <v>2218</v>
      </c>
      <c r="I600" s="130" t="s">
        <v>2185</v>
      </c>
      <c r="J600" s="130"/>
      <c r="K600" s="130" t="str">
        <f>IF('SIG 2021'!$AM603="","",'SIG 2021'!$AM603)</f>
        <v/>
      </c>
      <c r="L600" s="130" t="str">
        <f>IF('SIG 2021'!$AN603="","",'SIG 2021'!$AN603)</f>
        <v/>
      </c>
      <c r="M600" s="130" t="str">
        <f>IF('SIG 2021'!$AO603="","",'SIG 2021'!$AO603)</f>
        <v/>
      </c>
    </row>
    <row r="601" spans="1:13" ht="57.6" x14ac:dyDescent="0.5">
      <c r="A601" s="130">
        <v>4766</v>
      </c>
      <c r="B601" s="130" t="s">
        <v>2219</v>
      </c>
      <c r="C601" s="130" t="s">
        <v>2220</v>
      </c>
      <c r="D601" s="130" t="str">
        <f>IF('SIG 2021'!$D604="","",'SIG 2021'!$D604)</f>
        <v>N/a</v>
      </c>
      <c r="E601" s="130" t="str">
        <f>IF('SIG 2021'!$E604="","",'SIG 2021'!$E604)</f>
        <v>Seismic is privately held.</v>
      </c>
      <c r="F601" s="130" t="str">
        <f>IF('SIG 2021'!$F604="","",'SIG 2021'!F604)</f>
        <v/>
      </c>
      <c r="G601" s="130" t="s">
        <v>2217</v>
      </c>
      <c r="H601" s="130" t="s">
        <v>2218</v>
      </c>
      <c r="I601" s="130"/>
      <c r="J601" s="130"/>
      <c r="K601" s="130" t="str">
        <f>IF('SIG 2021'!$AM604="","",'SIG 2021'!$AM604)</f>
        <v/>
      </c>
      <c r="L601" s="130" t="str">
        <f>IF('SIG 2021'!$AN604="","",'SIG 2021'!$AN604)</f>
        <v/>
      </c>
      <c r="M601" s="130" t="str">
        <f>IF('SIG 2021'!$AO604="","",'SIG 2021'!$AO604)</f>
        <v/>
      </c>
    </row>
    <row r="602" spans="1:13" ht="43.2" x14ac:dyDescent="0.5">
      <c r="A602" s="130">
        <v>4767</v>
      </c>
      <c r="B602" s="130" t="s">
        <v>2222</v>
      </c>
      <c r="C602" s="130" t="s">
        <v>2223</v>
      </c>
      <c r="D602" s="130" t="str">
        <f>IF('SIG 2021'!$D605="","",'SIG 2021'!$D605)</f>
        <v>Yes</v>
      </c>
      <c r="E602" s="130" t="str">
        <f>IF('SIG 2021'!$E605="","",'SIG 2021'!$E605)</f>
        <v/>
      </c>
      <c r="F602" s="130" t="str">
        <f>IF('SIG 2021'!$F605="","",'SIG 2021'!F605)</f>
        <v/>
      </c>
      <c r="G602" s="130" t="s">
        <v>2217</v>
      </c>
      <c r="H602" s="130" t="s">
        <v>2218</v>
      </c>
      <c r="I602" s="130" t="s">
        <v>2185</v>
      </c>
      <c r="J602" s="130" t="s">
        <v>1028</v>
      </c>
      <c r="K602" s="130" t="str">
        <f>IF('SIG 2021'!$AM605="","",'SIG 2021'!$AM605)</f>
        <v/>
      </c>
      <c r="L602" s="130" t="str">
        <f>IF('SIG 2021'!$AN605="","",'SIG 2021'!$AN605)</f>
        <v/>
      </c>
      <c r="M602" s="130" t="str">
        <f>IF('SIG 2021'!$AO605="","",'SIG 2021'!$AO605)</f>
        <v/>
      </c>
    </row>
    <row r="603" spans="1:13" ht="43.2" x14ac:dyDescent="0.5">
      <c r="A603" s="130">
        <v>4799</v>
      </c>
      <c r="B603" s="130" t="s">
        <v>2224</v>
      </c>
      <c r="C603" s="130" t="s">
        <v>2225</v>
      </c>
      <c r="D603" s="130" t="str">
        <f>IF('SIG 2021'!$D606="","",'SIG 2021'!$D606)</f>
        <v>Yes</v>
      </c>
      <c r="E603" s="130" t="str">
        <f>IF('SIG 2021'!$E606="","",'SIG 2021'!$E606)</f>
        <v/>
      </c>
      <c r="F603" s="130" t="str">
        <f>IF('SIG 2021'!$F606="","",'SIG 2021'!F606)</f>
        <v/>
      </c>
      <c r="G603" s="130" t="s">
        <v>2217</v>
      </c>
      <c r="H603" s="130" t="s">
        <v>2226</v>
      </c>
      <c r="I603" s="130" t="s">
        <v>2185</v>
      </c>
      <c r="J603" s="130"/>
      <c r="K603" s="130" t="str">
        <f>IF('SIG 2021'!$AM606="","",'SIG 2021'!$AM606)</f>
        <v/>
      </c>
      <c r="L603" s="130" t="str">
        <f>IF('SIG 2021'!$AN606="","",'SIG 2021'!$AN606)</f>
        <v/>
      </c>
      <c r="M603" s="130" t="str">
        <f>IF('SIG 2021'!$AO606="","",'SIG 2021'!$AO606)</f>
        <v/>
      </c>
    </row>
    <row r="604" spans="1:13" ht="43.2" x14ac:dyDescent="0.5">
      <c r="A604" s="130">
        <v>4800</v>
      </c>
      <c r="B604" s="130" t="s">
        <v>2227</v>
      </c>
      <c r="C604" s="130" t="s">
        <v>2228</v>
      </c>
      <c r="D604" s="130" t="str">
        <f>IF('SIG 2021'!$D607="","",'SIG 2021'!$D607)</f>
        <v>Yes</v>
      </c>
      <c r="E604" s="130" t="str">
        <f>IF('SIG 2021'!$E607="","",'SIG 2021'!$E607)</f>
        <v/>
      </c>
      <c r="F604" s="130" t="str">
        <f>IF('SIG 2021'!$F607="","",'SIG 2021'!F607)</f>
        <v/>
      </c>
      <c r="G604" s="130" t="s">
        <v>2217</v>
      </c>
      <c r="H604" s="130" t="s">
        <v>2226</v>
      </c>
      <c r="I604" s="130" t="s">
        <v>2185</v>
      </c>
      <c r="J604" s="130"/>
      <c r="K604" s="130" t="str">
        <f>IF('SIG 2021'!$AM607="","",'SIG 2021'!$AM607)</f>
        <v/>
      </c>
      <c r="L604" s="130" t="str">
        <f>IF('SIG 2021'!$AN607="","",'SIG 2021'!$AN607)</f>
        <v/>
      </c>
      <c r="M604" s="130" t="str">
        <f>IF('SIG 2021'!$AO607="","",'SIG 2021'!$AO607)</f>
        <v/>
      </c>
    </row>
    <row r="605" spans="1:13" ht="43.2" x14ac:dyDescent="0.5">
      <c r="A605" s="130">
        <v>4801</v>
      </c>
      <c r="B605" s="130" t="s">
        <v>2229</v>
      </c>
      <c r="C605" s="130" t="s">
        <v>2230</v>
      </c>
      <c r="D605" s="130" t="str">
        <f>IF('SIG 2021'!$D608="","",'SIG 2021'!$D608)</f>
        <v>No</v>
      </c>
      <c r="E605" s="130" t="str">
        <f>IF('SIG 2021'!$E608="","",'SIG 2021'!$E608)</f>
        <v>Upon hire.</v>
      </c>
      <c r="F605" s="130" t="str">
        <f>IF('SIG 2021'!$F608="","",'SIG 2021'!F608)</f>
        <v/>
      </c>
      <c r="G605" s="130" t="s">
        <v>2217</v>
      </c>
      <c r="H605" s="130" t="s">
        <v>2226</v>
      </c>
      <c r="I605" s="130"/>
      <c r="J605" s="130"/>
      <c r="K605" s="130" t="str">
        <f>IF('SIG 2021'!$AM608="","",'SIG 2021'!$AM608)</f>
        <v/>
      </c>
      <c r="L605" s="130" t="str">
        <f>IF('SIG 2021'!$AN608="","",'SIG 2021'!$AN608)</f>
        <v/>
      </c>
      <c r="M605" s="130" t="str">
        <f>IF('SIG 2021'!$AO608="","",'SIG 2021'!$AO608)</f>
        <v/>
      </c>
    </row>
    <row r="606" spans="1:13" ht="43.2" x14ac:dyDescent="0.5">
      <c r="A606" s="130">
        <v>4802</v>
      </c>
      <c r="B606" s="130" t="s">
        <v>2232</v>
      </c>
      <c r="C606" s="130" t="s">
        <v>2233</v>
      </c>
      <c r="D606" s="130" t="str">
        <f>IF('SIG 2021'!$D609="","",'SIG 2021'!$D609)</f>
        <v>Yes</v>
      </c>
      <c r="E606" s="130" t="str">
        <f>IF('SIG 2021'!$E609="","",'SIG 2021'!$E609)</f>
        <v/>
      </c>
      <c r="F606" s="130" t="str">
        <f>IF('SIG 2021'!$F609="","",'SIG 2021'!F609)</f>
        <v/>
      </c>
      <c r="G606" s="130" t="s">
        <v>2217</v>
      </c>
      <c r="H606" s="130" t="s">
        <v>2234</v>
      </c>
      <c r="I606" s="130" t="s">
        <v>2185</v>
      </c>
      <c r="J606" s="130"/>
      <c r="K606" s="130" t="str">
        <f>IF('SIG 2021'!$AM609="","",'SIG 2021'!$AM609)</f>
        <v/>
      </c>
      <c r="L606" s="130" t="str">
        <f>IF('SIG 2021'!$AN609="","",'SIG 2021'!$AN609)</f>
        <v/>
      </c>
      <c r="M606" s="130" t="str">
        <f>IF('SIG 2021'!$AO609="","",'SIG 2021'!$AO609)</f>
        <v/>
      </c>
    </row>
    <row r="607" spans="1:13" ht="43.2" x14ac:dyDescent="0.5">
      <c r="A607" s="130">
        <v>4803</v>
      </c>
      <c r="B607" s="130" t="s">
        <v>2235</v>
      </c>
      <c r="C607" s="130" t="s">
        <v>2236</v>
      </c>
      <c r="D607" s="130" t="str">
        <f>IF('SIG 2021'!$D610="","",'SIG 2021'!$D610)</f>
        <v>Yes</v>
      </c>
      <c r="E607" s="130" t="str">
        <f>IF('SIG 2021'!$E610="","",'SIG 2021'!$E610)</f>
        <v/>
      </c>
      <c r="F607" s="130" t="str">
        <f>IF('SIG 2021'!$F610="","",'SIG 2021'!F610)</f>
        <v/>
      </c>
      <c r="G607" s="130" t="s">
        <v>2217</v>
      </c>
      <c r="H607" s="130" t="s">
        <v>2234</v>
      </c>
      <c r="I607" s="130"/>
      <c r="J607" s="130"/>
      <c r="K607" s="130" t="str">
        <f>IF('SIG 2021'!$AM610="","",'SIG 2021'!$AM610)</f>
        <v/>
      </c>
      <c r="L607" s="130" t="str">
        <f>IF('SIG 2021'!$AN610="","",'SIG 2021'!$AN610)</f>
        <v/>
      </c>
      <c r="M607" s="130" t="str">
        <f>IF('SIG 2021'!$AO610="","",'SIG 2021'!$AO610)</f>
        <v/>
      </c>
    </row>
    <row r="608" spans="1:13" ht="43.2" x14ac:dyDescent="0.5">
      <c r="A608" s="130">
        <v>4804</v>
      </c>
      <c r="B608" s="130" t="s">
        <v>2237</v>
      </c>
      <c r="C608" s="130" t="s">
        <v>2238</v>
      </c>
      <c r="D608" s="130" t="str">
        <f>IF('SIG 2021'!$D611="","",'SIG 2021'!$D611)</f>
        <v>Yes</v>
      </c>
      <c r="E608" s="130" t="str">
        <f>IF('SIG 2021'!$E611="","",'SIG 2021'!$E611)</f>
        <v/>
      </c>
      <c r="F608" s="130" t="str">
        <f>IF('SIG 2021'!$F611="","",'SIG 2021'!F611)</f>
        <v/>
      </c>
      <c r="G608" s="130" t="s">
        <v>2217</v>
      </c>
      <c r="H608" s="130" t="s">
        <v>2234</v>
      </c>
      <c r="I608" s="130"/>
      <c r="J608" s="130"/>
      <c r="K608" s="130" t="str">
        <f>IF('SIG 2021'!$AM611="","",'SIG 2021'!$AM611)</f>
        <v/>
      </c>
      <c r="L608" s="130" t="str">
        <f>IF('SIG 2021'!$AN611="","",'SIG 2021'!$AN611)</f>
        <v/>
      </c>
      <c r="M608" s="130" t="str">
        <f>IF('SIG 2021'!$AO611="","",'SIG 2021'!$AO611)</f>
        <v/>
      </c>
    </row>
    <row r="609" spans="1:13" ht="57.6" x14ac:dyDescent="0.5">
      <c r="A609" s="130">
        <v>3733</v>
      </c>
      <c r="B609" s="130" t="s">
        <v>2239</v>
      </c>
      <c r="C609" s="130" t="s">
        <v>2240</v>
      </c>
      <c r="D609" s="130" t="str">
        <f>IF('SIG 2021'!$D612="","",'SIG 2021'!$D612)</f>
        <v>Yes</v>
      </c>
      <c r="E609" s="130" t="str">
        <f>IF('SIG 2021'!$E612="","",'SIG 2021'!$E612)</f>
        <v/>
      </c>
      <c r="F609" s="130" t="str">
        <f>IF('SIG 2021'!$F612="","",'SIG 2021'!F612)</f>
        <v/>
      </c>
      <c r="G609" s="130" t="s">
        <v>2217</v>
      </c>
      <c r="H609" s="130" t="s">
        <v>2241</v>
      </c>
      <c r="I609" s="130" t="s">
        <v>2185</v>
      </c>
      <c r="J609" s="130"/>
      <c r="K609" s="130" t="str">
        <f>IF('SIG 2021'!$AM612="","",'SIG 2021'!$AM612)</f>
        <v/>
      </c>
      <c r="L609" s="130" t="str">
        <f>IF('SIG 2021'!$AN612="","",'SIG 2021'!$AN612)</f>
        <v/>
      </c>
      <c r="M609" s="130" t="str">
        <f>IF('SIG 2021'!$AO612="","",'SIG 2021'!$AO612)</f>
        <v/>
      </c>
    </row>
    <row r="610" spans="1:13" ht="57.6" x14ac:dyDescent="0.5">
      <c r="A610" s="130">
        <v>4557</v>
      </c>
      <c r="B610" s="130" t="s">
        <v>2242</v>
      </c>
      <c r="C610" s="130" t="s">
        <v>2243</v>
      </c>
      <c r="D610" s="130" t="str">
        <f>IF('SIG 2021'!$D613="","",'SIG 2021'!$D613)</f>
        <v>Yes</v>
      </c>
      <c r="E610" s="130" t="str">
        <f>IF('SIG 2021'!$E613="","",'SIG 2021'!$E613)</f>
        <v/>
      </c>
      <c r="F610" s="130" t="str">
        <f>IF('SIG 2021'!$F613="","",'SIG 2021'!F613)</f>
        <v/>
      </c>
      <c r="G610" s="130" t="s">
        <v>2217</v>
      </c>
      <c r="H610" s="130" t="s">
        <v>2241</v>
      </c>
      <c r="I610" s="130"/>
      <c r="J610" s="130"/>
      <c r="K610" s="130" t="str">
        <f>IF('SIG 2021'!$AM613="","",'SIG 2021'!$AM613)</f>
        <v/>
      </c>
      <c r="L610" s="130" t="str">
        <f>IF('SIG 2021'!$AN613="","",'SIG 2021'!$AN613)</f>
        <v/>
      </c>
      <c r="M610" s="130" t="str">
        <f>IF('SIG 2021'!$AO613="","",'SIG 2021'!$AO613)</f>
        <v/>
      </c>
    </row>
    <row r="611" spans="1:13" ht="43.2" x14ac:dyDescent="0.5">
      <c r="A611" s="130">
        <v>4128</v>
      </c>
      <c r="B611" s="130" t="s">
        <v>2244</v>
      </c>
      <c r="C611" s="130" t="s">
        <v>2245</v>
      </c>
      <c r="D611" s="130" t="str">
        <f>IF('SIG 2021'!$D614="","",'SIG 2021'!$D614)</f>
        <v>Yes</v>
      </c>
      <c r="E611" s="130" t="str">
        <f>IF('SIG 2021'!$E614="","",'SIG 2021'!$E614)</f>
        <v/>
      </c>
      <c r="F611" s="130" t="str">
        <f>IF('SIG 2021'!$F614="","",'SIG 2021'!F614)</f>
        <v/>
      </c>
      <c r="G611" s="130" t="s">
        <v>2217</v>
      </c>
      <c r="H611" s="130" t="s">
        <v>2241</v>
      </c>
      <c r="I611" s="130" t="s">
        <v>2185</v>
      </c>
      <c r="J611" s="130"/>
      <c r="K611" s="130" t="str">
        <f>IF('SIG 2021'!$AM614="","",'SIG 2021'!$AM614)</f>
        <v/>
      </c>
      <c r="L611" s="130" t="str">
        <f>IF('SIG 2021'!$AN614="","",'SIG 2021'!$AN614)</f>
        <v/>
      </c>
      <c r="M611" s="130" t="str">
        <f>IF('SIG 2021'!$AO614="","",'SIG 2021'!$AO614)</f>
        <v/>
      </c>
    </row>
    <row r="612" spans="1:13" ht="72" x14ac:dyDescent="0.5">
      <c r="A612" s="130">
        <v>4558</v>
      </c>
      <c r="B612" s="130" t="s">
        <v>2246</v>
      </c>
      <c r="C612" s="130" t="s">
        <v>2247</v>
      </c>
      <c r="D612" s="130" t="str">
        <f>IF('SIG 2021'!$D615="","",'SIG 2021'!$D615)</f>
        <v>Yes</v>
      </c>
      <c r="E612" s="130" t="str">
        <f>IF('SIG 2021'!$E615="","",'SIG 2021'!$E615)</f>
        <v/>
      </c>
      <c r="F612" s="130" t="str">
        <f>IF('SIG 2021'!$F615="","",'SIG 2021'!F615)</f>
        <v/>
      </c>
      <c r="G612" s="130" t="s">
        <v>2217</v>
      </c>
      <c r="H612" s="130" t="s">
        <v>2241</v>
      </c>
      <c r="I612" s="130"/>
      <c r="J612" s="130"/>
      <c r="K612" s="130" t="str">
        <f>IF('SIG 2021'!$AM615="","",'SIG 2021'!$AM615)</f>
        <v/>
      </c>
      <c r="L612" s="130" t="str">
        <f>IF('SIG 2021'!$AN615="","",'SIG 2021'!$AN615)</f>
        <v/>
      </c>
      <c r="M612" s="130" t="str">
        <f>IF('SIG 2021'!$AO615="","",'SIG 2021'!$AO615)</f>
        <v/>
      </c>
    </row>
    <row r="613" spans="1:13" ht="43.2" x14ac:dyDescent="0.5">
      <c r="A613" s="130">
        <v>5642</v>
      </c>
      <c r="B613" s="130" t="s">
        <v>2248</v>
      </c>
      <c r="C613" s="130" t="s">
        <v>2249</v>
      </c>
      <c r="D613" s="130" t="str">
        <f>IF('SIG 2021'!$D616="","",'SIG 2021'!$D616)</f>
        <v>Yes</v>
      </c>
      <c r="E613" s="130" t="str">
        <f>IF('SIG 2021'!$E616="","",'SIG 2021'!$E616)</f>
        <v/>
      </c>
      <c r="F613" s="130" t="str">
        <f>IF('SIG 2021'!$F616="","",'SIG 2021'!F616)</f>
        <v/>
      </c>
      <c r="G613" s="130" t="s">
        <v>2217</v>
      </c>
      <c r="H613" s="130" t="s">
        <v>2250</v>
      </c>
      <c r="I613" s="130"/>
      <c r="J613" s="130"/>
      <c r="K613" s="130" t="str">
        <f>IF('SIG 2021'!$AM616="","",'SIG 2021'!$AM616)</f>
        <v/>
      </c>
      <c r="L613" s="130" t="str">
        <f>IF('SIG 2021'!$AN616="","",'SIG 2021'!$AN616)</f>
        <v/>
      </c>
      <c r="M613" s="130" t="str">
        <f>IF('SIG 2021'!$AO616="","",'SIG 2021'!$AO616)</f>
        <v/>
      </c>
    </row>
    <row r="614" spans="1:13" ht="28.8" x14ac:dyDescent="0.5">
      <c r="A614" s="130">
        <v>4810</v>
      </c>
      <c r="B614" s="130" t="s">
        <v>2251</v>
      </c>
      <c r="C614" s="130" t="s">
        <v>2252</v>
      </c>
      <c r="D614" s="130" t="str">
        <f>IF('SIG 2021'!$D617="","",'SIG 2021'!$D617)</f>
        <v>No</v>
      </c>
      <c r="E614" s="130" t="str">
        <f>IF('SIG 2021'!$E617="","",'SIG 2021'!$E617)</f>
        <v/>
      </c>
      <c r="F614" s="130" t="str">
        <f>IF('SIG 2021'!$F617="","",'SIG 2021'!F617)</f>
        <v/>
      </c>
      <c r="G614" s="130" t="s">
        <v>2253</v>
      </c>
      <c r="H614" s="130" t="s">
        <v>1742</v>
      </c>
      <c r="I614" s="130"/>
      <c r="J614" s="130"/>
      <c r="K614" s="130" t="str">
        <f>IF('SIG 2021'!$AM617="","",'SIG 2021'!$AM617)</f>
        <v/>
      </c>
      <c r="L614" s="130" t="str">
        <f>IF('SIG 2021'!$AN617="","",'SIG 2021'!$AN617)</f>
        <v/>
      </c>
      <c r="M614" s="130" t="str">
        <f>IF('SIG 2021'!$AO617="","",'SIG 2021'!$AO617)</f>
        <v/>
      </c>
    </row>
    <row r="615" spans="1:13" ht="28.8" x14ac:dyDescent="0.5">
      <c r="A615" s="130">
        <v>4820</v>
      </c>
      <c r="B615" s="130" t="s">
        <v>2254</v>
      </c>
      <c r="C615" s="130" t="s">
        <v>2255</v>
      </c>
      <c r="D615" s="130" t="str">
        <f>IF('SIG 2021'!$D618="","",'SIG 2021'!$D618)</f>
        <v/>
      </c>
      <c r="E615" s="130" t="str">
        <f>IF('SIG 2021'!$E618="","",'SIG 2021'!$E618)</f>
        <v/>
      </c>
      <c r="F615" s="130" t="str">
        <f>IF('SIG 2021'!$F618="","",'SIG 2021'!F618)</f>
        <v/>
      </c>
      <c r="G615" s="130" t="s">
        <v>2253</v>
      </c>
      <c r="H615" s="130" t="s">
        <v>2256</v>
      </c>
      <c r="I615" s="130"/>
      <c r="J615" s="130"/>
      <c r="K615" s="130" t="str">
        <f>IF('SIG 2021'!$AM618="","",'SIG 2021'!$AM618)</f>
        <v/>
      </c>
      <c r="L615" s="130" t="str">
        <f>IF('SIG 2021'!$AN618="","",'SIG 2021'!$AN618)</f>
        <v/>
      </c>
      <c r="M615" s="130" t="str">
        <f>IF('SIG 2021'!$AO618="","",'SIG 2021'!$AO618)</f>
        <v/>
      </c>
    </row>
    <row r="616" spans="1:13" ht="43.2" x14ac:dyDescent="0.5">
      <c r="A616" s="130">
        <v>4821</v>
      </c>
      <c r="B616" s="130" t="s">
        <v>2257</v>
      </c>
      <c r="C616" s="130" t="s">
        <v>2258</v>
      </c>
      <c r="D616" s="130" t="str">
        <f>IF('SIG 2021'!$D619="","",'SIG 2021'!$D619)</f>
        <v/>
      </c>
      <c r="E616" s="130" t="str">
        <f>IF('SIG 2021'!$E619="","",'SIG 2021'!$E619)</f>
        <v/>
      </c>
      <c r="F616" s="130" t="str">
        <f>IF('SIG 2021'!$F619="","",'SIG 2021'!F619)</f>
        <v/>
      </c>
      <c r="G616" s="130" t="s">
        <v>2253</v>
      </c>
      <c r="H616" s="130" t="s">
        <v>2256</v>
      </c>
      <c r="I616" s="130"/>
      <c r="J616" s="130"/>
      <c r="K616" s="130" t="str">
        <f>IF('SIG 2021'!$AM619="","",'SIG 2021'!$AM619)</f>
        <v/>
      </c>
      <c r="L616" s="130" t="str">
        <f>IF('SIG 2021'!$AN619="","",'SIG 2021'!$AN619)</f>
        <v/>
      </c>
      <c r="M616" s="130" t="str">
        <f>IF('SIG 2021'!$AO619="","",'SIG 2021'!$AO619)</f>
        <v/>
      </c>
    </row>
    <row r="617" spans="1:13" ht="28.8" x14ac:dyDescent="0.5">
      <c r="A617" s="130">
        <v>4822</v>
      </c>
      <c r="B617" s="130" t="s">
        <v>2259</v>
      </c>
      <c r="C617" s="130" t="s">
        <v>2260</v>
      </c>
      <c r="D617" s="130" t="str">
        <f>IF('SIG 2021'!$D620="","",'SIG 2021'!$D620)</f>
        <v/>
      </c>
      <c r="E617" s="130" t="str">
        <f>IF('SIG 2021'!$E620="","",'SIG 2021'!$E620)</f>
        <v/>
      </c>
      <c r="F617" s="130" t="str">
        <f>IF('SIG 2021'!$F620="","",'SIG 2021'!F620)</f>
        <v/>
      </c>
      <c r="G617" s="130" t="s">
        <v>2253</v>
      </c>
      <c r="H617" s="130" t="s">
        <v>2256</v>
      </c>
      <c r="I617" s="130"/>
      <c r="J617" s="130"/>
      <c r="K617" s="130" t="str">
        <f>IF('SIG 2021'!$AM620="","",'SIG 2021'!$AM620)</f>
        <v/>
      </c>
      <c r="L617" s="130" t="str">
        <f>IF('SIG 2021'!$AN620="","",'SIG 2021'!$AN620)</f>
        <v/>
      </c>
      <c r="M617" s="130" t="str">
        <f>IF('SIG 2021'!$AO620="","",'SIG 2021'!$AO620)</f>
        <v/>
      </c>
    </row>
    <row r="618" spans="1:13" ht="28.8" x14ac:dyDescent="0.5">
      <c r="A618" s="130">
        <v>4834</v>
      </c>
      <c r="B618" s="130" t="s">
        <v>2261</v>
      </c>
      <c r="C618" s="130" t="s">
        <v>2262</v>
      </c>
      <c r="D618" s="130" t="str">
        <f>IF('SIG 2021'!$D621="","",'SIG 2021'!$D621)</f>
        <v/>
      </c>
      <c r="E618" s="130" t="str">
        <f>IF('SIG 2021'!$E621="","",'SIG 2021'!$E621)</f>
        <v/>
      </c>
      <c r="F618" s="130" t="str">
        <f>IF('SIG 2021'!$F621="","",'SIG 2021'!F621)</f>
        <v/>
      </c>
      <c r="G618" s="130" t="s">
        <v>2253</v>
      </c>
      <c r="H618" s="130" t="s">
        <v>2263</v>
      </c>
      <c r="I618" s="130"/>
      <c r="J618" s="130"/>
      <c r="K618" s="130" t="str">
        <f>IF('SIG 2021'!$AM621="","",'SIG 2021'!$AM621)</f>
        <v/>
      </c>
      <c r="L618" s="130" t="str">
        <f>IF('SIG 2021'!$AN621="","",'SIG 2021'!$AN621)</f>
        <v/>
      </c>
      <c r="M618" s="130" t="str">
        <f>IF('SIG 2021'!$AO621="","",'SIG 2021'!$AO621)</f>
        <v/>
      </c>
    </row>
    <row r="619" spans="1:13" ht="28.8" x14ac:dyDescent="0.5">
      <c r="A619" s="130">
        <v>4135</v>
      </c>
      <c r="B619" s="130" t="s">
        <v>2264</v>
      </c>
      <c r="C619" s="130" t="s">
        <v>2265</v>
      </c>
      <c r="D619" s="130" t="str">
        <f>IF('SIG 2021'!$D622="","",'SIG 2021'!$D622)</f>
        <v>No</v>
      </c>
      <c r="E619" s="130" t="str">
        <f>IF('SIG 2021'!$E622="","",'SIG 2021'!$E622)</f>
        <v/>
      </c>
      <c r="F619" s="130" t="str">
        <f>IF('SIG 2021'!$F622="","",'SIG 2021'!F622)</f>
        <v/>
      </c>
      <c r="G619" s="130" t="s">
        <v>2266</v>
      </c>
      <c r="H619" s="130" t="s">
        <v>2267</v>
      </c>
      <c r="I619" s="130"/>
      <c r="J619" s="130"/>
      <c r="K619" s="130" t="str">
        <f>IF('SIG 2021'!$AM622="","",'SIG 2021'!$AM622)</f>
        <v/>
      </c>
      <c r="L619" s="130" t="str">
        <f>IF('SIG 2021'!$AN622="","",'SIG 2021'!$AN622)</f>
        <v/>
      </c>
      <c r="M619" s="130" t="str">
        <f>IF('SIG 2021'!$AO622="","",'SIG 2021'!$AO622)</f>
        <v/>
      </c>
    </row>
    <row r="620" spans="1:13" ht="43.2" x14ac:dyDescent="0.5">
      <c r="A620" s="130">
        <v>4157</v>
      </c>
      <c r="B620" s="130" t="s">
        <v>2268</v>
      </c>
      <c r="C620" s="130" t="s">
        <v>2269</v>
      </c>
      <c r="D620" s="130" t="str">
        <f>IF('SIG 2021'!$D623="","",'SIG 2021'!$D623)</f>
        <v>N/A</v>
      </c>
      <c r="E620" s="130" t="str">
        <f>IF('SIG 2021'!$E623="","",'SIG 2021'!$E623)</f>
        <v>Neither marketing nor selling activities are conducted directly to Client's customers.</v>
      </c>
      <c r="F620" s="130" t="str">
        <f>IF('SIG 2021'!$F623="","",'SIG 2021'!F623)</f>
        <v/>
      </c>
      <c r="G620" s="130" t="s">
        <v>2266</v>
      </c>
      <c r="H620" s="130" t="s">
        <v>2267</v>
      </c>
      <c r="I620" s="130" t="s">
        <v>2210</v>
      </c>
      <c r="J620" s="130"/>
      <c r="K620" s="130" t="str">
        <f>IF('SIG 2021'!$AM623="","",'SIG 2021'!$AM623)</f>
        <v/>
      </c>
      <c r="L620" s="130" t="str">
        <f>IF('SIG 2021'!$AN623="","",'SIG 2021'!$AN623)</f>
        <v/>
      </c>
      <c r="M620" s="130" t="str">
        <f>IF('SIG 2021'!$AO623="","",'SIG 2021'!$AO623)</f>
        <v/>
      </c>
    </row>
    <row r="621" spans="1:13" ht="43.2" x14ac:dyDescent="0.5">
      <c r="A621" s="130">
        <v>4136</v>
      </c>
      <c r="B621" s="130" t="s">
        <v>2271</v>
      </c>
      <c r="C621" s="130" t="s">
        <v>2272</v>
      </c>
      <c r="D621" s="130" t="str">
        <f>IF('SIG 2021'!$D624="","",'SIG 2021'!$D624)</f>
        <v>N/A</v>
      </c>
      <c r="E621" s="130" t="str">
        <f>IF('SIG 2021'!$E624="","",'SIG 2021'!$E624)</f>
        <v>Neither marketing nor selling activities are conducted directly to Client's customers.</v>
      </c>
      <c r="F621" s="130" t="str">
        <f>IF('SIG 2021'!$F624="","",'SIG 2021'!F624)</f>
        <v/>
      </c>
      <c r="G621" s="130" t="s">
        <v>2266</v>
      </c>
      <c r="H621" s="130" t="s">
        <v>2267</v>
      </c>
      <c r="I621" s="130" t="s">
        <v>2210</v>
      </c>
      <c r="J621" s="130"/>
      <c r="K621" s="130" t="str">
        <f>IF('SIG 2021'!$AM624="","",'SIG 2021'!$AM624)</f>
        <v/>
      </c>
      <c r="L621" s="130" t="str">
        <f>IF('SIG 2021'!$AN624="","",'SIG 2021'!$AN624)</f>
        <v/>
      </c>
      <c r="M621" s="130" t="str">
        <f>IF('SIG 2021'!$AO624="","",'SIG 2021'!$AO624)</f>
        <v/>
      </c>
    </row>
    <row r="622" spans="1:13" ht="43.2" x14ac:dyDescent="0.5">
      <c r="A622" s="130">
        <v>4137</v>
      </c>
      <c r="B622" s="130" t="s">
        <v>2273</v>
      </c>
      <c r="C622" s="130" t="s">
        <v>2274</v>
      </c>
      <c r="D622" s="130" t="str">
        <f>IF('SIG 2021'!$D625="","",'SIG 2021'!$D625)</f>
        <v>N/A</v>
      </c>
      <c r="E622" s="130" t="str">
        <f>IF('SIG 2021'!$E625="","",'SIG 2021'!$E625)</f>
        <v>Neither marketing nor selling activities are conducted directly to Client's customers.</v>
      </c>
      <c r="F622" s="130" t="str">
        <f>IF('SIG 2021'!$F625="","",'SIG 2021'!F625)</f>
        <v/>
      </c>
      <c r="G622" s="130" t="s">
        <v>2266</v>
      </c>
      <c r="H622" s="130" t="s">
        <v>2267</v>
      </c>
      <c r="I622" s="130"/>
      <c r="J622" s="130"/>
      <c r="K622" s="130" t="str">
        <f>IF('SIG 2021'!$AM625="","",'SIG 2021'!$AM625)</f>
        <v/>
      </c>
      <c r="L622" s="130" t="str">
        <f>IF('SIG 2021'!$AN625="","",'SIG 2021'!$AN625)</f>
        <v/>
      </c>
      <c r="M622" s="130" t="str">
        <f>IF('SIG 2021'!$AO625="","",'SIG 2021'!$AO625)</f>
        <v/>
      </c>
    </row>
    <row r="623" spans="1:13" ht="57.6" x14ac:dyDescent="0.5">
      <c r="A623" s="130">
        <v>4138</v>
      </c>
      <c r="B623" s="130" t="s">
        <v>2275</v>
      </c>
      <c r="C623" s="130" t="s">
        <v>2276</v>
      </c>
      <c r="D623" s="130" t="str">
        <f>IF('SIG 2021'!$D626="","",'SIG 2021'!$D626)</f>
        <v>N/A</v>
      </c>
      <c r="E623" s="130" t="str">
        <f>IF('SIG 2021'!$E626="","",'SIG 2021'!$E626)</f>
        <v>Neither marketing nor selling activities are conducted directly to Client's customers.</v>
      </c>
      <c r="F623" s="130" t="str">
        <f>IF('SIG 2021'!$F626="","",'SIG 2021'!F626)</f>
        <v/>
      </c>
      <c r="G623" s="130" t="s">
        <v>2266</v>
      </c>
      <c r="H623" s="130" t="s">
        <v>2267</v>
      </c>
      <c r="I623" s="130" t="s">
        <v>2210</v>
      </c>
      <c r="J623" s="130"/>
      <c r="K623" s="130" t="str">
        <f>IF('SIG 2021'!$AM626="","",'SIG 2021'!$AM626)</f>
        <v/>
      </c>
      <c r="L623" s="130" t="str">
        <f>IF('SIG 2021'!$AN626="","",'SIG 2021'!$AN626)</f>
        <v/>
      </c>
      <c r="M623" s="130" t="str">
        <f>IF('SIG 2021'!$AO626="","",'SIG 2021'!$AO626)</f>
        <v/>
      </c>
    </row>
    <row r="624" spans="1:13" ht="57.6" x14ac:dyDescent="0.5">
      <c r="A624" s="130">
        <v>4140</v>
      </c>
      <c r="B624" s="130" t="s">
        <v>2277</v>
      </c>
      <c r="C624" s="130" t="s">
        <v>2278</v>
      </c>
      <c r="D624" s="130" t="str">
        <f>IF('SIG 2021'!$D627="","",'SIG 2021'!$D627)</f>
        <v>N/A</v>
      </c>
      <c r="E624" s="130" t="str">
        <f>IF('SIG 2021'!$E627="","",'SIG 2021'!$E627)</f>
        <v>Neither marketing nor selling activities are conducted directly to Client's customers.</v>
      </c>
      <c r="F624" s="130" t="str">
        <f>IF('SIG 2021'!$F627="","",'SIG 2021'!F627)</f>
        <v/>
      </c>
      <c r="G624" s="130" t="s">
        <v>2266</v>
      </c>
      <c r="H624" s="130" t="s">
        <v>2267</v>
      </c>
      <c r="I624" s="130"/>
      <c r="J624" s="130"/>
      <c r="K624" s="130" t="str">
        <f>IF('SIG 2021'!$AM627="","",'SIG 2021'!$AM627)</f>
        <v/>
      </c>
      <c r="L624" s="130" t="str">
        <f>IF('SIG 2021'!$AN627="","",'SIG 2021'!$AN627)</f>
        <v/>
      </c>
      <c r="M624" s="130" t="str">
        <f>IF('SIG 2021'!$AO627="","",'SIG 2021'!$AO627)</f>
        <v/>
      </c>
    </row>
    <row r="625" spans="1:13" ht="43.2" x14ac:dyDescent="0.5">
      <c r="A625" s="130">
        <v>4144</v>
      </c>
      <c r="B625" s="130" t="s">
        <v>2279</v>
      </c>
      <c r="C625" s="130" t="s">
        <v>2280</v>
      </c>
      <c r="D625" s="130" t="str">
        <f>IF('SIG 2021'!$D628="","",'SIG 2021'!$D628)</f>
        <v>N/A</v>
      </c>
      <c r="E625" s="130" t="str">
        <f>IF('SIG 2021'!$E628="","",'SIG 2021'!$E628)</f>
        <v>There are no direct interactions with our client's customers.</v>
      </c>
      <c r="F625" s="130" t="str">
        <f>IF('SIG 2021'!$F628="","",'SIG 2021'!F628)</f>
        <v/>
      </c>
      <c r="G625" s="130" t="s">
        <v>2266</v>
      </c>
      <c r="H625" s="130" t="s">
        <v>2267</v>
      </c>
      <c r="I625" s="130"/>
      <c r="J625" s="130"/>
      <c r="K625" s="130" t="str">
        <f>IF('SIG 2021'!$AM628="","",'SIG 2021'!$AM628)</f>
        <v/>
      </c>
      <c r="L625" s="130" t="str">
        <f>IF('SIG 2021'!$AN628="","",'SIG 2021'!$AN628)</f>
        <v/>
      </c>
      <c r="M625" s="130" t="str">
        <f>IF('SIG 2021'!$AO628="","",'SIG 2021'!$AO628)</f>
        <v/>
      </c>
    </row>
    <row r="626" spans="1:13" ht="28.8" x14ac:dyDescent="0.5">
      <c r="A626" s="130">
        <v>4835</v>
      </c>
      <c r="B626" s="130" t="s">
        <v>2282</v>
      </c>
      <c r="C626" s="130" t="s">
        <v>2283</v>
      </c>
      <c r="D626" s="130" t="str">
        <f>IF('SIG 2021'!$D629="","",'SIG 2021'!$D629)</f>
        <v>N/A</v>
      </c>
      <c r="E626" s="130" t="str">
        <f>IF('SIG 2021'!$E629="","",'SIG 2021'!$E629)</f>
        <v>There are no direct interactions with our client's customers.</v>
      </c>
      <c r="F626" s="130" t="str">
        <f>IF('SIG 2021'!$F629="","",'SIG 2021'!F629)</f>
        <v/>
      </c>
      <c r="G626" s="130" t="s">
        <v>2266</v>
      </c>
      <c r="H626" s="130" t="s">
        <v>2284</v>
      </c>
      <c r="I626" s="130"/>
      <c r="J626" s="130"/>
      <c r="K626" s="130" t="str">
        <f>IF('SIG 2021'!$AM629="","",'SIG 2021'!$AM629)</f>
        <v/>
      </c>
      <c r="L626" s="130" t="str">
        <f>IF('SIG 2021'!$AN629="","",'SIG 2021'!$AN629)</f>
        <v/>
      </c>
      <c r="M626" s="130" t="str">
        <f>IF('SIG 2021'!$AO629="","",'SIG 2021'!$AO629)</f>
        <v/>
      </c>
    </row>
    <row r="627" spans="1:13" ht="43.2" x14ac:dyDescent="0.5">
      <c r="A627" s="130">
        <v>4836</v>
      </c>
      <c r="B627" s="130" t="s">
        <v>2285</v>
      </c>
      <c r="C627" s="130" t="s">
        <v>2286</v>
      </c>
      <c r="D627" s="130" t="str">
        <f>IF('SIG 2021'!$D630="","",'SIG 2021'!$D630)</f>
        <v/>
      </c>
      <c r="E627" s="130" t="str">
        <f>IF('SIG 2021'!$E630="","",'SIG 2021'!$E630)</f>
        <v/>
      </c>
      <c r="F627" s="130" t="str">
        <f>IF('SIG 2021'!$F630="","",'SIG 2021'!F630)</f>
        <v/>
      </c>
      <c r="G627" s="130" t="s">
        <v>2266</v>
      </c>
      <c r="H627" s="130" t="s">
        <v>2284</v>
      </c>
      <c r="I627" s="130"/>
      <c r="J627" s="130"/>
      <c r="K627" s="130" t="str">
        <f>IF('SIG 2021'!$AM630="","",'SIG 2021'!$AM630)</f>
        <v/>
      </c>
      <c r="L627" s="130" t="str">
        <f>IF('SIG 2021'!$AN630="","",'SIG 2021'!$AN630)</f>
        <v/>
      </c>
      <c r="M627" s="130" t="str">
        <f>IF('SIG 2021'!$AO630="","",'SIG 2021'!$AO630)</f>
        <v/>
      </c>
    </row>
    <row r="628" spans="1:13" ht="57.6" x14ac:dyDescent="0.5">
      <c r="A628" s="130">
        <v>4150</v>
      </c>
      <c r="B628" s="130" t="s">
        <v>2287</v>
      </c>
      <c r="C628" s="130" t="s">
        <v>2288</v>
      </c>
      <c r="D628" s="130" t="str">
        <f>IF('SIG 2021'!$D631="","",'SIG 2021'!$D631)</f>
        <v>N/A</v>
      </c>
      <c r="E628" s="130" t="str">
        <f>IF('SIG 2021'!$E631="","",'SIG 2021'!$E631)</f>
        <v>There are no direct interactions with our client's customers.</v>
      </c>
      <c r="F628" s="130" t="str">
        <f>IF('SIG 2021'!$F631="","",'SIG 2021'!F631)</f>
        <v/>
      </c>
      <c r="G628" s="130" t="s">
        <v>2266</v>
      </c>
      <c r="H628" s="130" t="s">
        <v>2289</v>
      </c>
      <c r="I628" s="130"/>
      <c r="J628" s="130"/>
      <c r="K628" s="130" t="str">
        <f>IF('SIG 2021'!$AM631="","",'SIG 2021'!$AM631)</f>
        <v/>
      </c>
      <c r="L628" s="130" t="str">
        <f>IF('SIG 2021'!$AN631="","",'SIG 2021'!$AN631)</f>
        <v/>
      </c>
      <c r="M628" s="130" t="str">
        <f>IF('SIG 2021'!$AO631="","",'SIG 2021'!$AO631)</f>
        <v/>
      </c>
    </row>
    <row r="629" spans="1:13" ht="72" x14ac:dyDescent="0.5">
      <c r="A629" s="130">
        <v>4560</v>
      </c>
      <c r="B629" s="130" t="s">
        <v>2290</v>
      </c>
      <c r="C629" s="130" t="s">
        <v>2291</v>
      </c>
      <c r="D629" s="130" t="str">
        <f>IF('SIG 2021'!$D632="","",'SIG 2021'!$D632)</f>
        <v/>
      </c>
      <c r="E629" s="130" t="str">
        <f>IF('SIG 2021'!$E632="","",'SIG 2021'!$E632)</f>
        <v/>
      </c>
      <c r="F629" s="130" t="str">
        <f>IF('SIG 2021'!$F632="","",'SIG 2021'!F632)</f>
        <v/>
      </c>
      <c r="G629" s="130" t="s">
        <v>2266</v>
      </c>
      <c r="H629" s="130" t="s">
        <v>2289</v>
      </c>
      <c r="I629" s="130"/>
      <c r="J629" s="130"/>
      <c r="K629" s="130" t="str">
        <f>IF('SIG 2021'!$AM632="","",'SIG 2021'!$AM632)</f>
        <v/>
      </c>
      <c r="L629" s="130" t="str">
        <f>IF('SIG 2021'!$AN632="","",'SIG 2021'!$AN632)</f>
        <v/>
      </c>
      <c r="M629" s="130" t="str">
        <f>IF('SIG 2021'!$AO632="","",'SIG 2021'!$AO632)</f>
        <v/>
      </c>
    </row>
    <row r="630" spans="1:13" ht="28.8" x14ac:dyDescent="0.5">
      <c r="A630" s="130">
        <v>4561</v>
      </c>
      <c r="B630" s="130" t="s">
        <v>2292</v>
      </c>
      <c r="C630" s="130" t="s">
        <v>2293</v>
      </c>
      <c r="D630" s="130" t="str">
        <f>IF('SIG 2021'!$D633="","",'SIG 2021'!$D633)</f>
        <v/>
      </c>
      <c r="E630" s="130" t="str">
        <f>IF('SIG 2021'!$E633="","",'SIG 2021'!$E633)</f>
        <v/>
      </c>
      <c r="F630" s="130" t="str">
        <f>IF('SIG 2021'!$F633="","",'SIG 2021'!F633)</f>
        <v/>
      </c>
      <c r="G630" s="130" t="s">
        <v>2266</v>
      </c>
      <c r="H630" s="130" t="s">
        <v>2289</v>
      </c>
      <c r="I630" s="130"/>
      <c r="J630" s="130"/>
      <c r="K630" s="130" t="str">
        <f>IF('SIG 2021'!$AM633="","",'SIG 2021'!$AM633)</f>
        <v/>
      </c>
      <c r="L630" s="130" t="str">
        <f>IF('SIG 2021'!$AN633="","",'SIG 2021'!$AN633)</f>
        <v/>
      </c>
      <c r="M630" s="130" t="str">
        <f>IF('SIG 2021'!$AO633="","",'SIG 2021'!$AO633)</f>
        <v/>
      </c>
    </row>
    <row r="631" spans="1:13" ht="28.8" x14ac:dyDescent="0.5">
      <c r="A631" s="130">
        <v>4141</v>
      </c>
      <c r="B631" s="130" t="s">
        <v>2294</v>
      </c>
      <c r="C631" s="130" t="s">
        <v>2295</v>
      </c>
      <c r="D631" s="130" t="str">
        <f>IF('SIG 2021'!$D634="","",'SIG 2021'!$D634)</f>
        <v>No</v>
      </c>
      <c r="E631" s="130" t="str">
        <f>IF('SIG 2021'!$E634="","",'SIG 2021'!$E634)</f>
        <v/>
      </c>
      <c r="F631" s="130" t="str">
        <f>IF('SIG 2021'!$F634="","",'SIG 2021'!F634)</f>
        <v/>
      </c>
      <c r="G631" s="130" t="s">
        <v>2266</v>
      </c>
      <c r="H631" s="130" t="s">
        <v>2296</v>
      </c>
      <c r="I631" s="130"/>
      <c r="J631" s="130"/>
      <c r="K631" s="130" t="str">
        <f>IF('SIG 2021'!$AM634="","",'SIG 2021'!$AM634)</f>
        <v/>
      </c>
      <c r="L631" s="130" t="str">
        <f>IF('SIG 2021'!$AN634="","",'SIG 2021'!$AN634)</f>
        <v/>
      </c>
      <c r="M631" s="130" t="str">
        <f>IF('SIG 2021'!$AO634="","",'SIG 2021'!$AO634)</f>
        <v/>
      </c>
    </row>
    <row r="632" spans="1:13" ht="43.2" x14ac:dyDescent="0.5">
      <c r="A632" s="130">
        <v>5653</v>
      </c>
      <c r="B632" s="130" t="s">
        <v>2297</v>
      </c>
      <c r="C632" s="130" t="s">
        <v>2298</v>
      </c>
      <c r="D632" s="130" t="str">
        <f>IF('SIG 2021'!$D635="","",'SIG 2021'!$D635)</f>
        <v/>
      </c>
      <c r="E632" s="130" t="str">
        <f>IF('SIG 2021'!$E635="","",'SIG 2021'!$E635)</f>
        <v/>
      </c>
      <c r="F632" s="130" t="str">
        <f>IF('SIG 2021'!$F635="","",'SIG 2021'!F635)</f>
        <v/>
      </c>
      <c r="G632" s="130" t="s">
        <v>2266</v>
      </c>
      <c r="H632" s="130" t="s">
        <v>2296</v>
      </c>
      <c r="I632" s="130" t="s">
        <v>2210</v>
      </c>
      <c r="J632" s="130"/>
      <c r="K632" s="130" t="str">
        <f>IF('SIG 2021'!$AM635="","",'SIG 2021'!$AM635)</f>
        <v/>
      </c>
      <c r="L632" s="130" t="str">
        <f>IF('SIG 2021'!$AN635="","",'SIG 2021'!$AN635)</f>
        <v/>
      </c>
      <c r="M632" s="130" t="str">
        <f>IF('SIG 2021'!$AO635="","",'SIG 2021'!$AO635)</f>
        <v/>
      </c>
    </row>
    <row r="633" spans="1:13" ht="43.2" x14ac:dyDescent="0.5">
      <c r="A633" s="130">
        <v>4837</v>
      </c>
      <c r="B633" s="130" t="s">
        <v>2299</v>
      </c>
      <c r="C633" s="130" t="s">
        <v>2300</v>
      </c>
      <c r="D633" s="130" t="str">
        <f>IF('SIG 2021'!$D636="","",'SIG 2021'!$D636)</f>
        <v/>
      </c>
      <c r="E633" s="130" t="str">
        <f>IF('SIG 2021'!$E636="","",'SIG 2021'!$E636)</f>
        <v/>
      </c>
      <c r="F633" s="130" t="str">
        <f>IF('SIG 2021'!$F636="","",'SIG 2021'!F636)</f>
        <v/>
      </c>
      <c r="G633" s="130" t="s">
        <v>2266</v>
      </c>
      <c r="H633" s="130" t="s">
        <v>2296</v>
      </c>
      <c r="I633" s="130" t="s">
        <v>2210</v>
      </c>
      <c r="J633" s="130"/>
      <c r="K633" s="130" t="str">
        <f>IF('SIG 2021'!$AM636="","",'SIG 2021'!$AM636)</f>
        <v/>
      </c>
      <c r="L633" s="130" t="str">
        <f>IF('SIG 2021'!$AN636="","",'SIG 2021'!$AN636)</f>
        <v/>
      </c>
      <c r="M633" s="130" t="str">
        <f>IF('SIG 2021'!$AO636="","",'SIG 2021'!$AO636)</f>
        <v/>
      </c>
    </row>
    <row r="634" spans="1:13" ht="43.2" x14ac:dyDescent="0.5">
      <c r="A634" s="130">
        <v>4142</v>
      </c>
      <c r="B634" s="130" t="s">
        <v>2301</v>
      </c>
      <c r="C634" s="130" t="s">
        <v>2302</v>
      </c>
      <c r="D634" s="130" t="str">
        <f>IF('SIG 2021'!$D637="","",'SIG 2021'!$D637)</f>
        <v>N/A</v>
      </c>
      <c r="E634" s="130" t="str">
        <f>IF('SIG 2021'!$E637="","",'SIG 2021'!$E637)</f>
        <v>There are no direct interactions with our client's customers.</v>
      </c>
      <c r="F634" s="130" t="str">
        <f>IF('SIG 2021'!$F637="","",'SIG 2021'!F637)</f>
        <v/>
      </c>
      <c r="G634" s="130" t="s">
        <v>2266</v>
      </c>
      <c r="H634" s="130" t="s">
        <v>2296</v>
      </c>
      <c r="I634" s="130" t="s">
        <v>2210</v>
      </c>
      <c r="J634" s="130"/>
      <c r="K634" s="130" t="str">
        <f>IF('SIG 2021'!$AM637="","",'SIG 2021'!$AM637)</f>
        <v/>
      </c>
      <c r="L634" s="130" t="str">
        <f>IF('SIG 2021'!$AN637="","",'SIG 2021'!$AN637)</f>
        <v/>
      </c>
      <c r="M634" s="130" t="str">
        <f>IF('SIG 2021'!$AO637="","",'SIG 2021'!$AO637)</f>
        <v/>
      </c>
    </row>
    <row r="635" spans="1:13" ht="86.4" x14ac:dyDescent="0.5">
      <c r="A635" s="130">
        <v>4143</v>
      </c>
      <c r="B635" s="130" t="s">
        <v>2303</v>
      </c>
      <c r="C635" s="130" t="s">
        <v>2304</v>
      </c>
      <c r="D635" s="130" t="str">
        <f>IF('SIG 2021'!$D638="","",'SIG 2021'!$D638)</f>
        <v>N/A</v>
      </c>
      <c r="E635" s="130" t="str">
        <f>IF('SIG 2021'!$E638="","",'SIG 2021'!$E638)</f>
        <v>There are no direct interactions with our client's customers.</v>
      </c>
      <c r="F635" s="130" t="str">
        <f>IF('SIG 2021'!$F638="","",'SIG 2021'!F638)</f>
        <v/>
      </c>
      <c r="G635" s="130" t="s">
        <v>2266</v>
      </c>
      <c r="H635" s="130" t="s">
        <v>2296</v>
      </c>
      <c r="I635" s="130" t="s">
        <v>2210</v>
      </c>
      <c r="J635" s="130"/>
      <c r="K635" s="130" t="str">
        <f>IF('SIG 2021'!$AM638="","",'SIG 2021'!$AM638)</f>
        <v/>
      </c>
      <c r="L635" s="130" t="str">
        <f>IF('SIG 2021'!$AN638="","",'SIG 2021'!$AN638)</f>
        <v/>
      </c>
      <c r="M635" s="130" t="str">
        <f>IF('SIG 2021'!$AO638="","",'SIG 2021'!$AO638)</f>
        <v/>
      </c>
    </row>
    <row r="636" spans="1:13" ht="43.2" x14ac:dyDescent="0.5">
      <c r="A636" s="130">
        <v>4146</v>
      </c>
      <c r="B636" s="130" t="s">
        <v>2305</v>
      </c>
      <c r="C636" s="130" t="s">
        <v>2306</v>
      </c>
      <c r="D636" s="130" t="str">
        <f>IF('SIG 2021'!$D639="","",'SIG 2021'!$D639)</f>
        <v>N/A</v>
      </c>
      <c r="E636" s="130" t="str">
        <f>IF('SIG 2021'!$E639="","",'SIG 2021'!$E639)</f>
        <v>There are no direct interactions with our client's customers.</v>
      </c>
      <c r="F636" s="130" t="str">
        <f>IF('SIG 2021'!$F639="","",'SIG 2021'!F639)</f>
        <v/>
      </c>
      <c r="G636" s="130" t="s">
        <v>2266</v>
      </c>
      <c r="H636" s="130" t="s">
        <v>2296</v>
      </c>
      <c r="I636" s="130" t="s">
        <v>2210</v>
      </c>
      <c r="J636" s="130"/>
      <c r="K636" s="130" t="str">
        <f>IF('SIG 2021'!$AM639="","",'SIG 2021'!$AM639)</f>
        <v/>
      </c>
      <c r="L636" s="130" t="str">
        <f>IF('SIG 2021'!$AN639="","",'SIG 2021'!$AN639)</f>
        <v/>
      </c>
      <c r="M636" s="130" t="str">
        <f>IF('SIG 2021'!$AO639="","",'SIG 2021'!$AO639)</f>
        <v/>
      </c>
    </row>
    <row r="637" spans="1:13" ht="43.2" x14ac:dyDescent="0.5">
      <c r="A637" s="130">
        <v>4147</v>
      </c>
      <c r="B637" s="130" t="s">
        <v>2307</v>
      </c>
      <c r="C637" s="130" t="s">
        <v>2308</v>
      </c>
      <c r="D637" s="130" t="str">
        <f>IF('SIG 2021'!$D640="","",'SIG 2021'!$D640)</f>
        <v>Yes</v>
      </c>
      <c r="E637" s="130" t="str">
        <f>IF('SIG 2021'!$E640="","",'SIG 2021'!$E640)</f>
        <v/>
      </c>
      <c r="F637" s="130" t="str">
        <f>IF('SIG 2021'!$F640="","",'SIG 2021'!F640)</f>
        <v/>
      </c>
      <c r="G637" s="130" t="s">
        <v>2309</v>
      </c>
      <c r="H637" s="130" t="s">
        <v>2310</v>
      </c>
      <c r="I637" s="130"/>
      <c r="J637" s="130" t="s">
        <v>2311</v>
      </c>
      <c r="K637" s="130" t="str">
        <f>IF('SIG 2021'!$AM640="","",'SIG 2021'!$AM640)</f>
        <v/>
      </c>
      <c r="L637" s="130" t="str">
        <f>IF('SIG 2021'!$AN640="","",'SIG 2021'!$AN640)</f>
        <v/>
      </c>
      <c r="M637" s="130" t="str">
        <f>IF('SIG 2021'!$AO640="","",'SIG 2021'!$AO640)</f>
        <v/>
      </c>
    </row>
    <row r="638" spans="1:13" ht="43.2" x14ac:dyDescent="0.5">
      <c r="A638" s="130">
        <v>4838</v>
      </c>
      <c r="B638" s="130" t="s">
        <v>2312</v>
      </c>
      <c r="C638" s="130" t="s">
        <v>2313</v>
      </c>
      <c r="D638" s="130" t="str">
        <f>IF('SIG 2021'!$D641="","",'SIG 2021'!$D641)</f>
        <v>Yes</v>
      </c>
      <c r="E638" s="130" t="str">
        <f>IF('SIG 2021'!$E641="","",'SIG 2021'!$E641)</f>
        <v/>
      </c>
      <c r="F638" s="130" t="str">
        <f>IF('SIG 2021'!$F641="","",'SIG 2021'!F641)</f>
        <v/>
      </c>
      <c r="G638" s="130" t="s">
        <v>2309</v>
      </c>
      <c r="H638" s="130" t="s">
        <v>2310</v>
      </c>
      <c r="I638" s="130"/>
      <c r="J638" s="130"/>
      <c r="K638" s="130" t="str">
        <f>IF('SIG 2021'!$AM641="","",'SIG 2021'!$AM641)</f>
        <v/>
      </c>
      <c r="L638" s="130" t="str">
        <f>IF('SIG 2021'!$AN641="","",'SIG 2021'!$AN641)</f>
        <v/>
      </c>
      <c r="M638" s="130" t="str">
        <f>IF('SIG 2021'!$AO641="","",'SIG 2021'!$AO641)</f>
        <v/>
      </c>
    </row>
    <row r="639" spans="1:13" ht="43.2" x14ac:dyDescent="0.5">
      <c r="A639" s="130">
        <v>4839</v>
      </c>
      <c r="B639" s="130" t="s">
        <v>2314</v>
      </c>
      <c r="C639" s="130" t="s">
        <v>2315</v>
      </c>
      <c r="D639" s="130" t="str">
        <f>IF('SIG 2021'!$D642="","",'SIG 2021'!$D642)</f>
        <v>Yes</v>
      </c>
      <c r="E639" s="130" t="str">
        <f>IF('SIG 2021'!$E642="","",'SIG 2021'!$E642)</f>
        <v/>
      </c>
      <c r="F639" s="130" t="str">
        <f>IF('SIG 2021'!$F642="","",'SIG 2021'!F642)</f>
        <v/>
      </c>
      <c r="G639" s="130" t="s">
        <v>2309</v>
      </c>
      <c r="H639" s="130" t="s">
        <v>2310</v>
      </c>
      <c r="I639" s="130"/>
      <c r="J639" s="130" t="s">
        <v>922</v>
      </c>
      <c r="K639" s="130" t="str">
        <f>IF('SIG 2021'!$AM642="","",'SIG 2021'!$AM642)</f>
        <v/>
      </c>
      <c r="L639" s="130" t="str">
        <f>IF('SIG 2021'!$AN642="","",'SIG 2021'!$AN642)</f>
        <v/>
      </c>
      <c r="M639" s="130" t="str">
        <f>IF('SIG 2021'!$AO642="","",'SIG 2021'!$AO642)</f>
        <v/>
      </c>
    </row>
    <row r="640" spans="1:13" ht="57.6" x14ac:dyDescent="0.5">
      <c r="A640" s="130">
        <v>3379</v>
      </c>
      <c r="B640" s="130" t="s">
        <v>2316</v>
      </c>
      <c r="C640" s="130" t="s">
        <v>2317</v>
      </c>
      <c r="D640" s="130" t="str">
        <f>IF('SIG 2021'!$D643="","",'SIG 2021'!$D643)</f>
        <v>Yes</v>
      </c>
      <c r="E640" s="130" t="str">
        <f>IF('SIG 2021'!$E643="","",'SIG 2021'!$E643)</f>
        <v>Customer audits may be scheduled upon mutual agreement and with sufficient advanced written notice (30 days)</v>
      </c>
      <c r="F640" s="130" t="str">
        <f>IF('SIG 2021'!$F643="","",'SIG 2021'!F643)</f>
        <v/>
      </c>
      <c r="G640" s="130" t="s">
        <v>2319</v>
      </c>
      <c r="H640" s="130" t="s">
        <v>2320</v>
      </c>
      <c r="I640" s="130"/>
      <c r="J640" s="130"/>
      <c r="K640" s="130" t="str">
        <f>IF('SIG 2021'!$AM643="","",'SIG 2021'!$AM643)</f>
        <v/>
      </c>
      <c r="L640" s="130" t="str">
        <f>IF('SIG 2021'!$AN643="","",'SIG 2021'!$AN643)</f>
        <v/>
      </c>
      <c r="M640" s="130" t="str">
        <f>IF('SIG 2021'!$AO643="","",'SIG 2021'!$AO643)</f>
        <v/>
      </c>
    </row>
    <row r="641" spans="1:13" ht="28.8" x14ac:dyDescent="0.5">
      <c r="A641" s="130">
        <v>3380</v>
      </c>
      <c r="B641" s="130" t="s">
        <v>2321</v>
      </c>
      <c r="C641" s="130" t="s">
        <v>2322</v>
      </c>
      <c r="D641" s="130" t="str">
        <f>IF('SIG 2021'!$D644="","",'SIG 2021'!$D644)</f>
        <v>Yes</v>
      </c>
      <c r="E641" s="130" t="str">
        <f>IF('SIG 2021'!$E644="","",'SIG 2021'!$E644)</f>
        <v/>
      </c>
      <c r="F641" s="130" t="str">
        <f>IF('SIG 2021'!$F644="","",'SIG 2021'!F644)</f>
        <v/>
      </c>
      <c r="G641" s="130" t="s">
        <v>2319</v>
      </c>
      <c r="H641" s="130" t="s">
        <v>2320</v>
      </c>
      <c r="I641" s="130"/>
      <c r="J641" s="130"/>
      <c r="K641" s="130" t="str">
        <f>IF('SIG 2021'!$AM644="","",'SIG 2021'!$AM644)</f>
        <v/>
      </c>
      <c r="L641" s="130" t="str">
        <f>IF('SIG 2021'!$AN644="","",'SIG 2021'!$AN644)</f>
        <v/>
      </c>
      <c r="M641" s="130" t="str">
        <f>IF('SIG 2021'!$AO644="","",'SIG 2021'!$AO644)</f>
        <v/>
      </c>
    </row>
    <row r="642" spans="1:13" ht="28.8" x14ac:dyDescent="0.5">
      <c r="A642" s="130">
        <v>3385</v>
      </c>
      <c r="B642" s="130" t="s">
        <v>2323</v>
      </c>
      <c r="C642" s="130" t="s">
        <v>2324</v>
      </c>
      <c r="D642" s="130" t="str">
        <f>IF('SIG 2021'!$D645="","",'SIG 2021'!$D645)</f>
        <v>Yes</v>
      </c>
      <c r="E642" s="130" t="str">
        <f>IF('SIG 2021'!$E645="","",'SIG 2021'!$E645)</f>
        <v/>
      </c>
      <c r="F642" s="130" t="str">
        <f>IF('SIG 2021'!$F645="","",'SIG 2021'!F645)</f>
        <v/>
      </c>
      <c r="G642" s="130" t="s">
        <v>2319</v>
      </c>
      <c r="H642" s="130" t="s">
        <v>2320</v>
      </c>
      <c r="I642" s="130"/>
      <c r="J642" s="130"/>
      <c r="K642" s="130" t="str">
        <f>IF('SIG 2021'!$AM645="","",'SIG 2021'!$AM645)</f>
        <v/>
      </c>
      <c r="L642" s="130" t="str">
        <f>IF('SIG 2021'!$AN645="","",'SIG 2021'!$AN645)</f>
        <v/>
      </c>
      <c r="M642" s="130" t="str">
        <f>IF('SIG 2021'!$AO645="","",'SIG 2021'!$AO645)</f>
        <v/>
      </c>
    </row>
    <row r="643" spans="1:13" ht="43.2" x14ac:dyDescent="0.5">
      <c r="A643" s="130">
        <v>3386</v>
      </c>
      <c r="B643" s="130" t="s">
        <v>2325</v>
      </c>
      <c r="C643" s="130" t="s">
        <v>2326</v>
      </c>
      <c r="D643" s="130" t="str">
        <f>IF('SIG 2021'!$D646="","",'SIG 2021'!$D646)</f>
        <v>Yes</v>
      </c>
      <c r="E643" s="130" t="str">
        <f>IF('SIG 2021'!$E646="","",'SIG 2021'!$E646)</f>
        <v/>
      </c>
      <c r="F643" s="130" t="str">
        <f>IF('SIG 2021'!$F646="","",'SIG 2021'!F646)</f>
        <v/>
      </c>
      <c r="G643" s="130" t="s">
        <v>2319</v>
      </c>
      <c r="H643" s="130" t="s">
        <v>2320</v>
      </c>
      <c r="I643" s="130"/>
      <c r="J643" s="130"/>
      <c r="K643" s="130" t="str">
        <f>IF('SIG 2021'!$AM646="","",'SIG 2021'!$AM646)</f>
        <v/>
      </c>
      <c r="L643" s="130" t="str">
        <f>IF('SIG 2021'!$AN646="","",'SIG 2021'!$AN646)</f>
        <v/>
      </c>
      <c r="M643" s="130" t="str">
        <f>IF('SIG 2021'!$AO646="","",'SIG 2021'!$AO646)</f>
        <v/>
      </c>
    </row>
    <row r="644" spans="1:13" ht="28.8" x14ac:dyDescent="0.5">
      <c r="A644" s="130">
        <v>3387</v>
      </c>
      <c r="B644" s="130" t="s">
        <v>2327</v>
      </c>
      <c r="C644" s="130" t="s">
        <v>2328</v>
      </c>
      <c r="D644" s="130" t="str">
        <f>IF('SIG 2021'!$D647="","",'SIG 2021'!$D647)</f>
        <v>Yes</v>
      </c>
      <c r="E644" s="130" t="str">
        <f>IF('SIG 2021'!$E647="","",'SIG 2021'!$E647)</f>
        <v/>
      </c>
      <c r="F644" s="130" t="str">
        <f>IF('SIG 2021'!$F647="","",'SIG 2021'!F647)</f>
        <v/>
      </c>
      <c r="G644" s="130" t="s">
        <v>2319</v>
      </c>
      <c r="H644" s="130" t="s">
        <v>2320</v>
      </c>
      <c r="I644" s="130"/>
      <c r="J644" s="130"/>
      <c r="K644" s="130" t="str">
        <f>IF('SIG 2021'!$AM647="","",'SIG 2021'!$AM647)</f>
        <v/>
      </c>
      <c r="L644" s="130" t="str">
        <f>IF('SIG 2021'!$AN647="","",'SIG 2021'!$AN647)</f>
        <v/>
      </c>
      <c r="M644" s="130" t="str">
        <f>IF('SIG 2021'!$AO647="","",'SIG 2021'!$AO647)</f>
        <v/>
      </c>
    </row>
    <row r="645" spans="1:13" ht="28.8" x14ac:dyDescent="0.5">
      <c r="A645" s="130">
        <v>3388</v>
      </c>
      <c r="B645" s="130" t="s">
        <v>2329</v>
      </c>
      <c r="C645" s="130" t="s">
        <v>2330</v>
      </c>
      <c r="D645" s="130" t="str">
        <f>IF('SIG 2021'!$D648="","",'SIG 2021'!$D648)</f>
        <v>Yes</v>
      </c>
      <c r="E645" s="130" t="str">
        <f>IF('SIG 2021'!$E648="","",'SIG 2021'!$E648)</f>
        <v/>
      </c>
      <c r="F645" s="130" t="str">
        <f>IF('SIG 2021'!$F648="","",'SIG 2021'!F648)</f>
        <v/>
      </c>
      <c r="G645" s="130" t="s">
        <v>2319</v>
      </c>
      <c r="H645" s="130" t="s">
        <v>2320</v>
      </c>
      <c r="I645" s="130"/>
      <c r="J645" s="130"/>
      <c r="K645" s="130" t="str">
        <f>IF('SIG 2021'!$AM648="","",'SIG 2021'!$AM648)</f>
        <v/>
      </c>
      <c r="L645" s="130" t="str">
        <f>IF('SIG 2021'!$AN648="","",'SIG 2021'!$AN648)</f>
        <v/>
      </c>
      <c r="M645" s="130" t="str">
        <f>IF('SIG 2021'!$AO648="","",'SIG 2021'!$AO648)</f>
        <v/>
      </c>
    </row>
    <row r="646" spans="1:13" ht="28.8" x14ac:dyDescent="0.5">
      <c r="A646" s="130">
        <v>3389</v>
      </c>
      <c r="B646" s="130" t="s">
        <v>2331</v>
      </c>
      <c r="C646" s="130" t="s">
        <v>2332</v>
      </c>
      <c r="D646" s="130" t="str">
        <f>IF('SIG 2021'!$D649="","",'SIG 2021'!$D649)</f>
        <v>Yes</v>
      </c>
      <c r="E646" s="130" t="str">
        <f>IF('SIG 2021'!$E649="","",'SIG 2021'!$E649)</f>
        <v/>
      </c>
      <c r="F646" s="130" t="str">
        <f>IF('SIG 2021'!$F649="","",'SIG 2021'!F649)</f>
        <v/>
      </c>
      <c r="G646" s="130" t="s">
        <v>2319</v>
      </c>
      <c r="H646" s="130" t="s">
        <v>2320</v>
      </c>
      <c r="I646" s="130"/>
      <c r="J646" s="130"/>
      <c r="K646" s="130" t="str">
        <f>IF('SIG 2021'!$AM649="","",'SIG 2021'!$AM649)</f>
        <v/>
      </c>
      <c r="L646" s="130" t="str">
        <f>IF('SIG 2021'!$AN649="","",'SIG 2021'!$AN649)</f>
        <v/>
      </c>
      <c r="M646" s="130" t="str">
        <f>IF('SIG 2021'!$AO649="","",'SIG 2021'!$AO649)</f>
        <v/>
      </c>
    </row>
    <row r="647" spans="1:13" ht="28.8" x14ac:dyDescent="0.5">
      <c r="A647" s="130">
        <v>3390</v>
      </c>
      <c r="B647" s="130" t="s">
        <v>2333</v>
      </c>
      <c r="C647" s="130" t="s">
        <v>2334</v>
      </c>
      <c r="D647" s="130" t="str">
        <f>IF('SIG 2021'!$D650="","",'SIG 2021'!$D650)</f>
        <v>Yes</v>
      </c>
      <c r="E647" s="130" t="str">
        <f>IF('SIG 2021'!$E650="","",'SIG 2021'!$E650)</f>
        <v/>
      </c>
      <c r="F647" s="130" t="str">
        <f>IF('SIG 2021'!$F650="","",'SIG 2021'!F650)</f>
        <v/>
      </c>
      <c r="G647" s="130" t="s">
        <v>2319</v>
      </c>
      <c r="H647" s="130" t="s">
        <v>2320</v>
      </c>
      <c r="I647" s="130"/>
      <c r="J647" s="130"/>
      <c r="K647" s="130" t="str">
        <f>IF('SIG 2021'!$AM650="","",'SIG 2021'!$AM650)</f>
        <v/>
      </c>
      <c r="L647" s="130" t="str">
        <f>IF('SIG 2021'!$AN650="","",'SIG 2021'!$AN650)</f>
        <v/>
      </c>
      <c r="M647" s="130" t="str">
        <f>IF('SIG 2021'!$AO650="","",'SIG 2021'!$AO650)</f>
        <v/>
      </c>
    </row>
    <row r="648" spans="1:13" ht="28.8" x14ac:dyDescent="0.5">
      <c r="A648" s="130">
        <v>3383</v>
      </c>
      <c r="B648" s="130" t="s">
        <v>2335</v>
      </c>
      <c r="C648" s="130" t="s">
        <v>2336</v>
      </c>
      <c r="D648" s="130" t="str">
        <f>IF('SIG 2021'!$D651="","",'SIG 2021'!$D651)</f>
        <v>Yes</v>
      </c>
      <c r="E648" s="130" t="str">
        <f>IF('SIG 2021'!$E651="","",'SIG 2021'!$E651)</f>
        <v/>
      </c>
      <c r="F648" s="130" t="str">
        <f>IF('SIG 2021'!$F651="","",'SIG 2021'!F651)</f>
        <v/>
      </c>
      <c r="G648" s="130" t="s">
        <v>2319</v>
      </c>
      <c r="H648" s="130" t="s">
        <v>2337</v>
      </c>
      <c r="I648" s="130"/>
      <c r="J648" s="130" t="s">
        <v>2338</v>
      </c>
      <c r="K648" s="130" t="str">
        <f>IF('SIG 2021'!$AM651="","",'SIG 2021'!$AM651)</f>
        <v/>
      </c>
      <c r="L648" s="130" t="str">
        <f>IF('SIG 2021'!$AN651="","",'SIG 2021'!$AN651)</f>
        <v/>
      </c>
      <c r="M648" s="130" t="str">
        <f>IF('SIG 2021'!$AO651="","",'SIG 2021'!$AO651)</f>
        <v/>
      </c>
    </row>
    <row r="649" spans="1:13" ht="43.2" x14ac:dyDescent="0.5">
      <c r="A649" s="130">
        <v>4285</v>
      </c>
      <c r="B649" s="130" t="s">
        <v>2339</v>
      </c>
      <c r="C649" s="130" t="s">
        <v>2340</v>
      </c>
      <c r="D649" s="130" t="str">
        <f>IF('SIG 2021'!$D652="","",'SIG 2021'!$D652)</f>
        <v>No</v>
      </c>
      <c r="E649" s="130" t="str">
        <f>IF('SIG 2021'!$E652="","",'SIG 2021'!$E652)</f>
        <v/>
      </c>
      <c r="F649" s="130" t="str">
        <f>IF('SIG 2021'!$F652="","",'SIG 2021'!F652)</f>
        <v/>
      </c>
      <c r="G649" s="130" t="s">
        <v>2319</v>
      </c>
      <c r="H649" s="130" t="s">
        <v>2337</v>
      </c>
      <c r="I649" s="130"/>
      <c r="J649" s="130" t="s">
        <v>2338</v>
      </c>
      <c r="K649" s="130" t="str">
        <f>IF('SIG 2021'!$AM652="","",'SIG 2021'!$AM652)</f>
        <v/>
      </c>
      <c r="L649" s="130" t="str">
        <f>IF('SIG 2021'!$AN652="","",'SIG 2021'!$AN652)</f>
        <v/>
      </c>
      <c r="M649" s="130" t="str">
        <f>IF('SIG 2021'!$AO652="","",'SIG 2021'!$AO652)</f>
        <v/>
      </c>
    </row>
    <row r="650" spans="1:13" ht="28.8" x14ac:dyDescent="0.5">
      <c r="A650" s="130">
        <v>4286</v>
      </c>
      <c r="B650" s="130" t="s">
        <v>2341</v>
      </c>
      <c r="C650" s="130" t="s">
        <v>2342</v>
      </c>
      <c r="D650" s="130" t="str">
        <f>IF('SIG 2021'!$D653="","",'SIG 2021'!$D653)</f>
        <v>No</v>
      </c>
      <c r="E650" s="130" t="str">
        <f>IF('SIG 2021'!$E653="","",'SIG 2021'!$E653)</f>
        <v/>
      </c>
      <c r="F650" s="130" t="str">
        <f>IF('SIG 2021'!$F653="","",'SIG 2021'!F653)</f>
        <v/>
      </c>
      <c r="G650" s="130" t="s">
        <v>2319</v>
      </c>
      <c r="H650" s="130" t="s">
        <v>2337</v>
      </c>
      <c r="I650" s="130"/>
      <c r="J650" s="130"/>
      <c r="K650" s="130" t="str">
        <f>IF('SIG 2021'!$AM653="","",'SIG 2021'!$AM653)</f>
        <v/>
      </c>
      <c r="L650" s="130" t="str">
        <f>IF('SIG 2021'!$AN653="","",'SIG 2021'!$AN653)</f>
        <v/>
      </c>
      <c r="M650" s="130" t="str">
        <f>IF('SIG 2021'!$AO653="","",'SIG 2021'!$AO653)</f>
        <v/>
      </c>
    </row>
    <row r="651" spans="1:13" ht="28.8" x14ac:dyDescent="0.5">
      <c r="A651" s="130">
        <v>4287</v>
      </c>
      <c r="B651" s="130" t="s">
        <v>2343</v>
      </c>
      <c r="C651" s="130" t="s">
        <v>2344</v>
      </c>
      <c r="D651" s="130" t="str">
        <f>IF('SIG 2021'!$D654="","",'SIG 2021'!$D654)</f>
        <v>Yes</v>
      </c>
      <c r="E651" s="130" t="str">
        <f>IF('SIG 2021'!$E654="","",'SIG 2021'!$E654)</f>
        <v/>
      </c>
      <c r="F651" s="130" t="str">
        <f>IF('SIG 2021'!$F654="","",'SIG 2021'!F654)</f>
        <v/>
      </c>
      <c r="G651" s="130" t="s">
        <v>2319</v>
      </c>
      <c r="H651" s="130" t="s">
        <v>2337</v>
      </c>
      <c r="I651" s="130"/>
      <c r="J651" s="130"/>
      <c r="K651" s="130" t="str">
        <f>IF('SIG 2021'!$AM654="","",'SIG 2021'!$AM654)</f>
        <v/>
      </c>
      <c r="L651" s="130" t="str">
        <f>IF('SIG 2021'!$AN654="","",'SIG 2021'!$AN654)</f>
        <v/>
      </c>
      <c r="M651" s="130" t="str">
        <f>IF('SIG 2021'!$AO654="","",'SIG 2021'!$AO654)</f>
        <v/>
      </c>
    </row>
    <row r="652" spans="1:13" ht="28.8" x14ac:dyDescent="0.5">
      <c r="A652" s="130">
        <v>4289</v>
      </c>
      <c r="B652" s="130" t="s">
        <v>2345</v>
      </c>
      <c r="C652" s="130" t="s">
        <v>2346</v>
      </c>
      <c r="D652" s="130" t="str">
        <f>IF('SIG 2021'!$D655="","",'SIG 2021'!$D655)</f>
        <v>No</v>
      </c>
      <c r="E652" s="130" t="str">
        <f>IF('SIG 2021'!$E655="","",'SIG 2021'!$E655)</f>
        <v/>
      </c>
      <c r="F652" s="130" t="str">
        <f>IF('SIG 2021'!$F655="","",'SIG 2021'!F655)</f>
        <v/>
      </c>
      <c r="G652" s="130" t="s">
        <v>2319</v>
      </c>
      <c r="H652" s="130" t="s">
        <v>2337</v>
      </c>
      <c r="I652" s="130"/>
      <c r="J652" s="130" t="s">
        <v>2338</v>
      </c>
      <c r="K652" s="130" t="str">
        <f>IF('SIG 2021'!$AM655="","",'SIG 2021'!$AM655)</f>
        <v/>
      </c>
      <c r="L652" s="130" t="str">
        <f>IF('SIG 2021'!$AN655="","",'SIG 2021'!$AN655)</f>
        <v/>
      </c>
      <c r="M652" s="130" t="str">
        <f>IF('SIG 2021'!$AO655="","",'SIG 2021'!$AO655)</f>
        <v/>
      </c>
    </row>
    <row r="653" spans="1:13" ht="28.8" x14ac:dyDescent="0.5">
      <c r="A653" s="130">
        <v>4290</v>
      </c>
      <c r="B653" s="130" t="s">
        <v>2347</v>
      </c>
      <c r="C653" s="130" t="s">
        <v>2348</v>
      </c>
      <c r="D653" s="130" t="str">
        <f>IF('SIG 2021'!$D656="","",'SIG 2021'!$D656)</f>
        <v>No</v>
      </c>
      <c r="E653" s="130" t="str">
        <f>IF('SIG 2021'!$E656="","",'SIG 2021'!$E656)</f>
        <v/>
      </c>
      <c r="F653" s="130" t="str">
        <f>IF('SIG 2021'!$F656="","",'SIG 2021'!F656)</f>
        <v/>
      </c>
      <c r="G653" s="130" t="s">
        <v>2319</v>
      </c>
      <c r="H653" s="130" t="s">
        <v>2337</v>
      </c>
      <c r="I653" s="130"/>
      <c r="J653" s="130" t="s">
        <v>2338</v>
      </c>
      <c r="K653" s="130" t="str">
        <f>IF('SIG 2021'!$AM656="","",'SIG 2021'!$AM656)</f>
        <v/>
      </c>
      <c r="L653" s="130" t="str">
        <f>IF('SIG 2021'!$AN656="","",'SIG 2021'!$AN656)</f>
        <v/>
      </c>
      <c r="M653" s="130" t="str">
        <f>IF('SIG 2021'!$AO656="","",'SIG 2021'!$AO656)</f>
        <v/>
      </c>
    </row>
    <row r="654" spans="1:13" ht="28.8" x14ac:dyDescent="0.5">
      <c r="A654" s="130">
        <v>4291</v>
      </c>
      <c r="B654" s="130" t="s">
        <v>2349</v>
      </c>
      <c r="C654" s="130" t="s">
        <v>2350</v>
      </c>
      <c r="D654" s="130" t="str">
        <f>IF('SIG 2021'!$D657="","",'SIG 2021'!$D657)</f>
        <v>No</v>
      </c>
      <c r="E654" s="130" t="str">
        <f>IF('SIG 2021'!$E657="","",'SIG 2021'!$E657)</f>
        <v/>
      </c>
      <c r="F654" s="130" t="str">
        <f>IF('SIG 2021'!$F657="","",'SIG 2021'!F657)</f>
        <v/>
      </c>
      <c r="G654" s="130" t="s">
        <v>2319</v>
      </c>
      <c r="H654" s="130" t="s">
        <v>2337</v>
      </c>
      <c r="I654" s="130"/>
      <c r="J654" s="130" t="s">
        <v>2338</v>
      </c>
      <c r="K654" s="130" t="str">
        <f>IF('SIG 2021'!$AM657="","",'SIG 2021'!$AM657)</f>
        <v/>
      </c>
      <c r="L654" s="130" t="str">
        <f>IF('SIG 2021'!$AN657="","",'SIG 2021'!$AN657)</f>
        <v/>
      </c>
      <c r="M654" s="130" t="str">
        <f>IF('SIG 2021'!$AO657="","",'SIG 2021'!$AO657)</f>
        <v/>
      </c>
    </row>
    <row r="655" spans="1:13" ht="28.8" x14ac:dyDescent="0.5">
      <c r="A655" s="130">
        <v>4292</v>
      </c>
      <c r="B655" s="130" t="s">
        <v>2351</v>
      </c>
      <c r="C655" s="130" t="s">
        <v>2352</v>
      </c>
      <c r="D655" s="130" t="str">
        <f>IF('SIG 2021'!$D658="","",'SIG 2021'!$D658)</f>
        <v>No</v>
      </c>
      <c r="E655" s="130" t="str">
        <f>IF('SIG 2021'!$E658="","",'SIG 2021'!$E658)</f>
        <v/>
      </c>
      <c r="F655" s="130" t="str">
        <f>IF('SIG 2021'!$F658="","",'SIG 2021'!F658)</f>
        <v/>
      </c>
      <c r="G655" s="130" t="s">
        <v>2319</v>
      </c>
      <c r="H655" s="130" t="s">
        <v>2337</v>
      </c>
      <c r="I655" s="130"/>
      <c r="J655" s="130"/>
      <c r="K655" s="130" t="str">
        <f>IF('SIG 2021'!$AM658="","",'SIG 2021'!$AM658)</f>
        <v/>
      </c>
      <c r="L655" s="130" t="str">
        <f>IF('SIG 2021'!$AN658="","",'SIG 2021'!$AN658)</f>
        <v/>
      </c>
      <c r="M655" s="130" t="str">
        <f>IF('SIG 2021'!$AO658="","",'SIG 2021'!$AO658)</f>
        <v/>
      </c>
    </row>
    <row r="656" spans="1:13" ht="28.8" x14ac:dyDescent="0.5">
      <c r="A656" s="130">
        <v>4293</v>
      </c>
      <c r="B656" s="130" t="s">
        <v>2353</v>
      </c>
      <c r="C656" s="130" t="s">
        <v>2354</v>
      </c>
      <c r="D656" s="130" t="str">
        <f>IF('SIG 2021'!$D659="","",'SIG 2021'!$D659)</f>
        <v>N/A</v>
      </c>
      <c r="E656" s="130" t="str">
        <f>IF('SIG 2021'!$E659="","",'SIG 2021'!$E659)</f>
        <v>Not involved in payments.</v>
      </c>
      <c r="F656" s="130" t="str">
        <f>IF('SIG 2021'!$F659="","",'SIG 2021'!F659)</f>
        <v/>
      </c>
      <c r="G656" s="130" t="s">
        <v>2319</v>
      </c>
      <c r="H656" s="130" t="s">
        <v>2337</v>
      </c>
      <c r="I656" s="130"/>
      <c r="J656" s="130"/>
      <c r="K656" s="130" t="str">
        <f>IF('SIG 2021'!$AM659="","",'SIG 2021'!$AM659)</f>
        <v/>
      </c>
      <c r="L656" s="130" t="str">
        <f>IF('SIG 2021'!$AN659="","",'SIG 2021'!$AN659)</f>
        <v/>
      </c>
      <c r="M656" s="130" t="str">
        <f>IF('SIG 2021'!$AO659="","",'SIG 2021'!$AO659)</f>
        <v/>
      </c>
    </row>
    <row r="657" spans="1:13" ht="28.8" x14ac:dyDescent="0.5">
      <c r="A657" s="130">
        <v>4294</v>
      </c>
      <c r="B657" s="130" t="s">
        <v>2356</v>
      </c>
      <c r="C657" s="130" t="s">
        <v>2357</v>
      </c>
      <c r="D657" s="130" t="str">
        <f>IF('SIG 2021'!$D660="","",'SIG 2021'!$D660)</f>
        <v>N/A</v>
      </c>
      <c r="E657" s="130" t="str">
        <f>IF('SIG 2021'!$E660="","",'SIG 2021'!$E660)</f>
        <v>Not involved in healthcare.</v>
      </c>
      <c r="F657" s="130" t="str">
        <f>IF('SIG 2021'!$F660="","",'SIG 2021'!F660)</f>
        <v/>
      </c>
      <c r="G657" s="130" t="s">
        <v>2319</v>
      </c>
      <c r="H657" s="130" t="s">
        <v>2337</v>
      </c>
      <c r="I657" s="130"/>
      <c r="J657" s="130"/>
      <c r="K657" s="130" t="str">
        <f>IF('SIG 2021'!$AM660="","",'SIG 2021'!$AM660)</f>
        <v/>
      </c>
      <c r="L657" s="130" t="str">
        <f>IF('SIG 2021'!$AN660="","",'SIG 2021'!$AN660)</f>
        <v/>
      </c>
      <c r="M657" s="130" t="str">
        <f>IF('SIG 2021'!$AO660="","",'SIG 2021'!$AO660)</f>
        <v/>
      </c>
    </row>
    <row r="658" spans="1:13" ht="43.2" x14ac:dyDescent="0.5">
      <c r="A658" s="130">
        <v>4295</v>
      </c>
      <c r="B658" s="130" t="s">
        <v>2359</v>
      </c>
      <c r="C658" s="130" t="s">
        <v>2360</v>
      </c>
      <c r="D658" s="130" t="str">
        <f>IF('SIG 2021'!$D661="","",'SIG 2021'!$D661)</f>
        <v>No</v>
      </c>
      <c r="E658" s="130" t="str">
        <f>IF('SIG 2021'!$E661="","",'SIG 2021'!$E661)</f>
        <v/>
      </c>
      <c r="F658" s="130" t="str">
        <f>IF('SIG 2021'!$F661="","",'SIG 2021'!F661)</f>
        <v/>
      </c>
      <c r="G658" s="130" t="s">
        <v>2319</v>
      </c>
      <c r="H658" s="130" t="s">
        <v>2337</v>
      </c>
      <c r="I658" s="130"/>
      <c r="J658" s="130"/>
      <c r="K658" s="130" t="str">
        <f>IF('SIG 2021'!$AM661="","",'SIG 2021'!$AM661)</f>
        <v/>
      </c>
      <c r="L658" s="130" t="str">
        <f>IF('SIG 2021'!$AN661="","",'SIG 2021'!$AN661)</f>
        <v/>
      </c>
      <c r="M658" s="130" t="str">
        <f>IF('SIG 2021'!$AO661="","",'SIG 2021'!$AO661)</f>
        <v/>
      </c>
    </row>
    <row r="659" spans="1:13" ht="72" x14ac:dyDescent="0.5">
      <c r="A659" s="130">
        <v>4296</v>
      </c>
      <c r="B659" s="130" t="s">
        <v>2361</v>
      </c>
      <c r="C659" s="130" t="s">
        <v>2362</v>
      </c>
      <c r="D659" s="130" t="str">
        <f>IF('SIG 2021'!$D662="","",'SIG 2021'!$D662)</f>
        <v>No</v>
      </c>
      <c r="E659" s="130" t="str">
        <f>IF('SIG 2021'!$E662="","",'SIG 2021'!$E662)</f>
        <v/>
      </c>
      <c r="F659" s="130" t="str">
        <f>IF('SIG 2021'!$F662="","",'SIG 2021'!F662)</f>
        <v/>
      </c>
      <c r="G659" s="130" t="s">
        <v>2319</v>
      </c>
      <c r="H659" s="130" t="s">
        <v>2337</v>
      </c>
      <c r="I659" s="130"/>
      <c r="J659" s="130" t="s">
        <v>2338</v>
      </c>
      <c r="K659" s="130" t="str">
        <f>IF('SIG 2021'!$AM662="","",'SIG 2021'!$AM662)</f>
        <v/>
      </c>
      <c r="L659" s="130" t="str">
        <f>IF('SIG 2021'!$AN662="","",'SIG 2021'!$AN662)</f>
        <v/>
      </c>
      <c r="M659" s="130" t="str">
        <f>IF('SIG 2021'!$AO662="","",'SIG 2021'!$AO662)</f>
        <v/>
      </c>
    </row>
    <row r="660" spans="1:13" ht="43.2" x14ac:dyDescent="0.5">
      <c r="A660" s="130">
        <v>4849</v>
      </c>
      <c r="B660" s="130" t="s">
        <v>2363</v>
      </c>
      <c r="C660" s="130" t="s">
        <v>2364</v>
      </c>
      <c r="D660" s="130" t="str">
        <f>IF('SIG 2021'!$D663="","",'SIG 2021'!$D663)</f>
        <v>N/A</v>
      </c>
      <c r="E660" s="130" t="str">
        <f>IF('SIG 2021'!$E663="","",'SIG 2021'!$E663)</f>
        <v xml:space="preserve">Seismic does not perform e-commerce functions.  </v>
      </c>
      <c r="F660" s="130" t="str">
        <f>IF('SIG 2021'!$F663="","",'SIG 2021'!F663)</f>
        <v/>
      </c>
      <c r="G660" s="130" t="s">
        <v>2366</v>
      </c>
      <c r="H660" s="130" t="s">
        <v>2367</v>
      </c>
      <c r="I660" s="130" t="s">
        <v>2185</v>
      </c>
      <c r="J660" s="130"/>
      <c r="K660" s="130" t="str">
        <f>IF('SIG 2021'!$AM663="","",'SIG 2021'!$AM663)</f>
        <v/>
      </c>
      <c r="L660" s="130" t="str">
        <f>IF('SIG 2021'!$AN663="","",'SIG 2021'!$AN663)</f>
        <v/>
      </c>
      <c r="M660" s="130" t="str">
        <f>IF('SIG 2021'!$AO663="","",'SIG 2021'!$AO663)</f>
        <v/>
      </c>
    </row>
    <row r="661" spans="1:13" ht="43.2" x14ac:dyDescent="0.5">
      <c r="A661" s="130">
        <v>4133</v>
      </c>
      <c r="B661" s="130" t="s">
        <v>2368</v>
      </c>
      <c r="C661" s="130" t="s">
        <v>2369</v>
      </c>
      <c r="D661" s="130" t="str">
        <f>IF('SIG 2021'!$D664="","",'SIG 2021'!$D664)</f>
        <v/>
      </c>
      <c r="E661" s="130" t="str">
        <f>IF('SIG 2021'!$E664="","",'SIG 2021'!$E664)</f>
        <v/>
      </c>
      <c r="F661" s="130" t="str">
        <f>IF('SIG 2021'!$F664="","",'SIG 2021'!F664)</f>
        <v/>
      </c>
      <c r="G661" s="130" t="s">
        <v>2366</v>
      </c>
      <c r="H661" s="130" t="s">
        <v>2367</v>
      </c>
      <c r="I661" s="130" t="s">
        <v>2185</v>
      </c>
      <c r="J661" s="130"/>
      <c r="K661" s="130" t="str">
        <f>IF('SIG 2021'!$AM664="","",'SIG 2021'!$AM664)</f>
        <v/>
      </c>
      <c r="L661" s="130" t="str">
        <f>IF('SIG 2021'!$AN664="","",'SIG 2021'!$AN664)</f>
        <v/>
      </c>
      <c r="M661" s="130" t="str">
        <f>IF('SIG 2021'!$AO664="","",'SIG 2021'!$AO664)</f>
        <v/>
      </c>
    </row>
    <row r="662" spans="1:13" ht="28.8" x14ac:dyDescent="0.5">
      <c r="A662" s="130">
        <v>4155</v>
      </c>
      <c r="B662" s="130" t="s">
        <v>2370</v>
      </c>
      <c r="C662" s="130" t="s">
        <v>2371</v>
      </c>
      <c r="D662" s="130" t="str">
        <f>IF('SIG 2021'!$D665="","",'SIG 2021'!$D665)</f>
        <v>N/A</v>
      </c>
      <c r="E662" s="130" t="str">
        <f>IF('SIG 2021'!$E665="","",'SIG 2021'!$E665)</f>
        <v xml:space="preserve">Seismic does not perform e-commerce functions.  </v>
      </c>
      <c r="F662" s="130" t="str">
        <f>IF('SIG 2021'!$F665="","",'SIG 2021'!F665)</f>
        <v/>
      </c>
      <c r="G662" s="130" t="s">
        <v>2366</v>
      </c>
      <c r="H662" s="130" t="s">
        <v>2367</v>
      </c>
      <c r="I662" s="130"/>
      <c r="J662" s="130"/>
      <c r="K662" s="130" t="str">
        <f>IF('SIG 2021'!$AM665="","",'SIG 2021'!$AM665)</f>
        <v/>
      </c>
      <c r="L662" s="130" t="str">
        <f>IF('SIG 2021'!$AN665="","",'SIG 2021'!$AN665)</f>
        <v/>
      </c>
      <c r="M662" s="130" t="str">
        <f>IF('SIG 2021'!$AO665="","",'SIG 2021'!$AO665)</f>
        <v/>
      </c>
    </row>
    <row r="663" spans="1:13" ht="28.8" x14ac:dyDescent="0.5">
      <c r="A663" s="130">
        <v>4850</v>
      </c>
      <c r="B663" s="130" t="s">
        <v>2372</v>
      </c>
      <c r="C663" s="130" t="s">
        <v>2373</v>
      </c>
      <c r="D663" s="130" t="str">
        <f>IF('SIG 2021'!$D666="","",'SIG 2021'!$D666)</f>
        <v>Yes</v>
      </c>
      <c r="E663" s="130" t="str">
        <f>IF('SIG 2021'!$E666="","",'SIG 2021'!$E666)</f>
        <v/>
      </c>
      <c r="F663" s="130" t="str">
        <f>IF('SIG 2021'!$F666="","",'SIG 2021'!F666)</f>
        <v/>
      </c>
      <c r="G663" s="130" t="s">
        <v>2366</v>
      </c>
      <c r="H663" s="130" t="s">
        <v>2374</v>
      </c>
      <c r="I663" s="130" t="s">
        <v>2185</v>
      </c>
      <c r="J663" s="130"/>
      <c r="K663" s="130" t="str">
        <f>IF('SIG 2021'!$AM666="","",'SIG 2021'!$AM666)</f>
        <v/>
      </c>
      <c r="L663" s="130" t="str">
        <f>IF('SIG 2021'!$AN666="","",'SIG 2021'!$AN666)</f>
        <v/>
      </c>
      <c r="M663" s="130" t="str">
        <f>IF('SIG 2021'!$AO666="","",'SIG 2021'!$AO666)</f>
        <v/>
      </c>
    </row>
    <row r="664" spans="1:13" ht="43.2" x14ac:dyDescent="0.5">
      <c r="A664" s="130">
        <v>4851</v>
      </c>
      <c r="B664" s="130" t="s">
        <v>2375</v>
      </c>
      <c r="C664" s="130" t="s">
        <v>2376</v>
      </c>
      <c r="D664" s="130" t="str">
        <f>IF('SIG 2021'!$D667="","",'SIG 2021'!$D667)</f>
        <v>N/A</v>
      </c>
      <c r="E664" s="130" t="str">
        <f>IF('SIG 2021'!$E667="","",'SIG 2021'!$E667)</f>
        <v>Not applicable to the services provided. No e-commerce functions are performed.</v>
      </c>
      <c r="F664" s="130" t="str">
        <f>IF('SIG 2021'!$F667="","",'SIG 2021'!F667)</f>
        <v/>
      </c>
      <c r="G664" s="130" t="s">
        <v>2366</v>
      </c>
      <c r="H664" s="130" t="s">
        <v>2374</v>
      </c>
      <c r="I664" s="130"/>
      <c r="J664" s="130"/>
      <c r="K664" s="130" t="str">
        <f>IF('SIG 2021'!$AM667="","",'SIG 2021'!$AM667)</f>
        <v/>
      </c>
      <c r="L664" s="130" t="str">
        <f>IF('SIG 2021'!$AN667="","",'SIG 2021'!$AN667)</f>
        <v/>
      </c>
      <c r="M664" s="130" t="str">
        <f>IF('SIG 2021'!$AO667="","",'SIG 2021'!$AO667)</f>
        <v/>
      </c>
    </row>
    <row r="665" spans="1:13" ht="43.2" x14ac:dyDescent="0.5">
      <c r="A665" s="130">
        <v>4865</v>
      </c>
      <c r="B665" s="130" t="s">
        <v>2378</v>
      </c>
      <c r="C665" s="130" t="s">
        <v>2379</v>
      </c>
      <c r="D665" s="130" t="str">
        <f>IF('SIG 2021'!$D668="","",'SIG 2021'!$D668)</f>
        <v>No</v>
      </c>
      <c r="E665" s="130" t="str">
        <f>IF('SIG 2021'!$E668="","",'SIG 2021'!$E668)</f>
        <v xml:space="preserve">Seismic solutions not covered
</v>
      </c>
      <c r="F665" s="130" t="str">
        <f>IF('SIG 2021'!$F668="","",'SIG 2021'!F668)</f>
        <v/>
      </c>
      <c r="G665" s="130" t="s">
        <v>2381</v>
      </c>
      <c r="H665" s="130" t="s">
        <v>1742</v>
      </c>
      <c r="I665" s="130" t="s">
        <v>2185</v>
      </c>
      <c r="J665" s="130"/>
      <c r="K665" s="130" t="str">
        <f>IF('SIG 2021'!$AM668="","",'SIG 2021'!$AM668)</f>
        <v/>
      </c>
      <c r="L665" s="130" t="str">
        <f>IF('SIG 2021'!$AN668="","",'SIG 2021'!$AN668)</f>
        <v/>
      </c>
      <c r="M665" s="130" t="str">
        <f>IF('SIG 2021'!$AO668="","",'SIG 2021'!$AO668)</f>
        <v/>
      </c>
    </row>
    <row r="666" spans="1:13" ht="43.2" x14ac:dyDescent="0.5">
      <c r="A666" s="130">
        <v>4131</v>
      </c>
      <c r="B666" s="130" t="s">
        <v>2382</v>
      </c>
      <c r="C666" s="130" t="s">
        <v>2383</v>
      </c>
      <c r="D666" s="130" t="str">
        <f>IF('SIG 2021'!$D669="","",'SIG 2021'!$D669)</f>
        <v>N/A</v>
      </c>
      <c r="E666" s="130" t="str">
        <f>IF('SIG 2021'!$E669="","",'SIG 2021'!$E669)</f>
        <v xml:space="preserve">Seismic solutions not covered
</v>
      </c>
      <c r="F666" s="130" t="str">
        <f>IF('SIG 2021'!$F669="","",'SIG 2021'!F669)</f>
        <v/>
      </c>
      <c r="G666" s="130" t="s">
        <v>2381</v>
      </c>
      <c r="H666" s="130" t="s">
        <v>1742</v>
      </c>
      <c r="I666" s="130" t="s">
        <v>2185</v>
      </c>
      <c r="J666" s="130"/>
      <c r="K666" s="130" t="str">
        <f>IF('SIG 2021'!$AM669="","",'SIG 2021'!$AM669)</f>
        <v/>
      </c>
      <c r="L666" s="130" t="str">
        <f>IF('SIG 2021'!$AN669="","",'SIG 2021'!$AN669)</f>
        <v/>
      </c>
      <c r="M666" s="130" t="str">
        <f>IF('SIG 2021'!$AO669="","",'SIG 2021'!$AO669)</f>
        <v/>
      </c>
    </row>
    <row r="667" spans="1:13" ht="43.2" x14ac:dyDescent="0.5">
      <c r="A667" s="130">
        <v>4555</v>
      </c>
      <c r="B667" s="130" t="s">
        <v>2384</v>
      </c>
      <c r="C667" s="130" t="s">
        <v>2385</v>
      </c>
      <c r="D667" s="130" t="str">
        <f>IF('SIG 2021'!$D670="","",'SIG 2021'!$D670)</f>
        <v>N/A</v>
      </c>
      <c r="E667" s="130" t="str">
        <f>IF('SIG 2021'!$E670="","",'SIG 2021'!$E670)</f>
        <v xml:space="preserve">Seismic solutions not covered
</v>
      </c>
      <c r="F667" s="130" t="str">
        <f>IF('SIG 2021'!$F670="","",'SIG 2021'!F670)</f>
        <v/>
      </c>
      <c r="G667" s="130" t="s">
        <v>2381</v>
      </c>
      <c r="H667" s="130" t="s">
        <v>1742</v>
      </c>
      <c r="I667" s="130" t="s">
        <v>2185</v>
      </c>
      <c r="J667" s="130"/>
      <c r="K667" s="130" t="str">
        <f>IF('SIG 2021'!$AM670="","",'SIG 2021'!$AM670)</f>
        <v/>
      </c>
      <c r="L667" s="130" t="str">
        <f>IF('SIG 2021'!$AN670="","",'SIG 2021'!$AN670)</f>
        <v/>
      </c>
      <c r="M667" s="130" t="str">
        <f>IF('SIG 2021'!$AO670="","",'SIG 2021'!$AO670)</f>
        <v/>
      </c>
    </row>
    <row r="668" spans="1:13" ht="57.6" x14ac:dyDescent="0.5">
      <c r="A668" s="130">
        <v>4866</v>
      </c>
      <c r="B668" s="130" t="s">
        <v>2386</v>
      </c>
      <c r="C668" s="130" t="s">
        <v>2387</v>
      </c>
      <c r="D668" s="130" t="str">
        <f>IF('SIG 2021'!$D671="","",'SIG 2021'!$D671)</f>
        <v>N/A</v>
      </c>
      <c r="E668" s="130" t="str">
        <f>IF('SIG 2021'!$E671="","",'SIG 2021'!$E671)</f>
        <v xml:space="preserve">Seismic solutions not covered
</v>
      </c>
      <c r="F668" s="130" t="str">
        <f>IF('SIG 2021'!$F671="","",'SIG 2021'!F671)</f>
        <v/>
      </c>
      <c r="G668" s="130" t="s">
        <v>2381</v>
      </c>
      <c r="H668" s="130" t="s">
        <v>1742</v>
      </c>
      <c r="I668" s="130"/>
      <c r="J668" s="130"/>
      <c r="K668" s="130" t="str">
        <f>IF('SIG 2021'!$AM671="","",'SIG 2021'!$AM671)</f>
        <v/>
      </c>
      <c r="L668" s="130" t="str">
        <f>IF('SIG 2021'!$AN671="","",'SIG 2021'!$AN671)</f>
        <v/>
      </c>
      <c r="M668" s="130" t="str">
        <f>IF('SIG 2021'!$AO671="","",'SIG 2021'!$AO671)</f>
        <v/>
      </c>
    </row>
    <row r="669" spans="1:13" ht="100.8" x14ac:dyDescent="0.5">
      <c r="A669" s="130">
        <v>4154</v>
      </c>
      <c r="B669" s="130" t="s">
        <v>2388</v>
      </c>
      <c r="C669" s="130" t="s">
        <v>2389</v>
      </c>
      <c r="D669" s="130" t="str">
        <f>IF('SIG 2021'!$D672="","",'SIG 2021'!$D672)</f>
        <v>N/A</v>
      </c>
      <c r="E669" s="130" t="str">
        <f>IF('SIG 2021'!$E672="","",'SIG 2021'!$E672)</f>
        <v xml:space="preserve">Seismic does not perform e-commerce functions.  </v>
      </c>
      <c r="F669" s="130" t="str">
        <f>IF('SIG 2021'!$F672="","",'SIG 2021'!F672)</f>
        <v/>
      </c>
      <c r="G669" s="130" t="s">
        <v>2390</v>
      </c>
      <c r="H669" s="130" t="s">
        <v>1742</v>
      </c>
      <c r="I669" s="130"/>
      <c r="J669" s="130"/>
      <c r="K669" s="130" t="str">
        <f>IF('SIG 2021'!$AM672="","",'SIG 2021'!$AM672)</f>
        <v/>
      </c>
      <c r="L669" s="130" t="str">
        <f>IF('SIG 2021'!$AN672="","",'SIG 2021'!$AN672)</f>
        <v/>
      </c>
      <c r="M669" s="130" t="str">
        <f>IF('SIG 2021'!$AO672="","",'SIG 2021'!$AO672)</f>
        <v/>
      </c>
    </row>
    <row r="670" spans="1:13" ht="43.2" x14ac:dyDescent="0.5">
      <c r="A670" s="130">
        <v>4867</v>
      </c>
      <c r="B670" s="130" t="s">
        <v>2391</v>
      </c>
      <c r="C670" s="130" t="s">
        <v>2392</v>
      </c>
      <c r="D670" s="130" t="str">
        <f>IF('SIG 2021'!$D673="","",'SIG 2021'!$D673)</f>
        <v/>
      </c>
      <c r="E670" s="130" t="str">
        <f>IF('SIG 2021'!$E673="","",'SIG 2021'!$E673)</f>
        <v/>
      </c>
      <c r="F670" s="130" t="str">
        <f>IF('SIG 2021'!$F673="","",'SIG 2021'!F673)</f>
        <v/>
      </c>
      <c r="G670" s="130" t="s">
        <v>2390</v>
      </c>
      <c r="H670" s="130" t="s">
        <v>1742</v>
      </c>
      <c r="I670" s="130"/>
      <c r="J670" s="130"/>
      <c r="K670" s="130" t="str">
        <f>IF('SIG 2021'!$AM673="","",'SIG 2021'!$AM673)</f>
        <v/>
      </c>
      <c r="L670" s="130" t="str">
        <f>IF('SIG 2021'!$AN673="","",'SIG 2021'!$AN673)</f>
        <v/>
      </c>
      <c r="M670" s="130" t="str">
        <f>IF('SIG 2021'!$AO673="","",'SIG 2021'!$AO673)</f>
        <v/>
      </c>
    </row>
    <row r="671" spans="1:13" ht="43.2" x14ac:dyDescent="0.5">
      <c r="A671" s="130">
        <v>2649</v>
      </c>
      <c r="B671" s="130" t="s">
        <v>2393</v>
      </c>
      <c r="C671" s="130" t="s">
        <v>2394</v>
      </c>
      <c r="D671" s="130" t="str">
        <f>IF('SIG 2021'!$D674="","",'SIG 2021'!$D674)</f>
        <v>No</v>
      </c>
      <c r="E671" s="130" t="str">
        <f>IF('SIG 2021'!$E674="","",'SIG 2021'!$E674)</f>
        <v xml:space="preserve">Seismic does not perform e-commerce functions.  </v>
      </c>
      <c r="F671" s="130" t="str">
        <f>IF('SIG 2021'!$F674="","",'SIG 2021'!F674)</f>
        <v/>
      </c>
      <c r="G671" s="130" t="s">
        <v>2390</v>
      </c>
      <c r="H671" s="130" t="s">
        <v>2395</v>
      </c>
      <c r="I671" s="130"/>
      <c r="J671" s="130"/>
      <c r="K671" s="130" t="str">
        <f>IF('SIG 2021'!$AM674="","",'SIG 2021'!$AM674)</f>
        <v/>
      </c>
      <c r="L671" s="130" t="str">
        <f>IF('SIG 2021'!$AN674="","",'SIG 2021'!$AN674)</f>
        <v/>
      </c>
      <c r="M671" s="130" t="str">
        <f>IF('SIG 2021'!$AO674="","",'SIG 2021'!$AO674)</f>
        <v/>
      </c>
    </row>
    <row r="672" spans="1:13" ht="57.6" x14ac:dyDescent="0.5">
      <c r="A672" s="130">
        <v>2652</v>
      </c>
      <c r="B672" s="130" t="s">
        <v>2396</v>
      </c>
      <c r="C672" s="130" t="s">
        <v>2397</v>
      </c>
      <c r="D672" s="130" t="str">
        <f>IF('SIG 2021'!$D675="","",'SIG 2021'!$D675)</f>
        <v>N/A</v>
      </c>
      <c r="E672" s="130" t="str">
        <f>IF('SIG 2021'!$E675="","",'SIG 2021'!$E675)</f>
        <v xml:space="preserve">Seismic does not perform e-commerce functions.  </v>
      </c>
      <c r="F672" s="130" t="str">
        <f>IF('SIG 2021'!$F675="","",'SIG 2021'!F675)</f>
        <v/>
      </c>
      <c r="G672" s="130" t="s">
        <v>2390</v>
      </c>
      <c r="H672" s="130" t="s">
        <v>2395</v>
      </c>
      <c r="I672" s="130"/>
      <c r="J672" s="130"/>
      <c r="K672" s="130" t="str">
        <f>IF('SIG 2021'!$AM675="","",'SIG 2021'!$AM675)</f>
        <v/>
      </c>
      <c r="L672" s="130" t="str">
        <f>IF('SIG 2021'!$AN675="","",'SIG 2021'!$AN675)</f>
        <v/>
      </c>
      <c r="M672" s="130" t="str">
        <f>IF('SIG 2021'!$AO675="","",'SIG 2021'!$AO675)</f>
        <v/>
      </c>
    </row>
    <row r="673" spans="1:13" ht="57.6" x14ac:dyDescent="0.5">
      <c r="A673" s="130">
        <v>4876</v>
      </c>
      <c r="B673" s="130" t="s">
        <v>2398</v>
      </c>
      <c r="C673" s="130" t="s">
        <v>2399</v>
      </c>
      <c r="D673" s="130" t="str">
        <f>IF('SIG 2021'!$D676="","",'SIG 2021'!$D676)</f>
        <v/>
      </c>
      <c r="E673" s="130" t="str">
        <f>IF('SIG 2021'!$E676="","",'SIG 2021'!$E676)</f>
        <v/>
      </c>
      <c r="F673" s="130" t="str">
        <f>IF('SIG 2021'!$F676="","",'SIG 2021'!F676)</f>
        <v/>
      </c>
      <c r="G673" s="130" t="s">
        <v>2390</v>
      </c>
      <c r="H673" s="130" t="s">
        <v>2400</v>
      </c>
      <c r="I673" s="130"/>
      <c r="J673" s="130"/>
      <c r="K673" s="130" t="str">
        <f>IF('SIG 2021'!$AM676="","",'SIG 2021'!$AM676)</f>
        <v/>
      </c>
      <c r="L673" s="130" t="str">
        <f>IF('SIG 2021'!$AN676="","",'SIG 2021'!$AN676)</f>
        <v/>
      </c>
      <c r="M673" s="130" t="str">
        <f>IF('SIG 2021'!$AO676="","",'SIG 2021'!$AO676)</f>
        <v/>
      </c>
    </row>
    <row r="674" spans="1:13" ht="28.8" x14ac:dyDescent="0.5">
      <c r="A674" s="130">
        <v>4877</v>
      </c>
      <c r="B674" s="130" t="s">
        <v>2401</v>
      </c>
      <c r="C674" s="130" t="s">
        <v>2402</v>
      </c>
      <c r="D674" s="130" t="str">
        <f>IF('SIG 2021'!$D677="","",'SIG 2021'!$D677)</f>
        <v/>
      </c>
      <c r="E674" s="130" t="str">
        <f>IF('SIG 2021'!$E677="","",'SIG 2021'!$E677)</f>
        <v/>
      </c>
      <c r="F674" s="130" t="str">
        <f>IF('SIG 2021'!$F677="","",'SIG 2021'!F677)</f>
        <v/>
      </c>
      <c r="G674" s="130" t="s">
        <v>2390</v>
      </c>
      <c r="H674" s="130" t="s">
        <v>2400</v>
      </c>
      <c r="I674" s="130"/>
      <c r="J674" s="130"/>
      <c r="K674" s="130" t="str">
        <f>IF('SIG 2021'!$AM677="","",'SIG 2021'!$AM677)</f>
        <v/>
      </c>
      <c r="L674" s="130" t="str">
        <f>IF('SIG 2021'!$AN677="","",'SIG 2021'!$AN677)</f>
        <v/>
      </c>
      <c r="M674" s="130" t="str">
        <f>IF('SIG 2021'!$AO677="","",'SIG 2021'!$AO677)</f>
        <v/>
      </c>
    </row>
    <row r="675" spans="1:13" ht="86.4" x14ac:dyDescent="0.5">
      <c r="A675" s="130">
        <v>2837</v>
      </c>
      <c r="B675" s="130" t="s">
        <v>2403</v>
      </c>
      <c r="C675" s="130" t="s">
        <v>2404</v>
      </c>
      <c r="D675" s="130" t="str">
        <f>IF('SIG 2021'!$D678="","",'SIG 2021'!$D678)</f>
        <v>Yes</v>
      </c>
      <c r="E675" s="130" t="str">
        <f>IF('SIG 2021'!$E678="","",'SIG 2021'!$E678)</f>
        <v>Seismic retains all data stored in the system for the lifetime of the engagement by default.  Content can also be configured to be pushed to an external retention repository if required by the customer.</v>
      </c>
      <c r="F675" s="130" t="str">
        <f>IF('SIG 2021'!$F678="","",'SIG 2021'!F678)</f>
        <v/>
      </c>
      <c r="G675" s="130" t="s">
        <v>2406</v>
      </c>
      <c r="H675" s="130" t="s">
        <v>1742</v>
      </c>
      <c r="I675" s="130" t="s">
        <v>2185</v>
      </c>
      <c r="J675" s="130" t="s">
        <v>2407</v>
      </c>
      <c r="K675" s="130" t="str">
        <f>IF('SIG 2021'!$AM678="","",'SIG 2021'!$AM678)</f>
        <v/>
      </c>
      <c r="L675" s="130" t="str">
        <f>IF('SIG 2021'!$AN678="","",'SIG 2021'!$AN678)</f>
        <v/>
      </c>
      <c r="M675" s="130" t="str">
        <f>IF('SIG 2021'!$AO678="","",'SIG 2021'!$AO678)</f>
        <v/>
      </c>
    </row>
    <row r="676" spans="1:13" ht="72" x14ac:dyDescent="0.5">
      <c r="A676" s="130">
        <v>4884</v>
      </c>
      <c r="B676" s="130" t="s">
        <v>2408</v>
      </c>
      <c r="C676" s="130" t="s">
        <v>2409</v>
      </c>
      <c r="D676" s="130" t="str">
        <f>IF('SIG 2021'!$D679="","",'SIG 2021'!$D679)</f>
        <v>Yes</v>
      </c>
      <c r="E676" s="130" t="str">
        <f>IF('SIG 2021'!$E679="","",'SIG 2021'!$E679)</f>
        <v/>
      </c>
      <c r="F676" s="130" t="str">
        <f>IF('SIG 2021'!$F679="","",'SIG 2021'!F679)</f>
        <v/>
      </c>
      <c r="G676" s="130" t="s">
        <v>2406</v>
      </c>
      <c r="H676" s="130" t="s">
        <v>2410</v>
      </c>
      <c r="I676" s="130"/>
      <c r="J676" s="130" t="s">
        <v>2411</v>
      </c>
      <c r="K676" s="130" t="str">
        <f>IF('SIG 2021'!$AM679="","",'SIG 2021'!$AM679)</f>
        <v/>
      </c>
      <c r="L676" s="130" t="str">
        <f>IF('SIG 2021'!$AN679="","",'SIG 2021'!$AN679)</f>
        <v/>
      </c>
      <c r="M676" s="130" t="str">
        <f>IF('SIG 2021'!$AO679="","",'SIG 2021'!$AO679)</f>
        <v/>
      </c>
    </row>
    <row r="677" spans="1:13" ht="43.2" x14ac:dyDescent="0.5">
      <c r="A677" s="130">
        <v>4885</v>
      </c>
      <c r="B677" s="130" t="s">
        <v>2412</v>
      </c>
      <c r="C677" s="130" t="s">
        <v>2413</v>
      </c>
      <c r="D677" s="130" t="str">
        <f>IF('SIG 2021'!$D680="","",'SIG 2021'!$D680)</f>
        <v>No</v>
      </c>
      <c r="E677" s="130" t="str">
        <f>IF('SIG 2021'!$E680="","",'SIG 2021'!$E680)</f>
        <v/>
      </c>
      <c r="F677" s="130" t="str">
        <f>IF('SIG 2021'!$F680="","",'SIG 2021'!F680)</f>
        <v/>
      </c>
      <c r="G677" s="130" t="s">
        <v>2414</v>
      </c>
      <c r="H677" s="130" t="s">
        <v>1742</v>
      </c>
      <c r="I677" s="130"/>
      <c r="J677" s="130"/>
      <c r="K677" s="130" t="str">
        <f>IF('SIG 2021'!$AM680="","",'SIG 2021'!$AM680)</f>
        <v/>
      </c>
      <c r="L677" s="130" t="str">
        <f>IF('SIG 2021'!$AN680="","",'SIG 2021'!$AN680)</f>
        <v/>
      </c>
      <c r="M677" s="130" t="str">
        <f>IF('SIG 2021'!$AO680="","",'SIG 2021'!$AO680)</f>
        <v/>
      </c>
    </row>
    <row r="678" spans="1:13" ht="57.6" x14ac:dyDescent="0.5">
      <c r="A678" s="130">
        <v>4894</v>
      </c>
      <c r="B678" s="130" t="s">
        <v>2415</v>
      </c>
      <c r="C678" s="130" t="s">
        <v>2416</v>
      </c>
      <c r="D678" s="130" t="str">
        <f>IF('SIG 2021'!$D681="","",'SIG 2021'!$D681)</f>
        <v/>
      </c>
      <c r="E678" s="130" t="str">
        <f>IF('SIG 2021'!$E681="","",'SIG 2021'!$E681)</f>
        <v/>
      </c>
      <c r="F678" s="130" t="str">
        <f>IF('SIG 2021'!$F681="","",'SIG 2021'!F681)</f>
        <v/>
      </c>
      <c r="G678" s="130" t="s">
        <v>2414</v>
      </c>
      <c r="H678" s="130" t="s">
        <v>2417</v>
      </c>
      <c r="I678" s="130"/>
      <c r="J678" s="130" t="s">
        <v>2188</v>
      </c>
      <c r="K678" s="130" t="str">
        <f>IF('SIG 2021'!$AM681="","",'SIG 2021'!$AM681)</f>
        <v/>
      </c>
      <c r="L678" s="130" t="str">
        <f>IF('SIG 2021'!$AN681="","",'SIG 2021'!$AN681)</f>
        <v/>
      </c>
      <c r="M678" s="130" t="str">
        <f>IF('SIG 2021'!$AO681="","",'SIG 2021'!$AO681)</f>
        <v/>
      </c>
    </row>
    <row r="679" spans="1:13" ht="57.6" x14ac:dyDescent="0.5">
      <c r="A679" s="130">
        <v>3905</v>
      </c>
      <c r="B679" s="130" t="s">
        <v>2418</v>
      </c>
      <c r="C679" s="130" t="s">
        <v>2419</v>
      </c>
      <c r="D679" s="130" t="str">
        <f>IF('SIG 2021'!$D682="","",'SIG 2021'!$D682)</f>
        <v/>
      </c>
      <c r="E679" s="130" t="str">
        <f>IF('SIG 2021'!$E682="","",'SIG 2021'!$E682)</f>
        <v/>
      </c>
      <c r="F679" s="130" t="str">
        <f>IF('SIG 2021'!$F682="","",'SIG 2021'!F682)</f>
        <v/>
      </c>
      <c r="G679" s="130" t="s">
        <v>2414</v>
      </c>
      <c r="H679" s="130" t="s">
        <v>2420</v>
      </c>
      <c r="I679" s="130"/>
      <c r="J679" s="130"/>
      <c r="K679" s="130" t="str">
        <f>IF('SIG 2021'!$AM682="","",'SIG 2021'!$AM682)</f>
        <v/>
      </c>
      <c r="L679" s="130" t="str">
        <f>IF('SIG 2021'!$AN682="","",'SIG 2021'!$AN682)</f>
        <v/>
      </c>
      <c r="M679" s="130" t="str">
        <f>IF('SIG 2021'!$AO682="","",'SIG 2021'!$AO682)</f>
        <v/>
      </c>
    </row>
    <row r="680" spans="1:13" ht="43.2" x14ac:dyDescent="0.5">
      <c r="A680" s="130">
        <v>5654</v>
      </c>
      <c r="B680" s="130" t="s">
        <v>2421</v>
      </c>
      <c r="C680" s="130" t="s">
        <v>2422</v>
      </c>
      <c r="D680" s="130" t="str">
        <f>IF('SIG 2021'!$D683="","",'SIG 2021'!$D683)</f>
        <v/>
      </c>
      <c r="E680" s="130" t="str">
        <f>IF('SIG 2021'!$E683="","",'SIG 2021'!$E683)</f>
        <v/>
      </c>
      <c r="F680" s="130" t="str">
        <f>IF('SIG 2021'!$F683="","",'SIG 2021'!F683)</f>
        <v/>
      </c>
      <c r="G680" s="130" t="s">
        <v>2414</v>
      </c>
      <c r="H680" s="130" t="s">
        <v>2420</v>
      </c>
      <c r="I680" s="130"/>
      <c r="J680" s="130"/>
      <c r="K680" s="130" t="str">
        <f>IF('SIG 2021'!$AM683="","",'SIG 2021'!$AM683)</f>
        <v/>
      </c>
      <c r="L680" s="130" t="str">
        <f>IF('SIG 2021'!$AN683="","",'SIG 2021'!$AN683)</f>
        <v/>
      </c>
      <c r="M680" s="130" t="str">
        <f>IF('SIG 2021'!$AO683="","",'SIG 2021'!$AO683)</f>
        <v/>
      </c>
    </row>
    <row r="681" spans="1:13" ht="57.6" x14ac:dyDescent="0.5">
      <c r="A681" s="130">
        <v>4901</v>
      </c>
      <c r="B681" s="130" t="s">
        <v>2423</v>
      </c>
      <c r="C681" s="130" t="s">
        <v>2424</v>
      </c>
      <c r="D681" s="130" t="str">
        <f>IF('SIG 2021'!$D684="","",'SIG 2021'!$D684)</f>
        <v/>
      </c>
      <c r="E681" s="130" t="str">
        <f>IF('SIG 2021'!$E684="","",'SIG 2021'!$E684)</f>
        <v/>
      </c>
      <c r="F681" s="130" t="str">
        <f>IF('SIG 2021'!$F684="","",'SIG 2021'!F684)</f>
        <v/>
      </c>
      <c r="G681" s="130" t="s">
        <v>2414</v>
      </c>
      <c r="H681" s="130" t="s">
        <v>2425</v>
      </c>
      <c r="I681" s="130"/>
      <c r="J681" s="130"/>
      <c r="K681" s="130" t="str">
        <f>IF('SIG 2021'!$AM684="","",'SIG 2021'!$AM684)</f>
        <v/>
      </c>
      <c r="L681" s="130" t="str">
        <f>IF('SIG 2021'!$AN684="","",'SIG 2021'!$AN684)</f>
        <v/>
      </c>
      <c r="M681" s="130" t="str">
        <f>IF('SIG 2021'!$AO684="","",'SIG 2021'!$AO684)</f>
        <v/>
      </c>
    </row>
    <row r="682" spans="1:13" ht="129.6" x14ac:dyDescent="0.5">
      <c r="A682" s="130">
        <v>4297</v>
      </c>
      <c r="B682" s="130" t="s">
        <v>360</v>
      </c>
      <c r="C682" s="130" t="s">
        <v>2426</v>
      </c>
      <c r="D682" s="130" t="str">
        <f>IF('SIG 2021'!$D685="","",'SIG 2021'!$D685)</f>
        <v>Yes</v>
      </c>
      <c r="E682" s="130" t="str">
        <f>IF('SIG 2021'!$E685="","",'SIG 2021'!$E685)</f>
        <v>Company laptops are used to support the processing services of scoped data. However, no scoped data is authorized to be copied to the laptops. End User Devices with access to production are configured with an enterprise DLP solution ensuring no unauthorized downloading of data.</v>
      </c>
      <c r="F682" s="130" t="str">
        <f>IF('SIG 2021'!$F685="","",'SIG 2021'!F685)</f>
        <v/>
      </c>
      <c r="G682" s="130" t="s">
        <v>2428</v>
      </c>
      <c r="H682" s="130" t="s">
        <v>910</v>
      </c>
      <c r="I682" s="130"/>
      <c r="J682" s="130" t="s">
        <v>2429</v>
      </c>
      <c r="K682" s="130" t="str">
        <f>IF('SIG 2021'!$AM685="","",'SIG 2021'!$AM685)</f>
        <v/>
      </c>
      <c r="L682" s="130" t="str">
        <f>IF('SIG 2021'!$AN685="","",'SIG 2021'!$AN685)</f>
        <v/>
      </c>
      <c r="M682" s="130" t="str">
        <f>IF('SIG 2021'!$AO685="","",'SIG 2021'!$AO685)</f>
        <v/>
      </c>
    </row>
    <row r="683" spans="1:13" ht="158.4" x14ac:dyDescent="0.5">
      <c r="A683" s="130">
        <v>4298</v>
      </c>
      <c r="B683" s="130" t="s">
        <v>2431</v>
      </c>
      <c r="C683" s="130" t="s">
        <v>2432</v>
      </c>
      <c r="D683" s="130" t="str">
        <f>IF('SIG 2021'!$D686="","",'SIG 2021'!$D686)</f>
        <v>Yes</v>
      </c>
      <c r="E683" s="130" t="str">
        <f>IF('SIG 2021'!$E686="","",'SIG 2021'!$E686)</f>
        <v>End User Devices are configured in accordance with the Secure Configuration Standard. All unnecessary ports, services, software are disabled or uninstalled, default accounts and password are changed, login banners, inactive screen lockout, Anti-Virus, and security monitoring tools are installed and configured as required by Information Security.</v>
      </c>
      <c r="F683" s="130" t="str">
        <f>IF('SIG 2021'!$F686="","",'SIG 2021'!F686)</f>
        <v/>
      </c>
      <c r="G683" s="130" t="s">
        <v>2428</v>
      </c>
      <c r="H683" s="130" t="s">
        <v>2434</v>
      </c>
      <c r="I683" s="130" t="s">
        <v>2435</v>
      </c>
      <c r="J683" s="130"/>
      <c r="K683" s="130" t="str">
        <f>IF('SIG 2021'!$AM686="","",'SIG 2021'!$AM686)</f>
        <v/>
      </c>
      <c r="L683" s="130" t="str">
        <f>IF('SIG 2021'!$AN686="","",'SIG 2021'!$AN686)</f>
        <v/>
      </c>
      <c r="M683" s="130" t="str">
        <f>IF('SIG 2021'!$AO686="","",'SIG 2021'!$AO686)</f>
        <v/>
      </c>
    </row>
    <row r="684" spans="1:13" ht="72" x14ac:dyDescent="0.5">
      <c r="A684" s="130">
        <v>4299</v>
      </c>
      <c r="B684" s="130" t="s">
        <v>2436</v>
      </c>
      <c r="C684" s="130" t="s">
        <v>2437</v>
      </c>
      <c r="D684" s="130" t="str">
        <f>IF('SIG 2021'!$D687="","",'SIG 2021'!$D687)</f>
        <v>Yes</v>
      </c>
      <c r="E684" s="130" t="str">
        <f>IF('SIG 2021'!$E687="","",'SIG 2021'!$E687)</f>
        <v/>
      </c>
      <c r="F684" s="130" t="str">
        <f>IF('SIG 2021'!$F687="","",'SIG 2021'!F687)</f>
        <v/>
      </c>
      <c r="G684" s="130" t="s">
        <v>2428</v>
      </c>
      <c r="H684" s="130" t="s">
        <v>2434</v>
      </c>
      <c r="I684" s="130" t="s">
        <v>2435</v>
      </c>
      <c r="J684" s="130"/>
      <c r="K684" s="130" t="str">
        <f>IF('SIG 2021'!$AM687="","",'SIG 2021'!$AM687)</f>
        <v/>
      </c>
      <c r="L684" s="130" t="str">
        <f>IF('SIG 2021'!$AN687="","",'SIG 2021'!$AN687)</f>
        <v/>
      </c>
      <c r="M684" s="130" t="str">
        <f>IF('SIG 2021'!$AO687="","",'SIG 2021'!$AO687)</f>
        <v/>
      </c>
    </row>
    <row r="685" spans="1:13" ht="28.8" x14ac:dyDescent="0.5">
      <c r="A685" s="130">
        <v>4300</v>
      </c>
      <c r="B685" s="130" t="s">
        <v>2438</v>
      </c>
      <c r="C685" s="130" t="s">
        <v>2439</v>
      </c>
      <c r="D685" s="130" t="str">
        <f>IF('SIG 2021'!$D688="","",'SIG 2021'!$D688)</f>
        <v>Yes</v>
      </c>
      <c r="E685" s="130" t="str">
        <f>IF('SIG 2021'!$E688="","",'SIG 2021'!$E688)</f>
        <v/>
      </c>
      <c r="F685" s="130" t="str">
        <f>IF('SIG 2021'!$F688="","",'SIG 2021'!F688)</f>
        <v/>
      </c>
      <c r="G685" s="130" t="s">
        <v>2428</v>
      </c>
      <c r="H685" s="130" t="s">
        <v>2434</v>
      </c>
      <c r="I685" s="130" t="s">
        <v>2435</v>
      </c>
      <c r="J685" s="130"/>
      <c r="K685" s="130" t="str">
        <f>IF('SIG 2021'!$AM688="","",'SIG 2021'!$AM688)</f>
        <v/>
      </c>
      <c r="L685" s="130" t="str">
        <f>IF('SIG 2021'!$AN688="","",'SIG 2021'!$AN688)</f>
        <v/>
      </c>
      <c r="M685" s="130" t="str">
        <f>IF('SIG 2021'!$AO688="","",'SIG 2021'!$AO688)</f>
        <v/>
      </c>
    </row>
    <row r="686" spans="1:13" ht="57.6" x14ac:dyDescent="0.5">
      <c r="A686" s="130">
        <v>4301</v>
      </c>
      <c r="B686" s="130" t="s">
        <v>2440</v>
      </c>
      <c r="C686" s="130" t="s">
        <v>2441</v>
      </c>
      <c r="D686" s="130" t="str">
        <f>IF('SIG 2021'!$D689="","",'SIG 2021'!$D689)</f>
        <v>Yes</v>
      </c>
      <c r="E686" s="130" t="str">
        <f>IF('SIG 2021'!$E689="","",'SIG 2021'!$E689)</f>
        <v/>
      </c>
      <c r="F686" s="130" t="str">
        <f>IF('SIG 2021'!$F689="","",'SIG 2021'!F689)</f>
        <v/>
      </c>
      <c r="G686" s="130" t="s">
        <v>2428</v>
      </c>
      <c r="H686" s="130" t="s">
        <v>2442</v>
      </c>
      <c r="I686" s="130" t="s">
        <v>2435</v>
      </c>
      <c r="J686" s="130"/>
      <c r="K686" s="130" t="str">
        <f>IF('SIG 2021'!$AM689="","",'SIG 2021'!$AM689)</f>
        <v/>
      </c>
      <c r="L686" s="130" t="str">
        <f>IF('SIG 2021'!$AN689="","",'SIG 2021'!$AN689)</f>
        <v/>
      </c>
      <c r="M686" s="130" t="str">
        <f>IF('SIG 2021'!$AO689="","",'SIG 2021'!$AO689)</f>
        <v/>
      </c>
    </row>
    <row r="687" spans="1:13" ht="43.2" x14ac:dyDescent="0.5">
      <c r="A687" s="130">
        <v>4302</v>
      </c>
      <c r="B687" s="130" t="s">
        <v>2443</v>
      </c>
      <c r="C687" s="130" t="s">
        <v>2444</v>
      </c>
      <c r="D687" s="130" t="str">
        <f>IF('SIG 2021'!$D690="","",'SIG 2021'!$D690)</f>
        <v>Yes</v>
      </c>
      <c r="E687" s="130" t="str">
        <f>IF('SIG 2021'!$E690="","",'SIG 2021'!$E690)</f>
        <v/>
      </c>
      <c r="F687" s="130" t="str">
        <f>IF('SIG 2021'!$F690="","",'SIG 2021'!F690)</f>
        <v/>
      </c>
      <c r="G687" s="130" t="s">
        <v>2428</v>
      </c>
      <c r="H687" s="130" t="s">
        <v>2442</v>
      </c>
      <c r="I687" s="130" t="s">
        <v>2435</v>
      </c>
      <c r="J687" s="130" t="s">
        <v>2445</v>
      </c>
      <c r="K687" s="130" t="str">
        <f>IF('SIG 2021'!$AM690="","",'SIG 2021'!$AM690)</f>
        <v/>
      </c>
      <c r="L687" s="130" t="str">
        <f>IF('SIG 2021'!$AN690="","",'SIG 2021'!$AN690)</f>
        <v/>
      </c>
      <c r="M687" s="130" t="str">
        <f>IF('SIG 2021'!$AO690="","",'SIG 2021'!$AO690)</f>
        <v/>
      </c>
    </row>
    <row r="688" spans="1:13" ht="28.8" x14ac:dyDescent="0.5">
      <c r="A688" s="130">
        <v>4304</v>
      </c>
      <c r="B688" s="130" t="s">
        <v>2446</v>
      </c>
      <c r="C688" s="130" t="s">
        <v>2447</v>
      </c>
      <c r="D688" s="130" t="str">
        <f>IF('SIG 2021'!$D691="","",'SIG 2021'!$D691)</f>
        <v>Yes</v>
      </c>
      <c r="E688" s="130" t="str">
        <f>IF('SIG 2021'!$E691="","",'SIG 2021'!$E691)</f>
        <v/>
      </c>
      <c r="F688" s="130" t="str">
        <f>IF('SIG 2021'!$F691="","",'SIG 2021'!F691)</f>
        <v/>
      </c>
      <c r="G688" s="130" t="s">
        <v>2428</v>
      </c>
      <c r="H688" s="130" t="s">
        <v>2442</v>
      </c>
      <c r="I688" s="130" t="s">
        <v>1076</v>
      </c>
      <c r="J688" s="130"/>
      <c r="K688" s="130" t="str">
        <f>IF('SIG 2021'!$AM691="","",'SIG 2021'!$AM691)</f>
        <v/>
      </c>
      <c r="L688" s="130" t="str">
        <f>IF('SIG 2021'!$AN691="","",'SIG 2021'!$AN691)</f>
        <v/>
      </c>
      <c r="M688" s="130" t="str">
        <f>IF('SIG 2021'!$AO691="","",'SIG 2021'!$AO691)</f>
        <v/>
      </c>
    </row>
    <row r="689" spans="1:13" ht="43.2" x14ac:dyDescent="0.5">
      <c r="A689" s="130">
        <v>4305</v>
      </c>
      <c r="B689" s="130" t="s">
        <v>2448</v>
      </c>
      <c r="C689" s="130" t="s">
        <v>2449</v>
      </c>
      <c r="D689" s="130" t="str">
        <f>IF('SIG 2021'!$D692="","",'SIG 2021'!$D692)</f>
        <v>Yes</v>
      </c>
      <c r="E689" s="130" t="str">
        <f>IF('SIG 2021'!$E692="","",'SIG 2021'!$E692)</f>
        <v/>
      </c>
      <c r="F689" s="130" t="str">
        <f>IF('SIG 2021'!$F692="","",'SIG 2021'!F692)</f>
        <v/>
      </c>
      <c r="G689" s="130" t="s">
        <v>2428</v>
      </c>
      <c r="H689" s="130" t="s">
        <v>2450</v>
      </c>
      <c r="I689" s="130" t="s">
        <v>2435</v>
      </c>
      <c r="J689" s="130"/>
      <c r="K689" s="130" t="str">
        <f>IF('SIG 2021'!$AM692="","",'SIG 2021'!$AM692)</f>
        <v/>
      </c>
      <c r="L689" s="130" t="str">
        <f>IF('SIG 2021'!$AN692="","",'SIG 2021'!$AN692)</f>
        <v/>
      </c>
      <c r="M689" s="130" t="str">
        <f>IF('SIG 2021'!$AO692="","",'SIG 2021'!$AO692)</f>
        <v/>
      </c>
    </row>
    <row r="690" spans="1:13" ht="43.2" x14ac:dyDescent="0.5">
      <c r="A690" s="130">
        <v>4306</v>
      </c>
      <c r="B690" s="130" t="s">
        <v>2451</v>
      </c>
      <c r="C690" s="130" t="s">
        <v>2452</v>
      </c>
      <c r="D690" s="130" t="str">
        <f>IF('SIG 2021'!$D693="","",'SIG 2021'!$D693)</f>
        <v>Yes</v>
      </c>
      <c r="E690" s="130" t="str">
        <f>IF('SIG 2021'!$E693="","",'SIG 2021'!$E693)</f>
        <v/>
      </c>
      <c r="F690" s="130" t="str">
        <f>IF('SIG 2021'!$F693="","",'SIG 2021'!F693)</f>
        <v/>
      </c>
      <c r="G690" s="130" t="s">
        <v>2428</v>
      </c>
      <c r="H690" s="130" t="s">
        <v>2450</v>
      </c>
      <c r="I690" s="130"/>
      <c r="J690" s="130"/>
      <c r="K690" s="130" t="str">
        <f>IF('SIG 2021'!$AM693="","",'SIG 2021'!$AM693)</f>
        <v/>
      </c>
      <c r="L690" s="130" t="str">
        <f>IF('SIG 2021'!$AN693="","",'SIG 2021'!$AN693)</f>
        <v/>
      </c>
      <c r="M690" s="130" t="str">
        <f>IF('SIG 2021'!$AO693="","",'SIG 2021'!$AO693)</f>
        <v/>
      </c>
    </row>
    <row r="691" spans="1:13" ht="43.2" x14ac:dyDescent="0.5">
      <c r="A691" s="130">
        <v>4312</v>
      </c>
      <c r="B691" s="130" t="s">
        <v>2453</v>
      </c>
      <c r="C691" s="130" t="s">
        <v>2454</v>
      </c>
      <c r="D691" s="130" t="str">
        <f>IF('SIG 2021'!$D694="","",'SIG 2021'!$D694)</f>
        <v>Yes</v>
      </c>
      <c r="E691" s="130" t="str">
        <f>IF('SIG 2021'!$E694="","",'SIG 2021'!$E694)</f>
        <v/>
      </c>
      <c r="F691" s="130" t="str">
        <f>IF('SIG 2021'!$F694="","",'SIG 2021'!F694)</f>
        <v/>
      </c>
      <c r="G691" s="130" t="s">
        <v>2428</v>
      </c>
      <c r="H691" s="130" t="s">
        <v>2450</v>
      </c>
      <c r="I691" s="130"/>
      <c r="J691" s="130"/>
      <c r="K691" s="130" t="str">
        <f>IF('SIG 2021'!$AM694="","",'SIG 2021'!$AM694)</f>
        <v/>
      </c>
      <c r="L691" s="130" t="str">
        <f>IF('SIG 2021'!$AN694="","",'SIG 2021'!$AN694)</f>
        <v/>
      </c>
      <c r="M691" s="130" t="str">
        <f>IF('SIG 2021'!$AO694="","",'SIG 2021'!$AO694)</f>
        <v/>
      </c>
    </row>
    <row r="692" spans="1:13" ht="72" x14ac:dyDescent="0.5">
      <c r="A692" s="130">
        <v>4313</v>
      </c>
      <c r="B692" s="130" t="s">
        <v>2455</v>
      </c>
      <c r="C692" s="130" t="s">
        <v>2456</v>
      </c>
      <c r="D692" s="130" t="str">
        <f>IF('SIG 2021'!$D695="","",'SIG 2021'!$D695)</f>
        <v>Yes</v>
      </c>
      <c r="E692" s="130" t="str">
        <f>IF('SIG 2021'!$E695="","",'SIG 2021'!$E695)</f>
        <v/>
      </c>
      <c r="F692" s="130" t="str">
        <f>IF('SIG 2021'!$F695="","",'SIG 2021'!F695)</f>
        <v/>
      </c>
      <c r="G692" s="130" t="s">
        <v>2428</v>
      </c>
      <c r="H692" s="130" t="s">
        <v>2457</v>
      </c>
      <c r="I692" s="130" t="s">
        <v>2435</v>
      </c>
      <c r="J692" s="130" t="s">
        <v>1702</v>
      </c>
      <c r="K692" s="130" t="str">
        <f>IF('SIG 2021'!$AM695="","",'SIG 2021'!$AM695)</f>
        <v/>
      </c>
      <c r="L692" s="130" t="str">
        <f>IF('SIG 2021'!$AN695="","",'SIG 2021'!$AN695)</f>
        <v/>
      </c>
      <c r="M692" s="130" t="str">
        <f>IF('SIG 2021'!$AO695="","",'SIG 2021'!$AO695)</f>
        <v/>
      </c>
    </row>
    <row r="693" spans="1:13" ht="43.2" x14ac:dyDescent="0.5">
      <c r="A693" s="130">
        <v>4318</v>
      </c>
      <c r="B693" s="130" t="s">
        <v>2458</v>
      </c>
      <c r="C693" s="130" t="s">
        <v>2459</v>
      </c>
      <c r="D693" s="130" t="str">
        <f>IF('SIG 2021'!$D696="","",'SIG 2021'!$D696)</f>
        <v>Yes</v>
      </c>
      <c r="E693" s="130" t="str">
        <f>IF('SIG 2021'!$E696="","",'SIG 2021'!$E696)</f>
        <v/>
      </c>
      <c r="F693" s="130" t="str">
        <f>IF('SIG 2021'!$F696="","",'SIG 2021'!F696)</f>
        <v/>
      </c>
      <c r="G693" s="130" t="s">
        <v>2428</v>
      </c>
      <c r="H693" s="130" t="s">
        <v>2460</v>
      </c>
      <c r="I693" s="130" t="s">
        <v>2435</v>
      </c>
      <c r="J693" s="130"/>
      <c r="K693" s="130" t="str">
        <f>IF('SIG 2021'!$AM696="","",'SIG 2021'!$AM696)</f>
        <v/>
      </c>
      <c r="L693" s="130" t="str">
        <f>IF('SIG 2021'!$AN696="","",'SIG 2021'!$AN696)</f>
        <v/>
      </c>
      <c r="M693" s="130" t="str">
        <f>IF('SIG 2021'!$AO696="","",'SIG 2021'!$AO696)</f>
        <v/>
      </c>
    </row>
    <row r="694" spans="1:13" ht="43.2" x14ac:dyDescent="0.5">
      <c r="A694" s="130">
        <v>4319</v>
      </c>
      <c r="B694" s="130" t="s">
        <v>2461</v>
      </c>
      <c r="C694" s="130" t="s">
        <v>2462</v>
      </c>
      <c r="D694" s="130" t="str">
        <f>IF('SIG 2021'!$D697="","",'SIG 2021'!$D697)</f>
        <v>Yes</v>
      </c>
      <c r="E694" s="130" t="str">
        <f>IF('SIG 2021'!$E697="","",'SIG 2021'!$E697)</f>
        <v/>
      </c>
      <c r="F694" s="130" t="str">
        <f>IF('SIG 2021'!$F697="","",'SIG 2021'!F697)</f>
        <v/>
      </c>
      <c r="G694" s="130" t="s">
        <v>2428</v>
      </c>
      <c r="H694" s="130" t="s">
        <v>2460</v>
      </c>
      <c r="I694" s="130"/>
      <c r="J694" s="130"/>
      <c r="K694" s="130" t="str">
        <f>IF('SIG 2021'!$AM697="","",'SIG 2021'!$AM697)</f>
        <v/>
      </c>
      <c r="L694" s="130" t="str">
        <f>IF('SIG 2021'!$AN697="","",'SIG 2021'!$AN697)</f>
        <v/>
      </c>
      <c r="M694" s="130" t="str">
        <f>IF('SIG 2021'!$AO697="","",'SIG 2021'!$AO697)</f>
        <v/>
      </c>
    </row>
    <row r="695" spans="1:13" ht="43.2" x14ac:dyDescent="0.5">
      <c r="A695" s="130">
        <v>4320</v>
      </c>
      <c r="B695" s="130" t="s">
        <v>2463</v>
      </c>
      <c r="C695" s="130" t="s">
        <v>2464</v>
      </c>
      <c r="D695" s="130" t="str">
        <f>IF('SIG 2021'!$D698="","",'SIG 2021'!$D698)</f>
        <v>Yes</v>
      </c>
      <c r="E695" s="130" t="str">
        <f>IF('SIG 2021'!$E698="","",'SIG 2021'!$E698)</f>
        <v/>
      </c>
      <c r="F695" s="130" t="str">
        <f>IF('SIG 2021'!$F698="","",'SIG 2021'!F698)</f>
        <v/>
      </c>
      <c r="G695" s="130" t="s">
        <v>2428</v>
      </c>
      <c r="H695" s="130" t="s">
        <v>2460</v>
      </c>
      <c r="I695" s="130"/>
      <c r="J695" s="130"/>
      <c r="K695" s="130" t="str">
        <f>IF('SIG 2021'!$AM698="","",'SIG 2021'!$AM698)</f>
        <v/>
      </c>
      <c r="L695" s="130" t="str">
        <f>IF('SIG 2021'!$AN698="","",'SIG 2021'!$AN698)</f>
        <v/>
      </c>
      <c r="M695" s="130" t="str">
        <f>IF('SIG 2021'!$AO698="","",'SIG 2021'!$AO698)</f>
        <v/>
      </c>
    </row>
    <row r="696" spans="1:13" ht="43.2" x14ac:dyDescent="0.5">
      <c r="A696" s="130">
        <v>4321</v>
      </c>
      <c r="B696" s="130" t="s">
        <v>2465</v>
      </c>
      <c r="C696" s="130" t="s">
        <v>2466</v>
      </c>
      <c r="D696" s="130" t="str">
        <f>IF('SIG 2021'!$D699="","",'SIG 2021'!$D699)</f>
        <v>Yes</v>
      </c>
      <c r="E696" s="130" t="str">
        <f>IF('SIG 2021'!$E699="","",'SIG 2021'!$E699)</f>
        <v/>
      </c>
      <c r="F696" s="130" t="str">
        <f>IF('SIG 2021'!$F699="","",'SIG 2021'!F699)</f>
        <v/>
      </c>
      <c r="G696" s="130" t="s">
        <v>2428</v>
      </c>
      <c r="H696" s="130" t="s">
        <v>2460</v>
      </c>
      <c r="I696" s="130"/>
      <c r="J696" s="130" t="s">
        <v>2467</v>
      </c>
      <c r="K696" s="130" t="str">
        <f>IF('SIG 2021'!$AM699="","",'SIG 2021'!$AM699)</f>
        <v/>
      </c>
      <c r="L696" s="130" t="str">
        <f>IF('SIG 2021'!$AN699="","",'SIG 2021'!$AN699)</f>
        <v/>
      </c>
      <c r="M696" s="130" t="str">
        <f>IF('SIG 2021'!$AO699="","",'SIG 2021'!$AO699)</f>
        <v/>
      </c>
    </row>
    <row r="697" spans="1:13" ht="72" x14ac:dyDescent="0.5">
      <c r="A697" s="130">
        <v>4322</v>
      </c>
      <c r="B697" s="130" t="s">
        <v>2468</v>
      </c>
      <c r="C697" s="130" t="s">
        <v>2469</v>
      </c>
      <c r="D697" s="130" t="str">
        <f>IF('SIG 2021'!$D700="","",'SIG 2021'!$D700)</f>
        <v>Yes</v>
      </c>
      <c r="E697" s="130" t="str">
        <f>IF('SIG 2021'!$E700="","",'SIG 2021'!$E700)</f>
        <v/>
      </c>
      <c r="F697" s="130" t="str">
        <f>IF('SIG 2021'!$F700="","",'SIG 2021'!F700)</f>
        <v/>
      </c>
      <c r="G697" s="130" t="s">
        <v>2428</v>
      </c>
      <c r="H697" s="130" t="s">
        <v>2460</v>
      </c>
      <c r="I697" s="130"/>
      <c r="J697" s="130" t="s">
        <v>2470</v>
      </c>
      <c r="K697" s="130" t="str">
        <f>IF('SIG 2021'!$AM700="","",'SIG 2021'!$AM700)</f>
        <v/>
      </c>
      <c r="L697" s="130" t="str">
        <f>IF('SIG 2021'!$AN700="","",'SIG 2021'!$AN700)</f>
        <v/>
      </c>
      <c r="M697" s="130" t="str">
        <f>IF('SIG 2021'!$AO700="","",'SIG 2021'!$AO700)</f>
        <v/>
      </c>
    </row>
    <row r="698" spans="1:13" ht="28.8" x14ac:dyDescent="0.5">
      <c r="A698" s="130">
        <v>3210</v>
      </c>
      <c r="B698" s="130" t="s">
        <v>2471</v>
      </c>
      <c r="C698" s="130" t="s">
        <v>2472</v>
      </c>
      <c r="D698" s="130" t="str">
        <f>IF('SIG 2021'!$D701="","",'SIG 2021'!$D701)</f>
        <v>Yes</v>
      </c>
      <c r="E698" s="130" t="str">
        <f>IF('SIG 2021'!$E701="","",'SIG 2021'!$E701)</f>
        <v/>
      </c>
      <c r="F698" s="130" t="str">
        <f>IF('SIG 2021'!$F701="","",'SIG 2021'!F701)</f>
        <v/>
      </c>
      <c r="G698" s="130" t="s">
        <v>2428</v>
      </c>
      <c r="H698" s="130" t="s">
        <v>2473</v>
      </c>
      <c r="I698" s="130"/>
      <c r="J698" s="130" t="s">
        <v>2474</v>
      </c>
      <c r="K698" s="130" t="str">
        <f>IF('SIG 2021'!$AM701="","",'SIG 2021'!$AM701)</f>
        <v/>
      </c>
      <c r="L698" s="130" t="str">
        <f>IF('SIG 2021'!$AN701="","",'SIG 2021'!$AN701)</f>
        <v/>
      </c>
      <c r="M698" s="130" t="str">
        <f>IF('SIG 2021'!$AO701="","",'SIG 2021'!$AO701)</f>
        <v/>
      </c>
    </row>
    <row r="699" spans="1:13" ht="72" x14ac:dyDescent="0.5">
      <c r="A699" s="130">
        <v>1980</v>
      </c>
      <c r="B699" s="130" t="s">
        <v>2475</v>
      </c>
      <c r="C699" s="130" t="s">
        <v>2476</v>
      </c>
      <c r="D699" s="130" t="str">
        <f>IF('SIG 2021'!$D702="","",'SIG 2021'!$D702)</f>
        <v>Yes</v>
      </c>
      <c r="E699" s="130" t="str">
        <f>IF('SIG 2021'!$E702="","",'SIG 2021'!$E702)</f>
        <v>Seismic implements a clean desk policy and trains users to lock laptops when unattended. All laptops are protected with Hard Disk Encryption.</v>
      </c>
      <c r="F699" s="130" t="str">
        <f>IF('SIG 2021'!$F702="","",'SIG 2021'!F702)</f>
        <v/>
      </c>
      <c r="G699" s="130" t="s">
        <v>2428</v>
      </c>
      <c r="H699" s="130" t="s">
        <v>2473</v>
      </c>
      <c r="I699" s="130"/>
      <c r="J699" s="130" t="s">
        <v>2474</v>
      </c>
      <c r="K699" s="130" t="str">
        <f>IF('SIG 2021'!$AM702="","",'SIG 2021'!$AM702)</f>
        <v/>
      </c>
      <c r="L699" s="130" t="str">
        <f>IF('SIG 2021'!$AN702="","",'SIG 2021'!$AN702)</f>
        <v/>
      </c>
      <c r="M699" s="130" t="str">
        <f>IF('SIG 2021'!$AO702="","",'SIG 2021'!$AO702)</f>
        <v/>
      </c>
    </row>
    <row r="700" spans="1:13" ht="28.8" x14ac:dyDescent="0.5">
      <c r="A700" s="130">
        <v>4090</v>
      </c>
      <c r="B700" s="130" t="s">
        <v>2478</v>
      </c>
      <c r="C700" s="130" t="s">
        <v>2479</v>
      </c>
      <c r="D700" s="130" t="str">
        <f>IF('SIG 2021'!$D703="","",'SIG 2021'!$D703)</f>
        <v>Yes</v>
      </c>
      <c r="E700" s="130" t="str">
        <f>IF('SIG 2021'!$E703="","",'SIG 2021'!$E703)</f>
        <v>Per administrative settings and approval by Information Security.</v>
      </c>
      <c r="F700" s="130" t="str">
        <f>IF('SIG 2021'!$F703="","",'SIG 2021'!F703)</f>
        <v/>
      </c>
      <c r="G700" s="130" t="s">
        <v>2481</v>
      </c>
      <c r="H700" s="130" t="s">
        <v>2482</v>
      </c>
      <c r="I700" s="130"/>
      <c r="J700" s="130"/>
      <c r="K700" s="130" t="str">
        <f>IF('SIG 2021'!$AM703="","",'SIG 2021'!$AM703)</f>
        <v/>
      </c>
      <c r="L700" s="130" t="str">
        <f>IF('SIG 2021'!$AN703="","",'SIG 2021'!$AN703)</f>
        <v/>
      </c>
      <c r="M700" s="130" t="str">
        <f>IF('SIG 2021'!$AO703="","",'SIG 2021'!$AO703)</f>
        <v/>
      </c>
    </row>
    <row r="701" spans="1:13" ht="28.8" x14ac:dyDescent="0.5">
      <c r="A701" s="130">
        <v>4091</v>
      </c>
      <c r="B701" s="130" t="s">
        <v>2483</v>
      </c>
      <c r="C701" s="130" t="s">
        <v>2484</v>
      </c>
      <c r="D701" s="130" t="str">
        <f>IF('SIG 2021'!$D704="","",'SIG 2021'!$D704)</f>
        <v>No</v>
      </c>
      <c r="E701" s="130" t="str">
        <f>IF('SIG 2021'!$E704="","",'SIG 2021'!$E704)</f>
        <v/>
      </c>
      <c r="F701" s="130" t="str">
        <f>IF('SIG 2021'!$F704="","",'SIG 2021'!F704)</f>
        <v/>
      </c>
      <c r="G701" s="130" t="s">
        <v>2481</v>
      </c>
      <c r="H701" s="130" t="s">
        <v>2482</v>
      </c>
      <c r="I701" s="130"/>
      <c r="J701" s="130"/>
      <c r="K701" s="130" t="str">
        <f>IF('SIG 2021'!$AM704="","",'SIG 2021'!$AM704)</f>
        <v/>
      </c>
      <c r="L701" s="130" t="str">
        <f>IF('SIG 2021'!$AN704="","",'SIG 2021'!$AN704)</f>
        <v/>
      </c>
      <c r="M701" s="130" t="str">
        <f>IF('SIG 2021'!$AO704="","",'SIG 2021'!$AO704)</f>
        <v/>
      </c>
    </row>
    <row r="702" spans="1:13" ht="28.8" x14ac:dyDescent="0.5">
      <c r="A702" s="130">
        <v>4092</v>
      </c>
      <c r="B702" s="130" t="s">
        <v>2485</v>
      </c>
      <c r="C702" s="130" t="s">
        <v>2486</v>
      </c>
      <c r="D702" s="130" t="str">
        <f>IF('SIG 2021'!$D705="","",'SIG 2021'!$D705)</f>
        <v>No</v>
      </c>
      <c r="E702" s="130" t="str">
        <f>IF('SIG 2021'!$E705="","",'SIG 2021'!$E705)</f>
        <v/>
      </c>
      <c r="F702" s="130" t="str">
        <f>IF('SIG 2021'!$F705="","",'SIG 2021'!F705)</f>
        <v/>
      </c>
      <c r="G702" s="130" t="s">
        <v>2481</v>
      </c>
      <c r="H702" s="130" t="s">
        <v>2482</v>
      </c>
      <c r="I702" s="130"/>
      <c r="J702" s="130"/>
      <c r="K702" s="130" t="str">
        <f>IF('SIG 2021'!$AM705="","",'SIG 2021'!$AM705)</f>
        <v/>
      </c>
      <c r="L702" s="130" t="str">
        <f>IF('SIG 2021'!$AN705="","",'SIG 2021'!$AN705)</f>
        <v/>
      </c>
      <c r="M702" s="130" t="str">
        <f>IF('SIG 2021'!$AO705="","",'SIG 2021'!$AO705)</f>
        <v/>
      </c>
    </row>
    <row r="703" spans="1:13" ht="28.8" x14ac:dyDescent="0.5">
      <c r="A703" s="130">
        <v>4093</v>
      </c>
      <c r="B703" s="130" t="s">
        <v>2487</v>
      </c>
      <c r="C703" s="130" t="s">
        <v>2488</v>
      </c>
      <c r="D703" s="130" t="str">
        <f>IF('SIG 2021'!$D706="","",'SIG 2021'!$D706)</f>
        <v>No</v>
      </c>
      <c r="E703" s="130" t="str">
        <f>IF('SIG 2021'!$E706="","",'SIG 2021'!$E706)</f>
        <v/>
      </c>
      <c r="F703" s="130" t="str">
        <f>IF('SIG 2021'!$F706="","",'SIG 2021'!F706)</f>
        <v/>
      </c>
      <c r="G703" s="130" t="s">
        <v>2481</v>
      </c>
      <c r="H703" s="130" t="s">
        <v>2482</v>
      </c>
      <c r="I703" s="130"/>
      <c r="J703" s="130"/>
      <c r="K703" s="130" t="str">
        <f>IF('SIG 2021'!$AM706="","",'SIG 2021'!$AM706)</f>
        <v/>
      </c>
      <c r="L703" s="130" t="str">
        <f>IF('SIG 2021'!$AN706="","",'SIG 2021'!$AN706)</f>
        <v/>
      </c>
      <c r="M703" s="130" t="str">
        <f>IF('SIG 2021'!$AO706="","",'SIG 2021'!$AO706)</f>
        <v/>
      </c>
    </row>
    <row r="704" spans="1:13" ht="28.8" x14ac:dyDescent="0.5">
      <c r="A704" s="130">
        <v>4094</v>
      </c>
      <c r="B704" s="130" t="s">
        <v>2489</v>
      </c>
      <c r="C704" s="130" t="s">
        <v>2490</v>
      </c>
      <c r="D704" s="130" t="str">
        <f>IF('SIG 2021'!$D707="","",'SIG 2021'!$D707)</f>
        <v>No</v>
      </c>
      <c r="E704" s="130" t="str">
        <f>IF('SIG 2021'!$E707="","",'SIG 2021'!$E707)</f>
        <v/>
      </c>
      <c r="F704" s="130" t="str">
        <f>IF('SIG 2021'!$F707="","",'SIG 2021'!F707)</f>
        <v/>
      </c>
      <c r="G704" s="130" t="s">
        <v>2481</v>
      </c>
      <c r="H704" s="130" t="s">
        <v>2482</v>
      </c>
      <c r="I704" s="130"/>
      <c r="J704" s="130"/>
      <c r="K704" s="130" t="str">
        <f>IF('SIG 2021'!$AM707="","",'SIG 2021'!$AM707)</f>
        <v/>
      </c>
      <c r="L704" s="130" t="str">
        <f>IF('SIG 2021'!$AN707="","",'SIG 2021'!$AN707)</f>
        <v/>
      </c>
      <c r="M704" s="130" t="str">
        <f>IF('SIG 2021'!$AO707="","",'SIG 2021'!$AO707)</f>
        <v/>
      </c>
    </row>
    <row r="705" spans="1:13" ht="28.8" x14ac:dyDescent="0.5">
      <c r="A705" s="130">
        <v>4095</v>
      </c>
      <c r="B705" s="130" t="s">
        <v>2491</v>
      </c>
      <c r="C705" s="130" t="s">
        <v>2492</v>
      </c>
      <c r="D705" s="130" t="str">
        <f>IF('SIG 2021'!$D708="","",'SIG 2021'!$D708)</f>
        <v>Yes</v>
      </c>
      <c r="E705" s="130" t="str">
        <f>IF('SIG 2021'!$E708="","",'SIG 2021'!$E708)</f>
        <v/>
      </c>
      <c r="F705" s="130" t="str">
        <f>IF('SIG 2021'!$F708="","",'SIG 2021'!F708)</f>
        <v/>
      </c>
      <c r="G705" s="130" t="s">
        <v>2481</v>
      </c>
      <c r="H705" s="130" t="s">
        <v>2482</v>
      </c>
      <c r="I705" s="130"/>
      <c r="J705" s="130"/>
      <c r="K705" s="130" t="str">
        <f>IF('SIG 2021'!$AM708="","",'SIG 2021'!$AM708)</f>
        <v/>
      </c>
      <c r="L705" s="130" t="str">
        <f>IF('SIG 2021'!$AN708="","",'SIG 2021'!$AN708)</f>
        <v/>
      </c>
      <c r="M705" s="130" t="str">
        <f>IF('SIG 2021'!$AO708="","",'SIG 2021'!$AO708)</f>
        <v/>
      </c>
    </row>
    <row r="706" spans="1:13" ht="28.8" x14ac:dyDescent="0.5">
      <c r="A706" s="130">
        <v>4096</v>
      </c>
      <c r="B706" s="130" t="s">
        <v>2493</v>
      </c>
      <c r="C706" s="130" t="s">
        <v>2494</v>
      </c>
      <c r="D706" s="130" t="str">
        <f>IF('SIG 2021'!$D709="","",'SIG 2021'!$D709)</f>
        <v>No</v>
      </c>
      <c r="E706" s="130" t="str">
        <f>IF('SIG 2021'!$E709="","",'SIG 2021'!$E709)</f>
        <v/>
      </c>
      <c r="F706" s="130" t="str">
        <f>IF('SIG 2021'!$F709="","",'SIG 2021'!F709)</f>
        <v/>
      </c>
      <c r="G706" s="130" t="s">
        <v>2481</v>
      </c>
      <c r="H706" s="130" t="s">
        <v>2482</v>
      </c>
      <c r="I706" s="130"/>
      <c r="J706" s="130"/>
      <c r="K706" s="130" t="str">
        <f>IF('SIG 2021'!$AM709="","",'SIG 2021'!$AM709)</f>
        <v/>
      </c>
      <c r="L706" s="130" t="str">
        <f>IF('SIG 2021'!$AN709="","",'SIG 2021'!$AN709)</f>
        <v/>
      </c>
      <c r="M706" s="130" t="str">
        <f>IF('SIG 2021'!$AO709="","",'SIG 2021'!$AO709)</f>
        <v/>
      </c>
    </row>
    <row r="707" spans="1:13" ht="43.2" x14ac:dyDescent="0.5">
      <c r="A707" s="130">
        <v>4097</v>
      </c>
      <c r="B707" s="130" t="s">
        <v>2495</v>
      </c>
      <c r="C707" s="130" t="s">
        <v>2496</v>
      </c>
      <c r="D707" s="130" t="str">
        <f>IF('SIG 2021'!$D710="","",'SIG 2021'!$D710)</f>
        <v>Yes</v>
      </c>
      <c r="E707" s="130" t="str">
        <f>IF('SIG 2021'!$E710="","",'SIG 2021'!$E710)</f>
        <v>Microsoft Intune.</v>
      </c>
      <c r="F707" s="130" t="str">
        <f>IF('SIG 2021'!$F710="","",'SIG 2021'!F710)</f>
        <v/>
      </c>
      <c r="G707" s="130" t="s">
        <v>2481</v>
      </c>
      <c r="H707" s="130" t="s">
        <v>2498</v>
      </c>
      <c r="I707" s="130"/>
      <c r="J707" s="130" t="s">
        <v>2499</v>
      </c>
      <c r="K707" s="130" t="str">
        <f>IF('SIG 2021'!$AM710="","",'SIG 2021'!$AM710)</f>
        <v/>
      </c>
      <c r="L707" s="130" t="str">
        <f>IF('SIG 2021'!$AN710="","",'SIG 2021'!$AN710)</f>
        <v/>
      </c>
      <c r="M707" s="130" t="str">
        <f>IF('SIG 2021'!$AO710="","",'SIG 2021'!$AO710)</f>
        <v/>
      </c>
    </row>
    <row r="708" spans="1:13" ht="28.8" x14ac:dyDescent="0.5">
      <c r="A708" s="130">
        <v>3762</v>
      </c>
      <c r="B708" s="130" t="s">
        <v>2500</v>
      </c>
      <c r="C708" s="130" t="s">
        <v>2501</v>
      </c>
      <c r="D708" s="130" t="str">
        <f>IF('SIG 2021'!$D711="","",'SIG 2021'!$D711)</f>
        <v>Yes</v>
      </c>
      <c r="E708" s="130" t="str">
        <f>IF('SIG 2021'!$E711="","",'SIG 2021'!$E711)</f>
        <v/>
      </c>
      <c r="F708" s="130" t="str">
        <f>IF('SIG 2021'!$F711="","",'SIG 2021'!F711)</f>
        <v/>
      </c>
      <c r="G708" s="130" t="s">
        <v>2481</v>
      </c>
      <c r="H708" s="130" t="s">
        <v>2498</v>
      </c>
      <c r="I708" s="130"/>
      <c r="J708" s="130" t="s">
        <v>2499</v>
      </c>
      <c r="K708" s="130" t="str">
        <f>IF('SIG 2021'!$AM711="","",'SIG 2021'!$AM711)</f>
        <v/>
      </c>
      <c r="L708" s="130" t="str">
        <f>IF('SIG 2021'!$AN711="","",'SIG 2021'!$AN711)</f>
        <v/>
      </c>
      <c r="M708" s="130" t="str">
        <f>IF('SIG 2021'!$AO711="","",'SIG 2021'!$AO711)</f>
        <v/>
      </c>
    </row>
    <row r="709" spans="1:13" ht="28.8" x14ac:dyDescent="0.5">
      <c r="A709" s="130">
        <v>3764</v>
      </c>
      <c r="B709" s="130" t="s">
        <v>2502</v>
      </c>
      <c r="C709" s="130" t="s">
        <v>2503</v>
      </c>
      <c r="D709" s="130" t="str">
        <f>IF('SIG 2021'!$D712="","",'SIG 2021'!$D712)</f>
        <v>No</v>
      </c>
      <c r="E709" s="130" t="str">
        <f>IF('SIG 2021'!$E712="","",'SIG 2021'!$E712)</f>
        <v/>
      </c>
      <c r="F709" s="130" t="str">
        <f>IF('SIG 2021'!$F712="","",'SIG 2021'!F712)</f>
        <v/>
      </c>
      <c r="G709" s="130" t="s">
        <v>2428</v>
      </c>
      <c r="H709" s="130" t="s">
        <v>2504</v>
      </c>
      <c r="I709" s="130"/>
      <c r="J709" s="130" t="s">
        <v>2499</v>
      </c>
      <c r="K709" s="130" t="str">
        <f>IF('SIG 2021'!$AM712="","",'SIG 2021'!$AM712)</f>
        <v/>
      </c>
      <c r="L709" s="130" t="str">
        <f>IF('SIG 2021'!$AN712="","",'SIG 2021'!$AN712)</f>
        <v/>
      </c>
      <c r="M709" s="130" t="str">
        <f>IF('SIG 2021'!$AO712="","",'SIG 2021'!$AO712)</f>
        <v/>
      </c>
    </row>
    <row r="710" spans="1:13" ht="28.8" x14ac:dyDescent="0.5">
      <c r="A710" s="130">
        <v>3765</v>
      </c>
      <c r="B710" s="130" t="s">
        <v>2505</v>
      </c>
      <c r="C710" s="130" t="s">
        <v>2506</v>
      </c>
      <c r="D710" s="130" t="str">
        <f>IF('SIG 2021'!$D713="","",'SIG 2021'!$D713)</f>
        <v>No</v>
      </c>
      <c r="E710" s="130" t="str">
        <f>IF('SIG 2021'!$E713="","",'SIG 2021'!$E713)</f>
        <v/>
      </c>
      <c r="F710" s="130" t="str">
        <f>IF('SIG 2021'!$F713="","",'SIG 2021'!F713)</f>
        <v/>
      </c>
      <c r="G710" s="130" t="s">
        <v>2428</v>
      </c>
      <c r="H710" s="130" t="s">
        <v>2504</v>
      </c>
      <c r="I710" s="130"/>
      <c r="J710" s="130" t="s">
        <v>2499</v>
      </c>
      <c r="K710" s="130" t="str">
        <f>IF('SIG 2021'!$AM713="","",'SIG 2021'!$AM713)</f>
        <v/>
      </c>
      <c r="L710" s="130" t="str">
        <f>IF('SIG 2021'!$AN713="","",'SIG 2021'!$AN713)</f>
        <v/>
      </c>
      <c r="M710" s="130" t="str">
        <f>IF('SIG 2021'!$AO713="","",'SIG 2021'!$AO713)</f>
        <v/>
      </c>
    </row>
    <row r="711" spans="1:13" ht="43.2" x14ac:dyDescent="0.5">
      <c r="A711" s="130">
        <v>4098</v>
      </c>
      <c r="B711" s="130" t="s">
        <v>2507</v>
      </c>
      <c r="C711" s="130" t="s">
        <v>2508</v>
      </c>
      <c r="D711" s="130" t="str">
        <f>IF('SIG 2021'!$D714="","",'SIG 2021'!$D714)</f>
        <v>No</v>
      </c>
      <c r="E711" s="130" t="str">
        <f>IF('SIG 2021'!$E714="","",'SIG 2021'!$E714)</f>
        <v/>
      </c>
      <c r="F711" s="130" t="str">
        <f>IF('SIG 2021'!$F714="","",'SIG 2021'!F714)</f>
        <v/>
      </c>
      <c r="G711" s="130" t="s">
        <v>2481</v>
      </c>
      <c r="H711" s="130" t="s">
        <v>2498</v>
      </c>
      <c r="I711" s="130"/>
      <c r="J711" s="130" t="s">
        <v>2499</v>
      </c>
      <c r="K711" s="130" t="str">
        <f>IF('SIG 2021'!$AM714="","",'SIG 2021'!$AM714)</f>
        <v/>
      </c>
      <c r="L711" s="130" t="str">
        <f>IF('SIG 2021'!$AN714="","",'SIG 2021'!$AN714)</f>
        <v/>
      </c>
      <c r="M711" s="130" t="str">
        <f>IF('SIG 2021'!$AO714="","",'SIG 2021'!$AO714)</f>
        <v/>
      </c>
    </row>
    <row r="712" spans="1:13" ht="57.6" x14ac:dyDescent="0.5">
      <c r="A712" s="130">
        <v>3773</v>
      </c>
      <c r="B712" s="130" t="s">
        <v>2509</v>
      </c>
      <c r="C712" s="130" t="s">
        <v>2510</v>
      </c>
      <c r="D712" s="130" t="str">
        <f>IF('SIG 2021'!$D715="","",'SIG 2021'!$D715)</f>
        <v>Yes</v>
      </c>
      <c r="E712" s="130" t="str">
        <f>IF('SIG 2021'!$E715="","",'SIG 2021'!$E715)</f>
        <v/>
      </c>
      <c r="F712" s="130" t="str">
        <f>IF('SIG 2021'!$F715="","",'SIG 2021'!F715)</f>
        <v/>
      </c>
      <c r="G712" s="130" t="s">
        <v>2481</v>
      </c>
      <c r="H712" s="130" t="s">
        <v>2511</v>
      </c>
      <c r="I712" s="130"/>
      <c r="J712" s="130" t="s">
        <v>2512</v>
      </c>
      <c r="K712" s="130" t="str">
        <f>IF('SIG 2021'!$AM715="","",'SIG 2021'!$AM715)</f>
        <v/>
      </c>
      <c r="L712" s="130" t="str">
        <f>IF('SIG 2021'!$AN715="","",'SIG 2021'!$AN715)</f>
        <v/>
      </c>
      <c r="M712" s="130" t="str">
        <f>IF('SIG 2021'!$AO715="","",'SIG 2021'!$AO715)</f>
        <v/>
      </c>
    </row>
    <row r="713" spans="1:13" ht="28.8" x14ac:dyDescent="0.5">
      <c r="A713" s="130">
        <v>3774</v>
      </c>
      <c r="B713" s="130" t="s">
        <v>2513</v>
      </c>
      <c r="C713" s="130" t="s">
        <v>2514</v>
      </c>
      <c r="D713" s="130" t="str">
        <f>IF('SIG 2021'!$D716="","",'SIG 2021'!$D716)</f>
        <v>Yes</v>
      </c>
      <c r="E713" s="130" t="str">
        <f>IF('SIG 2021'!$E716="","",'SIG 2021'!$E716)</f>
        <v/>
      </c>
      <c r="F713" s="130" t="str">
        <f>IF('SIG 2021'!$F716="","",'SIG 2021'!F716)</f>
        <v/>
      </c>
      <c r="G713" s="130" t="s">
        <v>2481</v>
      </c>
      <c r="H713" s="130" t="s">
        <v>2511</v>
      </c>
      <c r="I713" s="130"/>
      <c r="J713" s="130" t="s">
        <v>2512</v>
      </c>
      <c r="K713" s="130" t="str">
        <f>IF('SIG 2021'!$AM716="","",'SIG 2021'!$AM716)</f>
        <v/>
      </c>
      <c r="L713" s="130" t="str">
        <f>IF('SIG 2021'!$AN716="","",'SIG 2021'!$AN716)</f>
        <v/>
      </c>
      <c r="M713" s="130" t="str">
        <f>IF('SIG 2021'!$AO716="","",'SIG 2021'!$AO716)</f>
        <v/>
      </c>
    </row>
    <row r="714" spans="1:13" ht="43.2" x14ac:dyDescent="0.5">
      <c r="A714" s="130">
        <v>3775</v>
      </c>
      <c r="B714" s="130" t="s">
        <v>2515</v>
      </c>
      <c r="C714" s="130" t="s">
        <v>2516</v>
      </c>
      <c r="D714" s="130" t="str">
        <f>IF('SIG 2021'!$D717="","",'SIG 2021'!$D717)</f>
        <v>Yes</v>
      </c>
      <c r="E714" s="130" t="str">
        <f>IF('SIG 2021'!$E717="","",'SIG 2021'!$E717)</f>
        <v/>
      </c>
      <c r="F714" s="130" t="str">
        <f>IF('SIG 2021'!$F717="","",'SIG 2021'!F717)</f>
        <v/>
      </c>
      <c r="G714" s="130" t="s">
        <v>2481</v>
      </c>
      <c r="H714" s="130" t="s">
        <v>2511</v>
      </c>
      <c r="I714" s="130"/>
      <c r="J714" s="130" t="s">
        <v>2512</v>
      </c>
      <c r="K714" s="130" t="str">
        <f>IF('SIG 2021'!$AM717="","",'SIG 2021'!$AM717)</f>
        <v/>
      </c>
      <c r="L714" s="130" t="str">
        <f>IF('SIG 2021'!$AN717="","",'SIG 2021'!$AN717)</f>
        <v/>
      </c>
      <c r="M714" s="130" t="str">
        <f>IF('SIG 2021'!$AO717="","",'SIG 2021'!$AO717)</f>
        <v/>
      </c>
    </row>
    <row r="715" spans="1:13" ht="43.2" x14ac:dyDescent="0.5">
      <c r="A715" s="130">
        <v>4099</v>
      </c>
      <c r="B715" s="130" t="s">
        <v>2517</v>
      </c>
      <c r="C715" s="130" t="s">
        <v>2518</v>
      </c>
      <c r="D715" s="130" t="str">
        <f>IF('SIG 2021'!$D718="","",'SIG 2021'!$D718)</f>
        <v>Yes</v>
      </c>
      <c r="E715" s="130" t="str">
        <f>IF('SIG 2021'!$E718="","",'SIG 2021'!$E718)</f>
        <v/>
      </c>
      <c r="F715" s="130" t="str">
        <f>IF('SIG 2021'!$F718="","",'SIG 2021'!F718)</f>
        <v/>
      </c>
      <c r="G715" s="130" t="s">
        <v>2481</v>
      </c>
      <c r="H715" s="130" t="s">
        <v>2511</v>
      </c>
      <c r="I715" s="130"/>
      <c r="J715" s="130" t="s">
        <v>2512</v>
      </c>
      <c r="K715" s="130" t="str">
        <f>IF('SIG 2021'!$AM718="","",'SIG 2021'!$AM718)</f>
        <v/>
      </c>
      <c r="L715" s="130" t="str">
        <f>IF('SIG 2021'!$AN718="","",'SIG 2021'!$AN718)</f>
        <v/>
      </c>
      <c r="M715" s="130" t="str">
        <f>IF('SIG 2021'!$AO718="","",'SIG 2021'!$AO718)</f>
        <v/>
      </c>
    </row>
    <row r="716" spans="1:13" ht="28.8" x14ac:dyDescent="0.5">
      <c r="A716" s="130">
        <v>3782</v>
      </c>
      <c r="B716" s="130" t="s">
        <v>2519</v>
      </c>
      <c r="C716" s="130" t="s">
        <v>2520</v>
      </c>
      <c r="D716" s="130" t="str">
        <f>IF('SIG 2021'!$D719="","",'SIG 2021'!$D719)</f>
        <v>Yes</v>
      </c>
      <c r="E716" s="130" t="str">
        <f>IF('SIG 2021'!$E719="","",'SIG 2021'!$E719)</f>
        <v/>
      </c>
      <c r="F716" s="130" t="str">
        <f>IF('SIG 2021'!$F719="","",'SIG 2021'!F719)</f>
        <v/>
      </c>
      <c r="G716" s="130" t="s">
        <v>2481</v>
      </c>
      <c r="H716" s="130" t="s">
        <v>2511</v>
      </c>
      <c r="I716" s="130"/>
      <c r="J716" s="130" t="s">
        <v>2512</v>
      </c>
      <c r="K716" s="130" t="str">
        <f>IF('SIG 2021'!$AM719="","",'SIG 2021'!$AM719)</f>
        <v/>
      </c>
      <c r="L716" s="130" t="str">
        <f>IF('SIG 2021'!$AN719="","",'SIG 2021'!$AN719)</f>
        <v/>
      </c>
      <c r="M716" s="130" t="str">
        <f>IF('SIG 2021'!$AO719="","",'SIG 2021'!$AO719)</f>
        <v/>
      </c>
    </row>
    <row r="717" spans="1:13" ht="28.8" x14ac:dyDescent="0.5">
      <c r="A717" s="130">
        <v>3778</v>
      </c>
      <c r="B717" s="130" t="s">
        <v>2521</v>
      </c>
      <c r="C717" s="130" t="s">
        <v>2522</v>
      </c>
      <c r="D717" s="130" t="str">
        <f>IF('SIG 2021'!$D720="","",'SIG 2021'!$D720)</f>
        <v>Yes</v>
      </c>
      <c r="E717" s="130" t="str">
        <f>IF('SIG 2021'!$E720="","",'SIG 2021'!$E720)</f>
        <v/>
      </c>
      <c r="F717" s="130" t="str">
        <f>IF('SIG 2021'!$F720="","",'SIG 2021'!F720)</f>
        <v/>
      </c>
      <c r="G717" s="130" t="s">
        <v>2481</v>
      </c>
      <c r="H717" s="130" t="s">
        <v>2523</v>
      </c>
      <c r="I717" s="130"/>
      <c r="J717" s="130" t="s">
        <v>2512</v>
      </c>
      <c r="K717" s="130" t="str">
        <f>IF('SIG 2021'!$AM720="","",'SIG 2021'!$AM720)</f>
        <v/>
      </c>
      <c r="L717" s="130" t="str">
        <f>IF('SIG 2021'!$AN720="","",'SIG 2021'!$AN720)</f>
        <v/>
      </c>
      <c r="M717" s="130" t="str">
        <f>IF('SIG 2021'!$AO720="","",'SIG 2021'!$AO720)</f>
        <v/>
      </c>
    </row>
    <row r="718" spans="1:13" ht="43.2" x14ac:dyDescent="0.5">
      <c r="A718" s="130">
        <v>3779</v>
      </c>
      <c r="B718" s="130" t="s">
        <v>2524</v>
      </c>
      <c r="C718" s="130" t="s">
        <v>2525</v>
      </c>
      <c r="D718" s="130" t="str">
        <f>IF('SIG 2021'!$D721="","",'SIG 2021'!$D721)</f>
        <v>Yes</v>
      </c>
      <c r="E718" s="130" t="str">
        <f>IF('SIG 2021'!$E721="","",'SIG 2021'!$E721)</f>
        <v/>
      </c>
      <c r="F718" s="130" t="str">
        <f>IF('SIG 2021'!$F721="","",'SIG 2021'!F721)</f>
        <v/>
      </c>
      <c r="G718" s="130" t="s">
        <v>2481</v>
      </c>
      <c r="H718" s="130" t="s">
        <v>2523</v>
      </c>
      <c r="I718" s="130"/>
      <c r="J718" s="130" t="s">
        <v>2512</v>
      </c>
      <c r="K718" s="130" t="str">
        <f>IF('SIG 2021'!$AM721="","",'SIG 2021'!$AM721)</f>
        <v/>
      </c>
      <c r="L718" s="130" t="str">
        <f>IF('SIG 2021'!$AN721="","",'SIG 2021'!$AN721)</f>
        <v/>
      </c>
      <c r="M718" s="130" t="str">
        <f>IF('SIG 2021'!$AO721="","",'SIG 2021'!$AO721)</f>
        <v/>
      </c>
    </row>
    <row r="719" spans="1:13" ht="28.8" x14ac:dyDescent="0.5">
      <c r="A719" s="130">
        <v>3783</v>
      </c>
      <c r="B719" s="130" t="s">
        <v>2526</v>
      </c>
      <c r="C719" s="130" t="s">
        <v>2527</v>
      </c>
      <c r="D719" s="130" t="str">
        <f>IF('SIG 2021'!$D722="","",'SIG 2021'!$D722)</f>
        <v>Yes</v>
      </c>
      <c r="E719" s="130" t="str">
        <f>IF('SIG 2021'!$E722="","",'SIG 2021'!$E722)</f>
        <v/>
      </c>
      <c r="F719" s="130" t="str">
        <f>IF('SIG 2021'!$F722="","",'SIG 2021'!F722)</f>
        <v/>
      </c>
      <c r="G719" s="130" t="s">
        <v>2481</v>
      </c>
      <c r="H719" s="130" t="s">
        <v>2498</v>
      </c>
      <c r="I719" s="130"/>
      <c r="J719" s="130" t="s">
        <v>2512</v>
      </c>
      <c r="K719" s="130" t="str">
        <f>IF('SIG 2021'!$AM722="","",'SIG 2021'!$AM722)</f>
        <v/>
      </c>
      <c r="L719" s="130" t="str">
        <f>IF('SIG 2021'!$AN722="","",'SIG 2021'!$AN722)</f>
        <v/>
      </c>
      <c r="M719" s="130" t="str">
        <f>IF('SIG 2021'!$AO722="","",'SIG 2021'!$AO722)</f>
        <v/>
      </c>
    </row>
    <row r="720" spans="1:13" ht="86.4" x14ac:dyDescent="0.5">
      <c r="A720" s="130">
        <v>3787</v>
      </c>
      <c r="B720" s="130" t="s">
        <v>2528</v>
      </c>
      <c r="C720" s="130" t="s">
        <v>2529</v>
      </c>
      <c r="D720" s="130" t="str">
        <f>IF('SIG 2021'!$D723="","",'SIG 2021'!$D723)</f>
        <v>Yes</v>
      </c>
      <c r="E720" s="130" t="str">
        <f>IF('SIG 2021'!$E723="","",'SIG 2021'!$E723)</f>
        <v>Mobile devices are provisioned/de-provisioned as part of the employee onboarding/offboarding process. Upon de-provisioning, company data is removed from the mobile device.</v>
      </c>
      <c r="F720" s="130" t="str">
        <f>IF('SIG 2021'!$F723="","",'SIG 2021'!F723)</f>
        <v/>
      </c>
      <c r="G720" s="130" t="s">
        <v>2481</v>
      </c>
      <c r="H720" s="130" t="s">
        <v>2498</v>
      </c>
      <c r="I720" s="130"/>
      <c r="J720" s="130" t="s">
        <v>2531</v>
      </c>
      <c r="K720" s="130" t="str">
        <f>IF('SIG 2021'!$AM723="","",'SIG 2021'!$AM723)</f>
        <v/>
      </c>
      <c r="L720" s="130" t="str">
        <f>IF('SIG 2021'!$AN723="","",'SIG 2021'!$AN723)</f>
        <v/>
      </c>
      <c r="M720" s="130" t="str">
        <f>IF('SIG 2021'!$AO723="","",'SIG 2021'!$AO723)</f>
        <v/>
      </c>
    </row>
    <row r="721" spans="1:13" ht="43.2" x14ac:dyDescent="0.5">
      <c r="A721" s="130">
        <v>3788</v>
      </c>
      <c r="B721" s="130" t="s">
        <v>2532</v>
      </c>
      <c r="C721" s="130" t="s">
        <v>2533</v>
      </c>
      <c r="D721" s="130" t="str">
        <f>IF('SIG 2021'!$D724="","",'SIG 2021'!$D724)</f>
        <v>n/a</v>
      </c>
      <c r="E721" s="130" t="str">
        <f>IF('SIG 2021'!$E724="","",'SIG 2021'!$E724)</f>
        <v>scoped data not on mobile devices</v>
      </c>
      <c r="F721" s="130" t="str">
        <f>IF('SIG 2021'!$F724="","",'SIG 2021'!F724)</f>
        <v/>
      </c>
      <c r="G721" s="130" t="s">
        <v>2481</v>
      </c>
      <c r="H721" s="130" t="s">
        <v>2498</v>
      </c>
      <c r="I721" s="130"/>
      <c r="J721" s="130" t="s">
        <v>2531</v>
      </c>
      <c r="K721" s="130" t="str">
        <f>IF('SIG 2021'!$AM724="","",'SIG 2021'!$AM724)</f>
        <v/>
      </c>
      <c r="L721" s="130" t="str">
        <f>IF('SIG 2021'!$AN724="","",'SIG 2021'!$AN724)</f>
        <v/>
      </c>
      <c r="M721" s="130" t="str">
        <f>IF('SIG 2021'!$AO724="","",'SIG 2021'!$AO724)</f>
        <v/>
      </c>
    </row>
    <row r="722" spans="1:13" ht="57.6" x14ac:dyDescent="0.5">
      <c r="A722" s="130">
        <v>4100</v>
      </c>
      <c r="B722" s="130" t="s">
        <v>2536</v>
      </c>
      <c r="C722" s="130" t="s">
        <v>2537</v>
      </c>
      <c r="D722" s="130" t="str">
        <f>IF('SIG 2021'!$D725="","",'SIG 2021'!$D725)</f>
        <v>No</v>
      </c>
      <c r="E722" s="130" t="str">
        <f>IF('SIG 2021'!$E725="","",'SIG 2021'!$E725)</f>
        <v/>
      </c>
      <c r="F722" s="130" t="str">
        <f>IF('SIG 2021'!$F725="","",'SIG 2021'!F725)</f>
        <v/>
      </c>
      <c r="G722" s="130" t="s">
        <v>2481</v>
      </c>
      <c r="H722" s="130" t="s">
        <v>2498</v>
      </c>
      <c r="I722" s="130" t="s">
        <v>1414</v>
      </c>
      <c r="J722" s="130"/>
      <c r="K722" s="130" t="str">
        <f>IF('SIG 2021'!$AM725="","",'SIG 2021'!$AM725)</f>
        <v/>
      </c>
      <c r="L722" s="130" t="str">
        <f>IF('SIG 2021'!$AN725="","",'SIG 2021'!$AN725)</f>
        <v/>
      </c>
      <c r="M722" s="130" t="str">
        <f>IF('SIG 2021'!$AO725="","",'SIG 2021'!$AO725)</f>
        <v/>
      </c>
    </row>
    <row r="723" spans="1:13" ht="28.8" x14ac:dyDescent="0.5">
      <c r="A723" s="130">
        <v>4101</v>
      </c>
      <c r="B723" s="130" t="s">
        <v>2538</v>
      </c>
      <c r="C723" s="130" t="s">
        <v>2539</v>
      </c>
      <c r="D723" s="130" t="str">
        <f>IF('SIG 2021'!$D726="","",'SIG 2021'!$D726)</f>
        <v>Yes</v>
      </c>
      <c r="E723" s="130" t="str">
        <f>IF('SIG 2021'!$E726="","",'SIG 2021'!$E726)</f>
        <v/>
      </c>
      <c r="F723" s="130" t="str">
        <f>IF('SIG 2021'!$F726="","",'SIG 2021'!F726)</f>
        <v/>
      </c>
      <c r="G723" s="130" t="s">
        <v>2481</v>
      </c>
      <c r="H723" s="130" t="s">
        <v>2498</v>
      </c>
      <c r="I723" s="130"/>
      <c r="J723" s="130"/>
      <c r="K723" s="130" t="str">
        <f>IF('SIG 2021'!$AM726="","",'SIG 2021'!$AM726)</f>
        <v/>
      </c>
      <c r="L723" s="130" t="str">
        <f>IF('SIG 2021'!$AN726="","",'SIG 2021'!$AN726)</f>
        <v/>
      </c>
      <c r="M723" s="130" t="str">
        <f>IF('SIG 2021'!$AO726="","",'SIG 2021'!$AO726)</f>
        <v/>
      </c>
    </row>
    <row r="724" spans="1:13" ht="43.2" x14ac:dyDescent="0.5">
      <c r="A724" s="130">
        <v>3824</v>
      </c>
      <c r="B724" s="130" t="s">
        <v>2540</v>
      </c>
      <c r="C724" s="130" t="s">
        <v>2541</v>
      </c>
      <c r="D724" s="130" t="str">
        <f>IF('SIG 2021'!$D727="","",'SIG 2021'!$D727)</f>
        <v>No</v>
      </c>
      <c r="E724" s="130" t="str">
        <f>IF('SIG 2021'!$E727="","",'SIG 2021'!$E727)</f>
        <v/>
      </c>
      <c r="F724" s="130" t="str">
        <f>IF('SIG 2021'!$F727="","",'SIG 2021'!F727)</f>
        <v/>
      </c>
      <c r="G724" s="130" t="s">
        <v>2481</v>
      </c>
      <c r="H724" s="130" t="s">
        <v>2498</v>
      </c>
      <c r="I724" s="130"/>
      <c r="J724" s="130"/>
      <c r="K724" s="130" t="str">
        <f>IF('SIG 2021'!$AM727="","",'SIG 2021'!$AM727)</f>
        <v/>
      </c>
      <c r="L724" s="130" t="str">
        <f>IF('SIG 2021'!$AN727="","",'SIG 2021'!$AN727)</f>
        <v/>
      </c>
      <c r="M724" s="130" t="str">
        <f>IF('SIG 2021'!$AO727="","",'SIG 2021'!$AO727)</f>
        <v/>
      </c>
    </row>
    <row r="725" spans="1:13" ht="86.4" x14ac:dyDescent="0.5">
      <c r="A725" s="130">
        <v>1791</v>
      </c>
      <c r="B725" s="130" t="s">
        <v>362</v>
      </c>
      <c r="C725" s="130" t="s">
        <v>2542</v>
      </c>
      <c r="D725" s="130" t="str">
        <f>IF('SIG 2021'!$D728="","",'SIG 2021'!$D728)</f>
        <v>No</v>
      </c>
      <c r="E725" s="130" t="str">
        <f>IF('SIG 2021'!$E728="","",'SIG 2021'!$E728)</f>
        <v>Personal Computers are not authorized for company use and is logically restricted. Employees are held to this standard by acknowledgement of the Acceptable Use Policy.</v>
      </c>
      <c r="F725" s="130" t="str">
        <f>IF('SIG 2021'!$F728="","",'SIG 2021'!F728)</f>
        <v/>
      </c>
      <c r="G725" s="130" t="s">
        <v>2544</v>
      </c>
      <c r="H725" s="130" t="s">
        <v>910</v>
      </c>
      <c r="I725" s="130"/>
      <c r="J725" s="130"/>
      <c r="K725" s="130" t="str">
        <f>IF('SIG 2021'!$AM728="","",'SIG 2021'!$AM728)</f>
        <v/>
      </c>
      <c r="L725" s="130" t="str">
        <f>IF('SIG 2021'!$AN728="","",'SIG 2021'!$AN728)</f>
        <v/>
      </c>
      <c r="M725" s="130" t="str">
        <f>IF('SIG 2021'!$AO728="","",'SIG 2021'!$AO728)</f>
        <v/>
      </c>
    </row>
    <row r="726" spans="1:13" ht="28.8" x14ac:dyDescent="0.5">
      <c r="A726" s="130">
        <v>1793</v>
      </c>
      <c r="B726" s="130" t="s">
        <v>2545</v>
      </c>
      <c r="C726" s="130" t="s">
        <v>2546</v>
      </c>
      <c r="D726" s="130" t="str">
        <f>IF('SIG 2021'!$D729="","",'SIG 2021'!$D729)</f>
        <v>N/A</v>
      </c>
      <c r="E726" s="130" t="str">
        <f>IF('SIG 2021'!$E729="","",'SIG 2021'!$E729)</f>
        <v>See M.2.</v>
      </c>
      <c r="F726" s="130" t="str">
        <f>IF('SIG 2021'!$F729="","",'SIG 2021'!F729)</f>
        <v/>
      </c>
      <c r="G726" s="130" t="s">
        <v>2544</v>
      </c>
      <c r="H726" s="130" t="s">
        <v>2548</v>
      </c>
      <c r="I726" s="130"/>
      <c r="J726" s="130"/>
      <c r="K726" s="130" t="str">
        <f>IF('SIG 2021'!$AM729="","",'SIG 2021'!$AM729)</f>
        <v/>
      </c>
      <c r="L726" s="130" t="str">
        <f>IF('SIG 2021'!$AN729="","",'SIG 2021'!$AN729)</f>
        <v/>
      </c>
      <c r="M726" s="130" t="str">
        <f>IF('SIG 2021'!$AO729="","",'SIG 2021'!$AO729)</f>
        <v/>
      </c>
    </row>
    <row r="727" spans="1:13" ht="28.8" x14ac:dyDescent="0.5">
      <c r="A727" s="130">
        <v>1794</v>
      </c>
      <c r="B727" s="130" t="s">
        <v>2549</v>
      </c>
      <c r="C727" s="130" t="s">
        <v>2550</v>
      </c>
      <c r="D727" s="130" t="str">
        <f>IF('SIG 2021'!$D730="","",'SIG 2021'!$D730)</f>
        <v>N/A</v>
      </c>
      <c r="E727" s="130" t="str">
        <f>IF('SIG 2021'!$E730="","",'SIG 2021'!$E730)</f>
        <v>See M.2.</v>
      </c>
      <c r="F727" s="130" t="str">
        <f>IF('SIG 2021'!$F730="","",'SIG 2021'!F730)</f>
        <v/>
      </c>
      <c r="G727" s="130" t="s">
        <v>2544</v>
      </c>
      <c r="H727" s="130" t="s">
        <v>2548</v>
      </c>
      <c r="I727" s="130"/>
      <c r="J727" s="130"/>
      <c r="K727" s="130" t="str">
        <f>IF('SIG 2021'!$AM730="","",'SIG 2021'!$AM730)</f>
        <v/>
      </c>
      <c r="L727" s="130" t="str">
        <f>IF('SIG 2021'!$AN730="","",'SIG 2021'!$AN730)</f>
        <v/>
      </c>
      <c r="M727" s="130" t="str">
        <f>IF('SIG 2021'!$AO730="","",'SIG 2021'!$AO730)</f>
        <v/>
      </c>
    </row>
    <row r="728" spans="1:13" ht="28.8" x14ac:dyDescent="0.5">
      <c r="A728" s="130">
        <v>1797</v>
      </c>
      <c r="B728" s="130" t="s">
        <v>2551</v>
      </c>
      <c r="C728" s="130" t="s">
        <v>2552</v>
      </c>
      <c r="D728" s="130" t="str">
        <f>IF('SIG 2021'!$D731="","",'SIG 2021'!$D731)</f>
        <v>N/A</v>
      </c>
      <c r="E728" s="130" t="str">
        <f>IF('SIG 2021'!$E731="","",'SIG 2021'!$E731)</f>
        <v>See M.2.</v>
      </c>
      <c r="F728" s="130" t="str">
        <f>IF('SIG 2021'!$F731="","",'SIG 2021'!F731)</f>
        <v/>
      </c>
      <c r="G728" s="130" t="s">
        <v>2544</v>
      </c>
      <c r="H728" s="130" t="s">
        <v>2504</v>
      </c>
      <c r="I728" s="130"/>
      <c r="J728" s="130"/>
      <c r="K728" s="130" t="str">
        <f>IF('SIG 2021'!$AM731="","",'SIG 2021'!$AM731)</f>
        <v/>
      </c>
      <c r="L728" s="130" t="str">
        <f>IF('SIG 2021'!$AN731="","",'SIG 2021'!$AN731)</f>
        <v/>
      </c>
      <c r="M728" s="130" t="str">
        <f>IF('SIG 2021'!$AO731="","",'SIG 2021'!$AO731)</f>
        <v/>
      </c>
    </row>
    <row r="729" spans="1:13" ht="43.2" x14ac:dyDescent="0.5">
      <c r="A729" s="130">
        <v>1803</v>
      </c>
      <c r="B729" s="130" t="s">
        <v>2553</v>
      </c>
      <c r="C729" s="130" t="s">
        <v>2554</v>
      </c>
      <c r="D729" s="130" t="str">
        <f>IF('SIG 2021'!$D732="","",'SIG 2021'!$D732)</f>
        <v>Yes</v>
      </c>
      <c r="E729" s="130" t="str">
        <f>IF('SIG 2021'!$E732="","",'SIG 2021'!$E732)</f>
        <v>Administrative rights are removed for employees.</v>
      </c>
      <c r="F729" s="130" t="str">
        <f>IF('SIG 2021'!$F732="","",'SIG 2021'!F732)</f>
        <v/>
      </c>
      <c r="G729" s="130" t="s">
        <v>2544</v>
      </c>
      <c r="H729" s="130" t="s">
        <v>2548</v>
      </c>
      <c r="I729" s="130"/>
      <c r="J729" s="130" t="s">
        <v>2556</v>
      </c>
      <c r="K729" s="130" t="str">
        <f>IF('SIG 2021'!$AM732="","",'SIG 2021'!$AM732)</f>
        <v/>
      </c>
      <c r="L729" s="130" t="str">
        <f>IF('SIG 2021'!$AN732="","",'SIG 2021'!$AN732)</f>
        <v/>
      </c>
      <c r="M729" s="130" t="str">
        <f>IF('SIG 2021'!$AO732="","",'SIG 2021'!$AO732)</f>
        <v/>
      </c>
    </row>
    <row r="730" spans="1:13" ht="57.6" x14ac:dyDescent="0.5">
      <c r="A730" s="130">
        <v>4902</v>
      </c>
      <c r="B730" s="130" t="s">
        <v>364</v>
      </c>
      <c r="C730" s="130" t="s">
        <v>2557</v>
      </c>
      <c r="D730" s="130" t="str">
        <f>IF('SIG 2021'!$D733="","",'SIG 2021'!$D733)</f>
        <v>Yes</v>
      </c>
      <c r="E730" s="130" t="str">
        <f>IF('SIG 2021'!$E733="","",'SIG 2021'!$E733)</f>
        <v/>
      </c>
      <c r="F730" s="130" t="str">
        <f>IF('SIG 2021'!$F733="","",'SIG 2021'!F733)</f>
        <v/>
      </c>
      <c r="G730" s="130" t="s">
        <v>2558</v>
      </c>
      <c r="H730" s="130" t="s">
        <v>1742</v>
      </c>
      <c r="I730" s="130" t="s">
        <v>671</v>
      </c>
      <c r="J730" s="130" t="s">
        <v>2559</v>
      </c>
      <c r="K730" s="130" t="str">
        <f>IF('SIG 2021'!$AM733="","",'SIG 2021'!$AM733)</f>
        <v/>
      </c>
      <c r="L730" s="130" t="str">
        <f>IF('SIG 2021'!$AN733="","",'SIG 2021'!$AN733)</f>
        <v/>
      </c>
      <c r="M730" s="130" t="str">
        <f>IF('SIG 2021'!$AO733="","",'SIG 2021'!$AO733)</f>
        <v/>
      </c>
    </row>
    <row r="731" spans="1:13" ht="28.8" x14ac:dyDescent="0.5">
      <c r="A731" s="130">
        <v>995</v>
      </c>
      <c r="B731" s="130" t="s">
        <v>2561</v>
      </c>
      <c r="C731" s="130" t="s">
        <v>2562</v>
      </c>
      <c r="D731" s="130" t="str">
        <f>IF('SIG 2021'!$D734="","",'SIG 2021'!$D734)</f>
        <v>Yes</v>
      </c>
      <c r="E731" s="130" t="str">
        <f>IF('SIG 2021'!$E734="","",'SIG 2021'!$E734)</f>
        <v/>
      </c>
      <c r="F731" s="130" t="str">
        <f>IF('SIG 2021'!$F734="","",'SIG 2021'!F734)</f>
        <v/>
      </c>
      <c r="G731" s="130" t="s">
        <v>2558</v>
      </c>
      <c r="H731" s="130" t="s">
        <v>1742</v>
      </c>
      <c r="I731" s="130"/>
      <c r="J731" s="130"/>
      <c r="K731" s="130" t="str">
        <f>IF('SIG 2021'!$AM734="","",'SIG 2021'!$AM734)</f>
        <v/>
      </c>
      <c r="L731" s="130" t="str">
        <f>IF('SIG 2021'!$AN734="","",'SIG 2021'!$AN734)</f>
        <v/>
      </c>
      <c r="M731" s="130" t="str">
        <f>IF('SIG 2021'!$AO734="","",'SIG 2021'!$AO734)</f>
        <v/>
      </c>
    </row>
    <row r="732" spans="1:13" ht="57.6" x14ac:dyDescent="0.5">
      <c r="A732" s="130">
        <v>1015</v>
      </c>
      <c r="B732" s="130" t="s">
        <v>2563</v>
      </c>
      <c r="C732" s="130" t="s">
        <v>2564</v>
      </c>
      <c r="D732" s="130" t="str">
        <f>IF('SIG 2021'!$D735="","",'SIG 2021'!$D735)</f>
        <v>Yes</v>
      </c>
      <c r="E732" s="130" t="str">
        <f>IF('SIG 2021'!$E735="","",'SIG 2021'!$E735)</f>
        <v/>
      </c>
      <c r="F732" s="130" t="str">
        <f>IF('SIG 2021'!$F735="","",'SIG 2021'!F735)</f>
        <v/>
      </c>
      <c r="G732" s="130" t="s">
        <v>2558</v>
      </c>
      <c r="H732" s="130" t="s">
        <v>1742</v>
      </c>
      <c r="I732" s="130"/>
      <c r="J732" s="130" t="s">
        <v>2565</v>
      </c>
      <c r="K732" s="130" t="str">
        <f>IF('SIG 2021'!$AM735="","",'SIG 2021'!$AM735)</f>
        <v/>
      </c>
      <c r="L732" s="130" t="str">
        <f>IF('SIG 2021'!$AN735="","",'SIG 2021'!$AN735)</f>
        <v/>
      </c>
      <c r="M732" s="130" t="str">
        <f>IF('SIG 2021'!$AO735="","",'SIG 2021'!$AO735)</f>
        <v/>
      </c>
    </row>
    <row r="733" spans="1:13" ht="72" x14ac:dyDescent="0.5">
      <c r="A733" s="130">
        <v>1121</v>
      </c>
      <c r="B733" s="130" t="s">
        <v>2566</v>
      </c>
      <c r="C733" s="130" t="s">
        <v>2567</v>
      </c>
      <c r="D733" s="130" t="str">
        <f>IF('SIG 2021'!$D736="","",'SIG 2021'!$D736)</f>
        <v>Yes</v>
      </c>
      <c r="E733" s="130" t="str">
        <f>IF('SIG 2021'!$E736="","",'SIG 2021'!$E736)</f>
        <v/>
      </c>
      <c r="F733" s="130" t="str">
        <f>IF('SIG 2021'!$F736="","",'SIG 2021'!F736)</f>
        <v/>
      </c>
      <c r="G733" s="130" t="s">
        <v>2558</v>
      </c>
      <c r="H733" s="130" t="s">
        <v>1742</v>
      </c>
      <c r="I733" s="130"/>
      <c r="J733" s="130"/>
      <c r="K733" s="130" t="str">
        <f>IF('SIG 2021'!$AM736="","",'SIG 2021'!$AM736)</f>
        <v/>
      </c>
      <c r="L733" s="130" t="str">
        <f>IF('SIG 2021'!$AN736="","",'SIG 2021'!$AN736)</f>
        <v/>
      </c>
      <c r="M733" s="130" t="str">
        <f>IF('SIG 2021'!$AO736="","",'SIG 2021'!$AO736)</f>
        <v/>
      </c>
    </row>
    <row r="734" spans="1:13" ht="187.2" x14ac:dyDescent="0.5">
      <c r="A734" s="130">
        <v>998</v>
      </c>
      <c r="B734" s="130" t="s">
        <v>366</v>
      </c>
      <c r="C734" s="130" t="s">
        <v>2568</v>
      </c>
      <c r="D734" s="130" t="str">
        <f>IF('SIG 2021'!$D737="","",'SIG 2021'!$D737)</f>
        <v>Yes</v>
      </c>
      <c r="E734" s="130" t="str">
        <f>IF('SIG 2021'!$E737="","",'SIG 2021'!$E737)</f>
        <v xml:space="preserve">Seismic hardens all components to provide only necessary ports, protocols, and services to meet business needs and have supporting technical controls such as: antivirus, file integrity monitoring, and logging as part of their baseline operating build standard or template. Baseline configurations are reviewed quarterly.
</v>
      </c>
      <c r="F734" s="130" t="str">
        <f>IF('SIG 2021'!$F737="","",'SIG 2021'!F737)</f>
        <v/>
      </c>
      <c r="G734" s="130" t="s">
        <v>2558</v>
      </c>
      <c r="H734" s="130" t="s">
        <v>2570</v>
      </c>
      <c r="I734" s="130" t="s">
        <v>2571</v>
      </c>
      <c r="J734" s="130" t="s">
        <v>2572</v>
      </c>
      <c r="K734" s="130" t="str">
        <f>IF('SIG 2021'!$AM737="","",'SIG 2021'!$AM737)</f>
        <v/>
      </c>
      <c r="L734" s="130" t="str">
        <f>IF('SIG 2021'!$AN737="","",'SIG 2021'!$AN737)</f>
        <v/>
      </c>
      <c r="M734" s="130" t="str">
        <f>IF('SIG 2021'!$AO737="","",'SIG 2021'!$AO737)</f>
        <v/>
      </c>
    </row>
    <row r="735" spans="1:13" ht="57.6" x14ac:dyDescent="0.5">
      <c r="A735" s="130">
        <v>1016</v>
      </c>
      <c r="B735" s="130" t="s">
        <v>2573</v>
      </c>
      <c r="C735" s="130" t="s">
        <v>2574</v>
      </c>
      <c r="D735" s="130" t="str">
        <f>IF('SIG 2021'!$D738="","",'SIG 2021'!$D738)</f>
        <v>Yes</v>
      </c>
      <c r="E735" s="130" t="str">
        <f>IF('SIG 2021'!$E738="","",'SIG 2021'!$E738)</f>
        <v/>
      </c>
      <c r="F735" s="130" t="str">
        <f>IF('SIG 2021'!$F738="","",'SIG 2021'!F738)</f>
        <v/>
      </c>
      <c r="G735" s="130" t="s">
        <v>2558</v>
      </c>
      <c r="H735" s="130" t="s">
        <v>2570</v>
      </c>
      <c r="I735" s="130" t="s">
        <v>2571</v>
      </c>
      <c r="J735" s="130" t="s">
        <v>2572</v>
      </c>
      <c r="K735" s="130" t="str">
        <f>IF('SIG 2021'!$AM738="","",'SIG 2021'!$AM738)</f>
        <v/>
      </c>
      <c r="L735" s="130" t="str">
        <f>IF('SIG 2021'!$AN738="","",'SIG 2021'!$AN738)</f>
        <v/>
      </c>
      <c r="M735" s="130" t="str">
        <f>IF('SIG 2021'!$AO738="","",'SIG 2021'!$AO738)</f>
        <v/>
      </c>
    </row>
    <row r="736" spans="1:13" ht="28.8" x14ac:dyDescent="0.5">
      <c r="A736" s="130">
        <v>4404</v>
      </c>
      <c r="B736" s="130" t="s">
        <v>2575</v>
      </c>
      <c r="C736" s="130" t="s">
        <v>2576</v>
      </c>
      <c r="D736" s="130" t="str">
        <f>IF('SIG 2021'!$D739="","",'SIG 2021'!$D739)</f>
        <v>Yes</v>
      </c>
      <c r="E736" s="130" t="str">
        <f>IF('SIG 2021'!$E739="","",'SIG 2021'!$E739)</f>
        <v/>
      </c>
      <c r="F736" s="130" t="str">
        <f>IF('SIG 2021'!$F739="","",'SIG 2021'!F739)</f>
        <v/>
      </c>
      <c r="G736" s="130" t="s">
        <v>2558</v>
      </c>
      <c r="H736" s="130" t="s">
        <v>2570</v>
      </c>
      <c r="I736" s="130"/>
      <c r="J736" s="130"/>
      <c r="K736" s="130" t="str">
        <f>IF('SIG 2021'!$AM739="","",'SIG 2021'!$AM739)</f>
        <v/>
      </c>
      <c r="L736" s="130" t="str">
        <f>IF('SIG 2021'!$AN739="","",'SIG 2021'!$AN739)</f>
        <v/>
      </c>
      <c r="M736" s="130" t="str">
        <f>IF('SIG 2021'!$AO739="","",'SIG 2021'!$AO739)</f>
        <v/>
      </c>
    </row>
    <row r="737" spans="1:13" ht="72" x14ac:dyDescent="0.5">
      <c r="A737" s="130">
        <v>4325</v>
      </c>
      <c r="B737" s="130" t="s">
        <v>2577</v>
      </c>
      <c r="C737" s="130" t="s">
        <v>2578</v>
      </c>
      <c r="D737" s="130" t="str">
        <f>IF('SIG 2021'!$D740="","",'SIG 2021'!$D740)</f>
        <v>N/A</v>
      </c>
      <c r="E737" s="130" t="str">
        <f>IF('SIG 2021'!$E740="","",'SIG 2021'!$E740)</f>
        <v>SNMP is not used.</v>
      </c>
      <c r="F737" s="130" t="str">
        <f>IF('SIG 2021'!$F740="","",'SIG 2021'!F740)</f>
        <v/>
      </c>
      <c r="G737" s="130" t="s">
        <v>2558</v>
      </c>
      <c r="H737" s="130" t="s">
        <v>2570</v>
      </c>
      <c r="I737" s="130"/>
      <c r="J737" s="130"/>
      <c r="K737" s="130" t="str">
        <f>IF('SIG 2021'!$AM740="","",'SIG 2021'!$AM740)</f>
        <v/>
      </c>
      <c r="L737" s="130" t="str">
        <f>IF('SIG 2021'!$AN740="","",'SIG 2021'!$AN740)</f>
        <v/>
      </c>
      <c r="M737" s="130" t="str">
        <f>IF('SIG 2021'!$AO740="","",'SIG 2021'!$AO740)</f>
        <v/>
      </c>
    </row>
    <row r="738" spans="1:13" ht="57.6" x14ac:dyDescent="0.5">
      <c r="A738" s="130">
        <v>1008</v>
      </c>
      <c r="B738" s="130" t="s">
        <v>2580</v>
      </c>
      <c r="C738" s="130" t="s">
        <v>2581</v>
      </c>
      <c r="D738" s="130" t="str">
        <f>IF('SIG 2021'!$D741="","",'SIG 2021'!$D741)</f>
        <v>Yes</v>
      </c>
      <c r="E738" s="130" t="str">
        <f>IF('SIG 2021'!$E741="","",'SIG 2021'!$E741)</f>
        <v/>
      </c>
      <c r="F738" s="130" t="str">
        <f>IF('SIG 2021'!$F741="","",'SIG 2021'!F741)</f>
        <v/>
      </c>
      <c r="G738" s="130" t="s">
        <v>2558</v>
      </c>
      <c r="H738" s="130" t="s">
        <v>2570</v>
      </c>
      <c r="I738" s="130" t="s">
        <v>2571</v>
      </c>
      <c r="J738" s="130"/>
      <c r="K738" s="130" t="str">
        <f>IF('SIG 2021'!$AM741="","",'SIG 2021'!$AM741)</f>
        <v/>
      </c>
      <c r="L738" s="130" t="str">
        <f>IF('SIG 2021'!$AN741="","",'SIG 2021'!$AN741)</f>
        <v/>
      </c>
      <c r="M738" s="130" t="str">
        <f>IF('SIG 2021'!$AO741="","",'SIG 2021'!$AO741)</f>
        <v/>
      </c>
    </row>
    <row r="739" spans="1:13" ht="43.2" x14ac:dyDescent="0.5">
      <c r="A739" s="130">
        <v>981</v>
      </c>
      <c r="B739" s="130" t="s">
        <v>368</v>
      </c>
      <c r="C739" s="130" t="s">
        <v>2582</v>
      </c>
      <c r="D739" s="130" t="str">
        <f>IF('SIG 2021'!$D742="","",'SIG 2021'!$D742)</f>
        <v>Yes</v>
      </c>
      <c r="E739" s="130" t="str">
        <f>IF('SIG 2021'!$E742="","",'SIG 2021'!$E742)</f>
        <v/>
      </c>
      <c r="F739" s="130" t="str">
        <f>IF('SIG 2021'!$F742="","",'SIG 2021'!F742)</f>
        <v/>
      </c>
      <c r="G739" s="130" t="s">
        <v>2558</v>
      </c>
      <c r="H739" s="130" t="s">
        <v>2583</v>
      </c>
      <c r="I739" s="130" t="s">
        <v>2584</v>
      </c>
      <c r="J739" s="130" t="s">
        <v>2585</v>
      </c>
      <c r="K739" s="130" t="str">
        <f>IF('SIG 2021'!$AM742="","",'SIG 2021'!$AM742)</f>
        <v/>
      </c>
      <c r="L739" s="130" t="str">
        <f>IF('SIG 2021'!$AN742="","",'SIG 2021'!$AN742)</f>
        <v/>
      </c>
      <c r="M739" s="130" t="str">
        <f>IF('SIG 2021'!$AO742="","",'SIG 2021'!$AO742)</f>
        <v/>
      </c>
    </row>
    <row r="740" spans="1:13" ht="72" x14ac:dyDescent="0.5">
      <c r="A740" s="130">
        <v>4335</v>
      </c>
      <c r="B740" s="130" t="s">
        <v>2586</v>
      </c>
      <c r="C740" s="130" t="s">
        <v>2587</v>
      </c>
      <c r="D740" s="130" t="str">
        <f>IF('SIG 2021'!$D743="","",'SIG 2021'!$D743)</f>
        <v>Yes</v>
      </c>
      <c r="E740" s="130" t="str">
        <f>IF('SIG 2021'!$E743="","",'SIG 2021'!$E743)</f>
        <v/>
      </c>
      <c r="F740" s="130" t="str">
        <f>IF('SIG 2021'!$F743="","",'SIG 2021'!F743)</f>
        <v/>
      </c>
      <c r="G740" s="130" t="s">
        <v>2558</v>
      </c>
      <c r="H740" s="130" t="s">
        <v>2583</v>
      </c>
      <c r="I740" s="130"/>
      <c r="J740" s="130" t="s">
        <v>2588</v>
      </c>
      <c r="K740" s="130" t="str">
        <f>IF('SIG 2021'!$AM743="","",'SIG 2021'!$AM743)</f>
        <v/>
      </c>
      <c r="L740" s="130" t="str">
        <f>IF('SIG 2021'!$AN743="","",'SIG 2021'!$AN743)</f>
        <v/>
      </c>
      <c r="M740" s="130" t="str">
        <f>IF('SIG 2021'!$AO743="","",'SIG 2021'!$AO743)</f>
        <v/>
      </c>
    </row>
    <row r="741" spans="1:13" ht="43.2" x14ac:dyDescent="0.5">
      <c r="A741" s="130">
        <v>4336</v>
      </c>
      <c r="B741" s="130" t="s">
        <v>2589</v>
      </c>
      <c r="C741" s="130" t="s">
        <v>2590</v>
      </c>
      <c r="D741" s="130" t="str">
        <f>IF('SIG 2021'!$D744="","",'SIG 2021'!$D744)</f>
        <v>Yes</v>
      </c>
      <c r="E741" s="130" t="str">
        <f>IF('SIG 2021'!$E744="","",'SIG 2021'!$E744)</f>
        <v/>
      </c>
      <c r="F741" s="130" t="str">
        <f>IF('SIG 2021'!$F744="","",'SIG 2021'!F744)</f>
        <v/>
      </c>
      <c r="G741" s="130" t="s">
        <v>2558</v>
      </c>
      <c r="H741" s="130" t="s">
        <v>2583</v>
      </c>
      <c r="I741" s="130"/>
      <c r="J741" s="130" t="s">
        <v>2591</v>
      </c>
      <c r="K741" s="130" t="str">
        <f>IF('SIG 2021'!$AM744="","",'SIG 2021'!$AM744)</f>
        <v/>
      </c>
      <c r="L741" s="130" t="str">
        <f>IF('SIG 2021'!$AN744="","",'SIG 2021'!$AN744)</f>
        <v/>
      </c>
      <c r="M741" s="130" t="str">
        <f>IF('SIG 2021'!$AO744="","",'SIG 2021'!$AO744)</f>
        <v/>
      </c>
    </row>
    <row r="742" spans="1:13" ht="28.8" x14ac:dyDescent="0.5">
      <c r="A742" s="130">
        <v>994</v>
      </c>
      <c r="B742" s="130" t="s">
        <v>370</v>
      </c>
      <c r="C742" s="130" t="s">
        <v>2592</v>
      </c>
      <c r="D742" s="130" t="str">
        <f>IF('SIG 2021'!$D745="","",'SIG 2021'!$D745)</f>
        <v>Yes</v>
      </c>
      <c r="E742" s="130" t="str">
        <f>IF('SIG 2021'!$E745="","",'SIG 2021'!$E745)</f>
        <v/>
      </c>
      <c r="F742" s="130" t="str">
        <f>IF('SIG 2021'!$F745="","",'SIG 2021'!F745)</f>
        <v/>
      </c>
      <c r="G742" s="130" t="s">
        <v>2558</v>
      </c>
      <c r="H742" s="130" t="s">
        <v>2593</v>
      </c>
      <c r="I742" s="130"/>
      <c r="J742" s="130" t="s">
        <v>2594</v>
      </c>
      <c r="K742" s="130" t="str">
        <f>IF('SIG 2021'!$AM745="","",'SIG 2021'!$AM745)</f>
        <v/>
      </c>
      <c r="L742" s="130" t="str">
        <f>IF('SIG 2021'!$AN745="","",'SIG 2021'!$AN745)</f>
        <v/>
      </c>
      <c r="M742" s="130" t="str">
        <f>IF('SIG 2021'!$AO745="","",'SIG 2021'!$AO745)</f>
        <v/>
      </c>
    </row>
    <row r="743" spans="1:13" ht="43.2" x14ac:dyDescent="0.5">
      <c r="A743" s="130">
        <v>3689</v>
      </c>
      <c r="B743" s="130" t="s">
        <v>372</v>
      </c>
      <c r="C743" s="130" t="s">
        <v>2595</v>
      </c>
      <c r="D743" s="130" t="str">
        <f>IF('SIG 2021'!$D746="","",'SIG 2021'!$D746)</f>
        <v>Yes</v>
      </c>
      <c r="E743" s="130" t="str">
        <f>IF('SIG 2021'!$E746="","",'SIG 2021'!$E746)</f>
        <v>restrict access</v>
      </c>
      <c r="F743" s="130" t="str">
        <f>IF('SIG 2021'!$F746="","",'SIG 2021'!F746)</f>
        <v/>
      </c>
      <c r="G743" s="130" t="s">
        <v>2558</v>
      </c>
      <c r="H743" s="130" t="s">
        <v>2597</v>
      </c>
      <c r="I743" s="130"/>
      <c r="J743" s="130" t="s">
        <v>2598</v>
      </c>
      <c r="K743" s="130" t="str">
        <f>IF('SIG 2021'!$AM746="","",'SIG 2021'!$AM746)</f>
        <v/>
      </c>
      <c r="L743" s="130" t="str">
        <f>IF('SIG 2021'!$AN746="","",'SIG 2021'!$AN746)</f>
        <v/>
      </c>
      <c r="M743" s="130" t="str">
        <f>IF('SIG 2021'!$AO746="","",'SIG 2021'!$AO746)</f>
        <v/>
      </c>
    </row>
    <row r="744" spans="1:13" ht="57.6" x14ac:dyDescent="0.5">
      <c r="A744" s="130">
        <v>4909</v>
      </c>
      <c r="B744" s="130" t="s">
        <v>2599</v>
      </c>
      <c r="C744" s="130" t="s">
        <v>2600</v>
      </c>
      <c r="D744" s="130" t="str">
        <f>IF('SIG 2021'!$D747="","",'SIG 2021'!$D747)</f>
        <v>Yes</v>
      </c>
      <c r="E744" s="130" t="str">
        <f>IF('SIG 2021'!$E747="","",'SIG 2021'!$E747)</f>
        <v/>
      </c>
      <c r="F744" s="130" t="str">
        <f>IF('SIG 2021'!$F747="","",'SIG 2021'!F747)</f>
        <v/>
      </c>
      <c r="G744" s="130" t="s">
        <v>2558</v>
      </c>
      <c r="H744" s="130" t="s">
        <v>2597</v>
      </c>
      <c r="I744" s="130"/>
      <c r="J744" s="130" t="s">
        <v>2598</v>
      </c>
      <c r="K744" s="130" t="str">
        <f>IF('SIG 2021'!$AM747="","",'SIG 2021'!$AM747)</f>
        <v/>
      </c>
      <c r="L744" s="130" t="str">
        <f>IF('SIG 2021'!$AN747="","",'SIG 2021'!$AN747)</f>
        <v/>
      </c>
      <c r="M744" s="130" t="str">
        <f>IF('SIG 2021'!$AO747="","",'SIG 2021'!$AO747)</f>
        <v/>
      </c>
    </row>
    <row r="745" spans="1:13" ht="43.2" x14ac:dyDescent="0.5">
      <c r="A745" s="130">
        <v>4912</v>
      </c>
      <c r="B745" s="130" t="s">
        <v>2601</v>
      </c>
      <c r="C745" s="130" t="s">
        <v>2602</v>
      </c>
      <c r="D745" s="130" t="str">
        <f>IF('SIG 2021'!$D748="","",'SIG 2021'!$D748)</f>
        <v>Yes</v>
      </c>
      <c r="E745" s="130" t="str">
        <f>IF('SIG 2021'!$E748="","",'SIG 2021'!$E748)</f>
        <v/>
      </c>
      <c r="F745" s="130" t="str">
        <f>IF('SIG 2021'!$F748="","",'SIG 2021'!F748)</f>
        <v/>
      </c>
      <c r="G745" s="130" t="s">
        <v>2558</v>
      </c>
      <c r="H745" s="130" t="s">
        <v>2597</v>
      </c>
      <c r="I745" s="130"/>
      <c r="J745" s="130" t="s">
        <v>2598</v>
      </c>
      <c r="K745" s="130" t="str">
        <f>IF('SIG 2021'!$AM748="","",'SIG 2021'!$AM748)</f>
        <v/>
      </c>
      <c r="L745" s="130" t="str">
        <f>IF('SIG 2021'!$AN748="","",'SIG 2021'!$AN748)</f>
        <v/>
      </c>
      <c r="M745" s="130" t="str">
        <f>IF('SIG 2021'!$AO748="","",'SIG 2021'!$AO748)</f>
        <v/>
      </c>
    </row>
    <row r="746" spans="1:13" ht="43.2" x14ac:dyDescent="0.5">
      <c r="A746" s="130">
        <v>976</v>
      </c>
      <c r="B746" s="130" t="s">
        <v>2603</v>
      </c>
      <c r="C746" s="130" t="s">
        <v>2604</v>
      </c>
      <c r="D746" s="130" t="str">
        <f>IF('SIG 2021'!$D749="","",'SIG 2021'!$D749)</f>
        <v>Yes</v>
      </c>
      <c r="E746" s="130" t="str">
        <f>IF('SIG 2021'!$E749="","",'SIG 2021'!$E749)</f>
        <v/>
      </c>
      <c r="F746" s="130" t="str">
        <f>IF('SIG 2021'!$F749="","",'SIG 2021'!F749)</f>
        <v/>
      </c>
      <c r="G746" s="130" t="s">
        <v>2558</v>
      </c>
      <c r="H746" s="130" t="s">
        <v>2597</v>
      </c>
      <c r="I746" s="130"/>
      <c r="J746" s="130" t="s">
        <v>2559</v>
      </c>
      <c r="K746" s="130" t="str">
        <f>IF('SIG 2021'!$AM749="","",'SIG 2021'!$AM749)</f>
        <v/>
      </c>
      <c r="L746" s="130" t="str">
        <f>IF('SIG 2021'!$AN749="","",'SIG 2021'!$AN749)</f>
        <v/>
      </c>
      <c r="M746" s="130" t="str">
        <f>IF('SIG 2021'!$AO749="","",'SIG 2021'!$AO749)</f>
        <v/>
      </c>
    </row>
    <row r="747" spans="1:13" ht="28.8" x14ac:dyDescent="0.5">
      <c r="A747" s="130">
        <v>1065</v>
      </c>
      <c r="B747" s="130" t="s">
        <v>2605</v>
      </c>
      <c r="C747" s="130" t="s">
        <v>2606</v>
      </c>
      <c r="D747" s="130" t="str">
        <f>IF('SIG 2021'!$D750="","",'SIG 2021'!$D750)</f>
        <v>Yes</v>
      </c>
      <c r="E747" s="130" t="str">
        <f>IF('SIG 2021'!$E750="","",'SIG 2021'!$E750)</f>
        <v/>
      </c>
      <c r="F747" s="130" t="str">
        <f>IF('SIG 2021'!$F750="","",'SIG 2021'!F750)</f>
        <v/>
      </c>
      <c r="G747" s="130" t="s">
        <v>2558</v>
      </c>
      <c r="H747" s="130" t="s">
        <v>2597</v>
      </c>
      <c r="I747" s="130"/>
      <c r="J747" s="130" t="s">
        <v>2559</v>
      </c>
      <c r="K747" s="130" t="str">
        <f>IF('SIG 2021'!$AM750="","",'SIG 2021'!$AM750)</f>
        <v/>
      </c>
      <c r="L747" s="130" t="str">
        <f>IF('SIG 2021'!$AN750="","",'SIG 2021'!$AN750)</f>
        <v/>
      </c>
      <c r="M747" s="130" t="str">
        <f>IF('SIG 2021'!$AO750="","",'SIG 2021'!$AO750)</f>
        <v/>
      </c>
    </row>
    <row r="748" spans="1:13" ht="72" x14ac:dyDescent="0.5">
      <c r="A748" s="130">
        <v>979</v>
      </c>
      <c r="B748" s="130" t="s">
        <v>2607</v>
      </c>
      <c r="C748" s="130" t="s">
        <v>2608</v>
      </c>
      <c r="D748" s="130" t="str">
        <f>IF('SIG 2021'!$D751="","",'SIG 2021'!$D751)</f>
        <v>Yes</v>
      </c>
      <c r="E748" s="130" t="str">
        <f>IF('SIG 2021'!$E751="","",'SIG 2021'!$E751)</f>
        <v/>
      </c>
      <c r="F748" s="130" t="str">
        <f>IF('SIG 2021'!$F751="","",'SIG 2021'!F751)</f>
        <v/>
      </c>
      <c r="G748" s="130" t="s">
        <v>2558</v>
      </c>
      <c r="H748" s="130" t="s">
        <v>2609</v>
      </c>
      <c r="I748" s="130" t="s">
        <v>2610</v>
      </c>
      <c r="J748" s="130"/>
      <c r="K748" s="130" t="str">
        <f>IF('SIG 2021'!$AM751="","",'SIG 2021'!$AM751)</f>
        <v/>
      </c>
      <c r="L748" s="130" t="str">
        <f>IF('SIG 2021'!$AN751="","",'SIG 2021'!$AN751)</f>
        <v/>
      </c>
      <c r="M748" s="130" t="str">
        <f>IF('SIG 2021'!$AO751="","",'SIG 2021'!$AO751)</f>
        <v/>
      </c>
    </row>
    <row r="749" spans="1:13" ht="57.6" x14ac:dyDescent="0.5">
      <c r="A749" s="130">
        <v>3693</v>
      </c>
      <c r="B749" s="130" t="s">
        <v>2611</v>
      </c>
      <c r="C749" s="130" t="s">
        <v>2612</v>
      </c>
      <c r="D749" s="130" t="str">
        <f>IF('SIG 2021'!$D752="","",'SIG 2021'!$D752)</f>
        <v>Yes</v>
      </c>
      <c r="E749" s="130" t="str">
        <f>IF('SIG 2021'!$E752="","",'SIG 2021'!$E752)</f>
        <v xml:space="preserve">As a SaaS solution, Seismic needs to provide 'any' network into our solution for common ports such as 80, 443. </v>
      </c>
      <c r="F749" s="130" t="str">
        <f>IF('SIG 2021'!$F752="","",'SIG 2021'!F752)</f>
        <v/>
      </c>
      <c r="G749" s="130" t="s">
        <v>2558</v>
      </c>
      <c r="H749" s="130" t="s">
        <v>2609</v>
      </c>
      <c r="I749" s="130"/>
      <c r="J749" s="130"/>
      <c r="K749" s="130" t="str">
        <f>IF('SIG 2021'!$AM752="","",'SIG 2021'!$AM752)</f>
        <v/>
      </c>
      <c r="L749" s="130" t="str">
        <f>IF('SIG 2021'!$AN752="","",'SIG 2021'!$AN752)</f>
        <v/>
      </c>
      <c r="M749" s="130" t="str">
        <f>IF('SIG 2021'!$AO752="","",'SIG 2021'!$AO752)</f>
        <v/>
      </c>
    </row>
    <row r="750" spans="1:13" ht="72" x14ac:dyDescent="0.5">
      <c r="A750" s="130">
        <v>3215</v>
      </c>
      <c r="B750" s="130" t="s">
        <v>376</v>
      </c>
      <c r="C750" s="130" t="s">
        <v>2614</v>
      </c>
      <c r="D750" s="130" t="str">
        <f>IF('SIG 2021'!$D753="","",'SIG 2021'!$D753)</f>
        <v>Yes</v>
      </c>
      <c r="E750" s="130" t="str">
        <f>IF('SIG 2021'!$E753="","",'SIG 2021'!$E753)</f>
        <v/>
      </c>
      <c r="F750" s="130" t="str">
        <f>IF('SIG 2021'!$F753="","",'SIG 2021'!F753)</f>
        <v/>
      </c>
      <c r="G750" s="130" t="s">
        <v>2615</v>
      </c>
      <c r="H750" s="130" t="s">
        <v>2616</v>
      </c>
      <c r="I750" s="130" t="s">
        <v>2617</v>
      </c>
      <c r="J750" s="130" t="s">
        <v>2559</v>
      </c>
      <c r="K750" s="130" t="str">
        <f>IF('SIG 2021'!$AM753="","",'SIG 2021'!$AM753)</f>
        <v/>
      </c>
      <c r="L750" s="130" t="str">
        <f>IF('SIG 2021'!$AN753="","",'SIG 2021'!$AN753)</f>
        <v/>
      </c>
      <c r="M750" s="130" t="str">
        <f>IF('SIG 2021'!$AO753="","",'SIG 2021'!$AO753)</f>
        <v/>
      </c>
    </row>
    <row r="751" spans="1:13" ht="57.6" x14ac:dyDescent="0.5">
      <c r="A751" s="130">
        <v>2972</v>
      </c>
      <c r="B751" s="130" t="s">
        <v>2618</v>
      </c>
      <c r="C751" s="130" t="s">
        <v>2619</v>
      </c>
      <c r="D751" s="130" t="str">
        <f>IF('SIG 2021'!$D754="","",'SIG 2021'!$D754)</f>
        <v>Yes</v>
      </c>
      <c r="E751" s="130" t="str">
        <f>IF('SIG 2021'!$E754="","",'SIG 2021'!$E754)</f>
        <v/>
      </c>
      <c r="F751" s="130" t="str">
        <f>IF('SIG 2021'!$F754="","",'SIG 2021'!F754)</f>
        <v/>
      </c>
      <c r="G751" s="130" t="s">
        <v>2615</v>
      </c>
      <c r="H751" s="130" t="s">
        <v>2616</v>
      </c>
      <c r="I751" s="130"/>
      <c r="J751" s="130"/>
      <c r="K751" s="130" t="str">
        <f>IF('SIG 2021'!$AM754="","",'SIG 2021'!$AM754)</f>
        <v/>
      </c>
      <c r="L751" s="130" t="str">
        <f>IF('SIG 2021'!$AN754="","",'SIG 2021'!$AN754)</f>
        <v/>
      </c>
      <c r="M751" s="130" t="str">
        <f>IF('SIG 2021'!$AO754="","",'SIG 2021'!$AO754)</f>
        <v/>
      </c>
    </row>
    <row r="752" spans="1:13" ht="43.2" x14ac:dyDescent="0.5">
      <c r="A752" s="130">
        <v>3216</v>
      </c>
      <c r="B752" s="130" t="s">
        <v>2620</v>
      </c>
      <c r="C752" s="130" t="s">
        <v>2621</v>
      </c>
      <c r="D752" s="130" t="str">
        <f>IF('SIG 2021'!$D755="","",'SIG 2021'!$D755)</f>
        <v>Yes</v>
      </c>
      <c r="E752" s="130" t="str">
        <f>IF('SIG 2021'!$E755="","",'SIG 2021'!$E755)</f>
        <v/>
      </c>
      <c r="F752" s="130" t="str">
        <f>IF('SIG 2021'!$F755="","",'SIG 2021'!F755)</f>
        <v/>
      </c>
      <c r="G752" s="130" t="s">
        <v>2615</v>
      </c>
      <c r="H752" s="130" t="s">
        <v>2616</v>
      </c>
      <c r="I752" s="130"/>
      <c r="J752" s="130"/>
      <c r="K752" s="130" t="str">
        <f>IF('SIG 2021'!$AM755="","",'SIG 2021'!$AM755)</f>
        <v/>
      </c>
      <c r="L752" s="130" t="str">
        <f>IF('SIG 2021'!$AN755="","",'SIG 2021'!$AN755)</f>
        <v/>
      </c>
      <c r="M752" s="130" t="str">
        <f>IF('SIG 2021'!$AO755="","",'SIG 2021'!$AO755)</f>
        <v/>
      </c>
    </row>
    <row r="753" spans="1:13" ht="57.6" x14ac:dyDescent="0.5">
      <c r="A753" s="130">
        <v>5656</v>
      </c>
      <c r="B753" s="130" t="s">
        <v>2622</v>
      </c>
      <c r="C753" s="130" t="s">
        <v>2623</v>
      </c>
      <c r="D753" s="130" t="str">
        <f>IF('SIG 2021'!$D756="","",'SIG 2021'!$D756)</f>
        <v>Yes</v>
      </c>
      <c r="E753" s="130" t="str">
        <f>IF('SIG 2021'!$E756="","",'SIG 2021'!$E756)</f>
        <v/>
      </c>
      <c r="F753" s="130" t="str">
        <f>IF('SIG 2021'!$F756="","",'SIG 2021'!F756)</f>
        <v/>
      </c>
      <c r="G753" s="130" t="s">
        <v>2615</v>
      </c>
      <c r="H753" s="130" t="s">
        <v>2616</v>
      </c>
      <c r="I753" s="130"/>
      <c r="J753" s="130"/>
      <c r="K753" s="130" t="str">
        <f>IF('SIG 2021'!$AM756="","",'SIG 2021'!$AM756)</f>
        <v/>
      </c>
      <c r="L753" s="130" t="str">
        <f>IF('SIG 2021'!$AN756="","",'SIG 2021'!$AN756)</f>
        <v/>
      </c>
      <c r="M753" s="130" t="str">
        <f>IF('SIG 2021'!$AO756="","",'SIG 2021'!$AO756)</f>
        <v/>
      </c>
    </row>
    <row r="754" spans="1:13" ht="57.6" x14ac:dyDescent="0.5">
      <c r="A754" s="130">
        <v>5657</v>
      </c>
      <c r="B754" s="130" t="s">
        <v>2624</v>
      </c>
      <c r="C754" s="130" t="s">
        <v>2625</v>
      </c>
      <c r="D754" s="130" t="str">
        <f>IF('SIG 2021'!$D757="","",'SIG 2021'!$D757)</f>
        <v>Yes</v>
      </c>
      <c r="E754" s="130" t="str">
        <f>IF('SIG 2021'!$E757="","",'SIG 2021'!$E757)</f>
        <v/>
      </c>
      <c r="F754" s="130" t="str">
        <f>IF('SIG 2021'!$F757="","",'SIG 2021'!F757)</f>
        <v/>
      </c>
      <c r="G754" s="130" t="s">
        <v>2615</v>
      </c>
      <c r="H754" s="130" t="s">
        <v>2616</v>
      </c>
      <c r="I754" s="130"/>
      <c r="J754" s="130"/>
      <c r="K754" s="130" t="str">
        <f>IF('SIG 2021'!$AM757="","",'SIG 2021'!$AM757)</f>
        <v/>
      </c>
      <c r="L754" s="130" t="str">
        <f>IF('SIG 2021'!$AN757="","",'SIG 2021'!$AN757)</f>
        <v/>
      </c>
      <c r="M754" s="130" t="str">
        <f>IF('SIG 2021'!$AO757="","",'SIG 2021'!$AO757)</f>
        <v/>
      </c>
    </row>
    <row r="755" spans="1:13" ht="57.6" x14ac:dyDescent="0.5">
      <c r="A755" s="130">
        <v>4327</v>
      </c>
      <c r="B755" s="130" t="s">
        <v>378</v>
      </c>
      <c r="C755" s="130" t="s">
        <v>2626</v>
      </c>
      <c r="D755" s="130" t="str">
        <f>IF('SIG 2021'!$D758="","",'SIG 2021'!$D758)</f>
        <v>Yes</v>
      </c>
      <c r="E755" s="130" t="str">
        <f>IF('SIG 2021'!$E758="","",'SIG 2021'!$E758)</f>
        <v/>
      </c>
      <c r="F755" s="130" t="str">
        <f>IF('SIG 2021'!$F758="","",'SIG 2021'!F758)</f>
        <v/>
      </c>
      <c r="G755" s="130" t="s">
        <v>2615</v>
      </c>
      <c r="H755" s="130" t="s">
        <v>2627</v>
      </c>
      <c r="I755" s="130" t="s">
        <v>2628</v>
      </c>
      <c r="J755" s="130" t="s">
        <v>2565</v>
      </c>
      <c r="K755" s="130" t="str">
        <f>IF('SIG 2021'!$AM758="","",'SIG 2021'!$AM758)</f>
        <v/>
      </c>
      <c r="L755" s="130" t="str">
        <f>IF('SIG 2021'!$AN758="","",'SIG 2021'!$AN758)</f>
        <v/>
      </c>
      <c r="M755" s="130" t="str">
        <f>IF('SIG 2021'!$AO758="","",'SIG 2021'!$AO758)</f>
        <v/>
      </c>
    </row>
    <row r="756" spans="1:13" ht="57.6" x14ac:dyDescent="0.5">
      <c r="A756" s="130">
        <v>4328</v>
      </c>
      <c r="B756" s="130" t="s">
        <v>2629</v>
      </c>
      <c r="C756" s="130" t="s">
        <v>2630</v>
      </c>
      <c r="D756" s="130" t="str">
        <f>IF('SIG 2021'!$D759="","",'SIG 2021'!$D759)</f>
        <v>Yes</v>
      </c>
      <c r="E756" s="130" t="str">
        <f>IF('SIG 2021'!$E759="","",'SIG 2021'!$E759)</f>
        <v/>
      </c>
      <c r="F756" s="130" t="str">
        <f>IF('SIG 2021'!$F759="","",'SIG 2021'!F759)</f>
        <v/>
      </c>
      <c r="G756" s="130" t="s">
        <v>2615</v>
      </c>
      <c r="H756" s="130" t="s">
        <v>2627</v>
      </c>
      <c r="I756" s="130"/>
      <c r="J756" s="130" t="s">
        <v>2565</v>
      </c>
      <c r="K756" s="130" t="str">
        <f>IF('SIG 2021'!$AM759="","",'SIG 2021'!$AM759)</f>
        <v/>
      </c>
      <c r="L756" s="130" t="str">
        <f>IF('SIG 2021'!$AN759="","",'SIG 2021'!$AN759)</f>
        <v/>
      </c>
      <c r="M756" s="130" t="str">
        <f>IF('SIG 2021'!$AO759="","",'SIG 2021'!$AO759)</f>
        <v/>
      </c>
    </row>
    <row r="757" spans="1:13" ht="43.2" x14ac:dyDescent="0.5">
      <c r="A757" s="130">
        <v>4914</v>
      </c>
      <c r="B757" s="130" t="s">
        <v>380</v>
      </c>
      <c r="C757" s="130" t="s">
        <v>2631</v>
      </c>
      <c r="D757" s="130" t="str">
        <f>IF('SIG 2021'!$D760="","",'SIG 2021'!$D760)</f>
        <v>Yes</v>
      </c>
      <c r="E757" s="130" t="str">
        <f>IF('SIG 2021'!$E760="","",'SIG 2021'!$E760)</f>
        <v/>
      </c>
      <c r="F757" s="130" t="str">
        <f>IF('SIG 2021'!$F760="","",'SIG 2021'!F760)</f>
        <v/>
      </c>
      <c r="G757" s="130" t="s">
        <v>2632</v>
      </c>
      <c r="H757" s="130" t="s">
        <v>2633</v>
      </c>
      <c r="I757" s="130"/>
      <c r="J757" s="130" t="s">
        <v>2634</v>
      </c>
      <c r="K757" s="130" t="str">
        <f>IF('SIG 2021'!$AM760="","",'SIG 2021'!$AM760)</f>
        <v/>
      </c>
      <c r="L757" s="130" t="str">
        <f>IF('SIG 2021'!$AN760="","",'SIG 2021'!$AN760)</f>
        <v/>
      </c>
      <c r="M757" s="130" t="str">
        <f>IF('SIG 2021'!$AO760="","",'SIG 2021'!$AO760)</f>
        <v/>
      </c>
    </row>
    <row r="758" spans="1:13" ht="57.6" x14ac:dyDescent="0.5">
      <c r="A758" s="130">
        <v>3541</v>
      </c>
      <c r="B758" s="130" t="s">
        <v>2635</v>
      </c>
      <c r="C758" s="130" t="s">
        <v>2636</v>
      </c>
      <c r="D758" s="130" t="str">
        <f>IF('SIG 2021'!$D761="","",'SIG 2021'!$D761)</f>
        <v>Yes</v>
      </c>
      <c r="E758" s="130" t="str">
        <f>IF('SIG 2021'!$E761="","",'SIG 2021'!$E761)</f>
        <v/>
      </c>
      <c r="F758" s="130" t="str">
        <f>IF('SIG 2021'!$F761="","",'SIG 2021'!F761)</f>
        <v/>
      </c>
      <c r="G758" s="130" t="s">
        <v>2632</v>
      </c>
      <c r="H758" s="130" t="s">
        <v>2633</v>
      </c>
      <c r="I758" s="130" t="s">
        <v>2617</v>
      </c>
      <c r="J758" s="130" t="s">
        <v>2445</v>
      </c>
      <c r="K758" s="130" t="str">
        <f>IF('SIG 2021'!$AM761="","",'SIG 2021'!$AM761)</f>
        <v/>
      </c>
      <c r="L758" s="130" t="str">
        <f>IF('SIG 2021'!$AN761="","",'SIG 2021'!$AN761)</f>
        <v/>
      </c>
      <c r="M758" s="130" t="str">
        <f>IF('SIG 2021'!$AO761="","",'SIG 2021'!$AO761)</f>
        <v/>
      </c>
    </row>
    <row r="759" spans="1:13" ht="43.2" x14ac:dyDescent="0.5">
      <c r="A759" s="130">
        <v>4915</v>
      </c>
      <c r="B759" s="130" t="s">
        <v>2637</v>
      </c>
      <c r="C759" s="130" t="s">
        <v>2638</v>
      </c>
      <c r="D759" s="130" t="str">
        <f>IF('SIG 2021'!$D762="","",'SIG 2021'!$D762)</f>
        <v>Yes</v>
      </c>
      <c r="E759" s="130" t="str">
        <f>IF('SIG 2021'!$E762="","",'SIG 2021'!$E762)</f>
        <v/>
      </c>
      <c r="F759" s="130" t="str">
        <f>IF('SIG 2021'!$F762="","",'SIG 2021'!F762)</f>
        <v/>
      </c>
      <c r="G759" s="130" t="s">
        <v>2615</v>
      </c>
      <c r="H759" s="130" t="s">
        <v>2633</v>
      </c>
      <c r="I759" s="130" t="s">
        <v>1399</v>
      </c>
      <c r="J759" s="130" t="s">
        <v>2445</v>
      </c>
      <c r="K759" s="130" t="str">
        <f>IF('SIG 2021'!$AM762="","",'SIG 2021'!$AM762)</f>
        <v/>
      </c>
      <c r="L759" s="130" t="str">
        <f>IF('SIG 2021'!$AN762="","",'SIG 2021'!$AN762)</f>
        <v/>
      </c>
      <c r="M759" s="130" t="str">
        <f>IF('SIG 2021'!$AO762="","",'SIG 2021'!$AO762)</f>
        <v/>
      </c>
    </row>
    <row r="760" spans="1:13" ht="43.2" x14ac:dyDescent="0.5">
      <c r="A760" s="130">
        <v>4917</v>
      </c>
      <c r="B760" s="130" t="s">
        <v>382</v>
      </c>
      <c r="C760" s="130" t="s">
        <v>2639</v>
      </c>
      <c r="D760" s="130" t="str">
        <f>IF('SIG 2021'!$D763="","",'SIG 2021'!$D763)</f>
        <v>N/A</v>
      </c>
      <c r="E760" s="130" t="str">
        <f>IF('SIG 2021'!$E763="","",'SIG 2021'!$E763)</f>
        <v>No physical servers as part of services provided.</v>
      </c>
      <c r="F760" s="130" t="str">
        <f>IF('SIG 2021'!$F763="","",'SIG 2021'!F763)</f>
        <v/>
      </c>
      <c r="G760" s="130" t="s">
        <v>2632</v>
      </c>
      <c r="H760" s="130" t="s">
        <v>2641</v>
      </c>
      <c r="I760" s="130"/>
      <c r="J760" s="130" t="s">
        <v>2559</v>
      </c>
      <c r="K760" s="130" t="str">
        <f>IF('SIG 2021'!$AM763="","",'SIG 2021'!$AM763)</f>
        <v/>
      </c>
      <c r="L760" s="130" t="str">
        <f>IF('SIG 2021'!$AN763="","",'SIG 2021'!$AN763)</f>
        <v/>
      </c>
      <c r="M760" s="130" t="str">
        <f>IF('SIG 2021'!$AO763="","",'SIG 2021'!$AO763)</f>
        <v/>
      </c>
    </row>
    <row r="761" spans="1:13" ht="43.2" x14ac:dyDescent="0.5">
      <c r="A761" s="130">
        <v>4918</v>
      </c>
      <c r="B761" s="130" t="s">
        <v>2642</v>
      </c>
      <c r="C761" s="130" t="s">
        <v>2643</v>
      </c>
      <c r="D761" s="130" t="str">
        <f>IF('SIG 2021'!$D764="","",'SIG 2021'!$D764)</f>
        <v/>
      </c>
      <c r="E761" s="130" t="str">
        <f>IF('SIG 2021'!$E764="","",'SIG 2021'!$E764)</f>
        <v/>
      </c>
      <c r="F761" s="130" t="str">
        <f>IF('SIG 2021'!$F764="","",'SIG 2021'!F764)</f>
        <v/>
      </c>
      <c r="G761" s="130" t="s">
        <v>2632</v>
      </c>
      <c r="H761" s="130" t="s">
        <v>2641</v>
      </c>
      <c r="I761" s="130"/>
      <c r="J761" s="130"/>
      <c r="K761" s="130" t="str">
        <f>IF('SIG 2021'!$AM764="","",'SIG 2021'!$AM764)</f>
        <v/>
      </c>
      <c r="L761" s="130" t="str">
        <f>IF('SIG 2021'!$AN764="","",'SIG 2021'!$AN764)</f>
        <v/>
      </c>
      <c r="M761" s="130" t="str">
        <f>IF('SIG 2021'!$AO764="","",'SIG 2021'!$AO764)</f>
        <v/>
      </c>
    </row>
    <row r="762" spans="1:13" ht="43.2" x14ac:dyDescent="0.5">
      <c r="A762" s="130">
        <v>4919</v>
      </c>
      <c r="B762" s="130" t="s">
        <v>2644</v>
      </c>
      <c r="C762" s="130" t="s">
        <v>2645</v>
      </c>
      <c r="D762" s="130" t="str">
        <f>IF('SIG 2021'!$D765="","",'SIG 2021'!$D765)</f>
        <v/>
      </c>
      <c r="E762" s="130" t="str">
        <f>IF('SIG 2021'!$E765="","",'SIG 2021'!$E765)</f>
        <v/>
      </c>
      <c r="F762" s="130" t="str">
        <f>IF('SIG 2021'!$F765="","",'SIG 2021'!F765)</f>
        <v/>
      </c>
      <c r="G762" s="130" t="s">
        <v>2632</v>
      </c>
      <c r="H762" s="130" t="s">
        <v>2641</v>
      </c>
      <c r="I762" s="130"/>
      <c r="J762" s="130"/>
      <c r="K762" s="130" t="str">
        <f>IF('SIG 2021'!$AM765="","",'SIG 2021'!$AM765)</f>
        <v/>
      </c>
      <c r="L762" s="130" t="str">
        <f>IF('SIG 2021'!$AN765="","",'SIG 2021'!$AN765)</f>
        <v/>
      </c>
      <c r="M762" s="130" t="str">
        <f>IF('SIG 2021'!$AO765="","",'SIG 2021'!$AO765)</f>
        <v/>
      </c>
    </row>
    <row r="763" spans="1:13" ht="43.2" x14ac:dyDescent="0.5">
      <c r="A763" s="130">
        <v>4920</v>
      </c>
      <c r="B763" s="130" t="s">
        <v>2646</v>
      </c>
      <c r="C763" s="130" t="s">
        <v>2647</v>
      </c>
      <c r="D763" s="130" t="str">
        <f>IF('SIG 2021'!$D766="","",'SIG 2021'!$D766)</f>
        <v/>
      </c>
      <c r="E763" s="130" t="str">
        <f>IF('SIG 2021'!$E766="","",'SIG 2021'!$E766)</f>
        <v/>
      </c>
      <c r="F763" s="130" t="str">
        <f>IF('SIG 2021'!$F766="","",'SIG 2021'!F766)</f>
        <v/>
      </c>
      <c r="G763" s="130" t="s">
        <v>2632</v>
      </c>
      <c r="H763" s="130" t="s">
        <v>2641</v>
      </c>
      <c r="I763" s="130"/>
      <c r="J763" s="130"/>
      <c r="K763" s="130" t="str">
        <f>IF('SIG 2021'!$AM766="","",'SIG 2021'!$AM766)</f>
        <v/>
      </c>
      <c r="L763" s="130" t="str">
        <f>IF('SIG 2021'!$AN766="","",'SIG 2021'!$AN766)</f>
        <v/>
      </c>
      <c r="M763" s="130" t="str">
        <f>IF('SIG 2021'!$AO766="","",'SIG 2021'!$AO766)</f>
        <v/>
      </c>
    </row>
    <row r="764" spans="1:13" ht="43.2" x14ac:dyDescent="0.5">
      <c r="A764" s="130">
        <v>4921</v>
      </c>
      <c r="B764" s="130" t="s">
        <v>2648</v>
      </c>
      <c r="C764" s="130" t="s">
        <v>2649</v>
      </c>
      <c r="D764" s="130" t="str">
        <f>IF('SIG 2021'!$D767="","",'SIG 2021'!$D767)</f>
        <v/>
      </c>
      <c r="E764" s="130" t="str">
        <f>IF('SIG 2021'!$E767="","",'SIG 2021'!$E767)</f>
        <v/>
      </c>
      <c r="F764" s="130" t="str">
        <f>IF('SIG 2021'!$F767="","",'SIG 2021'!F767)</f>
        <v/>
      </c>
      <c r="G764" s="130" t="s">
        <v>2632</v>
      </c>
      <c r="H764" s="130" t="s">
        <v>2641</v>
      </c>
      <c r="I764" s="130"/>
      <c r="J764" s="130"/>
      <c r="K764" s="130" t="str">
        <f>IF('SIG 2021'!$AM767="","",'SIG 2021'!$AM767)</f>
        <v/>
      </c>
      <c r="L764" s="130" t="str">
        <f>IF('SIG 2021'!$AN767="","",'SIG 2021'!$AN767)</f>
        <v/>
      </c>
      <c r="M764" s="130" t="str">
        <f>IF('SIG 2021'!$AO767="","",'SIG 2021'!$AO767)</f>
        <v/>
      </c>
    </row>
    <row r="765" spans="1:13" ht="43.2" x14ac:dyDescent="0.5">
      <c r="A765" s="130">
        <v>4922</v>
      </c>
      <c r="B765" s="130" t="s">
        <v>2650</v>
      </c>
      <c r="C765" s="130" t="s">
        <v>2651</v>
      </c>
      <c r="D765" s="130" t="str">
        <f>IF('SIG 2021'!$D768="","",'SIG 2021'!$D768)</f>
        <v/>
      </c>
      <c r="E765" s="130" t="str">
        <f>IF('SIG 2021'!$E768="","",'SIG 2021'!$E768)</f>
        <v/>
      </c>
      <c r="F765" s="130" t="str">
        <f>IF('SIG 2021'!$F768="","",'SIG 2021'!F768)</f>
        <v/>
      </c>
      <c r="G765" s="130" t="s">
        <v>2632</v>
      </c>
      <c r="H765" s="130" t="s">
        <v>2641</v>
      </c>
      <c r="I765" s="130"/>
      <c r="J765" s="130"/>
      <c r="K765" s="130" t="str">
        <f>IF('SIG 2021'!$AM768="","",'SIG 2021'!$AM768)</f>
        <v/>
      </c>
      <c r="L765" s="130" t="str">
        <f>IF('SIG 2021'!$AN768="","",'SIG 2021'!$AN768)</f>
        <v/>
      </c>
      <c r="M765" s="130" t="str">
        <f>IF('SIG 2021'!$AO768="","",'SIG 2021'!$AO768)</f>
        <v/>
      </c>
    </row>
    <row r="766" spans="1:13" ht="28.8" x14ac:dyDescent="0.5">
      <c r="A766" s="130">
        <v>1068</v>
      </c>
      <c r="B766" s="130" t="s">
        <v>384</v>
      </c>
      <c r="C766" s="130" t="s">
        <v>2652</v>
      </c>
      <c r="D766" s="130" t="str">
        <f>IF('SIG 2021'!$D769="","",'SIG 2021'!$D769)</f>
        <v>Yes</v>
      </c>
      <c r="E766" s="130" t="str">
        <f>IF('SIG 2021'!$E769="","",'SIG 2021'!$E769)</f>
        <v/>
      </c>
      <c r="F766" s="130" t="str">
        <f>IF('SIG 2021'!$F769="","",'SIG 2021'!F769)</f>
        <v/>
      </c>
      <c r="G766" s="130" t="s">
        <v>2653</v>
      </c>
      <c r="H766" s="130" t="s">
        <v>2654</v>
      </c>
      <c r="I766" s="130"/>
      <c r="J766" s="130"/>
      <c r="K766" s="130" t="str">
        <f>IF('SIG 2021'!$AM769="","",'SIG 2021'!$AM769)</f>
        <v/>
      </c>
      <c r="L766" s="130" t="str">
        <f>IF('SIG 2021'!$AN769="","",'SIG 2021'!$AN769)</f>
        <v/>
      </c>
      <c r="M766" s="130" t="str">
        <f>IF('SIG 2021'!$AO769="","",'SIG 2021'!$AO769)</f>
        <v/>
      </c>
    </row>
    <row r="767" spans="1:13" ht="57.6" x14ac:dyDescent="0.5">
      <c r="A767" s="130">
        <v>1076</v>
      </c>
      <c r="B767" s="130" t="s">
        <v>2655</v>
      </c>
      <c r="C767" s="130" t="s">
        <v>2656</v>
      </c>
      <c r="D767" s="130" t="str">
        <f>IF('SIG 2021'!$D770="","",'SIG 2021'!$D770)</f>
        <v>Yes</v>
      </c>
      <c r="E767" s="130" t="str">
        <f>IF('SIG 2021'!$E770="","",'SIG 2021'!$E770)</f>
        <v/>
      </c>
      <c r="F767" s="130" t="str">
        <f>IF('SIG 2021'!$F770="","",'SIG 2021'!F770)</f>
        <v/>
      </c>
      <c r="G767" s="130" t="s">
        <v>2653</v>
      </c>
      <c r="H767" s="130" t="s">
        <v>2654</v>
      </c>
      <c r="I767" s="130"/>
      <c r="J767" s="130"/>
      <c r="K767" s="130" t="str">
        <f>IF('SIG 2021'!$AM770="","",'SIG 2021'!$AM770)</f>
        <v/>
      </c>
      <c r="L767" s="130" t="str">
        <f>IF('SIG 2021'!$AN770="","",'SIG 2021'!$AN770)</f>
        <v/>
      </c>
      <c r="M767" s="130" t="str">
        <f>IF('SIG 2021'!$AO770="","",'SIG 2021'!$AO770)</f>
        <v/>
      </c>
    </row>
    <row r="768" spans="1:13" ht="43.2" x14ac:dyDescent="0.5">
      <c r="A768" s="130">
        <v>1077</v>
      </c>
      <c r="B768" s="130" t="s">
        <v>2657</v>
      </c>
      <c r="C768" s="130" t="s">
        <v>2658</v>
      </c>
      <c r="D768" s="130" t="str">
        <f>IF('SIG 2021'!$D771="","",'SIG 2021'!$D771)</f>
        <v>Yes</v>
      </c>
      <c r="E768" s="130" t="str">
        <f>IF('SIG 2021'!$E771="","",'SIG 2021'!$E771)</f>
        <v/>
      </c>
      <c r="F768" s="130" t="str">
        <f>IF('SIG 2021'!$F771="","",'SIG 2021'!F771)</f>
        <v/>
      </c>
      <c r="G768" s="130" t="s">
        <v>2653</v>
      </c>
      <c r="H768" s="130" t="s">
        <v>2654</v>
      </c>
      <c r="I768" s="130" t="s">
        <v>2659</v>
      </c>
      <c r="J768" s="130"/>
      <c r="K768" s="130" t="str">
        <f>IF('SIG 2021'!$AM771="","",'SIG 2021'!$AM771)</f>
        <v/>
      </c>
      <c r="L768" s="130" t="str">
        <f>IF('SIG 2021'!$AN771="","",'SIG 2021'!$AN771)</f>
        <v/>
      </c>
      <c r="M768" s="130" t="str">
        <f>IF('SIG 2021'!$AO771="","",'SIG 2021'!$AO771)</f>
        <v/>
      </c>
    </row>
    <row r="769" spans="1:13" ht="43.2" x14ac:dyDescent="0.5">
      <c r="A769" s="130">
        <v>2614</v>
      </c>
      <c r="B769" s="130" t="s">
        <v>386</v>
      </c>
      <c r="C769" s="130" t="s">
        <v>2660</v>
      </c>
      <c r="D769" s="130" t="str">
        <f>IF('SIG 2021'!$D772="","",'SIG 2021'!$D772)</f>
        <v>Yes</v>
      </c>
      <c r="E769" s="130" t="str">
        <f>IF('SIG 2021'!$E772="","",'SIG 2021'!$E772)</f>
        <v/>
      </c>
      <c r="F769" s="130" t="str">
        <f>IF('SIG 2021'!$F772="","",'SIG 2021'!F772)</f>
        <v/>
      </c>
      <c r="G769" s="130" t="s">
        <v>2653</v>
      </c>
      <c r="H769" s="130" t="s">
        <v>2661</v>
      </c>
      <c r="I769" s="130"/>
      <c r="J769" s="130"/>
      <c r="K769" s="130" t="str">
        <f>IF('SIG 2021'!$AM772="","",'SIG 2021'!$AM772)</f>
        <v/>
      </c>
      <c r="L769" s="130" t="str">
        <f>IF('SIG 2021'!$AN772="","",'SIG 2021'!$AN772)</f>
        <v/>
      </c>
      <c r="M769" s="130" t="str">
        <f>IF('SIG 2021'!$AO772="","",'SIG 2021'!$AO772)</f>
        <v/>
      </c>
    </row>
    <row r="770" spans="1:13" ht="28.8" x14ac:dyDescent="0.5">
      <c r="A770" s="130">
        <v>1049</v>
      </c>
      <c r="B770" s="130" t="s">
        <v>2662</v>
      </c>
      <c r="C770" s="130" t="s">
        <v>2663</v>
      </c>
      <c r="D770" s="130" t="str">
        <f>IF('SIG 2021'!$D773="","",'SIG 2021'!$D773)</f>
        <v>Yes</v>
      </c>
      <c r="E770" s="130" t="str">
        <f>IF('SIG 2021'!$E773="","",'SIG 2021'!$E773)</f>
        <v/>
      </c>
      <c r="F770" s="130" t="str">
        <f>IF('SIG 2021'!$F773="","",'SIG 2021'!F773)</f>
        <v/>
      </c>
      <c r="G770" s="130" t="s">
        <v>2653</v>
      </c>
      <c r="H770" s="130" t="s">
        <v>2661</v>
      </c>
      <c r="I770" s="130"/>
      <c r="J770" s="130"/>
      <c r="K770" s="130" t="str">
        <f>IF('SIG 2021'!$AM773="","",'SIG 2021'!$AM773)</f>
        <v/>
      </c>
      <c r="L770" s="130" t="str">
        <f>IF('SIG 2021'!$AN773="","",'SIG 2021'!$AN773)</f>
        <v/>
      </c>
      <c r="M770" s="130" t="str">
        <f>IF('SIG 2021'!$AO773="","",'SIG 2021'!$AO773)</f>
        <v/>
      </c>
    </row>
    <row r="771" spans="1:13" ht="57.6" x14ac:dyDescent="0.5">
      <c r="A771" s="130">
        <v>1056</v>
      </c>
      <c r="B771" s="130" t="s">
        <v>2664</v>
      </c>
      <c r="C771" s="130" t="s">
        <v>2665</v>
      </c>
      <c r="D771" s="130" t="str">
        <f>IF('SIG 2021'!$D774="","",'SIG 2021'!$D774)</f>
        <v>Yes</v>
      </c>
      <c r="E771" s="130" t="str">
        <f>IF('SIG 2021'!$E774="","",'SIG 2021'!$E774)</f>
        <v/>
      </c>
      <c r="F771" s="130" t="str">
        <f>IF('SIG 2021'!$F774="","",'SIG 2021'!F774)</f>
        <v/>
      </c>
      <c r="G771" s="130" t="s">
        <v>2653</v>
      </c>
      <c r="H771" s="130" t="s">
        <v>2661</v>
      </c>
      <c r="I771" s="130"/>
      <c r="J771" s="130"/>
      <c r="K771" s="130" t="str">
        <f>IF('SIG 2021'!$AM774="","",'SIG 2021'!$AM774)</f>
        <v/>
      </c>
      <c r="L771" s="130" t="str">
        <f>IF('SIG 2021'!$AN774="","",'SIG 2021'!$AN774)</f>
        <v/>
      </c>
      <c r="M771" s="130" t="str">
        <f>IF('SIG 2021'!$AO774="","",'SIG 2021'!$AO774)</f>
        <v/>
      </c>
    </row>
    <row r="772" spans="1:13" ht="57.6" x14ac:dyDescent="0.5">
      <c r="A772" s="130">
        <v>4340</v>
      </c>
      <c r="B772" s="130" t="s">
        <v>2666</v>
      </c>
      <c r="C772" s="130" t="s">
        <v>2667</v>
      </c>
      <c r="D772" s="130" t="str">
        <f>IF('SIG 2021'!$D775="","",'SIG 2021'!$D775)</f>
        <v>Yes</v>
      </c>
      <c r="E772" s="130" t="str">
        <f>IF('SIG 2021'!$E775="","",'SIG 2021'!$E775)</f>
        <v/>
      </c>
      <c r="F772" s="130" t="str">
        <f>IF('SIG 2021'!$F775="","",'SIG 2021'!F775)</f>
        <v/>
      </c>
      <c r="G772" s="130" t="s">
        <v>2653</v>
      </c>
      <c r="H772" s="130" t="s">
        <v>2661</v>
      </c>
      <c r="I772" s="130"/>
      <c r="J772" s="130"/>
      <c r="K772" s="130" t="str">
        <f>IF('SIG 2021'!$AM775="","",'SIG 2021'!$AM775)</f>
        <v/>
      </c>
      <c r="L772" s="130" t="str">
        <f>IF('SIG 2021'!$AN775="","",'SIG 2021'!$AN775)</f>
        <v/>
      </c>
      <c r="M772" s="130" t="str">
        <f>IF('SIG 2021'!$AO775="","",'SIG 2021'!$AO775)</f>
        <v/>
      </c>
    </row>
    <row r="773" spans="1:13" ht="43.2" x14ac:dyDescent="0.5">
      <c r="A773" s="130">
        <v>1095</v>
      </c>
      <c r="B773" s="130" t="s">
        <v>388</v>
      </c>
      <c r="C773" s="130" t="s">
        <v>2668</v>
      </c>
      <c r="D773" s="130" t="str">
        <f>IF('SIG 2021'!$D776="","",'SIG 2021'!$D776)</f>
        <v>No</v>
      </c>
      <c r="E773" s="130" t="str">
        <f>IF('SIG 2021'!$E776="","",'SIG 2021'!$E776)</f>
        <v>No wireless network devices connected to networks containg scope systems and data.</v>
      </c>
      <c r="F773" s="130" t="str">
        <f>IF('SIG 2021'!$F776="","",'SIG 2021'!F776)</f>
        <v/>
      </c>
      <c r="G773" s="130" t="s">
        <v>2653</v>
      </c>
      <c r="H773" s="130" t="s">
        <v>2670</v>
      </c>
      <c r="I773" s="130"/>
      <c r="J773" s="130"/>
      <c r="K773" s="130" t="str">
        <f>IF('SIG 2021'!$AM776="","",'SIG 2021'!$AM776)</f>
        <v/>
      </c>
      <c r="L773" s="130" t="str">
        <f>IF('SIG 2021'!$AN776="","",'SIG 2021'!$AN776)</f>
        <v/>
      </c>
      <c r="M773" s="130" t="str">
        <f>IF('SIG 2021'!$AO776="","",'SIG 2021'!$AO776)</f>
        <v/>
      </c>
    </row>
    <row r="774" spans="1:13" ht="57.6" x14ac:dyDescent="0.5">
      <c r="A774" s="130">
        <v>1096</v>
      </c>
      <c r="B774" s="130" t="s">
        <v>2671</v>
      </c>
      <c r="C774" s="130" t="s">
        <v>2672</v>
      </c>
      <c r="D774" s="130" t="str">
        <f>IF('SIG 2021'!$D777="","",'SIG 2021'!$D777)</f>
        <v>N/A</v>
      </c>
      <c r="E774" s="130" t="str">
        <f>IF('SIG 2021'!$E777="","",'SIG 2021'!$E777)</f>
        <v>No wireless network devices connected to networks containg scope systems and data.</v>
      </c>
      <c r="F774" s="130" t="str">
        <f>IF('SIG 2021'!$F777="","",'SIG 2021'!F777)</f>
        <v/>
      </c>
      <c r="G774" s="130" t="s">
        <v>2653</v>
      </c>
      <c r="H774" s="130" t="s">
        <v>2670</v>
      </c>
      <c r="I774" s="130" t="s">
        <v>2673</v>
      </c>
      <c r="J774" s="130"/>
      <c r="K774" s="130" t="str">
        <f>IF('SIG 2021'!$AM777="","",'SIG 2021'!$AM777)</f>
        <v/>
      </c>
      <c r="L774" s="130" t="str">
        <f>IF('SIG 2021'!$AN777="","",'SIG 2021'!$AN777)</f>
        <v/>
      </c>
      <c r="M774" s="130" t="str">
        <f>IF('SIG 2021'!$AO777="","",'SIG 2021'!$AO777)</f>
        <v/>
      </c>
    </row>
    <row r="775" spans="1:13" ht="43.2" x14ac:dyDescent="0.5">
      <c r="A775" s="130">
        <v>4341</v>
      </c>
      <c r="B775" s="130" t="s">
        <v>2674</v>
      </c>
      <c r="C775" s="130" t="s">
        <v>2675</v>
      </c>
      <c r="D775" s="130" t="str">
        <f>IF('SIG 2021'!$D778="","",'SIG 2021'!$D778)</f>
        <v>N/A</v>
      </c>
      <c r="E775" s="130" t="str">
        <f>IF('SIG 2021'!$E778="","",'SIG 2021'!$E778)</f>
        <v>No wireless network devices connected to networks containg scope systems and data.</v>
      </c>
      <c r="F775" s="130" t="str">
        <f>IF('SIG 2021'!$F778="","",'SIG 2021'!F778)</f>
        <v/>
      </c>
      <c r="G775" s="130" t="s">
        <v>2653</v>
      </c>
      <c r="H775" s="130" t="s">
        <v>2670</v>
      </c>
      <c r="I775" s="130"/>
      <c r="J775" s="130"/>
      <c r="K775" s="130" t="str">
        <f>IF('SIG 2021'!$AM778="","",'SIG 2021'!$AM778)</f>
        <v/>
      </c>
      <c r="L775" s="130" t="str">
        <f>IF('SIG 2021'!$AN778="","",'SIG 2021'!$AN778)</f>
        <v/>
      </c>
      <c r="M775" s="130" t="str">
        <f>IF('SIG 2021'!$AO778="","",'SIG 2021'!$AO778)</f>
        <v/>
      </c>
    </row>
    <row r="776" spans="1:13" ht="43.2" x14ac:dyDescent="0.5">
      <c r="A776" s="130">
        <v>1107</v>
      </c>
      <c r="B776" s="130" t="s">
        <v>2676</v>
      </c>
      <c r="C776" s="130" t="s">
        <v>2677</v>
      </c>
      <c r="D776" s="130" t="str">
        <f>IF('SIG 2021'!$D779="","",'SIG 2021'!$D779)</f>
        <v>N/A</v>
      </c>
      <c r="E776" s="130" t="str">
        <f>IF('SIG 2021'!$E779="","",'SIG 2021'!$E779)</f>
        <v>No wireless network devices connected to networks containg scope systems and data.</v>
      </c>
      <c r="F776" s="130" t="str">
        <f>IF('SIG 2021'!$F779="","",'SIG 2021'!F779)</f>
        <v/>
      </c>
      <c r="G776" s="130" t="s">
        <v>2653</v>
      </c>
      <c r="H776" s="130" t="s">
        <v>2670</v>
      </c>
      <c r="I776" s="130"/>
      <c r="J776" s="130"/>
      <c r="K776" s="130" t="str">
        <f>IF('SIG 2021'!$AM779="","",'SIG 2021'!$AM779)</f>
        <v/>
      </c>
      <c r="L776" s="130" t="str">
        <f>IF('SIG 2021'!$AN779="","",'SIG 2021'!$AN779)</f>
        <v/>
      </c>
      <c r="M776" s="130" t="str">
        <f>IF('SIG 2021'!$AO779="","",'SIG 2021'!$AO779)</f>
        <v/>
      </c>
    </row>
    <row r="777" spans="1:13" ht="43.2" x14ac:dyDescent="0.5">
      <c r="A777" s="130">
        <v>1108</v>
      </c>
      <c r="B777" s="130" t="s">
        <v>2678</v>
      </c>
      <c r="C777" s="130" t="s">
        <v>2679</v>
      </c>
      <c r="D777" s="130" t="str">
        <f>IF('SIG 2021'!$D780="","",'SIG 2021'!$D780)</f>
        <v>N/A</v>
      </c>
      <c r="E777" s="130" t="str">
        <f>IF('SIG 2021'!$E780="","",'SIG 2021'!$E780)</f>
        <v>No wireless network devices connected to networks containg scope systems and data.</v>
      </c>
      <c r="F777" s="130" t="str">
        <f>IF('SIG 2021'!$F780="","",'SIG 2021'!F780)</f>
        <v/>
      </c>
      <c r="G777" s="130" t="s">
        <v>2653</v>
      </c>
      <c r="H777" s="130" t="s">
        <v>2670</v>
      </c>
      <c r="I777" s="130"/>
      <c r="J777" s="130"/>
      <c r="K777" s="130" t="str">
        <f>IF('SIG 2021'!$AM780="","",'SIG 2021'!$AM780)</f>
        <v/>
      </c>
      <c r="L777" s="130" t="str">
        <f>IF('SIG 2021'!$AN780="","",'SIG 2021'!$AN780)</f>
        <v/>
      </c>
      <c r="M777" s="130" t="str">
        <f>IF('SIG 2021'!$AO780="","",'SIG 2021'!$AO780)</f>
        <v/>
      </c>
    </row>
    <row r="778" spans="1:13" ht="43.2" x14ac:dyDescent="0.5">
      <c r="A778" s="130">
        <v>1111</v>
      </c>
      <c r="B778" s="130" t="s">
        <v>2680</v>
      </c>
      <c r="C778" s="130" t="s">
        <v>2681</v>
      </c>
      <c r="D778" s="130" t="str">
        <f>IF('SIG 2021'!$D781="","",'SIG 2021'!$D781)</f>
        <v>N/A</v>
      </c>
      <c r="E778" s="130" t="str">
        <f>IF('SIG 2021'!$E781="","",'SIG 2021'!$E781)</f>
        <v>No wireless network devices connected to networks containg scope systems and data.</v>
      </c>
      <c r="F778" s="130" t="str">
        <f>IF('SIG 2021'!$F781="","",'SIG 2021'!F781)</f>
        <v/>
      </c>
      <c r="G778" s="130" t="s">
        <v>2653</v>
      </c>
      <c r="H778" s="130" t="s">
        <v>2670</v>
      </c>
      <c r="I778" s="130"/>
      <c r="J778" s="130"/>
      <c r="K778" s="130" t="str">
        <f>IF('SIG 2021'!$AM781="","",'SIG 2021'!$AM781)</f>
        <v/>
      </c>
      <c r="L778" s="130" t="str">
        <f>IF('SIG 2021'!$AN781="","",'SIG 2021'!$AN781)</f>
        <v/>
      </c>
      <c r="M778" s="130" t="str">
        <f>IF('SIG 2021'!$AO781="","",'SIG 2021'!$AO781)</f>
        <v/>
      </c>
    </row>
    <row r="779" spans="1:13" ht="57.6" x14ac:dyDescent="0.5">
      <c r="A779" s="130">
        <v>1118</v>
      </c>
      <c r="B779" s="130" t="s">
        <v>2682</v>
      </c>
      <c r="C779" s="130" t="s">
        <v>2683</v>
      </c>
      <c r="D779" s="130" t="str">
        <f>IF('SIG 2021'!$D782="","",'SIG 2021'!$D782)</f>
        <v>N/A</v>
      </c>
      <c r="E779" s="130" t="str">
        <f>IF('SIG 2021'!$E782="","",'SIG 2021'!$E782)</f>
        <v>No wireless network devices connected to networks containg scope systems and data.</v>
      </c>
      <c r="F779" s="130" t="str">
        <f>IF('SIG 2021'!$F782="","",'SIG 2021'!F782)</f>
        <v/>
      </c>
      <c r="G779" s="130" t="s">
        <v>2653</v>
      </c>
      <c r="H779" s="130" t="s">
        <v>2670</v>
      </c>
      <c r="I779" s="130"/>
      <c r="J779" s="130"/>
      <c r="K779" s="130" t="str">
        <f>IF('SIG 2021'!$AM782="","",'SIG 2021'!$AM782)</f>
        <v/>
      </c>
      <c r="L779" s="130" t="str">
        <f>IF('SIG 2021'!$AN782="","",'SIG 2021'!$AN782)</f>
        <v/>
      </c>
      <c r="M779" s="130" t="str">
        <f>IF('SIG 2021'!$AO782="","",'SIG 2021'!$AO782)</f>
        <v/>
      </c>
    </row>
    <row r="780" spans="1:13" ht="43.2" x14ac:dyDescent="0.5">
      <c r="A780" s="130">
        <v>3563</v>
      </c>
      <c r="B780" s="130" t="s">
        <v>390</v>
      </c>
      <c r="C780" s="130" t="s">
        <v>2684</v>
      </c>
      <c r="D780" s="130" t="str">
        <f>IF('SIG 2021'!$D783="","",'SIG 2021'!$D783)</f>
        <v>Yes</v>
      </c>
      <c r="E780" s="130" t="str">
        <f>IF('SIG 2021'!$E783="","",'SIG 2021'!$E783)</f>
        <v/>
      </c>
      <c r="F780" s="130" t="str">
        <f>IF('SIG 2021'!$F783="","",'SIG 2021'!F783)</f>
        <v/>
      </c>
      <c r="G780" s="130" t="s">
        <v>2653</v>
      </c>
      <c r="H780" s="130" t="s">
        <v>2685</v>
      </c>
      <c r="I780" s="130"/>
      <c r="J780" s="130"/>
      <c r="K780" s="130" t="str">
        <f>IF('SIG 2021'!$AM783="","",'SIG 2021'!$AM783)</f>
        <v/>
      </c>
      <c r="L780" s="130" t="str">
        <f>IF('SIG 2021'!$AN783="","",'SIG 2021'!$AN783)</f>
        <v/>
      </c>
      <c r="M780" s="130" t="str">
        <f>IF('SIG 2021'!$AO783="","",'SIG 2021'!$AO783)</f>
        <v/>
      </c>
    </row>
    <row r="781" spans="1:13" ht="57.6" x14ac:dyDescent="0.5">
      <c r="A781" s="130">
        <v>4924</v>
      </c>
      <c r="B781" s="130" t="s">
        <v>2686</v>
      </c>
      <c r="C781" s="130" t="s">
        <v>2687</v>
      </c>
      <c r="D781" s="130" t="str">
        <f>IF('SIG 2021'!$D784="","",'SIG 2021'!$D784)</f>
        <v>Yes</v>
      </c>
      <c r="E781" s="130" t="str">
        <f>IF('SIG 2021'!$E784="","",'SIG 2021'!$E784)</f>
        <v/>
      </c>
      <c r="F781" s="130" t="str">
        <f>IF('SIG 2021'!$F784="","",'SIG 2021'!F784)</f>
        <v/>
      </c>
      <c r="G781" s="130" t="s">
        <v>2653</v>
      </c>
      <c r="H781" s="130" t="s">
        <v>2688</v>
      </c>
      <c r="I781" s="130" t="s">
        <v>2689</v>
      </c>
      <c r="J781" s="130"/>
      <c r="K781" s="130" t="str">
        <f>IF('SIG 2021'!$AM784="","",'SIG 2021'!$AM784)</f>
        <v/>
      </c>
      <c r="L781" s="130" t="str">
        <f>IF('SIG 2021'!$AN784="","",'SIG 2021'!$AN784)</f>
        <v/>
      </c>
      <c r="M781" s="130" t="str">
        <f>IF('SIG 2021'!$AO784="","",'SIG 2021'!$AO784)</f>
        <v/>
      </c>
    </row>
    <row r="782" spans="1:13" ht="57.6" x14ac:dyDescent="0.5">
      <c r="A782" s="130">
        <v>4533</v>
      </c>
      <c r="B782" s="130" t="s">
        <v>392</v>
      </c>
      <c r="C782" s="130" t="s">
        <v>2690</v>
      </c>
      <c r="D782" s="130" t="str">
        <f>IF('SIG 2021'!$D785="","",'SIG 2021'!$D785)</f>
        <v>Yes</v>
      </c>
      <c r="E782" s="130" t="str">
        <f>IF('SIG 2021'!$E785="","",'SIG 2021'!$E785)</f>
        <v/>
      </c>
      <c r="F782" s="130" t="str">
        <f>IF('SIG 2021'!$F785="","",'SIG 2021'!F785)</f>
        <v/>
      </c>
      <c r="G782" s="130" t="s">
        <v>2691</v>
      </c>
      <c r="H782" s="130" t="s">
        <v>2692</v>
      </c>
      <c r="I782" s="130" t="s">
        <v>2693</v>
      </c>
      <c r="J782" s="130"/>
      <c r="K782" s="130" t="str">
        <f>IF('SIG 2021'!$AM785="","",'SIG 2021'!$AM785)</f>
        <v/>
      </c>
      <c r="L782" s="130" t="str">
        <f>IF('SIG 2021'!$AN785="","",'SIG 2021'!$AN785)</f>
        <v/>
      </c>
      <c r="M782" s="130" t="str">
        <f>IF('SIG 2021'!$AO785="","",'SIG 2021'!$AO785)</f>
        <v/>
      </c>
    </row>
    <row r="783" spans="1:13" ht="115.2" x14ac:dyDescent="0.5">
      <c r="A783" s="130">
        <v>3687</v>
      </c>
      <c r="B783" s="130" t="s">
        <v>2695</v>
      </c>
      <c r="C783" s="130" t="s">
        <v>2696</v>
      </c>
      <c r="D783" s="130" t="str">
        <f>IF('SIG 2021'!$D786="","",'SIG 2021'!$D786)</f>
        <v>Yes</v>
      </c>
      <c r="E783" s="130" t="str">
        <f>IF('SIG 2021'!$E786="","",'SIG 2021'!$E786)</f>
        <v>Personal data processed by Seismic is limited to:
-Employee Name
-Work Email Address
-Work Address
-Job Title
-IP Address
-Geolocation</v>
      </c>
      <c r="F783" s="130" t="str">
        <f>IF('SIG 2021'!$F786="","",'SIG 2021'!F786)</f>
        <v/>
      </c>
      <c r="G783" s="130" t="s">
        <v>2698</v>
      </c>
      <c r="H783" s="130" t="s">
        <v>2692</v>
      </c>
      <c r="I783" s="130" t="s">
        <v>2693</v>
      </c>
      <c r="J783" s="130"/>
      <c r="K783" s="130" t="str">
        <f>IF('SIG 2021'!$AM786="","",'SIG 2021'!$AM786)</f>
        <v/>
      </c>
      <c r="L783" s="130" t="str">
        <f>IF('SIG 2021'!$AN786="","",'SIG 2021'!$AN786)</f>
        <v/>
      </c>
      <c r="M783" s="130" t="str">
        <f>IF('SIG 2021'!$AO786="","",'SIG 2021'!$AO786)</f>
        <v/>
      </c>
    </row>
    <row r="784" spans="1:13" ht="43.2" x14ac:dyDescent="0.5">
      <c r="A784" s="130">
        <v>4925</v>
      </c>
      <c r="B784" s="130" t="s">
        <v>2699</v>
      </c>
      <c r="C784" s="130" t="s">
        <v>2700</v>
      </c>
      <c r="D784" s="130" t="str">
        <f>IF('SIG 2021'!$D787="","",'SIG 2021'!$D787)</f>
        <v>N/A</v>
      </c>
      <c r="E784" s="130" t="str">
        <f>IF('SIG 2021'!$E787="","",'SIG 2021'!$E787)</f>
        <v>No financial data or account number information is processed.</v>
      </c>
      <c r="F784" s="130" t="str">
        <f>IF('SIG 2021'!$F787="","",'SIG 2021'!F787)</f>
        <v/>
      </c>
      <c r="G784" s="130" t="s">
        <v>2698</v>
      </c>
      <c r="H784" s="130" t="s">
        <v>2702</v>
      </c>
      <c r="I784" s="130" t="s">
        <v>2693</v>
      </c>
      <c r="J784" s="130"/>
      <c r="K784" s="130" t="str">
        <f>IF('SIG 2021'!$AM787="","",'SIG 2021'!$AM787)</f>
        <v/>
      </c>
      <c r="L784" s="130" t="str">
        <f>IF('SIG 2021'!$AN787="","",'SIG 2021'!$AN787)</f>
        <v/>
      </c>
      <c r="M784" s="130" t="str">
        <f>IF('SIG 2021'!$AO787="","",'SIG 2021'!$AO787)</f>
        <v/>
      </c>
    </row>
    <row r="785" spans="1:13" ht="28.8" x14ac:dyDescent="0.5">
      <c r="A785" s="130">
        <v>4926</v>
      </c>
      <c r="B785" s="130" t="s">
        <v>2703</v>
      </c>
      <c r="C785" s="130" t="s">
        <v>2704</v>
      </c>
      <c r="D785" s="130" t="str">
        <f>IF('SIG 2021'!$D788="","",'SIG 2021'!$D788)</f>
        <v>N/A</v>
      </c>
      <c r="E785" s="130" t="str">
        <f>IF('SIG 2021'!$E788="","",'SIG 2021'!$E788)</f>
        <v>No financial data or account number information is processed.</v>
      </c>
      <c r="F785" s="130" t="str">
        <f>IF('SIG 2021'!$F788="","",'SIG 2021'!F788)</f>
        <v/>
      </c>
      <c r="G785" s="130" t="s">
        <v>2698</v>
      </c>
      <c r="H785" s="130" t="s">
        <v>2702</v>
      </c>
      <c r="I785" s="130" t="s">
        <v>2693</v>
      </c>
      <c r="J785" s="130"/>
      <c r="K785" s="130" t="str">
        <f>IF('SIG 2021'!$AM788="","",'SIG 2021'!$AM788)</f>
        <v/>
      </c>
      <c r="L785" s="130" t="str">
        <f>IF('SIG 2021'!$AN788="","",'SIG 2021'!$AN788)</f>
        <v/>
      </c>
      <c r="M785" s="130" t="str">
        <f>IF('SIG 2021'!$AO788="","",'SIG 2021'!$AO788)</f>
        <v/>
      </c>
    </row>
    <row r="786" spans="1:13" ht="72" x14ac:dyDescent="0.5">
      <c r="A786" s="130">
        <v>5886</v>
      </c>
      <c r="B786" s="130" t="s">
        <v>2705</v>
      </c>
      <c r="C786" s="130" t="s">
        <v>2706</v>
      </c>
      <c r="D786" s="130" t="str">
        <f>IF('SIG 2021'!$D789="","",'SIG 2021'!$D789)</f>
        <v>Yes</v>
      </c>
      <c r="E786" s="130" t="str">
        <f>IF('SIG 2021'!$E789="","",'SIG 2021'!$E789)</f>
        <v/>
      </c>
      <c r="F786" s="130" t="str">
        <f>IF('SIG 2021'!$F789="","",'SIG 2021'!F789)</f>
        <v/>
      </c>
      <c r="G786" s="130" t="s">
        <v>2698</v>
      </c>
      <c r="H786" s="130" t="s">
        <v>2707</v>
      </c>
      <c r="I786" s="130" t="s">
        <v>2708</v>
      </c>
      <c r="J786" s="130"/>
      <c r="K786" s="130" t="str">
        <f>IF('SIG 2021'!$AM789="","",'SIG 2021'!$AM789)</f>
        <v/>
      </c>
      <c r="L786" s="130" t="str">
        <f>IF('SIG 2021'!$AN789="","",'SIG 2021'!$AN789)</f>
        <v/>
      </c>
      <c r="M786" s="130" t="str">
        <f>IF('SIG 2021'!$AO789="","",'SIG 2021'!$AO789)</f>
        <v/>
      </c>
    </row>
    <row r="787" spans="1:13" ht="57.6" x14ac:dyDescent="0.5">
      <c r="A787" s="130">
        <v>5887</v>
      </c>
      <c r="B787" s="130" t="s">
        <v>2709</v>
      </c>
      <c r="C787" s="130" t="s">
        <v>2710</v>
      </c>
      <c r="D787" s="130" t="str">
        <f>IF('SIG 2021'!$D790="","",'SIG 2021'!$D790)</f>
        <v>Yes</v>
      </c>
      <c r="E787" s="130" t="str">
        <f>IF('SIG 2021'!$E790="","",'SIG 2021'!$E790)</f>
        <v/>
      </c>
      <c r="F787" s="130" t="str">
        <f>IF('SIG 2021'!$F790="","",'SIG 2021'!F790)</f>
        <v/>
      </c>
      <c r="G787" s="130" t="s">
        <v>2698</v>
      </c>
      <c r="H787" s="130" t="s">
        <v>2707</v>
      </c>
      <c r="I787" s="130" t="s">
        <v>2708</v>
      </c>
      <c r="J787" s="130"/>
      <c r="K787" s="130" t="str">
        <f>IF('SIG 2021'!$AM790="","",'SIG 2021'!$AM790)</f>
        <v/>
      </c>
      <c r="L787" s="130" t="str">
        <f>IF('SIG 2021'!$AN790="","",'SIG 2021'!$AN790)</f>
        <v/>
      </c>
      <c r="M787" s="130" t="str">
        <f>IF('SIG 2021'!$AO790="","",'SIG 2021'!$AO790)</f>
        <v/>
      </c>
    </row>
    <row r="788" spans="1:13" ht="72" x14ac:dyDescent="0.5">
      <c r="A788" s="130">
        <v>4927</v>
      </c>
      <c r="B788" s="130" t="s">
        <v>2711</v>
      </c>
      <c r="C788" s="130" t="s">
        <v>2712</v>
      </c>
      <c r="D788" s="130" t="str">
        <f>IF('SIG 2021'!$D791="","",'SIG 2021'!$D791)</f>
        <v>N/A</v>
      </c>
      <c r="E788" s="130" t="str">
        <f>IF('SIG 2021'!$E791="","",'SIG 2021'!$E791)</f>
        <v>Seismic does not use consumer report information.</v>
      </c>
      <c r="F788" s="130" t="str">
        <f>IF('SIG 2021'!$F791="","",'SIG 2021'!F791)</f>
        <v/>
      </c>
      <c r="G788" s="130" t="s">
        <v>2698</v>
      </c>
      <c r="H788" s="130" t="s">
        <v>2692</v>
      </c>
      <c r="I788" s="130" t="s">
        <v>2693</v>
      </c>
      <c r="J788" s="130"/>
      <c r="K788" s="130" t="str">
        <f>IF('SIG 2021'!$AM791="","",'SIG 2021'!$AM791)</f>
        <v/>
      </c>
      <c r="L788" s="130" t="str">
        <f>IF('SIG 2021'!$AN791="","",'SIG 2021'!$AN791)</f>
        <v/>
      </c>
      <c r="M788" s="130" t="str">
        <f>IF('SIG 2021'!$AO791="","",'SIG 2021'!$AO791)</f>
        <v/>
      </c>
    </row>
    <row r="789" spans="1:13" ht="72" x14ac:dyDescent="0.5">
      <c r="A789" s="130">
        <v>4475</v>
      </c>
      <c r="B789" s="130" t="s">
        <v>2714</v>
      </c>
      <c r="C789" s="130" t="s">
        <v>2715</v>
      </c>
      <c r="D789" s="130" t="str">
        <f>IF('SIG 2021'!$D792="","",'SIG 2021'!$D792)</f>
        <v>N/A</v>
      </c>
      <c r="E789" s="130" t="str">
        <f>IF('SIG 2021'!$E792="","",'SIG 2021'!$E792)</f>
        <v>Seismic does not use consumer report information.</v>
      </c>
      <c r="F789" s="130" t="str">
        <f>IF('SIG 2021'!$F792="","",'SIG 2021'!F792)</f>
        <v/>
      </c>
      <c r="G789" s="130" t="s">
        <v>2698</v>
      </c>
      <c r="H789" s="130" t="s">
        <v>2716</v>
      </c>
      <c r="I789" s="130" t="s">
        <v>2717</v>
      </c>
      <c r="J789" s="130"/>
      <c r="K789" s="130" t="str">
        <f>IF('SIG 2021'!$AM792="","",'SIG 2021'!$AM792)</f>
        <v/>
      </c>
      <c r="L789" s="130" t="str">
        <f>IF('SIG 2021'!$AN792="","",'SIG 2021'!$AN792)</f>
        <v/>
      </c>
      <c r="M789" s="130" t="str">
        <f>IF('SIG 2021'!$AO792="","",'SIG 2021'!$AO792)</f>
        <v/>
      </c>
    </row>
    <row r="790" spans="1:13" ht="86.4" x14ac:dyDescent="0.5">
      <c r="A790" s="130">
        <v>4474</v>
      </c>
      <c r="B790" s="130" t="s">
        <v>2718</v>
      </c>
      <c r="C790" s="130" t="s">
        <v>2719</v>
      </c>
      <c r="D790" s="130" t="str">
        <f>IF('SIG 2021'!$D793="","",'SIG 2021'!$D793)</f>
        <v>No</v>
      </c>
      <c r="E790" s="130" t="str">
        <f>IF('SIG 2021'!$E793="","",'SIG 2021'!$E793)</f>
        <v>Since Seismic provides an enteprise SaaS solution to our customers, the personal data processed by Seismic is generally limited to the types of data listed in P.1.1.</v>
      </c>
      <c r="F790" s="130" t="str">
        <f>IF('SIG 2021'!$F793="","",'SIG 2021'!F793)</f>
        <v/>
      </c>
      <c r="G790" s="130" t="s">
        <v>2721</v>
      </c>
      <c r="H790" s="130" t="s">
        <v>2722</v>
      </c>
      <c r="I790" s="130" t="s">
        <v>2693</v>
      </c>
      <c r="J790" s="130"/>
      <c r="K790" s="130" t="str">
        <f>IF('SIG 2021'!$AM793="","",'SIG 2021'!$AM793)</f>
        <v/>
      </c>
      <c r="L790" s="130" t="str">
        <f>IF('SIG 2021'!$AN793="","",'SIG 2021'!$AN793)</f>
        <v/>
      </c>
      <c r="M790" s="130" t="str">
        <f>IF('SIG 2021'!$AO793="","",'SIG 2021'!$AO793)</f>
        <v/>
      </c>
    </row>
    <row r="791" spans="1:13" ht="43.2" x14ac:dyDescent="0.5">
      <c r="A791" s="130">
        <v>3696</v>
      </c>
      <c r="B791" s="130" t="s">
        <v>2723</v>
      </c>
      <c r="C791" s="130" t="s">
        <v>2724</v>
      </c>
      <c r="D791" s="130" t="str">
        <f>IF('SIG 2021'!$D794="","",'SIG 2021'!$D794)</f>
        <v>N/A</v>
      </c>
      <c r="E791" s="130" t="str">
        <f>IF('SIG 2021'!$E794="","",'SIG 2021'!$E794)</f>
        <v>Seismic does not process or store PHI.</v>
      </c>
      <c r="F791" s="130" t="str">
        <f>IF('SIG 2021'!$F794="","",'SIG 2021'!F794)</f>
        <v/>
      </c>
      <c r="G791" s="130" t="s">
        <v>2721</v>
      </c>
      <c r="H791" s="130" t="s">
        <v>2726</v>
      </c>
      <c r="I791" s="130" t="s">
        <v>2693</v>
      </c>
      <c r="J791" s="130"/>
      <c r="K791" s="130" t="str">
        <f>IF('SIG 2021'!$AM794="","",'SIG 2021'!$AM794)</f>
        <v/>
      </c>
      <c r="L791" s="130" t="str">
        <f>IF('SIG 2021'!$AN794="","",'SIG 2021'!$AN794)</f>
        <v/>
      </c>
      <c r="M791" s="130" t="str">
        <f>IF('SIG 2021'!$AO794="","",'SIG 2021'!$AO794)</f>
        <v/>
      </c>
    </row>
    <row r="792" spans="1:13" ht="43.2" x14ac:dyDescent="0.5">
      <c r="A792" s="130">
        <v>3699</v>
      </c>
      <c r="B792" s="130" t="s">
        <v>2727</v>
      </c>
      <c r="C792" s="130" t="s">
        <v>2728</v>
      </c>
      <c r="D792" s="130" t="str">
        <f>IF('SIG 2021'!$D795="","",'SIG 2021'!$D795)</f>
        <v>N/A</v>
      </c>
      <c r="E792" s="130" t="str">
        <f>IF('SIG 2021'!$E795="","",'SIG 2021'!$E795)</f>
        <v>Seismic does not process or store PHI.</v>
      </c>
      <c r="F792" s="130" t="str">
        <f>IF('SIG 2021'!$F795="","",'SIG 2021'!F795)</f>
        <v/>
      </c>
      <c r="G792" s="130" t="s">
        <v>2721</v>
      </c>
      <c r="H792" s="130" t="s">
        <v>2729</v>
      </c>
      <c r="I792" s="130" t="s">
        <v>2693</v>
      </c>
      <c r="J792" s="130"/>
      <c r="K792" s="130" t="str">
        <f>IF('SIG 2021'!$AM795="","",'SIG 2021'!$AM795)</f>
        <v/>
      </c>
      <c r="L792" s="130" t="str">
        <f>IF('SIG 2021'!$AN795="","",'SIG 2021'!$AN795)</f>
        <v/>
      </c>
      <c r="M792" s="130" t="str">
        <f>IF('SIG 2021'!$AO795="","",'SIG 2021'!$AO795)</f>
        <v/>
      </c>
    </row>
    <row r="793" spans="1:13" ht="57.6" x14ac:dyDescent="0.5">
      <c r="A793" s="130">
        <v>3702</v>
      </c>
      <c r="B793" s="130" t="s">
        <v>2730</v>
      </c>
      <c r="C793" s="130" t="s">
        <v>2731</v>
      </c>
      <c r="D793" s="130" t="str">
        <f>IF('SIG 2021'!$D796="","",'SIG 2021'!$D796)</f>
        <v>N/A</v>
      </c>
      <c r="E793" s="130" t="str">
        <f>IF('SIG 2021'!$E796="","",'SIG 2021'!$E796)</f>
        <v>Seismic does not process or store PHI.</v>
      </c>
      <c r="F793" s="130" t="str">
        <f>IF('SIG 2021'!$F796="","",'SIG 2021'!F796)</f>
        <v/>
      </c>
      <c r="G793" s="130" t="s">
        <v>2721</v>
      </c>
      <c r="H793" s="130" t="s">
        <v>2732</v>
      </c>
      <c r="I793" s="130" t="s">
        <v>2733</v>
      </c>
      <c r="J793" s="130"/>
      <c r="K793" s="130" t="str">
        <f>IF('SIG 2021'!$AM796="","",'SIG 2021'!$AM796)</f>
        <v/>
      </c>
      <c r="L793" s="130" t="str">
        <f>IF('SIG 2021'!$AN796="","",'SIG 2021'!$AN796)</f>
        <v/>
      </c>
      <c r="M793" s="130" t="str">
        <f>IF('SIG 2021'!$AO796="","",'SIG 2021'!$AO796)</f>
        <v/>
      </c>
    </row>
    <row r="794" spans="1:13" ht="57.6" x14ac:dyDescent="0.5">
      <c r="A794" s="130">
        <v>3701</v>
      </c>
      <c r="B794" s="130" t="s">
        <v>2734</v>
      </c>
      <c r="C794" s="130" t="s">
        <v>2735</v>
      </c>
      <c r="D794" s="130" t="str">
        <f>IF('SIG 2021'!$D797="","",'SIG 2021'!$D797)</f>
        <v>N/A</v>
      </c>
      <c r="E794" s="130" t="str">
        <f>IF('SIG 2021'!$E797="","",'SIG 2021'!$E797)</f>
        <v>Seismic does not process or store PHI.</v>
      </c>
      <c r="F794" s="130" t="str">
        <f>IF('SIG 2021'!$F797="","",'SIG 2021'!F797)</f>
        <v/>
      </c>
      <c r="G794" s="130" t="s">
        <v>2721</v>
      </c>
      <c r="H794" s="130" t="s">
        <v>2707</v>
      </c>
      <c r="I794" s="130" t="s">
        <v>2708</v>
      </c>
      <c r="J794" s="130"/>
      <c r="K794" s="130" t="str">
        <f>IF('SIG 2021'!$AM797="","",'SIG 2021'!$AM797)</f>
        <v/>
      </c>
      <c r="L794" s="130" t="str">
        <f>IF('SIG 2021'!$AN797="","",'SIG 2021'!$AN797)</f>
        <v/>
      </c>
      <c r="M794" s="130" t="str">
        <f>IF('SIG 2021'!$AO797="","",'SIG 2021'!$AO797)</f>
        <v/>
      </c>
    </row>
    <row r="795" spans="1:13" ht="57.6" x14ac:dyDescent="0.5">
      <c r="A795" s="130">
        <v>4931</v>
      </c>
      <c r="B795" s="130" t="s">
        <v>2736</v>
      </c>
      <c r="C795" s="130" t="s">
        <v>2737</v>
      </c>
      <c r="D795" s="130" t="str">
        <f>IF('SIG 2021'!$D798="","",'SIG 2021'!$D798)</f>
        <v>Yes</v>
      </c>
      <c r="E795" s="130" t="str">
        <f>IF('SIG 2021'!$E798="","",'SIG 2021'!$E798)</f>
        <v/>
      </c>
      <c r="F795" s="130" t="str">
        <f>IF('SIG 2021'!$F798="","",'SIG 2021'!F798)</f>
        <v/>
      </c>
      <c r="G795" s="130" t="s">
        <v>2738</v>
      </c>
      <c r="H795" s="130" t="s">
        <v>2722</v>
      </c>
      <c r="I795" s="130" t="s">
        <v>2693</v>
      </c>
      <c r="J795" s="130"/>
      <c r="K795" s="130" t="str">
        <f>IF('SIG 2021'!$AM798="","",'SIG 2021'!$AM798)</f>
        <v/>
      </c>
      <c r="L795" s="130" t="str">
        <f>IF('SIG 2021'!$AN798="","",'SIG 2021'!$AN798)</f>
        <v/>
      </c>
      <c r="M795" s="130" t="str">
        <f>IF('SIG 2021'!$AO798="","",'SIG 2021'!$AO798)</f>
        <v/>
      </c>
    </row>
    <row r="796" spans="1:13" ht="86.4" x14ac:dyDescent="0.5">
      <c r="A796" s="130">
        <v>4932</v>
      </c>
      <c r="B796" s="130" t="s">
        <v>2739</v>
      </c>
      <c r="C796" s="130" t="s">
        <v>2740</v>
      </c>
      <c r="D796" s="130" t="str">
        <f>IF('SIG 2021'!$D799="","",'SIG 2021'!$D799)</f>
        <v>Yes</v>
      </c>
      <c r="E796" s="130" t="str">
        <f>IF('SIG 2021'!$E799="","",'SIG 2021'!$E799)</f>
        <v/>
      </c>
      <c r="F796" s="130" t="str">
        <f>IF('SIG 2021'!$F799="","",'SIG 2021'!F799)</f>
        <v/>
      </c>
      <c r="G796" s="130" t="s">
        <v>2738</v>
      </c>
      <c r="H796" s="130" t="s">
        <v>2722</v>
      </c>
      <c r="I796" s="130" t="s">
        <v>2693</v>
      </c>
      <c r="J796" s="130"/>
      <c r="K796" s="130" t="str">
        <f>IF('SIG 2021'!$AM799="","",'SIG 2021'!$AM799)</f>
        <v/>
      </c>
      <c r="L796" s="130" t="str">
        <f>IF('SIG 2021'!$AN799="","",'SIG 2021'!$AN799)</f>
        <v/>
      </c>
      <c r="M796" s="130" t="str">
        <f>IF('SIG 2021'!$AO799="","",'SIG 2021'!$AO799)</f>
        <v/>
      </c>
    </row>
    <row r="797" spans="1:13" ht="72" x14ac:dyDescent="0.5">
      <c r="A797" s="130">
        <v>4477</v>
      </c>
      <c r="B797" s="130" t="s">
        <v>2741</v>
      </c>
      <c r="C797" s="130" t="s">
        <v>2742</v>
      </c>
      <c r="D797" s="130" t="str">
        <f>IF('SIG 2021'!$D800="","",'SIG 2021'!$D800)</f>
        <v>Yes</v>
      </c>
      <c r="E797" s="130" t="str">
        <f>IF('SIG 2021'!$E800="","",'SIG 2021'!$E800)</f>
        <v/>
      </c>
      <c r="F797" s="130" t="str">
        <f>IF('SIG 2021'!$F800="","",'SIG 2021'!F800)</f>
        <v/>
      </c>
      <c r="G797" s="130" t="s">
        <v>2743</v>
      </c>
      <c r="H797" s="130" t="s">
        <v>2722</v>
      </c>
      <c r="I797" s="130" t="s">
        <v>2693</v>
      </c>
      <c r="J797" s="130"/>
      <c r="K797" s="130" t="str">
        <f>IF('SIG 2021'!$AM800="","",'SIG 2021'!$AM800)</f>
        <v/>
      </c>
      <c r="L797" s="130" t="str">
        <f>IF('SIG 2021'!$AN800="","",'SIG 2021'!$AN800)</f>
        <v/>
      </c>
      <c r="M797" s="130" t="str">
        <f>IF('SIG 2021'!$AO800="","",'SIG 2021'!$AO800)</f>
        <v/>
      </c>
    </row>
    <row r="798" spans="1:13" ht="57.6" x14ac:dyDescent="0.5">
      <c r="A798" s="130">
        <v>3713</v>
      </c>
      <c r="B798" s="130" t="s">
        <v>2744</v>
      </c>
      <c r="C798" s="130" t="s">
        <v>2745</v>
      </c>
      <c r="D798" s="130" t="str">
        <f>IF('SIG 2021'!$D801="","",'SIG 2021'!$D801)</f>
        <v>Yes</v>
      </c>
      <c r="E798" s="130" t="str">
        <f>IF('SIG 2021'!$E801="","",'SIG 2021'!$E801)</f>
        <v/>
      </c>
      <c r="F798" s="130" t="str">
        <f>IF('SIG 2021'!$F801="","",'SIG 2021'!F801)</f>
        <v/>
      </c>
      <c r="G798" s="130" t="s">
        <v>2743</v>
      </c>
      <c r="H798" s="130" t="s">
        <v>2746</v>
      </c>
      <c r="I798" s="130" t="s">
        <v>2693</v>
      </c>
      <c r="J798" s="130"/>
      <c r="K798" s="130" t="str">
        <f>IF('SIG 2021'!$AM801="","",'SIG 2021'!$AM801)</f>
        <v/>
      </c>
      <c r="L798" s="130" t="str">
        <f>IF('SIG 2021'!$AN801="","",'SIG 2021'!$AN801)</f>
        <v/>
      </c>
      <c r="M798" s="130" t="str">
        <f>IF('SIG 2021'!$AO801="","",'SIG 2021'!$AO801)</f>
        <v/>
      </c>
    </row>
    <row r="799" spans="1:13" ht="43.2" x14ac:dyDescent="0.5">
      <c r="A799" s="130">
        <v>5891</v>
      </c>
      <c r="B799" s="130" t="s">
        <v>2747</v>
      </c>
      <c r="C799" s="130" t="s">
        <v>2748</v>
      </c>
      <c r="D799" s="130" t="str">
        <f>IF('SIG 2021'!$D802="","",'SIG 2021'!$D802)</f>
        <v>Yes</v>
      </c>
      <c r="E799" s="130" t="str">
        <f>IF('SIG 2021'!$E802="","",'SIG 2021'!$E802)</f>
        <v/>
      </c>
      <c r="F799" s="130" t="str">
        <f>IF('SIG 2021'!$F802="","",'SIG 2021'!F802)</f>
        <v/>
      </c>
      <c r="G799" s="130" t="s">
        <v>2743</v>
      </c>
      <c r="H799" s="130" t="s">
        <v>2749</v>
      </c>
      <c r="I799" s="130" t="s">
        <v>2708</v>
      </c>
      <c r="J799" s="130"/>
      <c r="K799" s="130" t="str">
        <f>IF('SIG 2021'!$AM802="","",'SIG 2021'!$AM802)</f>
        <v/>
      </c>
      <c r="L799" s="130" t="str">
        <f>IF('SIG 2021'!$AN802="","",'SIG 2021'!$AN802)</f>
        <v/>
      </c>
      <c r="M799" s="130" t="str">
        <f>IF('SIG 2021'!$AO802="","",'SIG 2021'!$AO802)</f>
        <v/>
      </c>
    </row>
    <row r="800" spans="1:13" ht="72" x14ac:dyDescent="0.5">
      <c r="A800" s="130">
        <v>4479</v>
      </c>
      <c r="B800" s="130" t="s">
        <v>2750</v>
      </c>
      <c r="C800" s="130" t="s">
        <v>2751</v>
      </c>
      <c r="D800" s="130" t="str">
        <f>IF('SIG 2021'!$D803="","",'SIG 2021'!$D803)</f>
        <v>No</v>
      </c>
      <c r="E800" s="130" t="str">
        <f>IF('SIG 2021'!$E803="","",'SIG 2021'!$E803)</f>
        <v/>
      </c>
      <c r="F800" s="130" t="str">
        <f>IF('SIG 2021'!$F803="","",'SIG 2021'!F803)</f>
        <v/>
      </c>
      <c r="G800" s="130" t="s">
        <v>2743</v>
      </c>
      <c r="H800" s="130" t="s">
        <v>2752</v>
      </c>
      <c r="I800" s="130" t="s">
        <v>2693</v>
      </c>
      <c r="J800" s="130" t="s">
        <v>2211</v>
      </c>
      <c r="K800" s="130" t="str">
        <f>IF('SIG 2021'!$AM803="","",'SIG 2021'!$AM803)</f>
        <v/>
      </c>
      <c r="L800" s="130" t="str">
        <f>IF('SIG 2021'!$AN803="","",'SIG 2021'!$AN803)</f>
        <v/>
      </c>
      <c r="M800" s="130" t="str">
        <f>IF('SIG 2021'!$AO803="","",'SIG 2021'!$AO803)</f>
        <v/>
      </c>
    </row>
    <row r="801" spans="1:13" ht="57.6" x14ac:dyDescent="0.5">
      <c r="A801" s="130">
        <v>4480</v>
      </c>
      <c r="B801" s="130" t="s">
        <v>2753</v>
      </c>
      <c r="C801" s="130" t="s">
        <v>2754</v>
      </c>
      <c r="D801" s="130" t="str">
        <f>IF('SIG 2021'!$D804="","",'SIG 2021'!$D804)</f>
        <v>N/A</v>
      </c>
      <c r="E801" s="130" t="str">
        <f>IF('SIG 2021'!$E804="","",'SIG 2021'!$E804)</f>
        <v>Director of Information Security is responsible for data protection.  Seismic is not required to have a DPO.</v>
      </c>
      <c r="F801" s="130" t="str">
        <f>IF('SIG 2021'!$F804="","",'SIG 2021'!F804)</f>
        <v/>
      </c>
      <c r="G801" s="130" t="s">
        <v>2743</v>
      </c>
      <c r="H801" s="130" t="s">
        <v>2752</v>
      </c>
      <c r="I801" s="130" t="s">
        <v>2693</v>
      </c>
      <c r="J801" s="130"/>
      <c r="K801" s="130" t="str">
        <f>IF('SIG 2021'!$AM804="","",'SIG 2021'!$AM804)</f>
        <v/>
      </c>
      <c r="L801" s="130" t="str">
        <f>IF('SIG 2021'!$AN804="","",'SIG 2021'!$AN804)</f>
        <v/>
      </c>
      <c r="M801" s="130" t="str">
        <f>IF('SIG 2021'!$AO804="","",'SIG 2021'!$AO804)</f>
        <v/>
      </c>
    </row>
    <row r="802" spans="1:13" ht="43.2" x14ac:dyDescent="0.5">
      <c r="A802" s="130">
        <v>4481</v>
      </c>
      <c r="B802" s="130" t="s">
        <v>2756</v>
      </c>
      <c r="C802" s="130" t="s">
        <v>2757</v>
      </c>
      <c r="D802" s="130" t="str">
        <f>IF('SIG 2021'!$D805="","",'SIG 2021'!$D805)</f>
        <v>Yes</v>
      </c>
      <c r="E802" s="130" t="str">
        <f>IF('SIG 2021'!$E805="","",'SIG 2021'!$E805)</f>
        <v>Seismic has a data subject request process using a GRC tool managed by Seismic Information Security.</v>
      </c>
      <c r="F802" s="130" t="str">
        <f>IF('SIG 2021'!$F805="","",'SIG 2021'!F805)</f>
        <v/>
      </c>
      <c r="G802" s="130" t="s">
        <v>2743</v>
      </c>
      <c r="H802" s="130" t="s">
        <v>2716</v>
      </c>
      <c r="I802" s="130" t="s">
        <v>2759</v>
      </c>
      <c r="J802" s="130"/>
      <c r="K802" s="130" t="str">
        <f>IF('SIG 2021'!$AM805="","",'SIG 2021'!$AM805)</f>
        <v/>
      </c>
      <c r="L802" s="130" t="str">
        <f>IF('SIG 2021'!$AN805="","",'SIG 2021'!$AN805)</f>
        <v/>
      </c>
      <c r="M802" s="130" t="str">
        <f>IF('SIG 2021'!$AO805="","",'SIG 2021'!$AO805)</f>
        <v/>
      </c>
    </row>
    <row r="803" spans="1:13" ht="86.4" x14ac:dyDescent="0.5">
      <c r="A803" s="130">
        <v>4933</v>
      </c>
      <c r="B803" s="130" t="s">
        <v>2760</v>
      </c>
      <c r="C803" s="130" t="s">
        <v>2761</v>
      </c>
      <c r="D803" s="130" t="str">
        <f>IF('SIG 2021'!$D806="","",'SIG 2021'!$D806)</f>
        <v>Yes</v>
      </c>
      <c r="E803" s="130" t="str">
        <f>IF('SIG 2021'!$E806="","",'SIG 2021'!$E806)</f>
        <v/>
      </c>
      <c r="F803" s="130" t="str">
        <f>IF('SIG 2021'!$F806="","",'SIG 2021'!F806)</f>
        <v/>
      </c>
      <c r="G803" s="130" t="s">
        <v>2762</v>
      </c>
      <c r="H803" s="130" t="s">
        <v>2722</v>
      </c>
      <c r="I803" s="130" t="s">
        <v>2693</v>
      </c>
      <c r="J803" s="130"/>
      <c r="K803" s="130" t="str">
        <f>IF('SIG 2021'!$AM806="","",'SIG 2021'!$AM806)</f>
        <v/>
      </c>
      <c r="L803" s="130" t="str">
        <f>IF('SIG 2021'!$AN806="","",'SIG 2021'!$AN806)</f>
        <v/>
      </c>
      <c r="M803" s="130" t="str">
        <f>IF('SIG 2021'!$AO806="","",'SIG 2021'!$AO806)</f>
        <v/>
      </c>
    </row>
    <row r="804" spans="1:13" ht="57.6" x14ac:dyDescent="0.5">
      <c r="A804" s="130">
        <v>4934</v>
      </c>
      <c r="B804" s="130" t="s">
        <v>2763</v>
      </c>
      <c r="C804" s="130" t="s">
        <v>2764</v>
      </c>
      <c r="D804" s="130" t="str">
        <f>IF('SIG 2021'!$D807="","",'SIG 2021'!$D807)</f>
        <v>Yes</v>
      </c>
      <c r="E804" s="130" t="str">
        <f>IF('SIG 2021'!$E807="","",'SIG 2021'!$E807)</f>
        <v/>
      </c>
      <c r="F804" s="130" t="str">
        <f>IF('SIG 2021'!$F807="","",'SIG 2021'!F807)</f>
        <v/>
      </c>
      <c r="G804" s="130" t="s">
        <v>2762</v>
      </c>
      <c r="H804" s="130" t="s">
        <v>2726</v>
      </c>
      <c r="I804" s="130" t="s">
        <v>2693</v>
      </c>
      <c r="J804" s="130"/>
      <c r="K804" s="130" t="str">
        <f>IF('SIG 2021'!$AM807="","",'SIG 2021'!$AM807)</f>
        <v/>
      </c>
      <c r="L804" s="130" t="str">
        <f>IF('SIG 2021'!$AN807="","",'SIG 2021'!$AN807)</f>
        <v/>
      </c>
      <c r="M804" s="130" t="str">
        <f>IF('SIG 2021'!$AO807="","",'SIG 2021'!$AO807)</f>
        <v/>
      </c>
    </row>
    <row r="805" spans="1:13" ht="72" x14ac:dyDescent="0.5">
      <c r="A805" s="130">
        <v>4935</v>
      </c>
      <c r="B805" s="130" t="s">
        <v>2765</v>
      </c>
      <c r="C805" s="130" t="s">
        <v>2766</v>
      </c>
      <c r="D805" s="130" t="str">
        <f>IF('SIG 2021'!$D808="","",'SIG 2021'!$D808)</f>
        <v>No</v>
      </c>
      <c r="E805" s="130" t="str">
        <f>IF('SIG 2021'!$E808="","",'SIG 2021'!$E808)</f>
        <v/>
      </c>
      <c r="F805" s="130" t="str">
        <f>IF('SIG 2021'!$F808="","",'SIG 2021'!F808)</f>
        <v/>
      </c>
      <c r="G805" s="130" t="s">
        <v>2767</v>
      </c>
      <c r="H805" s="130" t="s">
        <v>2722</v>
      </c>
      <c r="I805" s="130" t="s">
        <v>2693</v>
      </c>
      <c r="J805" s="130"/>
      <c r="K805" s="130" t="str">
        <f>IF('SIG 2021'!$AM808="","",'SIG 2021'!$AM808)</f>
        <v/>
      </c>
      <c r="L805" s="130" t="str">
        <f>IF('SIG 2021'!$AN808="","",'SIG 2021'!$AN808)</f>
        <v/>
      </c>
      <c r="M805" s="130" t="str">
        <f>IF('SIG 2021'!$AO808="","",'SIG 2021'!$AO808)</f>
        <v/>
      </c>
    </row>
    <row r="806" spans="1:13" ht="72" x14ac:dyDescent="0.5">
      <c r="A806" s="130">
        <v>4937</v>
      </c>
      <c r="B806" s="130" t="s">
        <v>2768</v>
      </c>
      <c r="C806" s="130" t="s">
        <v>2769</v>
      </c>
      <c r="D806" s="130" t="str">
        <f>IF('SIG 2021'!$D809="","",'SIG 2021'!$D809)</f>
        <v>No</v>
      </c>
      <c r="E806" s="130" t="str">
        <f>IF('SIG 2021'!$E809="","",'SIG 2021'!$E809)</f>
        <v/>
      </c>
      <c r="F806" s="130" t="str">
        <f>IF('SIG 2021'!$F809="","",'SIG 2021'!F809)</f>
        <v/>
      </c>
      <c r="G806" s="130" t="s">
        <v>2770</v>
      </c>
      <c r="H806" s="130" t="s">
        <v>2692</v>
      </c>
      <c r="I806" s="130" t="s">
        <v>2693</v>
      </c>
      <c r="J806" s="130"/>
      <c r="K806" s="130" t="str">
        <f>IF('SIG 2021'!$AM809="","",'SIG 2021'!$AM809)</f>
        <v/>
      </c>
      <c r="L806" s="130" t="str">
        <f>IF('SIG 2021'!$AN809="","",'SIG 2021'!$AN809)</f>
        <v/>
      </c>
      <c r="M806" s="130" t="str">
        <f>IF('SIG 2021'!$AO809="","",'SIG 2021'!$AO809)</f>
        <v/>
      </c>
    </row>
    <row r="807" spans="1:13" ht="72" x14ac:dyDescent="0.5">
      <c r="A807" s="130">
        <v>4938</v>
      </c>
      <c r="B807" s="130" t="s">
        <v>2771</v>
      </c>
      <c r="C807" s="130" t="s">
        <v>2772</v>
      </c>
      <c r="D807" s="130" t="str">
        <f>IF('SIG 2021'!$D810="","",'SIG 2021'!$D810)</f>
        <v/>
      </c>
      <c r="E807" s="130" t="str">
        <f>IF('SIG 2021'!$E810="","",'SIG 2021'!$E810)</f>
        <v/>
      </c>
      <c r="F807" s="130" t="str">
        <f>IF('SIG 2021'!$F810="","",'SIG 2021'!F810)</f>
        <v/>
      </c>
      <c r="G807" s="130" t="s">
        <v>2770</v>
      </c>
      <c r="H807" s="130" t="s">
        <v>2692</v>
      </c>
      <c r="I807" s="130" t="s">
        <v>2693</v>
      </c>
      <c r="J807" s="130"/>
      <c r="K807" s="130" t="str">
        <f>IF('SIG 2021'!$AM810="","",'SIG 2021'!$AM810)</f>
        <v/>
      </c>
      <c r="L807" s="130" t="str">
        <f>IF('SIG 2021'!$AN810="","",'SIG 2021'!$AN810)</f>
        <v/>
      </c>
      <c r="M807" s="130" t="str">
        <f>IF('SIG 2021'!$AO810="","",'SIG 2021'!$AO810)</f>
        <v/>
      </c>
    </row>
    <row r="808" spans="1:13" ht="57.6" x14ac:dyDescent="0.5">
      <c r="A808" s="130">
        <v>4939</v>
      </c>
      <c r="B808" s="130" t="s">
        <v>2773</v>
      </c>
      <c r="C808" s="130" t="s">
        <v>2774</v>
      </c>
      <c r="D808" s="130" t="str">
        <f>IF('SIG 2021'!$D811="","",'SIG 2021'!$D811)</f>
        <v>No</v>
      </c>
      <c r="E808" s="130" t="str">
        <f>IF('SIG 2021'!$E811="","",'SIG 2021'!$E811)</f>
        <v/>
      </c>
      <c r="F808" s="130" t="str">
        <f>IF('SIG 2021'!$F811="","",'SIG 2021'!F811)</f>
        <v/>
      </c>
      <c r="G808" s="130" t="s">
        <v>2775</v>
      </c>
      <c r="H808" s="130" t="s">
        <v>2692</v>
      </c>
      <c r="I808" s="130" t="s">
        <v>2693</v>
      </c>
      <c r="J808" s="130"/>
      <c r="K808" s="130" t="str">
        <f>IF('SIG 2021'!$AM811="","",'SIG 2021'!$AM811)</f>
        <v/>
      </c>
      <c r="L808" s="130" t="str">
        <f>IF('SIG 2021'!$AN811="","",'SIG 2021'!$AN811)</f>
        <v/>
      </c>
      <c r="M808" s="130" t="str">
        <f>IF('SIG 2021'!$AO811="","",'SIG 2021'!$AO811)</f>
        <v/>
      </c>
    </row>
    <row r="809" spans="1:13" ht="57.6" x14ac:dyDescent="0.5">
      <c r="A809" s="130">
        <v>4940</v>
      </c>
      <c r="B809" s="130" t="s">
        <v>2776</v>
      </c>
      <c r="C809" s="130" t="s">
        <v>2777</v>
      </c>
      <c r="D809" s="130" t="str">
        <f>IF('SIG 2021'!$D812="","",'SIG 2021'!$D812)</f>
        <v/>
      </c>
      <c r="E809" s="130" t="str">
        <f>IF('SIG 2021'!$E812="","",'SIG 2021'!$E812)</f>
        <v/>
      </c>
      <c r="F809" s="130" t="str">
        <f>IF('SIG 2021'!$F812="","",'SIG 2021'!F812)</f>
        <v/>
      </c>
      <c r="G809" s="130" t="s">
        <v>2775</v>
      </c>
      <c r="H809" s="130" t="s">
        <v>2692</v>
      </c>
      <c r="I809" s="130" t="s">
        <v>2693</v>
      </c>
      <c r="J809" s="130"/>
      <c r="K809" s="130" t="str">
        <f>IF('SIG 2021'!$AM812="","",'SIG 2021'!$AM812)</f>
        <v/>
      </c>
      <c r="L809" s="130" t="str">
        <f>IF('SIG 2021'!$AN812="","",'SIG 2021'!$AN812)</f>
        <v/>
      </c>
      <c r="M809" s="130" t="str">
        <f>IF('SIG 2021'!$AO812="","",'SIG 2021'!$AO812)</f>
        <v/>
      </c>
    </row>
    <row r="810" spans="1:13" ht="43.2" x14ac:dyDescent="0.5">
      <c r="A810" s="130">
        <v>5893</v>
      </c>
      <c r="B810" s="130" t="s">
        <v>2778</v>
      </c>
      <c r="C810" s="130" t="s">
        <v>2779</v>
      </c>
      <c r="D810" s="130" t="str">
        <f>IF('SIG 2021'!$D813="","",'SIG 2021'!$D813)</f>
        <v>No</v>
      </c>
      <c r="E810" s="130" t="str">
        <f>IF('SIG 2021'!$E813="","",'SIG 2021'!$E813)</f>
        <v/>
      </c>
      <c r="F810" s="130" t="str">
        <f>IF('SIG 2021'!$F813="","",'SIG 2021'!F813)</f>
        <v/>
      </c>
      <c r="G810" s="130" t="s">
        <v>2691</v>
      </c>
      <c r="H810" s="130" t="s">
        <v>2692</v>
      </c>
      <c r="I810" s="130" t="s">
        <v>2693</v>
      </c>
      <c r="J810" s="130"/>
      <c r="K810" s="130" t="str">
        <f>IF('SIG 2021'!$AM813="","",'SIG 2021'!$AM813)</f>
        <v/>
      </c>
      <c r="L810" s="130" t="str">
        <f>IF('SIG 2021'!$AN813="","",'SIG 2021'!$AN813)</f>
        <v/>
      </c>
      <c r="M810" s="130" t="str">
        <f>IF('SIG 2021'!$AO813="","",'SIG 2021'!$AO813)</f>
        <v/>
      </c>
    </row>
    <row r="811" spans="1:13" ht="43.2" x14ac:dyDescent="0.5">
      <c r="A811" s="130">
        <v>5894</v>
      </c>
      <c r="B811" s="130" t="s">
        <v>2780</v>
      </c>
      <c r="C811" s="130" t="s">
        <v>2781</v>
      </c>
      <c r="D811" s="130" t="str">
        <f>IF('SIG 2021'!$D814="","",'SIG 2021'!$D814)</f>
        <v/>
      </c>
      <c r="E811" s="130" t="str">
        <f>IF('SIG 2021'!$E814="","",'SIG 2021'!$E814)</f>
        <v/>
      </c>
      <c r="F811" s="130" t="str">
        <f>IF('SIG 2021'!$F814="","",'SIG 2021'!F814)</f>
        <v/>
      </c>
      <c r="G811" s="130" t="s">
        <v>2691</v>
      </c>
      <c r="H811" s="130" t="s">
        <v>2702</v>
      </c>
      <c r="I811" s="130" t="s">
        <v>2693</v>
      </c>
      <c r="J811" s="130"/>
      <c r="K811" s="130" t="str">
        <f>IF('SIG 2021'!$AM814="","",'SIG 2021'!$AM814)</f>
        <v/>
      </c>
      <c r="L811" s="130" t="str">
        <f>IF('SIG 2021'!$AN814="","",'SIG 2021'!$AN814)</f>
        <v/>
      </c>
      <c r="M811" s="130" t="str">
        <f>IF('SIG 2021'!$AO814="","",'SIG 2021'!$AO814)</f>
        <v/>
      </c>
    </row>
    <row r="812" spans="1:13" ht="43.2" x14ac:dyDescent="0.5">
      <c r="A812" s="130">
        <v>5895</v>
      </c>
      <c r="B812" s="130" t="s">
        <v>2782</v>
      </c>
      <c r="C812" s="130" t="s">
        <v>2783</v>
      </c>
      <c r="D812" s="130" t="str">
        <f>IF('SIG 2021'!$D815="","",'SIG 2021'!$D815)</f>
        <v/>
      </c>
      <c r="E812" s="130" t="str">
        <f>IF('SIG 2021'!$E815="","",'SIG 2021'!$E815)</f>
        <v/>
      </c>
      <c r="F812" s="130" t="str">
        <f>IF('SIG 2021'!$F815="","",'SIG 2021'!F815)</f>
        <v/>
      </c>
      <c r="G812" s="130" t="s">
        <v>2691</v>
      </c>
      <c r="H812" s="130" t="s">
        <v>2716</v>
      </c>
      <c r="I812" s="130" t="s">
        <v>2693</v>
      </c>
      <c r="J812" s="130"/>
      <c r="K812" s="130" t="str">
        <f>IF('SIG 2021'!$AM815="","",'SIG 2021'!$AM815)</f>
        <v/>
      </c>
      <c r="L812" s="130" t="str">
        <f>IF('SIG 2021'!$AN815="","",'SIG 2021'!$AN815)</f>
        <v/>
      </c>
      <c r="M812" s="130" t="str">
        <f>IF('SIG 2021'!$AO815="","",'SIG 2021'!$AO815)</f>
        <v/>
      </c>
    </row>
    <row r="813" spans="1:13" ht="43.2" x14ac:dyDescent="0.5">
      <c r="A813" s="130">
        <v>4482</v>
      </c>
      <c r="B813" s="130" t="s">
        <v>2784</v>
      </c>
      <c r="C813" s="130" t="s">
        <v>2785</v>
      </c>
      <c r="D813" s="130" t="str">
        <f>IF('SIG 2021'!$D816="","",'SIG 2021'!$D816)</f>
        <v>Yes</v>
      </c>
      <c r="E813" s="130" t="str">
        <f>IF('SIG 2021'!$E816="","",'SIG 2021'!$E816)</f>
        <v>Information Security is responsible for Seismic's Privacy Program.</v>
      </c>
      <c r="F813" s="130" t="str">
        <f>IF('SIG 2021'!$F816="","",'SIG 2021'!F816)</f>
        <v/>
      </c>
      <c r="G813" s="130" t="s">
        <v>2691</v>
      </c>
      <c r="H813" s="130" t="s">
        <v>2787</v>
      </c>
      <c r="I813" s="130" t="s">
        <v>2717</v>
      </c>
      <c r="J813" s="130"/>
      <c r="K813" s="130" t="str">
        <f>IF('SIG 2021'!$AM816="","",'SIG 2021'!$AM816)</f>
        <v/>
      </c>
      <c r="L813" s="130" t="str">
        <f>IF('SIG 2021'!$AN816="","",'SIG 2021'!$AN816)</f>
        <v/>
      </c>
      <c r="M813" s="130" t="str">
        <f>IF('SIG 2021'!$AO816="","",'SIG 2021'!$AO816)</f>
        <v/>
      </c>
    </row>
    <row r="814" spans="1:13" ht="43.2" x14ac:dyDescent="0.5">
      <c r="A814" s="130">
        <v>4471</v>
      </c>
      <c r="B814" s="130" t="s">
        <v>2788</v>
      </c>
      <c r="C814" s="130" t="s">
        <v>2789</v>
      </c>
      <c r="D814" s="130" t="str">
        <f>IF('SIG 2021'!$D817="","",'SIG 2021'!$D817)</f>
        <v>Yes</v>
      </c>
      <c r="E814" s="130" t="str">
        <f>IF('SIG 2021'!$E817="","",'SIG 2021'!$E817)</f>
        <v/>
      </c>
      <c r="F814" s="130" t="str">
        <f>IF('SIG 2021'!$F817="","",'SIG 2021'!F817)</f>
        <v/>
      </c>
      <c r="G814" s="130" t="s">
        <v>2691</v>
      </c>
      <c r="H814" s="130" t="s">
        <v>2692</v>
      </c>
      <c r="I814" s="130" t="s">
        <v>2790</v>
      </c>
      <c r="J814" s="130"/>
      <c r="K814" s="130" t="str">
        <f>IF('SIG 2021'!$AM817="","",'SIG 2021'!$AM817)</f>
        <v/>
      </c>
      <c r="L814" s="130" t="str">
        <f>IF('SIG 2021'!$AN817="","",'SIG 2021'!$AN817)</f>
        <v/>
      </c>
      <c r="M814" s="130" t="str">
        <f>IF('SIG 2021'!$AO817="","",'SIG 2021'!$AO817)</f>
        <v/>
      </c>
    </row>
    <row r="815" spans="1:13" ht="57.6" x14ac:dyDescent="0.5">
      <c r="A815" s="130">
        <v>4485</v>
      </c>
      <c r="B815" s="130" t="s">
        <v>2791</v>
      </c>
      <c r="C815" s="130" t="s">
        <v>2792</v>
      </c>
      <c r="D815" s="130" t="str">
        <f>IF('SIG 2021'!$D818="","",'SIG 2021'!$D818)</f>
        <v>Yes</v>
      </c>
      <c r="E815" s="130" t="str">
        <f>IF('SIG 2021'!$E818="","",'SIG 2021'!$E818)</f>
        <v/>
      </c>
      <c r="F815" s="130" t="str">
        <f>IF('SIG 2021'!$F818="","",'SIG 2021'!F818)</f>
        <v/>
      </c>
      <c r="G815" s="130" t="s">
        <v>2691</v>
      </c>
      <c r="H815" s="130" t="s">
        <v>2692</v>
      </c>
      <c r="I815" s="130" t="s">
        <v>2717</v>
      </c>
      <c r="J815" s="130"/>
      <c r="K815" s="130" t="str">
        <f>IF('SIG 2021'!$AM818="","",'SIG 2021'!$AM818)</f>
        <v/>
      </c>
      <c r="L815" s="130" t="str">
        <f>IF('SIG 2021'!$AN818="","",'SIG 2021'!$AN818)</f>
        <v/>
      </c>
      <c r="M815" s="130" t="str">
        <f>IF('SIG 2021'!$AO818="","",'SIG 2021'!$AO818)</f>
        <v/>
      </c>
    </row>
    <row r="816" spans="1:13" ht="86.4" x14ac:dyDescent="0.5">
      <c r="A816" s="130">
        <v>4941</v>
      </c>
      <c r="B816" s="130" t="s">
        <v>2793</v>
      </c>
      <c r="C816" s="130" t="s">
        <v>2794</v>
      </c>
      <c r="D816" s="130" t="str">
        <f>IF('SIG 2021'!$D819="","",'SIG 2021'!$D819)</f>
        <v>Yes</v>
      </c>
      <c r="E816" s="130" t="str">
        <f>IF('SIG 2021'!$E819="","",'SIG 2021'!$E819)</f>
        <v/>
      </c>
      <c r="F816" s="130" t="str">
        <f>IF('SIG 2021'!$F819="","",'SIG 2021'!F819)</f>
        <v/>
      </c>
      <c r="G816" s="130" t="s">
        <v>2691</v>
      </c>
      <c r="H816" s="130" t="s">
        <v>2692</v>
      </c>
      <c r="I816" s="130" t="s">
        <v>2693</v>
      </c>
      <c r="J816" s="130"/>
      <c r="K816" s="130" t="str">
        <f>IF('SIG 2021'!$AM819="","",'SIG 2021'!$AM819)</f>
        <v/>
      </c>
      <c r="L816" s="130" t="str">
        <f>IF('SIG 2021'!$AN819="","",'SIG 2021'!$AN819)</f>
        <v/>
      </c>
      <c r="M816" s="130" t="str">
        <f>IF('SIG 2021'!$AO819="","",'SIG 2021'!$AO819)</f>
        <v/>
      </c>
    </row>
    <row r="817" spans="1:13" ht="57.6" x14ac:dyDescent="0.5">
      <c r="A817" s="130">
        <v>4942</v>
      </c>
      <c r="B817" s="130" t="s">
        <v>2795</v>
      </c>
      <c r="C817" s="130" t="s">
        <v>2796</v>
      </c>
      <c r="D817" s="130" t="str">
        <f>IF('SIG 2021'!$D820="","",'SIG 2021'!$D820)</f>
        <v>Yes</v>
      </c>
      <c r="E817" s="130" t="str">
        <f>IF('SIG 2021'!$E820="","",'SIG 2021'!$E820)</f>
        <v/>
      </c>
      <c r="F817" s="130" t="str">
        <f>IF('SIG 2021'!$F820="","",'SIG 2021'!F820)</f>
        <v/>
      </c>
      <c r="G817" s="130" t="s">
        <v>2691</v>
      </c>
      <c r="H817" s="130" t="s">
        <v>2692</v>
      </c>
      <c r="I817" s="130" t="s">
        <v>2693</v>
      </c>
      <c r="J817" s="130"/>
      <c r="K817" s="130" t="str">
        <f>IF('SIG 2021'!$AM820="","",'SIG 2021'!$AM820)</f>
        <v/>
      </c>
      <c r="L817" s="130" t="str">
        <f>IF('SIG 2021'!$AN820="","",'SIG 2021'!$AN820)</f>
        <v/>
      </c>
      <c r="M817" s="130" t="str">
        <f>IF('SIG 2021'!$AO820="","",'SIG 2021'!$AO820)</f>
        <v/>
      </c>
    </row>
    <row r="818" spans="1:13" ht="43.2" x14ac:dyDescent="0.5">
      <c r="A818" s="130">
        <v>5898</v>
      </c>
      <c r="B818" s="130" t="s">
        <v>2797</v>
      </c>
      <c r="C818" s="130" t="s">
        <v>2798</v>
      </c>
      <c r="D818" s="130" t="str">
        <f>IF('SIG 2021'!$D821="","",'SIG 2021'!$D821)</f>
        <v>Yes</v>
      </c>
      <c r="E818" s="130" t="str">
        <f>IF('SIG 2021'!$E821="","",'SIG 2021'!$E821)</f>
        <v/>
      </c>
      <c r="F818" s="130" t="str">
        <f>IF('SIG 2021'!$F821="","",'SIG 2021'!F821)</f>
        <v/>
      </c>
      <c r="G818" s="130" t="s">
        <v>2691</v>
      </c>
      <c r="H818" s="130" t="s">
        <v>2692</v>
      </c>
      <c r="I818" s="130" t="s">
        <v>2693</v>
      </c>
      <c r="J818" s="130"/>
      <c r="K818" s="130" t="str">
        <f>IF('SIG 2021'!$AM821="","",'SIG 2021'!$AM821)</f>
        <v/>
      </c>
      <c r="L818" s="130" t="str">
        <f>IF('SIG 2021'!$AN821="","",'SIG 2021'!$AN821)</f>
        <v/>
      </c>
      <c r="M818" s="130" t="str">
        <f>IF('SIG 2021'!$AO821="","",'SIG 2021'!$AO821)</f>
        <v/>
      </c>
    </row>
    <row r="819" spans="1:13" ht="43.2" x14ac:dyDescent="0.5">
      <c r="A819" s="130">
        <v>5899</v>
      </c>
      <c r="B819" s="130" t="s">
        <v>2799</v>
      </c>
      <c r="C819" s="130" t="s">
        <v>2800</v>
      </c>
      <c r="D819" s="130" t="str">
        <f>IF('SIG 2021'!$D822="","",'SIG 2021'!$D822)</f>
        <v>Yes</v>
      </c>
      <c r="E819" s="130" t="str">
        <f>IF('SIG 2021'!$E822="","",'SIG 2021'!$E822)</f>
        <v/>
      </c>
      <c r="F819" s="130" t="str">
        <f>IF('SIG 2021'!$F822="","",'SIG 2021'!F822)</f>
        <v/>
      </c>
      <c r="G819" s="130" t="s">
        <v>2691</v>
      </c>
      <c r="H819" s="130" t="s">
        <v>2801</v>
      </c>
      <c r="I819" s="130" t="s">
        <v>2693</v>
      </c>
      <c r="J819" s="130"/>
      <c r="K819" s="130" t="str">
        <f>IF('SIG 2021'!$AM822="","",'SIG 2021'!$AM822)</f>
        <v/>
      </c>
      <c r="L819" s="130" t="str">
        <f>IF('SIG 2021'!$AN822="","",'SIG 2021'!$AN822)</f>
        <v/>
      </c>
      <c r="M819" s="130" t="str">
        <f>IF('SIG 2021'!$AO822="","",'SIG 2021'!$AO822)</f>
        <v/>
      </c>
    </row>
    <row r="820" spans="1:13" ht="43.2" x14ac:dyDescent="0.5">
      <c r="A820" s="130">
        <v>5900</v>
      </c>
      <c r="B820" s="130" t="s">
        <v>2802</v>
      </c>
      <c r="C820" s="130" t="s">
        <v>2803</v>
      </c>
      <c r="D820" s="130" t="str">
        <f>IF('SIG 2021'!$D823="","",'SIG 2021'!$D823)</f>
        <v>Yes</v>
      </c>
      <c r="E820" s="130" t="str">
        <f>IF('SIG 2021'!$E823="","",'SIG 2021'!$E823)</f>
        <v/>
      </c>
      <c r="F820" s="130" t="str">
        <f>IF('SIG 2021'!$F823="","",'SIG 2021'!F823)</f>
        <v/>
      </c>
      <c r="G820" s="130" t="s">
        <v>2691</v>
      </c>
      <c r="H820" s="130" t="s">
        <v>2692</v>
      </c>
      <c r="I820" s="130" t="s">
        <v>2693</v>
      </c>
      <c r="J820" s="130"/>
      <c r="K820" s="130" t="str">
        <f>IF('SIG 2021'!$AM823="","",'SIG 2021'!$AM823)</f>
        <v/>
      </c>
      <c r="L820" s="130" t="str">
        <f>IF('SIG 2021'!$AN823="","",'SIG 2021'!$AN823)</f>
        <v/>
      </c>
      <c r="M820" s="130" t="str">
        <f>IF('SIG 2021'!$AO823="","",'SIG 2021'!$AO823)</f>
        <v/>
      </c>
    </row>
    <row r="821" spans="1:13" ht="72" x14ac:dyDescent="0.5">
      <c r="A821" s="130">
        <v>4472</v>
      </c>
      <c r="B821" s="130" t="s">
        <v>2804</v>
      </c>
      <c r="C821" s="130" t="s">
        <v>2805</v>
      </c>
      <c r="D821" s="130" t="str">
        <f>IF('SIG 2021'!$D824="","",'SIG 2021'!$D824)</f>
        <v>Yes</v>
      </c>
      <c r="E821" s="130" t="str">
        <f>IF('SIG 2021'!$E824="","",'SIG 2021'!$E824)</f>
        <v xml:space="preserve">Seismic has an internal Privacy Protection Policy covering aspects of the services, and an external policy located at seismic.com/privacy-policy. </v>
      </c>
      <c r="F821" s="130" t="str">
        <f>IF('SIG 2021'!$F824="","",'SIG 2021'!F824)</f>
        <v/>
      </c>
      <c r="G821" s="130" t="s">
        <v>2691</v>
      </c>
      <c r="H821" s="130" t="s">
        <v>2746</v>
      </c>
      <c r="I821" s="130" t="s">
        <v>2693</v>
      </c>
      <c r="J821" s="130" t="s">
        <v>2311</v>
      </c>
      <c r="K821" s="130" t="str">
        <f>IF('SIG 2021'!$AM824="","",'SIG 2021'!$AM824)</f>
        <v/>
      </c>
      <c r="L821" s="130" t="str">
        <f>IF('SIG 2021'!$AN824="","",'SIG 2021'!$AN824)</f>
        <v/>
      </c>
      <c r="M821" s="130" t="str">
        <f>IF('SIG 2021'!$AO824="","",'SIG 2021'!$AO824)</f>
        <v/>
      </c>
    </row>
    <row r="822" spans="1:13" ht="43.2" x14ac:dyDescent="0.5">
      <c r="A822" s="130">
        <v>3224</v>
      </c>
      <c r="B822" s="130" t="s">
        <v>2807</v>
      </c>
      <c r="C822" s="130" t="s">
        <v>2808</v>
      </c>
      <c r="D822" s="130" t="str">
        <f>IF('SIG 2021'!$D825="","",'SIG 2021'!$D825)</f>
        <v>Yes</v>
      </c>
      <c r="E822" s="130" t="str">
        <f>IF('SIG 2021'!$E825="","",'SIG 2021'!$E825)</f>
        <v/>
      </c>
      <c r="F822" s="130" t="str">
        <f>IF('SIG 2021'!$F825="","",'SIG 2021'!F825)</f>
        <v/>
      </c>
      <c r="G822" s="130" t="s">
        <v>2691</v>
      </c>
      <c r="H822" s="130" t="s">
        <v>2746</v>
      </c>
      <c r="I822" s="130" t="s">
        <v>2717</v>
      </c>
      <c r="J822" s="130" t="s">
        <v>2311</v>
      </c>
      <c r="K822" s="130" t="str">
        <f>IF('SIG 2021'!$AM825="","",'SIG 2021'!$AM825)</f>
        <v/>
      </c>
      <c r="L822" s="130" t="str">
        <f>IF('SIG 2021'!$AN825="","",'SIG 2021'!$AN825)</f>
        <v/>
      </c>
      <c r="M822" s="130" t="str">
        <f>IF('SIG 2021'!$AO825="","",'SIG 2021'!$AO825)</f>
        <v/>
      </c>
    </row>
    <row r="823" spans="1:13" ht="57.6" x14ac:dyDescent="0.5">
      <c r="A823" s="130">
        <v>4483</v>
      </c>
      <c r="B823" s="130" t="s">
        <v>2809</v>
      </c>
      <c r="C823" s="130" t="s">
        <v>2810</v>
      </c>
      <c r="D823" s="130" t="str">
        <f>IF('SIG 2021'!$D826="","",'SIG 2021'!$D826)</f>
        <v>Yes</v>
      </c>
      <c r="E823" s="130" t="str">
        <f>IF('SIG 2021'!$E826="","",'SIG 2021'!$E826)</f>
        <v>Director of Information Security is responsible.</v>
      </c>
      <c r="F823" s="130" t="str">
        <f>IF('SIG 2021'!$F826="","",'SIG 2021'!F826)</f>
        <v/>
      </c>
      <c r="G823" s="130" t="s">
        <v>2691</v>
      </c>
      <c r="H823" s="130" t="s">
        <v>2812</v>
      </c>
      <c r="I823" s="130" t="s">
        <v>2717</v>
      </c>
      <c r="J823" s="130" t="s">
        <v>2311</v>
      </c>
      <c r="K823" s="130" t="str">
        <f>IF('SIG 2021'!$AM826="","",'SIG 2021'!$AM826)</f>
        <v/>
      </c>
      <c r="L823" s="130" t="str">
        <f>IF('SIG 2021'!$AN826="","",'SIG 2021'!$AN826)</f>
        <v/>
      </c>
      <c r="M823" s="130" t="str">
        <f>IF('SIG 2021'!$AO826="","",'SIG 2021'!$AO826)</f>
        <v/>
      </c>
    </row>
    <row r="824" spans="1:13" ht="57.6" x14ac:dyDescent="0.5">
      <c r="A824" s="130">
        <v>4484</v>
      </c>
      <c r="B824" s="130" t="s">
        <v>2813</v>
      </c>
      <c r="C824" s="130" t="s">
        <v>2814</v>
      </c>
      <c r="D824" s="130" t="str">
        <f>IF('SIG 2021'!$D827="","",'SIG 2021'!$D827)</f>
        <v>Yes</v>
      </c>
      <c r="E824" s="130" t="str">
        <f>IF('SIG 2021'!$E827="","",'SIG 2021'!$E827)</f>
        <v/>
      </c>
      <c r="F824" s="130" t="str">
        <f>IF('SIG 2021'!$F827="","",'SIG 2021'!F827)</f>
        <v/>
      </c>
      <c r="G824" s="130" t="s">
        <v>2691</v>
      </c>
      <c r="H824" s="130" t="s">
        <v>2746</v>
      </c>
      <c r="I824" s="130" t="s">
        <v>2717</v>
      </c>
      <c r="J824" s="130" t="s">
        <v>2311</v>
      </c>
      <c r="K824" s="130" t="str">
        <f>IF('SIG 2021'!$AM827="","",'SIG 2021'!$AM827)</f>
        <v/>
      </c>
      <c r="L824" s="130" t="str">
        <f>IF('SIG 2021'!$AN827="","",'SIG 2021'!$AN827)</f>
        <v/>
      </c>
      <c r="M824" s="130" t="str">
        <f>IF('SIG 2021'!$AO827="","",'SIG 2021'!$AO827)</f>
        <v/>
      </c>
    </row>
    <row r="825" spans="1:13" ht="57.6" x14ac:dyDescent="0.5">
      <c r="A825" s="130">
        <v>5902</v>
      </c>
      <c r="B825" s="130" t="s">
        <v>2815</v>
      </c>
      <c r="C825" s="130" t="s">
        <v>2816</v>
      </c>
      <c r="D825" s="130" t="str">
        <f>IF('SIG 2021'!$D828="","",'SIG 2021'!$D828)</f>
        <v>Yes</v>
      </c>
      <c r="E825" s="130" t="str">
        <f>IF('SIG 2021'!$E828="","",'SIG 2021'!$E828)</f>
        <v/>
      </c>
      <c r="F825" s="130" t="str">
        <f>IF('SIG 2021'!$F828="","",'SIG 2021'!F828)</f>
        <v/>
      </c>
      <c r="G825" s="130" t="s">
        <v>2691</v>
      </c>
      <c r="H825" s="130" t="s">
        <v>2746</v>
      </c>
      <c r="I825" s="130" t="s">
        <v>2817</v>
      </c>
      <c r="J825" s="130" t="s">
        <v>2591</v>
      </c>
      <c r="K825" s="130" t="str">
        <f>IF('SIG 2021'!$AM828="","",'SIG 2021'!$AM828)</f>
        <v/>
      </c>
      <c r="L825" s="130" t="str">
        <f>IF('SIG 2021'!$AN828="","",'SIG 2021'!$AN828)</f>
        <v/>
      </c>
      <c r="M825" s="130" t="str">
        <f>IF('SIG 2021'!$AO828="","",'SIG 2021'!$AO828)</f>
        <v/>
      </c>
    </row>
    <row r="826" spans="1:13" ht="43.2" x14ac:dyDescent="0.5">
      <c r="A826" s="130">
        <v>5903</v>
      </c>
      <c r="B826" s="130" t="s">
        <v>2818</v>
      </c>
      <c r="C826" s="130" t="s">
        <v>2819</v>
      </c>
      <c r="D826" s="130" t="str">
        <f>IF('SIG 2021'!$D829="","",'SIG 2021'!$D829)</f>
        <v>Yes</v>
      </c>
      <c r="E826" s="130" t="str">
        <f>IF('SIG 2021'!$E829="","",'SIG 2021'!$E829)</f>
        <v/>
      </c>
      <c r="F826" s="130" t="str">
        <f>IF('SIG 2021'!$F829="","",'SIG 2021'!F829)</f>
        <v/>
      </c>
      <c r="G826" s="130" t="s">
        <v>2691</v>
      </c>
      <c r="H826" s="130" t="s">
        <v>2746</v>
      </c>
      <c r="I826" s="130" t="s">
        <v>2817</v>
      </c>
      <c r="J826" s="130" t="s">
        <v>2591</v>
      </c>
      <c r="K826" s="130" t="str">
        <f>IF('SIG 2021'!$AM829="","",'SIG 2021'!$AM829)</f>
        <v/>
      </c>
      <c r="L826" s="130" t="str">
        <f>IF('SIG 2021'!$AN829="","",'SIG 2021'!$AN829)</f>
        <v/>
      </c>
      <c r="M826" s="130" t="str">
        <f>IF('SIG 2021'!$AO829="","",'SIG 2021'!$AO829)</f>
        <v/>
      </c>
    </row>
    <row r="827" spans="1:13" ht="43.2" x14ac:dyDescent="0.5">
      <c r="A827" s="130">
        <v>4486</v>
      </c>
      <c r="B827" s="130" t="s">
        <v>2820</v>
      </c>
      <c r="C827" s="130" t="s">
        <v>2821</v>
      </c>
      <c r="D827" s="130" t="str">
        <f>IF('SIG 2021'!$D830="","",'SIG 2021'!$D830)</f>
        <v>Yes</v>
      </c>
      <c r="E827" s="130" t="str">
        <f>IF('SIG 2021'!$E830="","",'SIG 2021'!$E830)</f>
        <v>Performed annually and include privacy impact to the contracted service.</v>
      </c>
      <c r="F827" s="130" t="str">
        <f>IF('SIG 2021'!$F830="","",'SIG 2021'!F830)</f>
        <v/>
      </c>
      <c r="G827" s="130" t="s">
        <v>2691</v>
      </c>
      <c r="H827" s="130" t="s">
        <v>517</v>
      </c>
      <c r="I827" s="130" t="s">
        <v>2823</v>
      </c>
      <c r="J827" s="130"/>
      <c r="K827" s="130" t="str">
        <f>IF('SIG 2021'!$AM830="","",'SIG 2021'!$AM830)</f>
        <v/>
      </c>
      <c r="L827" s="130" t="str">
        <f>IF('SIG 2021'!$AN830="","",'SIG 2021'!$AN830)</f>
        <v/>
      </c>
      <c r="M827" s="130" t="str">
        <f>IF('SIG 2021'!$AO830="","",'SIG 2021'!$AO830)</f>
        <v/>
      </c>
    </row>
    <row r="828" spans="1:13" ht="57.6" x14ac:dyDescent="0.5">
      <c r="A828" s="130">
        <v>4487</v>
      </c>
      <c r="B828" s="130" t="s">
        <v>2824</v>
      </c>
      <c r="C828" s="130" t="s">
        <v>2825</v>
      </c>
      <c r="D828" s="130" t="str">
        <f>IF('SIG 2021'!$D831="","",'SIG 2021'!$D831)</f>
        <v>Yes</v>
      </c>
      <c r="E828" s="130" t="str">
        <f>IF('SIG 2021'!$E831="","",'SIG 2021'!$E831)</f>
        <v/>
      </c>
      <c r="F828" s="130" t="str">
        <f>IF('SIG 2021'!$F831="","",'SIG 2021'!F831)</f>
        <v/>
      </c>
      <c r="G828" s="130" t="s">
        <v>2691</v>
      </c>
      <c r="H828" s="130" t="s">
        <v>517</v>
      </c>
      <c r="I828" s="130" t="s">
        <v>2823</v>
      </c>
      <c r="J828" s="130"/>
      <c r="K828" s="130" t="str">
        <f>IF('SIG 2021'!$AM831="","",'SIG 2021'!$AM831)</f>
        <v/>
      </c>
      <c r="L828" s="130" t="str">
        <f>IF('SIG 2021'!$AN831="","",'SIG 2021'!$AN831)</f>
        <v/>
      </c>
      <c r="M828" s="130" t="str">
        <f>IF('SIG 2021'!$AO831="","",'SIG 2021'!$AO831)</f>
        <v/>
      </c>
    </row>
    <row r="829" spans="1:13" ht="72" x14ac:dyDescent="0.5">
      <c r="A829" s="130">
        <v>4489</v>
      </c>
      <c r="B829" s="130" t="s">
        <v>2826</v>
      </c>
      <c r="C829" s="130" t="s">
        <v>2827</v>
      </c>
      <c r="D829" s="130" t="str">
        <f>IF('SIG 2021'!$D832="","",'SIG 2021'!$D832)</f>
        <v>Yes</v>
      </c>
      <c r="E829" s="130" t="str">
        <f>IF('SIG 2021'!$E832="","",'SIG 2021'!$E832)</f>
        <v>Part of Seismic's Data Protection Impact Assessment (DPIA) process.</v>
      </c>
      <c r="F829" s="130" t="str">
        <f>IF('SIG 2021'!$F832="","",'SIG 2021'!F832)</f>
        <v/>
      </c>
      <c r="G829" s="130" t="s">
        <v>2691</v>
      </c>
      <c r="H829" s="130" t="s">
        <v>517</v>
      </c>
      <c r="I829" s="130" t="s">
        <v>2823</v>
      </c>
      <c r="J829" s="130"/>
      <c r="K829" s="130" t="str">
        <f>IF('SIG 2021'!$AM832="","",'SIG 2021'!$AM832)</f>
        <v/>
      </c>
      <c r="L829" s="130" t="str">
        <f>IF('SIG 2021'!$AN832="","",'SIG 2021'!$AN832)</f>
        <v/>
      </c>
      <c r="M829" s="130" t="str">
        <f>IF('SIG 2021'!$AO832="","",'SIG 2021'!$AO832)</f>
        <v/>
      </c>
    </row>
    <row r="830" spans="1:13" ht="43.2" x14ac:dyDescent="0.5">
      <c r="A830" s="130">
        <v>4490</v>
      </c>
      <c r="B830" s="130" t="s">
        <v>2829</v>
      </c>
      <c r="C830" s="130" t="s">
        <v>2830</v>
      </c>
      <c r="D830" s="130" t="str">
        <f>IF('SIG 2021'!$D833="","",'SIG 2021'!$D833)</f>
        <v>Yes</v>
      </c>
      <c r="E830" s="130" t="str">
        <f>IF('SIG 2021'!$E833="","",'SIG 2021'!$E833)</f>
        <v/>
      </c>
      <c r="F830" s="130" t="str">
        <f>IF('SIG 2021'!$F833="","",'SIG 2021'!F833)</f>
        <v/>
      </c>
      <c r="G830" s="130" t="s">
        <v>2691</v>
      </c>
      <c r="H830" s="130" t="s">
        <v>2732</v>
      </c>
      <c r="I830" s="130" t="s">
        <v>2733</v>
      </c>
      <c r="J830" s="130" t="s">
        <v>1028</v>
      </c>
      <c r="K830" s="130" t="str">
        <f>IF('SIG 2021'!$AM833="","",'SIG 2021'!$AM833)</f>
        <v/>
      </c>
      <c r="L830" s="130" t="str">
        <f>IF('SIG 2021'!$AN833="","",'SIG 2021'!$AN833)</f>
        <v/>
      </c>
      <c r="M830" s="130" t="str">
        <f>IF('SIG 2021'!$AO833="","",'SIG 2021'!$AO833)</f>
        <v/>
      </c>
    </row>
    <row r="831" spans="1:13" ht="28.8" x14ac:dyDescent="0.5">
      <c r="A831" s="130">
        <v>4491</v>
      </c>
      <c r="B831" s="130" t="s">
        <v>2831</v>
      </c>
      <c r="C831" s="130" t="s">
        <v>2832</v>
      </c>
      <c r="D831" s="130" t="str">
        <f>IF('SIG 2021'!$D834="","",'SIG 2021'!$D834)</f>
        <v>Yes</v>
      </c>
      <c r="E831" s="130" t="str">
        <f>IF('SIG 2021'!$E834="","",'SIG 2021'!$E834)</f>
        <v/>
      </c>
      <c r="F831" s="130" t="str">
        <f>IF('SIG 2021'!$F834="","",'SIG 2021'!F834)</f>
        <v/>
      </c>
      <c r="G831" s="130" t="s">
        <v>2691</v>
      </c>
      <c r="H831" s="130" t="s">
        <v>2732</v>
      </c>
      <c r="I831" s="130" t="s">
        <v>2733</v>
      </c>
      <c r="J831" s="130" t="s">
        <v>1028</v>
      </c>
      <c r="K831" s="130" t="str">
        <f>IF('SIG 2021'!$AM834="","",'SIG 2021'!$AM834)</f>
        <v/>
      </c>
      <c r="L831" s="130" t="str">
        <f>IF('SIG 2021'!$AN834="","",'SIG 2021'!$AN834)</f>
        <v/>
      </c>
      <c r="M831" s="130" t="str">
        <f>IF('SIG 2021'!$AO834="","",'SIG 2021'!$AO834)</f>
        <v/>
      </c>
    </row>
    <row r="832" spans="1:13" ht="72" x14ac:dyDescent="0.5">
      <c r="A832" s="130">
        <v>4492</v>
      </c>
      <c r="B832" s="130" t="s">
        <v>2833</v>
      </c>
      <c r="C832" s="130" t="s">
        <v>2834</v>
      </c>
      <c r="D832" s="130" t="str">
        <f>IF('SIG 2021'!$D835="","",'SIG 2021'!$D835)</f>
        <v>Yes</v>
      </c>
      <c r="E832" s="130" t="str">
        <f>IF('SIG 2021'!$E835="","",'SIG 2021'!$E835)</f>
        <v/>
      </c>
      <c r="F832" s="130" t="str">
        <f>IF('SIG 2021'!$F835="","",'SIG 2021'!F835)</f>
        <v/>
      </c>
      <c r="G832" s="130" t="s">
        <v>2691</v>
      </c>
      <c r="H832" s="130" t="s">
        <v>2732</v>
      </c>
      <c r="I832" s="130" t="s">
        <v>2733</v>
      </c>
      <c r="J832" s="130" t="s">
        <v>1028</v>
      </c>
      <c r="K832" s="130" t="str">
        <f>IF('SIG 2021'!$AM835="","",'SIG 2021'!$AM835)</f>
        <v/>
      </c>
      <c r="L832" s="130" t="str">
        <f>IF('SIG 2021'!$AN835="","",'SIG 2021'!$AN835)</f>
        <v/>
      </c>
      <c r="M832" s="130" t="str">
        <f>IF('SIG 2021'!$AO835="","",'SIG 2021'!$AO835)</f>
        <v/>
      </c>
    </row>
    <row r="833" spans="1:13" ht="43.2" x14ac:dyDescent="0.5">
      <c r="A833" s="130">
        <v>4493</v>
      </c>
      <c r="B833" s="130" t="s">
        <v>2835</v>
      </c>
      <c r="C833" s="130" t="s">
        <v>2836</v>
      </c>
      <c r="D833" s="130" t="str">
        <f>IF('SIG 2021'!$D836="","",'SIG 2021'!$D836)</f>
        <v>Yes</v>
      </c>
      <c r="E833" s="130" t="str">
        <f>IF('SIG 2021'!$E836="","",'SIG 2021'!$E836)</f>
        <v>Part of Seismic's Data Protection Agreements (DPA).</v>
      </c>
      <c r="F833" s="130" t="str">
        <f>IF('SIG 2021'!$F836="","",'SIG 2021'!F836)</f>
        <v/>
      </c>
      <c r="G833" s="130" t="s">
        <v>2691</v>
      </c>
      <c r="H833" s="130" t="s">
        <v>2732</v>
      </c>
      <c r="I833" s="130" t="s">
        <v>2733</v>
      </c>
      <c r="J833" s="130" t="s">
        <v>1028</v>
      </c>
      <c r="K833" s="130" t="str">
        <f>IF('SIG 2021'!$AM836="","",'SIG 2021'!$AM836)</f>
        <v/>
      </c>
      <c r="L833" s="130" t="str">
        <f>IF('SIG 2021'!$AN836="","",'SIG 2021'!$AN836)</f>
        <v/>
      </c>
      <c r="M833" s="130" t="str">
        <f>IF('SIG 2021'!$AO836="","",'SIG 2021'!$AO836)</f>
        <v/>
      </c>
    </row>
    <row r="834" spans="1:13" ht="57.6" x14ac:dyDescent="0.5">
      <c r="A834" s="130">
        <v>4494</v>
      </c>
      <c r="B834" s="130" t="s">
        <v>2838</v>
      </c>
      <c r="C834" s="130" t="s">
        <v>2839</v>
      </c>
      <c r="D834" s="130" t="str">
        <f>IF('SIG 2021'!$D837="","",'SIG 2021'!$D837)</f>
        <v>Yes</v>
      </c>
      <c r="E834" s="130" t="str">
        <f>IF('SIG 2021'!$E837="","",'SIG 2021'!$E837)</f>
        <v/>
      </c>
      <c r="F834" s="130" t="str">
        <f>IF('SIG 2021'!$F837="","",'SIG 2021'!F837)</f>
        <v/>
      </c>
      <c r="G834" s="130" t="s">
        <v>2691</v>
      </c>
      <c r="H834" s="130" t="s">
        <v>2726</v>
      </c>
      <c r="I834" s="130" t="s">
        <v>2840</v>
      </c>
      <c r="J834" s="130" t="s">
        <v>2841</v>
      </c>
      <c r="K834" s="130" t="str">
        <f>IF('SIG 2021'!$AM837="","",'SIG 2021'!$AM837)</f>
        <v/>
      </c>
      <c r="L834" s="130" t="str">
        <f>IF('SIG 2021'!$AN837="","",'SIG 2021'!$AN837)</f>
        <v/>
      </c>
      <c r="M834" s="130" t="str">
        <f>IF('SIG 2021'!$AO837="","",'SIG 2021'!$AO837)</f>
        <v/>
      </c>
    </row>
    <row r="835" spans="1:13" ht="43.2" x14ac:dyDescent="0.5">
      <c r="A835" s="130">
        <v>4495</v>
      </c>
      <c r="B835" s="130" t="s">
        <v>2842</v>
      </c>
      <c r="C835" s="130" t="s">
        <v>2843</v>
      </c>
      <c r="D835" s="130" t="str">
        <f>IF('SIG 2021'!$D838="","",'SIG 2021'!$D838)</f>
        <v>Yes</v>
      </c>
      <c r="E835" s="130" t="str">
        <f>IF('SIG 2021'!$E838="","",'SIG 2021'!$E838)</f>
        <v/>
      </c>
      <c r="F835" s="130" t="str">
        <f>IF('SIG 2021'!$F838="","",'SIG 2021'!F838)</f>
        <v/>
      </c>
      <c r="G835" s="130" t="s">
        <v>2691</v>
      </c>
      <c r="H835" s="130" t="s">
        <v>2726</v>
      </c>
      <c r="I835" s="130" t="s">
        <v>2840</v>
      </c>
      <c r="J835" s="130" t="s">
        <v>2591</v>
      </c>
      <c r="K835" s="130" t="str">
        <f>IF('SIG 2021'!$AM838="","",'SIG 2021'!$AM838)</f>
        <v/>
      </c>
      <c r="L835" s="130" t="str">
        <f>IF('SIG 2021'!$AN838="","",'SIG 2021'!$AN838)</f>
        <v/>
      </c>
      <c r="M835" s="130" t="str">
        <f>IF('SIG 2021'!$AO838="","",'SIG 2021'!$AO838)</f>
        <v/>
      </c>
    </row>
    <row r="836" spans="1:13" ht="57.6" x14ac:dyDescent="0.5">
      <c r="A836" s="130">
        <v>4496</v>
      </c>
      <c r="B836" s="130" t="s">
        <v>2844</v>
      </c>
      <c r="C836" s="130" t="s">
        <v>2845</v>
      </c>
      <c r="D836" s="130" t="str">
        <f>IF('SIG 2021'!$D839="","",'SIG 2021'!$D839)</f>
        <v>Yes</v>
      </c>
      <c r="E836" s="130" t="str">
        <f>IF('SIG 2021'!$E839="","",'SIG 2021'!$E839)</f>
        <v/>
      </c>
      <c r="F836" s="130" t="str">
        <f>IF('SIG 2021'!$F839="","",'SIG 2021'!F839)</f>
        <v/>
      </c>
      <c r="G836" s="130" t="s">
        <v>2691</v>
      </c>
      <c r="H836" s="130" t="s">
        <v>2726</v>
      </c>
      <c r="I836" s="130" t="s">
        <v>2840</v>
      </c>
      <c r="J836" s="130"/>
      <c r="K836" s="130" t="str">
        <f>IF('SIG 2021'!$AM839="","",'SIG 2021'!$AM839)</f>
        <v/>
      </c>
      <c r="L836" s="130" t="str">
        <f>IF('SIG 2021'!$AN839="","",'SIG 2021'!$AN839)</f>
        <v/>
      </c>
      <c r="M836" s="130" t="str">
        <f>IF('SIG 2021'!$AO839="","",'SIG 2021'!$AO839)</f>
        <v/>
      </c>
    </row>
    <row r="837" spans="1:13" ht="72" x14ac:dyDescent="0.5">
      <c r="A837" s="130">
        <v>4943</v>
      </c>
      <c r="B837" s="130" t="s">
        <v>394</v>
      </c>
      <c r="C837" s="130" t="s">
        <v>2846</v>
      </c>
      <c r="D837" s="130" t="str">
        <f>IF('SIG 2021'!$D840="","",'SIG 2021'!$D840)</f>
        <v>Yes</v>
      </c>
      <c r="E837" s="130" t="str">
        <f>IF('SIG 2021'!$E840="","",'SIG 2021'!$E840)</f>
        <v/>
      </c>
      <c r="F837" s="130" t="str">
        <f>IF('SIG 2021'!$F840="","",'SIG 2021'!F840)</f>
        <v/>
      </c>
      <c r="G837" s="130" t="s">
        <v>2847</v>
      </c>
      <c r="H837" s="130" t="s">
        <v>2848</v>
      </c>
      <c r="I837" s="130" t="s">
        <v>2817</v>
      </c>
      <c r="J837" s="130"/>
      <c r="K837" s="130" t="str">
        <f>IF('SIG 2021'!$AM840="","",'SIG 2021'!$AM840)</f>
        <v/>
      </c>
      <c r="L837" s="130" t="str">
        <f>IF('SIG 2021'!$AN840="","",'SIG 2021'!$AN840)</f>
        <v/>
      </c>
      <c r="M837" s="130" t="str">
        <f>IF('SIG 2021'!$AO840="","",'SIG 2021'!$AO840)</f>
        <v/>
      </c>
    </row>
    <row r="838" spans="1:13" ht="57.6" x14ac:dyDescent="0.5">
      <c r="A838" s="130">
        <v>4499</v>
      </c>
      <c r="B838" s="130" t="s">
        <v>2849</v>
      </c>
      <c r="C838" s="130" t="s">
        <v>2850</v>
      </c>
      <c r="D838" s="130" t="str">
        <f>IF('SIG 2021'!$D841="","",'SIG 2021'!$D841)</f>
        <v>Yes</v>
      </c>
      <c r="E838" s="130" t="str">
        <f>IF('SIG 2021'!$E841="","",'SIG 2021'!$E841)</f>
        <v/>
      </c>
      <c r="F838" s="130" t="str">
        <f>IF('SIG 2021'!$F841="","",'SIG 2021'!F841)</f>
        <v/>
      </c>
      <c r="G838" s="130" t="s">
        <v>2847</v>
      </c>
      <c r="H838" s="130" t="s">
        <v>2851</v>
      </c>
      <c r="I838" s="130" t="s">
        <v>2759</v>
      </c>
      <c r="J838" s="130"/>
      <c r="K838" s="130" t="str">
        <f>IF('SIG 2021'!$AM841="","",'SIG 2021'!$AM841)</f>
        <v/>
      </c>
      <c r="L838" s="130" t="str">
        <f>IF('SIG 2021'!$AN841="","",'SIG 2021'!$AN841)</f>
        <v/>
      </c>
      <c r="M838" s="130" t="str">
        <f>IF('SIG 2021'!$AO841="","",'SIG 2021'!$AO841)</f>
        <v/>
      </c>
    </row>
    <row r="839" spans="1:13" ht="72" x14ac:dyDescent="0.5">
      <c r="A839" s="130">
        <v>4563</v>
      </c>
      <c r="B839" s="130" t="s">
        <v>2852</v>
      </c>
      <c r="C839" s="130" t="s">
        <v>2853</v>
      </c>
      <c r="D839" s="130" t="str">
        <f>IF('SIG 2021'!$D842="","",'SIG 2021'!$D842)</f>
        <v>Yes</v>
      </c>
      <c r="E839" s="130" t="str">
        <f>IF('SIG 2021'!$E842="","",'SIG 2021'!$E842)</f>
        <v/>
      </c>
      <c r="F839" s="130" t="str">
        <f>IF('SIG 2021'!$F842="","",'SIG 2021'!F842)</f>
        <v/>
      </c>
      <c r="G839" s="130" t="s">
        <v>2847</v>
      </c>
      <c r="H839" s="130" t="s">
        <v>2851</v>
      </c>
      <c r="I839" s="130" t="s">
        <v>2759</v>
      </c>
      <c r="J839" s="130"/>
      <c r="K839" s="130" t="str">
        <f>IF('SIG 2021'!$AM842="","",'SIG 2021'!$AM842)</f>
        <v/>
      </c>
      <c r="L839" s="130" t="str">
        <f>IF('SIG 2021'!$AN842="","",'SIG 2021'!$AN842)</f>
        <v/>
      </c>
      <c r="M839" s="130" t="str">
        <f>IF('SIG 2021'!$AO842="","",'SIG 2021'!$AO842)</f>
        <v/>
      </c>
    </row>
    <row r="840" spans="1:13" ht="43.2" x14ac:dyDescent="0.5">
      <c r="A840" s="130">
        <v>4501</v>
      </c>
      <c r="B840" s="130" t="s">
        <v>2854</v>
      </c>
      <c r="C840" s="130" t="s">
        <v>2855</v>
      </c>
      <c r="D840" s="130" t="str">
        <f>IF('SIG 2021'!$D843="","",'SIG 2021'!$D843)</f>
        <v>Yes</v>
      </c>
      <c r="E840" s="130" t="str">
        <f>IF('SIG 2021'!$E843="","",'SIG 2021'!$E843)</f>
        <v/>
      </c>
      <c r="F840" s="130" t="str">
        <f>IF('SIG 2021'!$F843="","",'SIG 2021'!F843)</f>
        <v/>
      </c>
      <c r="G840" s="130" t="s">
        <v>2847</v>
      </c>
      <c r="H840" s="130" t="s">
        <v>2746</v>
      </c>
      <c r="I840" s="130" t="s">
        <v>2856</v>
      </c>
      <c r="J840" s="130"/>
      <c r="K840" s="130" t="str">
        <f>IF('SIG 2021'!$AM843="","",'SIG 2021'!$AM843)</f>
        <v/>
      </c>
      <c r="L840" s="130" t="str">
        <f>IF('SIG 2021'!$AN843="","",'SIG 2021'!$AN843)</f>
        <v/>
      </c>
      <c r="M840" s="130" t="str">
        <f>IF('SIG 2021'!$AO843="","",'SIG 2021'!$AO843)</f>
        <v/>
      </c>
    </row>
    <row r="841" spans="1:13" ht="43.2" x14ac:dyDescent="0.5">
      <c r="A841" s="130">
        <v>4502</v>
      </c>
      <c r="B841" s="130" t="s">
        <v>2857</v>
      </c>
      <c r="C841" s="130" t="s">
        <v>2858</v>
      </c>
      <c r="D841" s="130" t="str">
        <f>IF('SIG 2021'!$D844="","",'SIG 2021'!$D844)</f>
        <v>N/A</v>
      </c>
      <c r="E841" s="130" t="str">
        <f>IF('SIG 2021'!$E844="","",'SIG 2021'!$E844)</f>
        <v>Seismic does not sell personal data.</v>
      </c>
      <c r="F841" s="130" t="str">
        <f>IF('SIG 2021'!$F844="","",'SIG 2021'!F844)</f>
        <v/>
      </c>
      <c r="G841" s="130" t="s">
        <v>2847</v>
      </c>
      <c r="H841" s="130" t="s">
        <v>2851</v>
      </c>
      <c r="I841" s="130" t="s">
        <v>2759</v>
      </c>
      <c r="J841" s="130"/>
      <c r="K841" s="130" t="str">
        <f>IF('SIG 2021'!$AM844="","",'SIG 2021'!$AM844)</f>
        <v/>
      </c>
      <c r="L841" s="130" t="str">
        <f>IF('SIG 2021'!$AN844="","",'SIG 2021'!$AN844)</f>
        <v/>
      </c>
      <c r="M841" s="130" t="str">
        <f>IF('SIG 2021'!$AO844="","",'SIG 2021'!$AO844)</f>
        <v/>
      </c>
    </row>
    <row r="842" spans="1:13" ht="72" x14ac:dyDescent="0.5">
      <c r="A842" s="130">
        <v>4565</v>
      </c>
      <c r="B842" s="130" t="s">
        <v>2860</v>
      </c>
      <c r="C842" s="130" t="s">
        <v>2861</v>
      </c>
      <c r="D842" s="130" t="str">
        <f>IF('SIG 2021'!$D845="","",'SIG 2021'!$D845)</f>
        <v>Yes</v>
      </c>
      <c r="E842" s="130" t="str">
        <f>IF('SIG 2021'!$E845="","",'SIG 2021'!$E845)</f>
        <v/>
      </c>
      <c r="F842" s="130" t="str">
        <f>IF('SIG 2021'!$F845="","",'SIG 2021'!F845)</f>
        <v/>
      </c>
      <c r="G842" s="130" t="s">
        <v>2847</v>
      </c>
      <c r="H842" s="130" t="s">
        <v>2862</v>
      </c>
      <c r="I842" s="130" t="s">
        <v>2817</v>
      </c>
      <c r="J842" s="130"/>
      <c r="K842" s="130" t="str">
        <f>IF('SIG 2021'!$AM845="","",'SIG 2021'!$AM845)</f>
        <v/>
      </c>
      <c r="L842" s="130" t="str">
        <f>IF('SIG 2021'!$AN845="","",'SIG 2021'!$AN845)</f>
        <v/>
      </c>
      <c r="M842" s="130" t="str">
        <f>IF('SIG 2021'!$AO845="","",'SIG 2021'!$AO845)</f>
        <v/>
      </c>
    </row>
    <row r="843" spans="1:13" ht="43.2" x14ac:dyDescent="0.5">
      <c r="A843" s="130">
        <v>5906</v>
      </c>
      <c r="B843" s="130" t="s">
        <v>2863</v>
      </c>
      <c r="C843" s="130" t="s">
        <v>2864</v>
      </c>
      <c r="D843" s="130" t="str">
        <f>IF('SIG 2021'!$D846="","",'SIG 2021'!$D846)</f>
        <v>Yes</v>
      </c>
      <c r="E843" s="130" t="str">
        <f>IF('SIG 2021'!$E846="","",'SIG 2021'!$E846)</f>
        <v/>
      </c>
      <c r="F843" s="130" t="str">
        <f>IF('SIG 2021'!$F846="","",'SIG 2021'!F846)</f>
        <v/>
      </c>
      <c r="G843" s="130" t="s">
        <v>2847</v>
      </c>
      <c r="H843" s="130" t="s">
        <v>2851</v>
      </c>
      <c r="I843" s="130" t="s">
        <v>2817</v>
      </c>
      <c r="J843" s="130"/>
      <c r="K843" s="130" t="str">
        <f>IF('SIG 2021'!$AM846="","",'SIG 2021'!$AM846)</f>
        <v/>
      </c>
      <c r="L843" s="130" t="str">
        <f>IF('SIG 2021'!$AN846="","",'SIG 2021'!$AN846)</f>
        <v/>
      </c>
      <c r="M843" s="130" t="str">
        <f>IF('SIG 2021'!$AO846="","",'SIG 2021'!$AO846)</f>
        <v/>
      </c>
    </row>
    <row r="844" spans="1:13" ht="43.2" x14ac:dyDescent="0.5">
      <c r="A844" s="130">
        <v>4944</v>
      </c>
      <c r="B844" s="130" t="s">
        <v>396</v>
      </c>
      <c r="C844" s="130" t="s">
        <v>2865</v>
      </c>
      <c r="D844" s="130" t="str">
        <f>IF('SIG 2021'!$D847="","",'SIG 2021'!$D847)</f>
        <v>Yes</v>
      </c>
      <c r="E844" s="130" t="str">
        <f>IF('SIG 2021'!$E847="","",'SIG 2021'!$E847)</f>
        <v/>
      </c>
      <c r="F844" s="130" t="str">
        <f>IF('SIG 2021'!$F847="","",'SIG 2021'!F847)</f>
        <v/>
      </c>
      <c r="G844" s="130" t="s">
        <v>2866</v>
      </c>
      <c r="H844" s="130" t="s">
        <v>2746</v>
      </c>
      <c r="I844" s="130" t="s">
        <v>2759</v>
      </c>
      <c r="J844" s="130"/>
      <c r="K844" s="130" t="str">
        <f>IF('SIG 2021'!$AM847="","",'SIG 2021'!$AM847)</f>
        <v/>
      </c>
      <c r="L844" s="130" t="str">
        <f>IF('SIG 2021'!$AN847="","",'SIG 2021'!$AN847)</f>
        <v/>
      </c>
      <c r="M844" s="130" t="str">
        <f>IF('SIG 2021'!$AO847="","",'SIG 2021'!$AO847)</f>
        <v/>
      </c>
    </row>
    <row r="845" spans="1:13" ht="72" x14ac:dyDescent="0.5">
      <c r="A845" s="130">
        <v>4504</v>
      </c>
      <c r="B845" s="130" t="s">
        <v>2867</v>
      </c>
      <c r="C845" s="130" t="s">
        <v>2868</v>
      </c>
      <c r="D845" s="130" t="str">
        <f>IF('SIG 2021'!$D848="","",'SIG 2021'!$D848)</f>
        <v>Yes</v>
      </c>
      <c r="E845" s="130" t="str">
        <f>IF('SIG 2021'!$E848="","",'SIG 2021'!$E848)</f>
        <v/>
      </c>
      <c r="F845" s="130" t="str">
        <f>IF('SIG 2021'!$F848="","",'SIG 2021'!F848)</f>
        <v/>
      </c>
      <c r="G845" s="130" t="s">
        <v>2866</v>
      </c>
      <c r="H845" s="130" t="s">
        <v>2746</v>
      </c>
      <c r="I845" s="130" t="s">
        <v>2759</v>
      </c>
      <c r="J845" s="130"/>
      <c r="K845" s="130" t="str">
        <f>IF('SIG 2021'!$AM848="","",'SIG 2021'!$AM848)</f>
        <v/>
      </c>
      <c r="L845" s="130" t="str">
        <f>IF('SIG 2021'!$AN848="","",'SIG 2021'!$AN848)</f>
        <v/>
      </c>
      <c r="M845" s="130" t="str">
        <f>IF('SIG 2021'!$AO848="","",'SIG 2021'!$AO848)</f>
        <v/>
      </c>
    </row>
    <row r="846" spans="1:13" ht="43.2" x14ac:dyDescent="0.5">
      <c r="A846" s="130">
        <v>4506</v>
      </c>
      <c r="B846" s="130" t="s">
        <v>2869</v>
      </c>
      <c r="C846" s="130" t="s">
        <v>2870</v>
      </c>
      <c r="D846" s="130" t="str">
        <f>IF('SIG 2021'!$D849="","",'SIG 2021'!$D849)</f>
        <v>Yes</v>
      </c>
      <c r="E846" s="130" t="str">
        <f>IF('SIG 2021'!$E849="","",'SIG 2021'!$E849)</f>
        <v/>
      </c>
      <c r="F846" s="130" t="str">
        <f>IF('SIG 2021'!$F849="","",'SIG 2021'!F849)</f>
        <v/>
      </c>
      <c r="G846" s="130" t="s">
        <v>2866</v>
      </c>
      <c r="H846" s="130" t="s">
        <v>2851</v>
      </c>
      <c r="I846" s="130" t="s">
        <v>2759</v>
      </c>
      <c r="J846" s="130"/>
      <c r="K846" s="130" t="str">
        <f>IF('SIG 2021'!$AM849="","",'SIG 2021'!$AM849)</f>
        <v/>
      </c>
      <c r="L846" s="130" t="str">
        <f>IF('SIG 2021'!$AN849="","",'SIG 2021'!$AN849)</f>
        <v/>
      </c>
      <c r="M846" s="130" t="str">
        <f>IF('SIG 2021'!$AO849="","",'SIG 2021'!$AO849)</f>
        <v/>
      </c>
    </row>
    <row r="847" spans="1:13" ht="43.2" x14ac:dyDescent="0.5">
      <c r="A847" s="130">
        <v>5907</v>
      </c>
      <c r="B847" s="130" t="s">
        <v>2871</v>
      </c>
      <c r="C847" s="130" t="s">
        <v>2872</v>
      </c>
      <c r="D847" s="130" t="str">
        <f>IF('SIG 2021'!$D850="","",'SIG 2021'!$D850)</f>
        <v>Yes</v>
      </c>
      <c r="E847" s="130" t="str">
        <f>IF('SIG 2021'!$E850="","",'SIG 2021'!$E850)</f>
        <v/>
      </c>
      <c r="F847" s="130" t="str">
        <f>IF('SIG 2021'!$F850="","",'SIG 2021'!F850)</f>
        <v/>
      </c>
      <c r="G847" s="130" t="s">
        <v>2866</v>
      </c>
      <c r="H847" s="130" t="s">
        <v>2851</v>
      </c>
      <c r="I847" s="130" t="s">
        <v>2759</v>
      </c>
      <c r="J847" s="130"/>
      <c r="K847" s="130" t="str">
        <f>IF('SIG 2021'!$AM850="","",'SIG 2021'!$AM850)</f>
        <v/>
      </c>
      <c r="L847" s="130" t="str">
        <f>IF('SIG 2021'!$AN850="","",'SIG 2021'!$AN850)</f>
        <v/>
      </c>
      <c r="M847" s="130" t="str">
        <f>IF('SIG 2021'!$AO850="","",'SIG 2021'!$AO850)</f>
        <v/>
      </c>
    </row>
    <row r="848" spans="1:13" ht="43.2" x14ac:dyDescent="0.5">
      <c r="A848" s="130">
        <v>5908</v>
      </c>
      <c r="B848" s="130" t="s">
        <v>2873</v>
      </c>
      <c r="C848" s="130" t="s">
        <v>2874</v>
      </c>
      <c r="D848" s="130" t="str">
        <f>IF('SIG 2021'!$D851="","",'SIG 2021'!$D851)</f>
        <v>Yes</v>
      </c>
      <c r="E848" s="130" t="str">
        <f>IF('SIG 2021'!$E851="","",'SIG 2021'!$E851)</f>
        <v/>
      </c>
      <c r="F848" s="130" t="str">
        <f>IF('SIG 2021'!$F851="","",'SIG 2021'!F851)</f>
        <v/>
      </c>
      <c r="G848" s="130" t="s">
        <v>2866</v>
      </c>
      <c r="H848" s="130" t="s">
        <v>2851</v>
      </c>
      <c r="I848" s="130" t="s">
        <v>2759</v>
      </c>
      <c r="J848" s="130"/>
      <c r="K848" s="130" t="str">
        <f>IF('SIG 2021'!$AM851="","",'SIG 2021'!$AM851)</f>
        <v/>
      </c>
      <c r="L848" s="130" t="str">
        <f>IF('SIG 2021'!$AN851="","",'SIG 2021'!$AN851)</f>
        <v/>
      </c>
      <c r="M848" s="130" t="str">
        <f>IF('SIG 2021'!$AO851="","",'SIG 2021'!$AO851)</f>
        <v/>
      </c>
    </row>
    <row r="849" spans="1:13" ht="57.6" x14ac:dyDescent="0.5">
      <c r="A849" s="130">
        <v>5658</v>
      </c>
      <c r="B849" s="130" t="s">
        <v>398</v>
      </c>
      <c r="C849" s="130" t="s">
        <v>2875</v>
      </c>
      <c r="D849" s="130" t="str">
        <f>IF('SIG 2021'!$D852="","",'SIG 2021'!$D852)</f>
        <v>Yes</v>
      </c>
      <c r="E849" s="130" t="str">
        <f>IF('SIG 2021'!$E852="","",'SIG 2021'!$E852)</f>
        <v/>
      </c>
      <c r="F849" s="130" t="str">
        <f>IF('SIG 2021'!$F852="","",'SIG 2021'!F852)</f>
        <v/>
      </c>
      <c r="G849" s="130" t="s">
        <v>2876</v>
      </c>
      <c r="H849" s="130" t="s">
        <v>2877</v>
      </c>
      <c r="I849" s="130" t="s">
        <v>2790</v>
      </c>
      <c r="J849" s="130"/>
      <c r="K849" s="130" t="str">
        <f>IF('SIG 2021'!$AM852="","",'SIG 2021'!$AM852)</f>
        <v/>
      </c>
      <c r="L849" s="130" t="str">
        <f>IF('SIG 2021'!$AN852="","",'SIG 2021'!$AN852)</f>
        <v/>
      </c>
      <c r="M849" s="130" t="str">
        <f>IF('SIG 2021'!$AO852="","",'SIG 2021'!$AO852)</f>
        <v/>
      </c>
    </row>
    <row r="850" spans="1:13" ht="43.2" x14ac:dyDescent="0.5">
      <c r="A850" s="130">
        <v>3707</v>
      </c>
      <c r="B850" s="130" t="s">
        <v>2878</v>
      </c>
      <c r="C850" s="130" t="s">
        <v>2879</v>
      </c>
      <c r="D850" s="130" t="str">
        <f>IF('SIG 2021'!$D853="","",'SIG 2021'!$D853)</f>
        <v>Yes</v>
      </c>
      <c r="E850" s="130" t="str">
        <f>IF('SIG 2021'!$E853="","",'SIG 2021'!$E853)</f>
        <v/>
      </c>
      <c r="F850" s="130" t="str">
        <f>IF('SIG 2021'!$F853="","",'SIG 2021'!F853)</f>
        <v/>
      </c>
      <c r="G850" s="130" t="s">
        <v>2876</v>
      </c>
      <c r="H850" s="130" t="s">
        <v>2880</v>
      </c>
      <c r="I850" s="130" t="s">
        <v>2717</v>
      </c>
      <c r="J850" s="130"/>
      <c r="K850" s="130" t="str">
        <f>IF('SIG 2021'!$AM853="","",'SIG 2021'!$AM853)</f>
        <v/>
      </c>
      <c r="L850" s="130" t="str">
        <f>IF('SIG 2021'!$AN853="","",'SIG 2021'!$AN853)</f>
        <v/>
      </c>
      <c r="M850" s="130" t="str">
        <f>IF('SIG 2021'!$AO853="","",'SIG 2021'!$AO853)</f>
        <v/>
      </c>
    </row>
    <row r="851" spans="1:13" ht="43.2" x14ac:dyDescent="0.5">
      <c r="A851" s="130">
        <v>4509</v>
      </c>
      <c r="B851" s="130" t="s">
        <v>2881</v>
      </c>
      <c r="C851" s="130" t="s">
        <v>2882</v>
      </c>
      <c r="D851" s="130" t="str">
        <f>IF('SIG 2021'!$D854="","",'SIG 2021'!$D854)</f>
        <v>Yes</v>
      </c>
      <c r="E851" s="130" t="str">
        <f>IF('SIG 2021'!$E854="","",'SIG 2021'!$E854)</f>
        <v/>
      </c>
      <c r="F851" s="130" t="str">
        <f>IF('SIG 2021'!$F854="","",'SIG 2021'!F854)</f>
        <v/>
      </c>
      <c r="G851" s="130" t="s">
        <v>2876</v>
      </c>
      <c r="H851" s="130" t="s">
        <v>2883</v>
      </c>
      <c r="I851" s="130" t="s">
        <v>2717</v>
      </c>
      <c r="J851" s="130"/>
      <c r="K851" s="130" t="str">
        <f>IF('SIG 2021'!$AM854="","",'SIG 2021'!$AM854)</f>
        <v/>
      </c>
      <c r="L851" s="130" t="str">
        <f>IF('SIG 2021'!$AN854="","",'SIG 2021'!$AN854)</f>
        <v/>
      </c>
      <c r="M851" s="130" t="str">
        <f>IF('SIG 2021'!$AO854="","",'SIG 2021'!$AO854)</f>
        <v/>
      </c>
    </row>
    <row r="852" spans="1:13" ht="72" x14ac:dyDescent="0.5">
      <c r="A852" s="130">
        <v>3237</v>
      </c>
      <c r="B852" s="130" t="s">
        <v>400</v>
      </c>
      <c r="C852" s="130" t="s">
        <v>2884</v>
      </c>
      <c r="D852" s="130" t="str">
        <f>IF('SIG 2021'!$D855="","",'SIG 2021'!$D855)</f>
        <v>Yes</v>
      </c>
      <c r="E852" s="130" t="str">
        <f>IF('SIG 2021'!$E855="","",'SIG 2021'!$E855)</f>
        <v/>
      </c>
      <c r="F852" s="130" t="str">
        <f>IF('SIG 2021'!$F855="","",'SIG 2021'!F855)</f>
        <v/>
      </c>
      <c r="G852" s="130" t="s">
        <v>2885</v>
      </c>
      <c r="H852" s="130" t="s">
        <v>2702</v>
      </c>
      <c r="I852" s="130" t="s">
        <v>2717</v>
      </c>
      <c r="J852" s="130"/>
      <c r="K852" s="130" t="str">
        <f>IF('SIG 2021'!$AM855="","",'SIG 2021'!$AM855)</f>
        <v/>
      </c>
      <c r="L852" s="130" t="str">
        <f>IF('SIG 2021'!$AN855="","",'SIG 2021'!$AN855)</f>
        <v/>
      </c>
      <c r="M852" s="130" t="str">
        <f>IF('SIG 2021'!$AO855="","",'SIG 2021'!$AO855)</f>
        <v/>
      </c>
    </row>
    <row r="853" spans="1:13" ht="43.2" x14ac:dyDescent="0.5">
      <c r="A853" s="130">
        <v>5914</v>
      </c>
      <c r="B853" s="130" t="s">
        <v>2886</v>
      </c>
      <c r="C853" s="130" t="s">
        <v>2887</v>
      </c>
      <c r="D853" s="130" t="str">
        <f>IF('SIG 2021'!$D856="","",'SIG 2021'!$D856)</f>
        <v>Yes</v>
      </c>
      <c r="E853" s="130" t="str">
        <f>IF('SIG 2021'!$E856="","",'SIG 2021'!$E856)</f>
        <v/>
      </c>
      <c r="F853" s="130" t="str">
        <f>IF('SIG 2021'!$F856="","",'SIG 2021'!F856)</f>
        <v/>
      </c>
      <c r="G853" s="130" t="s">
        <v>2885</v>
      </c>
      <c r="H853" s="130" t="s">
        <v>2702</v>
      </c>
      <c r="I853" s="130" t="s">
        <v>2717</v>
      </c>
      <c r="J853" s="130"/>
      <c r="K853" s="130" t="str">
        <f>IF('SIG 2021'!$AM856="","",'SIG 2021'!$AM856)</f>
        <v/>
      </c>
      <c r="L853" s="130" t="str">
        <f>IF('SIG 2021'!$AN856="","",'SIG 2021'!$AN856)</f>
        <v/>
      </c>
      <c r="M853" s="130" t="str">
        <f>IF('SIG 2021'!$AO856="","",'SIG 2021'!$AO856)</f>
        <v/>
      </c>
    </row>
    <row r="854" spans="1:13" ht="43.2" x14ac:dyDescent="0.5">
      <c r="A854" s="130">
        <v>5915</v>
      </c>
      <c r="B854" s="130" t="s">
        <v>2888</v>
      </c>
      <c r="C854" s="130" t="s">
        <v>2889</v>
      </c>
      <c r="D854" s="130" t="str">
        <f>IF('SIG 2021'!$D857="","",'SIG 2021'!$D857)</f>
        <v>Yes</v>
      </c>
      <c r="E854" s="130" t="str">
        <f>IF('SIG 2021'!$E857="","",'SIG 2021'!$E857)</f>
        <v/>
      </c>
      <c r="F854" s="130" t="str">
        <f>IF('SIG 2021'!$F857="","",'SIG 2021'!F857)</f>
        <v/>
      </c>
      <c r="G854" s="130" t="s">
        <v>2885</v>
      </c>
      <c r="H854" s="130" t="s">
        <v>2702</v>
      </c>
      <c r="I854" s="130" t="s">
        <v>2717</v>
      </c>
      <c r="J854" s="130"/>
      <c r="K854" s="130" t="str">
        <f>IF('SIG 2021'!$AM857="","",'SIG 2021'!$AM857)</f>
        <v/>
      </c>
      <c r="L854" s="130" t="str">
        <f>IF('SIG 2021'!$AN857="","",'SIG 2021'!$AN857)</f>
        <v/>
      </c>
      <c r="M854" s="130" t="str">
        <f>IF('SIG 2021'!$AO857="","",'SIG 2021'!$AO857)</f>
        <v/>
      </c>
    </row>
    <row r="855" spans="1:13" ht="57.6" x14ac:dyDescent="0.5">
      <c r="A855" s="130">
        <v>4510</v>
      </c>
      <c r="B855" s="130" t="s">
        <v>2890</v>
      </c>
      <c r="C855" s="130" t="s">
        <v>2891</v>
      </c>
      <c r="D855" s="130" t="str">
        <f>IF('SIG 2021'!$D858="","",'SIG 2021'!$D858)</f>
        <v>Yes</v>
      </c>
      <c r="E855" s="130" t="str">
        <f>IF('SIG 2021'!$E858="","",'SIG 2021'!$E858)</f>
        <v/>
      </c>
      <c r="F855" s="130" t="str">
        <f>IF('SIG 2021'!$F858="","",'SIG 2021'!F858)</f>
        <v/>
      </c>
      <c r="G855" s="130" t="s">
        <v>2885</v>
      </c>
      <c r="H855" s="130" t="s">
        <v>2892</v>
      </c>
      <c r="I855" s="130" t="s">
        <v>2717</v>
      </c>
      <c r="J855" s="130"/>
      <c r="K855" s="130" t="str">
        <f>IF('SIG 2021'!$AM858="","",'SIG 2021'!$AM858)</f>
        <v/>
      </c>
      <c r="L855" s="130" t="str">
        <f>IF('SIG 2021'!$AN858="","",'SIG 2021'!$AN858)</f>
        <v/>
      </c>
      <c r="M855" s="130" t="str">
        <f>IF('SIG 2021'!$AO858="","",'SIG 2021'!$AO858)</f>
        <v/>
      </c>
    </row>
    <row r="856" spans="1:13" ht="43.2" x14ac:dyDescent="0.5">
      <c r="A856" s="130">
        <v>5948</v>
      </c>
      <c r="B856" s="130" t="s">
        <v>2893</v>
      </c>
      <c r="C856" s="130" t="s">
        <v>2894</v>
      </c>
      <c r="D856" s="130" t="str">
        <f>IF('SIG 2021'!$D859="","",'SIG 2021'!$D859)</f>
        <v>Yes</v>
      </c>
      <c r="E856" s="130" t="str">
        <f>IF('SIG 2021'!$E859="","",'SIG 2021'!$E859)</f>
        <v/>
      </c>
      <c r="F856" s="130" t="str">
        <f>IF('SIG 2021'!$F859="","",'SIG 2021'!F859)</f>
        <v/>
      </c>
      <c r="G856" s="130" t="s">
        <v>2885</v>
      </c>
      <c r="H856" s="130" t="s">
        <v>2892</v>
      </c>
      <c r="I856" s="130" t="s">
        <v>2717</v>
      </c>
      <c r="J856" s="130"/>
      <c r="K856" s="130" t="str">
        <f>IF('SIG 2021'!$AM859="","",'SIG 2021'!$AM859)</f>
        <v/>
      </c>
      <c r="L856" s="130" t="str">
        <f>IF('SIG 2021'!$AN859="","",'SIG 2021'!$AN859)</f>
        <v/>
      </c>
      <c r="M856" s="130" t="str">
        <f>IF('SIG 2021'!$AO859="","",'SIG 2021'!$AO859)</f>
        <v/>
      </c>
    </row>
    <row r="857" spans="1:13" ht="43.2" x14ac:dyDescent="0.5">
      <c r="A857" s="130">
        <v>4511</v>
      </c>
      <c r="B857" s="130" t="s">
        <v>2895</v>
      </c>
      <c r="C857" s="130" t="s">
        <v>2896</v>
      </c>
      <c r="D857" s="130" t="str">
        <f>IF('SIG 2021'!$D860="","",'SIG 2021'!$D860)</f>
        <v>Yes</v>
      </c>
      <c r="E857" s="130" t="str">
        <f>IF('SIG 2021'!$E860="","",'SIG 2021'!$E860)</f>
        <v/>
      </c>
      <c r="F857" s="130" t="str">
        <f>IF('SIG 2021'!$F860="","",'SIG 2021'!F860)</f>
        <v/>
      </c>
      <c r="G857" s="130" t="s">
        <v>2885</v>
      </c>
      <c r="H857" s="130" t="s">
        <v>2702</v>
      </c>
      <c r="I857" s="130" t="s">
        <v>2717</v>
      </c>
      <c r="J857" s="130"/>
      <c r="K857" s="130" t="str">
        <f>IF('SIG 2021'!$AM860="","",'SIG 2021'!$AM860)</f>
        <v/>
      </c>
      <c r="L857" s="130" t="str">
        <f>IF('SIG 2021'!$AN860="","",'SIG 2021'!$AN860)</f>
        <v/>
      </c>
      <c r="M857" s="130" t="str">
        <f>IF('SIG 2021'!$AO860="","",'SIG 2021'!$AO860)</f>
        <v/>
      </c>
    </row>
    <row r="858" spans="1:13" ht="57.6" x14ac:dyDescent="0.5">
      <c r="A858" s="130">
        <v>4512</v>
      </c>
      <c r="B858" s="130" t="s">
        <v>2897</v>
      </c>
      <c r="C858" s="130" t="s">
        <v>2898</v>
      </c>
      <c r="D858" s="130" t="str">
        <f>IF('SIG 2021'!$D861="","",'SIG 2021'!$D861)</f>
        <v>Yes</v>
      </c>
      <c r="E858" s="130" t="str">
        <f>IF('SIG 2021'!$E861="","",'SIG 2021'!$E861)</f>
        <v/>
      </c>
      <c r="F858" s="130" t="str">
        <f>IF('SIG 2021'!$F861="","",'SIG 2021'!F861)</f>
        <v/>
      </c>
      <c r="G858" s="130" t="s">
        <v>2885</v>
      </c>
      <c r="H858" s="130" t="s">
        <v>2716</v>
      </c>
      <c r="I858" s="130" t="s">
        <v>2717</v>
      </c>
      <c r="J858" s="130"/>
      <c r="K858" s="130" t="str">
        <f>IF('SIG 2021'!$AM861="","",'SIG 2021'!$AM861)</f>
        <v/>
      </c>
      <c r="L858" s="130" t="str">
        <f>IF('SIG 2021'!$AN861="","",'SIG 2021'!$AN861)</f>
        <v/>
      </c>
      <c r="M858" s="130" t="str">
        <f>IF('SIG 2021'!$AO861="","",'SIG 2021'!$AO861)</f>
        <v/>
      </c>
    </row>
    <row r="859" spans="1:13" ht="43.2" x14ac:dyDescent="0.5">
      <c r="A859" s="130">
        <v>3692</v>
      </c>
      <c r="B859" s="130" t="s">
        <v>2899</v>
      </c>
      <c r="C859" s="130" t="s">
        <v>2900</v>
      </c>
      <c r="D859" s="130" t="str">
        <f>IF('SIG 2021'!$D862="","",'SIG 2021'!$D862)</f>
        <v>Yes</v>
      </c>
      <c r="E859" s="130" t="str">
        <f>IF('SIG 2021'!$E862="","",'SIG 2021'!$E862)</f>
        <v/>
      </c>
      <c r="F859" s="130" t="str">
        <f>IF('SIG 2021'!$F862="","",'SIG 2021'!F862)</f>
        <v/>
      </c>
      <c r="G859" s="130" t="s">
        <v>2885</v>
      </c>
      <c r="H859" s="130" t="s">
        <v>2702</v>
      </c>
      <c r="I859" s="130" t="s">
        <v>2717</v>
      </c>
      <c r="J859" s="130"/>
      <c r="K859" s="130" t="str">
        <f>IF('SIG 2021'!$AM862="","",'SIG 2021'!$AM862)</f>
        <v/>
      </c>
      <c r="L859" s="130" t="str">
        <f>IF('SIG 2021'!$AN862="","",'SIG 2021'!$AN862)</f>
        <v/>
      </c>
      <c r="M859" s="130" t="str">
        <f>IF('SIG 2021'!$AO862="","",'SIG 2021'!$AO862)</f>
        <v/>
      </c>
    </row>
    <row r="860" spans="1:13" ht="43.2" x14ac:dyDescent="0.5">
      <c r="A860" s="130">
        <v>4513</v>
      </c>
      <c r="B860" s="130" t="s">
        <v>2901</v>
      </c>
      <c r="C860" s="130" t="s">
        <v>2902</v>
      </c>
      <c r="D860" s="130" t="str">
        <f>IF('SIG 2021'!$D863="","",'SIG 2021'!$D863)</f>
        <v>Yes</v>
      </c>
      <c r="E860" s="130" t="str">
        <f>IF('SIG 2021'!$E863="","",'SIG 2021'!$E863)</f>
        <v/>
      </c>
      <c r="F860" s="130" t="str">
        <f>IF('SIG 2021'!$F863="","",'SIG 2021'!F863)</f>
        <v/>
      </c>
      <c r="G860" s="130" t="s">
        <v>2885</v>
      </c>
      <c r="H860" s="130" t="s">
        <v>2702</v>
      </c>
      <c r="I860" s="130" t="s">
        <v>2717</v>
      </c>
      <c r="J860" s="130"/>
      <c r="K860" s="130" t="str">
        <f>IF('SIG 2021'!$AM863="","",'SIG 2021'!$AM863)</f>
        <v/>
      </c>
      <c r="L860" s="130" t="str">
        <f>IF('SIG 2021'!$AN863="","",'SIG 2021'!$AN863)</f>
        <v/>
      </c>
      <c r="M860" s="130" t="str">
        <f>IF('SIG 2021'!$AO863="","",'SIG 2021'!$AO863)</f>
        <v/>
      </c>
    </row>
    <row r="861" spans="1:13" ht="57.6" x14ac:dyDescent="0.5">
      <c r="A861" s="130">
        <v>4945</v>
      </c>
      <c r="B861" s="130" t="s">
        <v>402</v>
      </c>
      <c r="C861" s="130" t="s">
        <v>2903</v>
      </c>
      <c r="D861" s="130" t="str">
        <f>IF('SIG 2021'!$D864="","",'SIG 2021'!$D864)</f>
        <v>Yes</v>
      </c>
      <c r="E861" s="130" t="str">
        <f>IF('SIG 2021'!$E864="","",'SIG 2021'!$E864)</f>
        <v/>
      </c>
      <c r="F861" s="130" t="str">
        <f>IF('SIG 2021'!$F864="","",'SIG 2021'!F864)</f>
        <v/>
      </c>
      <c r="G861" s="130" t="s">
        <v>2904</v>
      </c>
      <c r="H861" s="130" t="s">
        <v>2905</v>
      </c>
      <c r="I861" s="130" t="s">
        <v>2717</v>
      </c>
      <c r="J861" s="130"/>
      <c r="K861" s="130" t="str">
        <f>IF('SIG 2021'!$AM864="","",'SIG 2021'!$AM864)</f>
        <v/>
      </c>
      <c r="L861" s="130" t="str">
        <f>IF('SIG 2021'!$AN864="","",'SIG 2021'!$AN864)</f>
        <v/>
      </c>
      <c r="M861" s="130" t="str">
        <f>IF('SIG 2021'!$AO864="","",'SIG 2021'!$AO864)</f>
        <v/>
      </c>
    </row>
    <row r="862" spans="1:13" ht="57.6" x14ac:dyDescent="0.5">
      <c r="A862" s="130">
        <v>4515</v>
      </c>
      <c r="B862" s="130" t="s">
        <v>2906</v>
      </c>
      <c r="C862" s="130" t="s">
        <v>2907</v>
      </c>
      <c r="D862" s="130" t="str">
        <f>IF('SIG 2021'!$D865="","",'SIG 2021'!$D865)</f>
        <v>Yes</v>
      </c>
      <c r="E862" s="130" t="str">
        <f>IF('SIG 2021'!$E865="","",'SIG 2021'!$E865)</f>
        <v/>
      </c>
      <c r="F862" s="130" t="str">
        <f>IF('SIG 2021'!$F865="","",'SIG 2021'!F865)</f>
        <v/>
      </c>
      <c r="G862" s="130" t="s">
        <v>2904</v>
      </c>
      <c r="H862" s="130" t="s">
        <v>2908</v>
      </c>
      <c r="I862" s="130" t="s">
        <v>2759</v>
      </c>
      <c r="J862" s="130"/>
      <c r="K862" s="130" t="str">
        <f>IF('SIG 2021'!$AM865="","",'SIG 2021'!$AM865)</f>
        <v/>
      </c>
      <c r="L862" s="130" t="str">
        <f>IF('SIG 2021'!$AN865="","",'SIG 2021'!$AN865)</f>
        <v/>
      </c>
      <c r="M862" s="130" t="str">
        <f>IF('SIG 2021'!$AO865="","",'SIG 2021'!$AO865)</f>
        <v/>
      </c>
    </row>
    <row r="863" spans="1:13" ht="72" x14ac:dyDescent="0.5">
      <c r="A863" s="130">
        <v>4516</v>
      </c>
      <c r="B863" s="130" t="s">
        <v>2909</v>
      </c>
      <c r="C863" s="130" t="s">
        <v>2910</v>
      </c>
      <c r="D863" s="130" t="str">
        <f>IF('SIG 2021'!$D866="","",'SIG 2021'!$D866)</f>
        <v>Yes</v>
      </c>
      <c r="E863" s="130" t="str">
        <f>IF('SIG 2021'!$E866="","",'SIG 2021'!$E866)</f>
        <v/>
      </c>
      <c r="F863" s="130" t="str">
        <f>IF('SIG 2021'!$F866="","",'SIG 2021'!F866)</f>
        <v/>
      </c>
      <c r="G863" s="130" t="s">
        <v>2904</v>
      </c>
      <c r="H863" s="130" t="s">
        <v>2911</v>
      </c>
      <c r="I863" s="130" t="s">
        <v>2717</v>
      </c>
      <c r="J863" s="130"/>
      <c r="K863" s="130" t="str">
        <f>IF('SIG 2021'!$AM866="","",'SIG 2021'!$AM866)</f>
        <v/>
      </c>
      <c r="L863" s="130" t="str">
        <f>IF('SIG 2021'!$AN866="","",'SIG 2021'!$AN866)</f>
        <v/>
      </c>
      <c r="M863" s="130" t="str">
        <f>IF('SIG 2021'!$AO866="","",'SIG 2021'!$AO866)</f>
        <v/>
      </c>
    </row>
    <row r="864" spans="1:13" ht="72" x14ac:dyDescent="0.5">
      <c r="A864" s="130">
        <v>4946</v>
      </c>
      <c r="B864" s="130" t="s">
        <v>2912</v>
      </c>
      <c r="C864" s="130" t="s">
        <v>2913</v>
      </c>
      <c r="D864" s="130" t="str">
        <f>IF('SIG 2021'!$D867="","",'SIG 2021'!$D867)</f>
        <v>Yes</v>
      </c>
      <c r="E864" s="130" t="str">
        <f>IF('SIG 2021'!$E867="","",'SIG 2021'!$E867)</f>
        <v/>
      </c>
      <c r="F864" s="130" t="str">
        <f>IF('SIG 2021'!$F867="","",'SIG 2021'!F867)</f>
        <v/>
      </c>
      <c r="G864" s="130" t="s">
        <v>2904</v>
      </c>
      <c r="H864" s="130" t="s">
        <v>2914</v>
      </c>
      <c r="I864" s="130" t="s">
        <v>2759</v>
      </c>
      <c r="J864" s="130"/>
      <c r="K864" s="130" t="str">
        <f>IF('SIG 2021'!$AM867="","",'SIG 2021'!$AM867)</f>
        <v/>
      </c>
      <c r="L864" s="130" t="str">
        <f>IF('SIG 2021'!$AN867="","",'SIG 2021'!$AN867)</f>
        <v/>
      </c>
      <c r="M864" s="130" t="str">
        <f>IF('SIG 2021'!$AO867="","",'SIG 2021'!$AO867)</f>
        <v/>
      </c>
    </row>
    <row r="865" spans="1:13" ht="72" x14ac:dyDescent="0.5">
      <c r="A865" s="130">
        <v>4947</v>
      </c>
      <c r="B865" s="130" t="s">
        <v>2915</v>
      </c>
      <c r="C865" s="130" t="s">
        <v>2916</v>
      </c>
      <c r="D865" s="130" t="str">
        <f>IF('SIG 2021'!$D868="","",'SIG 2021'!$D868)</f>
        <v>Yes</v>
      </c>
      <c r="E865" s="130" t="str">
        <f>IF('SIG 2021'!$E868="","",'SIG 2021'!$E868)</f>
        <v>Included in Data Protection Agreements (DPA).</v>
      </c>
      <c r="F865" s="130" t="str">
        <f>IF('SIG 2021'!$F868="","",'SIG 2021'!F868)</f>
        <v/>
      </c>
      <c r="G865" s="130" t="s">
        <v>2904</v>
      </c>
      <c r="H865" s="130" t="s">
        <v>2905</v>
      </c>
      <c r="I865" s="130" t="s">
        <v>2717</v>
      </c>
      <c r="J865" s="130"/>
      <c r="K865" s="130" t="str">
        <f>IF('SIG 2021'!$AM868="","",'SIG 2021'!$AM868)</f>
        <v/>
      </c>
      <c r="L865" s="130" t="str">
        <f>IF('SIG 2021'!$AN868="","",'SIG 2021'!$AN868)</f>
        <v/>
      </c>
      <c r="M865" s="130" t="str">
        <f>IF('SIG 2021'!$AO868="","",'SIG 2021'!$AO868)</f>
        <v/>
      </c>
    </row>
    <row r="866" spans="1:13" ht="57.6" x14ac:dyDescent="0.5">
      <c r="A866" s="130">
        <v>4948</v>
      </c>
      <c r="B866" s="130" t="s">
        <v>2918</v>
      </c>
      <c r="C866" s="130" t="s">
        <v>2919</v>
      </c>
      <c r="D866" s="130" t="str">
        <f>IF('SIG 2021'!$D869="","",'SIG 2021'!$D869)</f>
        <v>Yes</v>
      </c>
      <c r="E866" s="130" t="str">
        <f>IF('SIG 2021'!$E869="","",'SIG 2021'!$E869)</f>
        <v/>
      </c>
      <c r="F866" s="130" t="str">
        <f>IF('SIG 2021'!$F869="","",'SIG 2021'!F869)</f>
        <v/>
      </c>
      <c r="G866" s="130" t="s">
        <v>2904</v>
      </c>
      <c r="H866" s="130" t="s">
        <v>2905</v>
      </c>
      <c r="I866" s="130" t="s">
        <v>2717</v>
      </c>
      <c r="J866" s="130"/>
      <c r="K866" s="130" t="str">
        <f>IF('SIG 2021'!$AM869="","",'SIG 2021'!$AM869)</f>
        <v/>
      </c>
      <c r="L866" s="130" t="str">
        <f>IF('SIG 2021'!$AN869="","",'SIG 2021'!$AN869)</f>
        <v/>
      </c>
      <c r="M866" s="130" t="str">
        <f>IF('SIG 2021'!$AO869="","",'SIG 2021'!$AO869)</f>
        <v/>
      </c>
    </row>
    <row r="867" spans="1:13" ht="57.6" x14ac:dyDescent="0.5">
      <c r="A867" s="130">
        <v>4949</v>
      </c>
      <c r="B867" s="130" t="s">
        <v>2920</v>
      </c>
      <c r="C867" s="130" t="s">
        <v>2921</v>
      </c>
      <c r="D867" s="130" t="str">
        <f>IF('SIG 2021'!$D870="","",'SIG 2021'!$D870)</f>
        <v>Yes</v>
      </c>
      <c r="E867" s="130" t="str">
        <f>IF('SIG 2021'!$E870="","",'SIG 2021'!$E870)</f>
        <v/>
      </c>
      <c r="F867" s="130" t="str">
        <f>IF('SIG 2021'!$F870="","",'SIG 2021'!F870)</f>
        <v/>
      </c>
      <c r="G867" s="130" t="s">
        <v>2904</v>
      </c>
      <c r="H867" s="130" t="s">
        <v>2905</v>
      </c>
      <c r="I867" s="130" t="s">
        <v>2717</v>
      </c>
      <c r="J867" s="130"/>
      <c r="K867" s="130" t="str">
        <f>IF('SIG 2021'!$AM870="","",'SIG 2021'!$AM870)</f>
        <v/>
      </c>
      <c r="L867" s="130" t="str">
        <f>IF('SIG 2021'!$AN870="","",'SIG 2021'!$AN870)</f>
        <v/>
      </c>
      <c r="M867" s="130" t="str">
        <f>IF('SIG 2021'!$AO870="","",'SIG 2021'!$AO870)</f>
        <v/>
      </c>
    </row>
    <row r="868" spans="1:13" ht="43.2" x14ac:dyDescent="0.5">
      <c r="A868" s="130">
        <v>4950</v>
      </c>
      <c r="B868" s="130" t="s">
        <v>2922</v>
      </c>
      <c r="C868" s="130" t="s">
        <v>2923</v>
      </c>
      <c r="D868" s="130" t="str">
        <f>IF('SIG 2021'!$D871="","",'SIG 2021'!$D871)</f>
        <v>Yes</v>
      </c>
      <c r="E868" s="130" t="str">
        <f>IF('SIG 2021'!$E871="","",'SIG 2021'!$E871)</f>
        <v/>
      </c>
      <c r="F868" s="130" t="str">
        <f>IF('SIG 2021'!$F871="","",'SIG 2021'!F871)</f>
        <v/>
      </c>
      <c r="G868" s="130" t="s">
        <v>2904</v>
      </c>
      <c r="H868" s="130" t="s">
        <v>2905</v>
      </c>
      <c r="I868" s="130" t="s">
        <v>2717</v>
      </c>
      <c r="J868" s="130"/>
      <c r="K868" s="130" t="str">
        <f>IF('SIG 2021'!$AM871="","",'SIG 2021'!$AM871)</f>
        <v/>
      </c>
      <c r="L868" s="130" t="str">
        <f>IF('SIG 2021'!$AN871="","",'SIG 2021'!$AN871)</f>
        <v/>
      </c>
      <c r="M868" s="130" t="str">
        <f>IF('SIG 2021'!$AO871="","",'SIG 2021'!$AO871)</f>
        <v/>
      </c>
    </row>
    <row r="869" spans="1:13" ht="57.6" x14ac:dyDescent="0.5">
      <c r="A869" s="130">
        <v>4951</v>
      </c>
      <c r="B869" s="130" t="s">
        <v>2924</v>
      </c>
      <c r="C869" s="130" t="s">
        <v>2925</v>
      </c>
      <c r="D869" s="130" t="str">
        <f>IF('SIG 2021'!$D872="","",'SIG 2021'!$D872)</f>
        <v>Yes</v>
      </c>
      <c r="E869" s="130" t="str">
        <f>IF('SIG 2021'!$E872="","",'SIG 2021'!$E872)</f>
        <v/>
      </c>
      <c r="F869" s="130" t="str">
        <f>IF('SIG 2021'!$F872="","",'SIG 2021'!F872)</f>
        <v/>
      </c>
      <c r="G869" s="130" t="s">
        <v>2904</v>
      </c>
      <c r="H869" s="130" t="s">
        <v>2905</v>
      </c>
      <c r="I869" s="130" t="s">
        <v>2717</v>
      </c>
      <c r="J869" s="130"/>
      <c r="K869" s="130" t="str">
        <f>IF('SIG 2021'!$AM872="","",'SIG 2021'!$AM872)</f>
        <v/>
      </c>
      <c r="L869" s="130" t="str">
        <f>IF('SIG 2021'!$AN872="","",'SIG 2021'!$AN872)</f>
        <v/>
      </c>
      <c r="M869" s="130" t="str">
        <f>IF('SIG 2021'!$AO872="","",'SIG 2021'!$AO872)</f>
        <v/>
      </c>
    </row>
    <row r="870" spans="1:13" ht="43.2" x14ac:dyDescent="0.5">
      <c r="A870" s="130">
        <v>5917</v>
      </c>
      <c r="B870" s="130" t="s">
        <v>2926</v>
      </c>
      <c r="C870" s="130" t="s">
        <v>2927</v>
      </c>
      <c r="D870" s="130" t="str">
        <f>IF('SIG 2021'!$D873="","",'SIG 2021'!$D873)</f>
        <v>Yes</v>
      </c>
      <c r="E870" s="130" t="str">
        <f>IF('SIG 2021'!$E873="","",'SIG 2021'!$E873)</f>
        <v/>
      </c>
      <c r="F870" s="130" t="str">
        <f>IF('SIG 2021'!$F873="","",'SIG 2021'!F873)</f>
        <v/>
      </c>
      <c r="G870" s="130" t="s">
        <v>2904</v>
      </c>
      <c r="H870" s="130" t="s">
        <v>2905</v>
      </c>
      <c r="I870" s="130" t="s">
        <v>2708</v>
      </c>
      <c r="J870" s="130"/>
      <c r="K870" s="130" t="str">
        <f>IF('SIG 2021'!$AM873="","",'SIG 2021'!$AM873)</f>
        <v/>
      </c>
      <c r="L870" s="130" t="str">
        <f>IF('SIG 2021'!$AN873="","",'SIG 2021'!$AN873)</f>
        <v/>
      </c>
      <c r="M870" s="130" t="str">
        <f>IF('SIG 2021'!$AO873="","",'SIG 2021'!$AO873)</f>
        <v/>
      </c>
    </row>
    <row r="871" spans="1:13" ht="43.2" x14ac:dyDescent="0.5">
      <c r="A871" s="130">
        <v>5918</v>
      </c>
      <c r="B871" s="130" t="s">
        <v>2928</v>
      </c>
      <c r="C871" s="130" t="s">
        <v>2929</v>
      </c>
      <c r="D871" s="130" t="str">
        <f>IF('SIG 2021'!$D874="","",'SIG 2021'!$D874)</f>
        <v>Yes</v>
      </c>
      <c r="E871" s="130" t="str">
        <f>IF('SIG 2021'!$E874="","",'SIG 2021'!$E874)</f>
        <v/>
      </c>
      <c r="F871" s="130" t="str">
        <f>IF('SIG 2021'!$F874="","",'SIG 2021'!F874)</f>
        <v/>
      </c>
      <c r="G871" s="130" t="s">
        <v>2904</v>
      </c>
      <c r="H871" s="130" t="s">
        <v>2905</v>
      </c>
      <c r="I871" s="130" t="s">
        <v>2708</v>
      </c>
      <c r="J871" s="130"/>
      <c r="K871" s="130" t="str">
        <f>IF('SIG 2021'!$AM874="","",'SIG 2021'!$AM874)</f>
        <v/>
      </c>
      <c r="L871" s="130" t="str">
        <f>IF('SIG 2021'!$AN874="","",'SIG 2021'!$AN874)</f>
        <v/>
      </c>
      <c r="M871" s="130" t="str">
        <f>IF('SIG 2021'!$AO874="","",'SIG 2021'!$AO874)</f>
        <v/>
      </c>
    </row>
    <row r="872" spans="1:13" ht="43.2" x14ac:dyDescent="0.5">
      <c r="A872" s="130">
        <v>4952</v>
      </c>
      <c r="B872" s="130" t="s">
        <v>404</v>
      </c>
      <c r="C872" s="130" t="s">
        <v>2930</v>
      </c>
      <c r="D872" s="130" t="str">
        <f>IF('SIG 2021'!$D875="","",'SIG 2021'!$D875)</f>
        <v>Yes</v>
      </c>
      <c r="E872" s="130" t="str">
        <f>IF('SIG 2021'!$E875="","",'SIG 2021'!$E875)</f>
        <v>Included in Data Protection Agreements (DPA).</v>
      </c>
      <c r="F872" s="130" t="str">
        <f>IF('SIG 2021'!$F875="","",'SIG 2021'!F875)</f>
        <v/>
      </c>
      <c r="G872" s="130" t="s">
        <v>2931</v>
      </c>
      <c r="H872" s="130" t="s">
        <v>2749</v>
      </c>
      <c r="I872" s="130" t="s">
        <v>2759</v>
      </c>
      <c r="J872" s="130"/>
      <c r="K872" s="130" t="str">
        <f>IF('SIG 2021'!$AM875="","",'SIG 2021'!$AM875)</f>
        <v/>
      </c>
      <c r="L872" s="130" t="str">
        <f>IF('SIG 2021'!$AN875="","",'SIG 2021'!$AN875)</f>
        <v/>
      </c>
      <c r="M872" s="130" t="str">
        <f>IF('SIG 2021'!$AO875="","",'SIG 2021'!$AO875)</f>
        <v/>
      </c>
    </row>
    <row r="873" spans="1:13" ht="86.4" x14ac:dyDescent="0.5">
      <c r="A873" s="130">
        <v>4953</v>
      </c>
      <c r="B873" s="130" t="s">
        <v>2932</v>
      </c>
      <c r="C873" s="130" t="s">
        <v>2933</v>
      </c>
      <c r="D873" s="130" t="str">
        <f>IF('SIG 2021'!$D876="","",'SIG 2021'!$D876)</f>
        <v>Yes</v>
      </c>
      <c r="E873" s="130" t="str">
        <f>IF('SIG 2021'!$E876="","",'SIG 2021'!$E876)</f>
        <v/>
      </c>
      <c r="F873" s="130" t="str">
        <f>IF('SIG 2021'!$F876="","",'SIG 2021'!F876)</f>
        <v/>
      </c>
      <c r="G873" s="130" t="s">
        <v>2931</v>
      </c>
      <c r="H873" s="130" t="s">
        <v>2749</v>
      </c>
      <c r="I873" s="130" t="s">
        <v>2708</v>
      </c>
      <c r="J873" s="130"/>
      <c r="K873" s="130" t="str">
        <f>IF('SIG 2021'!$AM876="","",'SIG 2021'!$AM876)</f>
        <v/>
      </c>
      <c r="L873" s="130" t="str">
        <f>IF('SIG 2021'!$AN876="","",'SIG 2021'!$AN876)</f>
        <v/>
      </c>
      <c r="M873" s="130" t="str">
        <f>IF('SIG 2021'!$AO876="","",'SIG 2021'!$AO876)</f>
        <v/>
      </c>
    </row>
    <row r="874" spans="1:13" ht="72" x14ac:dyDescent="0.5">
      <c r="A874" s="130">
        <v>5659</v>
      </c>
      <c r="B874" s="130" t="s">
        <v>2934</v>
      </c>
      <c r="C874" s="130" t="s">
        <v>2935</v>
      </c>
      <c r="D874" s="130" t="str">
        <f>IF('SIG 2021'!$D877="","",'SIG 2021'!$D877)</f>
        <v>Yes</v>
      </c>
      <c r="E874" s="130" t="str">
        <f>IF('SIG 2021'!$E877="","",'SIG 2021'!$E877)</f>
        <v/>
      </c>
      <c r="F874" s="130" t="str">
        <f>IF('SIG 2021'!$F877="","",'SIG 2021'!F877)</f>
        <v/>
      </c>
      <c r="G874" s="130" t="s">
        <v>2931</v>
      </c>
      <c r="H874" s="130" t="s">
        <v>2707</v>
      </c>
      <c r="I874" s="130" t="s">
        <v>2708</v>
      </c>
      <c r="J874" s="130"/>
      <c r="K874" s="130" t="str">
        <f>IF('SIG 2021'!$AM877="","",'SIG 2021'!$AM877)</f>
        <v/>
      </c>
      <c r="L874" s="130" t="str">
        <f>IF('SIG 2021'!$AN877="","",'SIG 2021'!$AN877)</f>
        <v/>
      </c>
      <c r="M874" s="130" t="str">
        <f>IF('SIG 2021'!$AO877="","",'SIG 2021'!$AO877)</f>
        <v/>
      </c>
    </row>
    <row r="875" spans="1:13" ht="72" x14ac:dyDescent="0.5">
      <c r="A875" s="130">
        <v>4567</v>
      </c>
      <c r="B875" s="130" t="s">
        <v>2936</v>
      </c>
      <c r="C875" s="130" t="s">
        <v>2937</v>
      </c>
      <c r="D875" s="130" t="str">
        <f>IF('SIG 2021'!$D878="","",'SIG 2021'!$D878)</f>
        <v>Yes</v>
      </c>
      <c r="E875" s="130" t="str">
        <f>IF('SIG 2021'!$E878="","",'SIG 2021'!$E878)</f>
        <v/>
      </c>
      <c r="F875" s="130" t="str">
        <f>IF('SIG 2021'!$F878="","",'SIG 2021'!F878)</f>
        <v/>
      </c>
      <c r="G875" s="130" t="s">
        <v>2931</v>
      </c>
      <c r="H875" s="130" t="s">
        <v>2707</v>
      </c>
      <c r="I875" s="130" t="s">
        <v>2708</v>
      </c>
      <c r="J875" s="130"/>
      <c r="K875" s="130" t="str">
        <f>IF('SIG 2021'!$AM878="","",'SIG 2021'!$AM878)</f>
        <v/>
      </c>
      <c r="L875" s="130" t="str">
        <f>IF('SIG 2021'!$AN878="","",'SIG 2021'!$AN878)</f>
        <v/>
      </c>
      <c r="M875" s="130" t="str">
        <f>IF('SIG 2021'!$AO878="","",'SIG 2021'!$AO878)</f>
        <v/>
      </c>
    </row>
    <row r="876" spans="1:13" ht="72" x14ac:dyDescent="0.5">
      <c r="A876" s="130">
        <v>4568</v>
      </c>
      <c r="B876" s="130" t="s">
        <v>2938</v>
      </c>
      <c r="C876" s="130" t="s">
        <v>2939</v>
      </c>
      <c r="D876" s="130" t="str">
        <f>IF('SIG 2021'!$D879="","",'SIG 2021'!$D879)</f>
        <v>Yes</v>
      </c>
      <c r="E876" s="130" t="str">
        <f>IF('SIG 2021'!$E879="","",'SIG 2021'!$E879)</f>
        <v>Included in Data Protection Agreements (DPA).</v>
      </c>
      <c r="F876" s="130" t="str">
        <f>IF('SIG 2021'!$F879="","",'SIG 2021'!F879)</f>
        <v/>
      </c>
      <c r="G876" s="130" t="s">
        <v>2931</v>
      </c>
      <c r="H876" s="130" t="s">
        <v>2905</v>
      </c>
      <c r="I876" s="130" t="s">
        <v>2708</v>
      </c>
      <c r="J876" s="130"/>
      <c r="K876" s="130" t="str">
        <f>IF('SIG 2021'!$AM879="","",'SIG 2021'!$AM879)</f>
        <v/>
      </c>
      <c r="L876" s="130" t="str">
        <f>IF('SIG 2021'!$AN879="","",'SIG 2021'!$AN879)</f>
        <v/>
      </c>
      <c r="M876" s="130" t="str">
        <f>IF('SIG 2021'!$AO879="","",'SIG 2021'!$AO879)</f>
        <v/>
      </c>
    </row>
    <row r="877" spans="1:13" ht="72" x14ac:dyDescent="0.5">
      <c r="A877" s="130">
        <v>4954</v>
      </c>
      <c r="B877" s="130" t="s">
        <v>2940</v>
      </c>
      <c r="C877" s="130" t="s">
        <v>2941</v>
      </c>
      <c r="D877" s="130" t="str">
        <f>IF('SIG 2021'!$D880="","",'SIG 2021'!$D880)</f>
        <v>Yes</v>
      </c>
      <c r="E877" s="130" t="str">
        <f>IF('SIG 2021'!$E880="","",'SIG 2021'!$E880)</f>
        <v/>
      </c>
      <c r="F877" s="130" t="str">
        <f>IF('SIG 2021'!$F880="","",'SIG 2021'!F880)</f>
        <v/>
      </c>
      <c r="G877" s="130" t="s">
        <v>2931</v>
      </c>
      <c r="H877" s="130" t="s">
        <v>2942</v>
      </c>
      <c r="I877" s="130" t="s">
        <v>2708</v>
      </c>
      <c r="J877" s="130"/>
      <c r="K877" s="130" t="str">
        <f>IF('SIG 2021'!$AM880="","",'SIG 2021'!$AM880)</f>
        <v/>
      </c>
      <c r="L877" s="130" t="str">
        <f>IF('SIG 2021'!$AN880="","",'SIG 2021'!$AN880)</f>
        <v/>
      </c>
      <c r="M877" s="130" t="str">
        <f>IF('SIG 2021'!$AO880="","",'SIG 2021'!$AO880)</f>
        <v/>
      </c>
    </row>
    <row r="878" spans="1:13" ht="43.2" x14ac:dyDescent="0.5">
      <c r="A878" s="130">
        <v>4569</v>
      </c>
      <c r="B878" s="130" t="s">
        <v>2943</v>
      </c>
      <c r="C878" s="130" t="s">
        <v>2944</v>
      </c>
      <c r="D878" s="130" t="str">
        <f>IF('SIG 2021'!$D881="","",'SIG 2021'!$D881)</f>
        <v>Yes</v>
      </c>
      <c r="E878" s="130" t="str">
        <f>IF('SIG 2021'!$E881="","",'SIG 2021'!$E881)</f>
        <v/>
      </c>
      <c r="F878" s="130" t="str">
        <f>IF('SIG 2021'!$F881="","",'SIG 2021'!F881)</f>
        <v/>
      </c>
      <c r="G878" s="130" t="s">
        <v>2931</v>
      </c>
      <c r="H878" s="130" t="s">
        <v>2749</v>
      </c>
      <c r="I878" s="130" t="s">
        <v>2708</v>
      </c>
      <c r="J878" s="130"/>
      <c r="K878" s="130" t="str">
        <f>IF('SIG 2021'!$AM881="","",'SIG 2021'!$AM881)</f>
        <v/>
      </c>
      <c r="L878" s="130" t="str">
        <f>IF('SIG 2021'!$AN881="","",'SIG 2021'!$AN881)</f>
        <v/>
      </c>
      <c r="M878" s="130" t="str">
        <f>IF('SIG 2021'!$AO881="","",'SIG 2021'!$AO881)</f>
        <v/>
      </c>
    </row>
    <row r="879" spans="1:13" ht="43.2" x14ac:dyDescent="0.5">
      <c r="A879" s="130">
        <v>4570</v>
      </c>
      <c r="B879" s="130" t="s">
        <v>2945</v>
      </c>
      <c r="C879" s="130" t="s">
        <v>2946</v>
      </c>
      <c r="D879" s="130" t="str">
        <f>IF('SIG 2021'!$D882="","",'SIG 2021'!$D882)</f>
        <v>Yes</v>
      </c>
      <c r="E879" s="130" t="str">
        <f>IF('SIG 2021'!$E882="","",'SIG 2021'!$E882)</f>
        <v>Included in contracts with the customer.</v>
      </c>
      <c r="F879" s="130" t="str">
        <f>IF('SIG 2021'!$F882="","",'SIG 2021'!F882)</f>
        <v/>
      </c>
      <c r="G879" s="130" t="s">
        <v>2931</v>
      </c>
      <c r="H879" s="130" t="s">
        <v>2707</v>
      </c>
      <c r="I879" s="130" t="s">
        <v>2708</v>
      </c>
      <c r="J879" s="130"/>
      <c r="K879" s="130" t="str">
        <f>IF('SIG 2021'!$AM882="","",'SIG 2021'!$AM882)</f>
        <v/>
      </c>
      <c r="L879" s="130" t="str">
        <f>IF('SIG 2021'!$AN882="","",'SIG 2021'!$AN882)</f>
        <v/>
      </c>
      <c r="M879" s="130" t="str">
        <f>IF('SIG 2021'!$AO882="","",'SIG 2021'!$AO882)</f>
        <v/>
      </c>
    </row>
    <row r="880" spans="1:13" ht="72" x14ac:dyDescent="0.5">
      <c r="A880" s="130">
        <v>4571</v>
      </c>
      <c r="B880" s="130" t="s">
        <v>2948</v>
      </c>
      <c r="C880" s="130" t="s">
        <v>2949</v>
      </c>
      <c r="D880" s="130" t="str">
        <f>IF('SIG 2021'!$D883="","",'SIG 2021'!$D883)</f>
        <v>Yes</v>
      </c>
      <c r="E880" s="130" t="str">
        <f>IF('SIG 2021'!$E883="","",'SIG 2021'!$E883)</f>
        <v/>
      </c>
      <c r="F880" s="130" t="str">
        <f>IF('SIG 2021'!$F883="","",'SIG 2021'!F883)</f>
        <v/>
      </c>
      <c r="G880" s="130" t="s">
        <v>2931</v>
      </c>
      <c r="H880" s="130" t="s">
        <v>2707</v>
      </c>
      <c r="I880" s="130" t="s">
        <v>2708</v>
      </c>
      <c r="J880" s="130"/>
      <c r="K880" s="130" t="str">
        <f>IF('SIG 2021'!$AM883="","",'SIG 2021'!$AM883)</f>
        <v/>
      </c>
      <c r="L880" s="130" t="str">
        <f>IF('SIG 2021'!$AN883="","",'SIG 2021'!$AN883)</f>
        <v/>
      </c>
      <c r="M880" s="130" t="str">
        <f>IF('SIG 2021'!$AO883="","",'SIG 2021'!$AO883)</f>
        <v/>
      </c>
    </row>
    <row r="881" spans="1:13" ht="72" x14ac:dyDescent="0.5">
      <c r="A881" s="130">
        <v>4520</v>
      </c>
      <c r="B881" s="130" t="s">
        <v>2950</v>
      </c>
      <c r="C881" s="130" t="s">
        <v>2951</v>
      </c>
      <c r="D881" s="130" t="str">
        <f>IF('SIG 2021'!$D884="","",'SIG 2021'!$D884)</f>
        <v>Yes</v>
      </c>
      <c r="E881" s="130" t="str">
        <f>IF('SIG 2021'!$E884="","",'SIG 2021'!$E884)</f>
        <v>Included in contracts with the customer.</v>
      </c>
      <c r="F881" s="130" t="str">
        <f>IF('SIG 2021'!$F884="","",'SIG 2021'!F884)</f>
        <v/>
      </c>
      <c r="G881" s="130" t="s">
        <v>2931</v>
      </c>
      <c r="H881" s="130" t="s">
        <v>2707</v>
      </c>
      <c r="I881" s="130" t="s">
        <v>2759</v>
      </c>
      <c r="J881" s="130"/>
      <c r="K881" s="130" t="str">
        <f>IF('SIG 2021'!$AM884="","",'SIG 2021'!$AM884)</f>
        <v/>
      </c>
      <c r="L881" s="130" t="str">
        <f>IF('SIG 2021'!$AN884="","",'SIG 2021'!$AN884)</f>
        <v/>
      </c>
      <c r="M881" s="130" t="str">
        <f>IF('SIG 2021'!$AO884="","",'SIG 2021'!$AO884)</f>
        <v/>
      </c>
    </row>
    <row r="882" spans="1:13" ht="57.6" x14ac:dyDescent="0.5">
      <c r="A882" s="130">
        <v>4573</v>
      </c>
      <c r="B882" s="130" t="s">
        <v>2952</v>
      </c>
      <c r="C882" s="130" t="s">
        <v>2953</v>
      </c>
      <c r="D882" s="130" t="str">
        <f>IF('SIG 2021'!$D885="","",'SIG 2021'!$D885)</f>
        <v>Yes</v>
      </c>
      <c r="E882" s="130" t="str">
        <f>IF('SIG 2021'!$E885="","",'SIG 2021'!$E885)</f>
        <v/>
      </c>
      <c r="F882" s="130" t="str">
        <f>IF('SIG 2021'!$F885="","",'SIG 2021'!F885)</f>
        <v/>
      </c>
      <c r="G882" s="130" t="s">
        <v>2931</v>
      </c>
      <c r="H882" s="130" t="s">
        <v>2954</v>
      </c>
      <c r="I882" s="130" t="s">
        <v>2708</v>
      </c>
      <c r="J882" s="130"/>
      <c r="K882" s="130" t="str">
        <f>IF('SIG 2021'!$AM885="","",'SIG 2021'!$AM885)</f>
        <v/>
      </c>
      <c r="L882" s="130" t="str">
        <f>IF('SIG 2021'!$AN885="","",'SIG 2021'!$AN885)</f>
        <v/>
      </c>
      <c r="M882" s="130" t="str">
        <f>IF('SIG 2021'!$AO885="","",'SIG 2021'!$AO885)</f>
        <v/>
      </c>
    </row>
    <row r="883" spans="1:13" ht="57.6" x14ac:dyDescent="0.5">
      <c r="A883" s="130">
        <v>3221</v>
      </c>
      <c r="B883" s="130" t="s">
        <v>405</v>
      </c>
      <c r="C883" s="130" t="s">
        <v>2955</v>
      </c>
      <c r="D883" s="130" t="str">
        <f>IF('SIG 2021'!$D886="","",'SIG 2021'!$D886)</f>
        <v>Yes</v>
      </c>
      <c r="E883" s="130" t="str">
        <f>IF('SIG 2021'!$E886="","",'SIG 2021'!$E886)</f>
        <v/>
      </c>
      <c r="F883" s="130" t="str">
        <f>IF('SIG 2021'!$F886="","",'SIG 2021'!F886)</f>
        <v/>
      </c>
      <c r="G883" s="130" t="s">
        <v>2956</v>
      </c>
      <c r="H883" s="130" t="s">
        <v>2957</v>
      </c>
      <c r="I883" s="130" t="s">
        <v>2840</v>
      </c>
      <c r="J883" s="130"/>
      <c r="K883" s="130" t="str">
        <f>IF('SIG 2021'!$AM886="","",'SIG 2021'!$AM886)</f>
        <v/>
      </c>
      <c r="L883" s="130" t="str">
        <f>IF('SIG 2021'!$AN886="","",'SIG 2021'!$AN886)</f>
        <v/>
      </c>
      <c r="M883" s="130" t="str">
        <f>IF('SIG 2021'!$AO886="","",'SIG 2021'!$AO886)</f>
        <v/>
      </c>
    </row>
    <row r="884" spans="1:13" ht="57.6" x14ac:dyDescent="0.5">
      <c r="A884" s="130">
        <v>4521</v>
      </c>
      <c r="B884" s="130" t="s">
        <v>2958</v>
      </c>
      <c r="C884" s="130" t="s">
        <v>2959</v>
      </c>
      <c r="D884" s="130" t="str">
        <f>IF('SIG 2021'!$D887="","",'SIG 2021'!$D887)</f>
        <v>Yes</v>
      </c>
      <c r="E884" s="130" t="str">
        <f>IF('SIG 2021'!$E887="","",'SIG 2021'!$E887)</f>
        <v/>
      </c>
      <c r="F884" s="130" t="str">
        <f>IF('SIG 2021'!$F887="","",'SIG 2021'!F887)</f>
        <v/>
      </c>
      <c r="G884" s="130" t="s">
        <v>2956</v>
      </c>
      <c r="H884" s="130" t="s">
        <v>2960</v>
      </c>
      <c r="I884" s="130" t="s">
        <v>2840</v>
      </c>
      <c r="J884" s="130"/>
      <c r="K884" s="130" t="str">
        <f>IF('SIG 2021'!$AM887="","",'SIG 2021'!$AM887)</f>
        <v/>
      </c>
      <c r="L884" s="130" t="str">
        <f>IF('SIG 2021'!$AN887="","",'SIG 2021'!$AN887)</f>
        <v/>
      </c>
      <c r="M884" s="130" t="str">
        <f>IF('SIG 2021'!$AO887="","",'SIG 2021'!$AO887)</f>
        <v/>
      </c>
    </row>
    <row r="885" spans="1:13" ht="57.6" x14ac:dyDescent="0.5">
      <c r="A885" s="130">
        <v>4522</v>
      </c>
      <c r="B885" s="130" t="s">
        <v>2961</v>
      </c>
      <c r="C885" s="130" t="s">
        <v>2962</v>
      </c>
      <c r="D885" s="130" t="str">
        <f>IF('SIG 2021'!$D888="","",'SIG 2021'!$D888)</f>
        <v>Yes</v>
      </c>
      <c r="E885" s="130" t="str">
        <f>IF('SIG 2021'!$E888="","",'SIG 2021'!$E888)</f>
        <v/>
      </c>
      <c r="F885" s="130" t="str">
        <f>IF('SIG 2021'!$F888="","",'SIG 2021'!F888)</f>
        <v/>
      </c>
      <c r="G885" s="130" t="s">
        <v>2956</v>
      </c>
      <c r="H885" s="130" t="s">
        <v>2963</v>
      </c>
      <c r="I885" s="130" t="s">
        <v>2856</v>
      </c>
      <c r="J885" s="130"/>
      <c r="K885" s="130" t="str">
        <f>IF('SIG 2021'!$AM888="","",'SIG 2021'!$AM888)</f>
        <v/>
      </c>
      <c r="L885" s="130" t="str">
        <f>IF('SIG 2021'!$AN888="","",'SIG 2021'!$AN888)</f>
        <v/>
      </c>
      <c r="M885" s="130" t="str">
        <f>IF('SIG 2021'!$AO888="","",'SIG 2021'!$AO888)</f>
        <v/>
      </c>
    </row>
    <row r="886" spans="1:13" ht="57.6" x14ac:dyDescent="0.5">
      <c r="A886" s="130">
        <v>4523</v>
      </c>
      <c r="B886" s="130" t="s">
        <v>2964</v>
      </c>
      <c r="C886" s="130" t="s">
        <v>2965</v>
      </c>
      <c r="D886" s="130" t="str">
        <f>IF('SIG 2021'!$D889="","",'SIG 2021'!$D889)</f>
        <v>Yes</v>
      </c>
      <c r="E886" s="130" t="str">
        <f>IF('SIG 2021'!$E889="","",'SIG 2021'!$E889)</f>
        <v/>
      </c>
      <c r="F886" s="130" t="str">
        <f>IF('SIG 2021'!$F889="","",'SIG 2021'!F889)</f>
        <v/>
      </c>
      <c r="G886" s="130" t="s">
        <v>2956</v>
      </c>
      <c r="H886" s="130" t="s">
        <v>2851</v>
      </c>
      <c r="I886" s="130" t="s">
        <v>2759</v>
      </c>
      <c r="J886" s="130"/>
      <c r="K886" s="130" t="str">
        <f>IF('SIG 2021'!$AM889="","",'SIG 2021'!$AM889)</f>
        <v/>
      </c>
      <c r="L886" s="130" t="str">
        <f>IF('SIG 2021'!$AN889="","",'SIG 2021'!$AN889)</f>
        <v/>
      </c>
      <c r="M886" s="130" t="str">
        <f>IF('SIG 2021'!$AO889="","",'SIG 2021'!$AO889)</f>
        <v/>
      </c>
    </row>
    <row r="887" spans="1:13" ht="72" x14ac:dyDescent="0.5">
      <c r="A887" s="130">
        <v>4524</v>
      </c>
      <c r="B887" s="130" t="s">
        <v>2966</v>
      </c>
      <c r="C887" s="130" t="s">
        <v>2967</v>
      </c>
      <c r="D887" s="130" t="str">
        <f>IF('SIG 2021'!$D890="","",'SIG 2021'!$D890)</f>
        <v>Yes</v>
      </c>
      <c r="E887" s="130" t="str">
        <f>IF('SIG 2021'!$E890="","",'SIG 2021'!$E890)</f>
        <v/>
      </c>
      <c r="F887" s="130" t="str">
        <f>IF('SIG 2021'!$F890="","",'SIG 2021'!F890)</f>
        <v/>
      </c>
      <c r="G887" s="130" t="s">
        <v>2956</v>
      </c>
      <c r="H887" s="130" t="s">
        <v>2957</v>
      </c>
      <c r="I887" s="130" t="s">
        <v>2856</v>
      </c>
      <c r="J887" s="130" t="s">
        <v>583</v>
      </c>
      <c r="K887" s="130" t="str">
        <f>IF('SIG 2021'!$AM890="","",'SIG 2021'!$AM890)</f>
        <v/>
      </c>
      <c r="L887" s="130" t="str">
        <f>IF('SIG 2021'!$AN890="","",'SIG 2021'!$AN890)</f>
        <v/>
      </c>
      <c r="M887" s="130" t="str">
        <f>IF('SIG 2021'!$AO890="","",'SIG 2021'!$AO890)</f>
        <v/>
      </c>
    </row>
    <row r="888" spans="1:13" ht="72" x14ac:dyDescent="0.5">
      <c r="A888" s="130">
        <v>4574</v>
      </c>
      <c r="B888" s="130" t="s">
        <v>2968</v>
      </c>
      <c r="C888" s="130" t="s">
        <v>2969</v>
      </c>
      <c r="D888" s="130" t="str">
        <f>IF('SIG 2021'!$D891="","",'SIG 2021'!$D891)</f>
        <v>Yes</v>
      </c>
      <c r="E888" s="130" t="str">
        <f>IF('SIG 2021'!$E891="","",'SIG 2021'!$E891)</f>
        <v>Seismic uses an enterprise DLP solution to prevent personal information from getting stored on portable media, which is against the Acceptable Use Policy.</v>
      </c>
      <c r="F888" s="130" t="str">
        <f>IF('SIG 2021'!$F891="","",'SIG 2021'!F891)</f>
        <v/>
      </c>
      <c r="G888" s="130" t="s">
        <v>2956</v>
      </c>
      <c r="H888" s="130" t="s">
        <v>2971</v>
      </c>
      <c r="I888" s="130" t="s">
        <v>2840</v>
      </c>
      <c r="J888" s="130" t="s">
        <v>911</v>
      </c>
      <c r="K888" s="130" t="str">
        <f>IF('SIG 2021'!$AM891="","",'SIG 2021'!$AM891)</f>
        <v/>
      </c>
      <c r="L888" s="130" t="str">
        <f>IF('SIG 2021'!$AN891="","",'SIG 2021'!$AN891)</f>
        <v/>
      </c>
      <c r="M888" s="130" t="str">
        <f>IF('SIG 2021'!$AO891="","",'SIG 2021'!$AO891)</f>
        <v/>
      </c>
    </row>
    <row r="889" spans="1:13" ht="43.2" x14ac:dyDescent="0.5">
      <c r="A889" s="130">
        <v>4575</v>
      </c>
      <c r="B889" s="130" t="s">
        <v>2972</v>
      </c>
      <c r="C889" s="130" t="s">
        <v>2973</v>
      </c>
      <c r="D889" s="130" t="str">
        <f>IF('SIG 2021'!$D892="","",'SIG 2021'!$D892)</f>
        <v>Yes</v>
      </c>
      <c r="E889" s="130" t="str">
        <f>IF('SIG 2021'!$E892="","",'SIG 2021'!$E892)</f>
        <v>Scoped data is prohibited from being used in any of these environments.</v>
      </c>
      <c r="F889" s="130" t="str">
        <f>IF('SIG 2021'!$F892="","",'SIG 2021'!F892)</f>
        <v/>
      </c>
      <c r="G889" s="130" t="s">
        <v>2956</v>
      </c>
      <c r="H889" s="130" t="s">
        <v>2960</v>
      </c>
      <c r="I889" s="130" t="s">
        <v>2840</v>
      </c>
      <c r="J889" s="130" t="s">
        <v>1529</v>
      </c>
      <c r="K889" s="130" t="str">
        <f>IF('SIG 2021'!$AM892="","",'SIG 2021'!$AM892)</f>
        <v/>
      </c>
      <c r="L889" s="130" t="str">
        <f>IF('SIG 2021'!$AN892="","",'SIG 2021'!$AN892)</f>
        <v/>
      </c>
      <c r="M889" s="130" t="str">
        <f>IF('SIG 2021'!$AO892="","",'SIG 2021'!$AO892)</f>
        <v/>
      </c>
    </row>
    <row r="890" spans="1:13" ht="43.2" x14ac:dyDescent="0.5">
      <c r="A890" s="130">
        <v>4526</v>
      </c>
      <c r="B890" s="130" t="s">
        <v>407</v>
      </c>
      <c r="C890" s="130" t="s">
        <v>2975</v>
      </c>
      <c r="D890" s="130" t="str">
        <f>IF('SIG 2021'!$D893="","",'SIG 2021'!$D893)</f>
        <v>Yes</v>
      </c>
      <c r="E890" s="130" t="str">
        <f>IF('SIG 2021'!$E893="","",'SIG 2021'!$E893)</f>
        <v/>
      </c>
      <c r="F890" s="130" t="str">
        <f>IF('SIG 2021'!$F893="","",'SIG 2021'!F893)</f>
        <v/>
      </c>
      <c r="G890" s="130" t="s">
        <v>2976</v>
      </c>
      <c r="H890" s="130" t="s">
        <v>2729</v>
      </c>
      <c r="I890" s="130" t="s">
        <v>2717</v>
      </c>
      <c r="J890" s="130" t="s">
        <v>2977</v>
      </c>
      <c r="K890" s="130" t="str">
        <f>IF('SIG 2021'!$AM893="","",'SIG 2021'!$AM893)</f>
        <v/>
      </c>
      <c r="L890" s="130" t="str">
        <f>IF('SIG 2021'!$AN893="","",'SIG 2021'!$AN893)</f>
        <v/>
      </c>
      <c r="M890" s="130" t="str">
        <f>IF('SIG 2021'!$AO893="","",'SIG 2021'!$AO893)</f>
        <v/>
      </c>
    </row>
    <row r="891" spans="1:13" ht="57.6" x14ac:dyDescent="0.5">
      <c r="A891" s="130">
        <v>4955</v>
      </c>
      <c r="B891" s="130" t="s">
        <v>2978</v>
      </c>
      <c r="C891" s="130" t="s">
        <v>2979</v>
      </c>
      <c r="D891" s="130" t="str">
        <f>IF('SIG 2021'!$D894="","",'SIG 2021'!$D894)</f>
        <v>Yes</v>
      </c>
      <c r="E891" s="130" t="str">
        <f>IF('SIG 2021'!$E894="","",'SIG 2021'!$E894)</f>
        <v/>
      </c>
      <c r="F891" s="130" t="str">
        <f>IF('SIG 2021'!$F894="","",'SIG 2021'!F894)</f>
        <v/>
      </c>
      <c r="G891" s="130" t="s">
        <v>2976</v>
      </c>
      <c r="H891" s="130" t="s">
        <v>2729</v>
      </c>
      <c r="I891" s="130" t="s">
        <v>2717</v>
      </c>
      <c r="J891" s="130"/>
      <c r="K891" s="130" t="str">
        <f>IF('SIG 2021'!$AM894="","",'SIG 2021'!$AM894)</f>
        <v/>
      </c>
      <c r="L891" s="130" t="str">
        <f>IF('SIG 2021'!$AN894="","",'SIG 2021'!$AN894)</f>
        <v/>
      </c>
      <c r="M891" s="130" t="str">
        <f>IF('SIG 2021'!$AO894="","",'SIG 2021'!$AO894)</f>
        <v/>
      </c>
    </row>
    <row r="892" spans="1:13" ht="57.6" x14ac:dyDescent="0.5">
      <c r="A892" s="130">
        <v>4529</v>
      </c>
      <c r="B892" s="130" t="s">
        <v>409</v>
      </c>
      <c r="C892" s="130" t="s">
        <v>2980</v>
      </c>
      <c r="D892" s="130" t="str">
        <f>IF('SIG 2021'!$D895="","",'SIG 2021'!$D895)</f>
        <v>Yes</v>
      </c>
      <c r="E892" s="130" t="str">
        <f>IF('SIG 2021'!$E895="","",'SIG 2021'!$E895)</f>
        <v>Seismic Information Security handles this internally.</v>
      </c>
      <c r="F892" s="130" t="str">
        <f>IF('SIG 2021'!$F895="","",'SIG 2021'!F895)</f>
        <v/>
      </c>
      <c r="G892" s="130" t="s">
        <v>2982</v>
      </c>
      <c r="H892" s="130" t="s">
        <v>2752</v>
      </c>
      <c r="I892" s="130" t="s">
        <v>2717</v>
      </c>
      <c r="J892" s="130"/>
      <c r="K892" s="130" t="str">
        <f>IF('SIG 2021'!$AM895="","",'SIG 2021'!$AM895)</f>
        <v/>
      </c>
      <c r="L892" s="130" t="str">
        <f>IF('SIG 2021'!$AN895="","",'SIG 2021'!$AN895)</f>
        <v/>
      </c>
      <c r="M892" s="130" t="str">
        <f>IF('SIG 2021'!$AO895="","",'SIG 2021'!$AO895)</f>
        <v/>
      </c>
    </row>
    <row r="893" spans="1:13" ht="43.2" x14ac:dyDescent="0.5">
      <c r="A893" s="130">
        <v>3860</v>
      </c>
      <c r="B893" s="130" t="s">
        <v>2983</v>
      </c>
      <c r="C893" s="130" t="s">
        <v>2984</v>
      </c>
      <c r="D893" s="130" t="str">
        <f>IF('SIG 2021'!$D896="","",'SIG 2021'!$D896)</f>
        <v>Yes</v>
      </c>
      <c r="E893" s="130" t="str">
        <f>IF('SIG 2021'!$E896="","",'SIG 2021'!$E896)</f>
        <v/>
      </c>
      <c r="F893" s="130" t="str">
        <f>IF('SIG 2021'!$F896="","",'SIG 2021'!F896)</f>
        <v/>
      </c>
      <c r="G893" s="130" t="s">
        <v>2982</v>
      </c>
      <c r="H893" s="130" t="s">
        <v>2985</v>
      </c>
      <c r="I893" s="130" t="s">
        <v>2840</v>
      </c>
      <c r="J893" s="130"/>
      <c r="K893" s="130" t="str">
        <f>IF('SIG 2021'!$AM896="","",'SIG 2021'!$AM896)</f>
        <v/>
      </c>
      <c r="L893" s="130" t="str">
        <f>IF('SIG 2021'!$AN896="","",'SIG 2021'!$AN896)</f>
        <v/>
      </c>
      <c r="M893" s="130" t="str">
        <f>IF('SIG 2021'!$AO896="","",'SIG 2021'!$AO896)</f>
        <v/>
      </c>
    </row>
    <row r="894" spans="1:13" ht="43.2" x14ac:dyDescent="0.5">
      <c r="A894" s="130">
        <v>4530</v>
      </c>
      <c r="B894" s="130" t="s">
        <v>2986</v>
      </c>
      <c r="C894" s="130" t="s">
        <v>2987</v>
      </c>
      <c r="D894" s="130" t="str">
        <f>IF('SIG 2021'!$D897="","",'SIG 2021'!$D897)</f>
        <v>Yes</v>
      </c>
      <c r="E894" s="130" t="str">
        <f>IF('SIG 2021'!$E897="","",'SIG 2021'!$E897)</f>
        <v/>
      </c>
      <c r="F894" s="130" t="str">
        <f>IF('SIG 2021'!$F897="","",'SIG 2021'!F897)</f>
        <v/>
      </c>
      <c r="G894" s="130" t="s">
        <v>2982</v>
      </c>
      <c r="H894" s="130" t="s">
        <v>2985</v>
      </c>
      <c r="I894" s="130" t="s">
        <v>2840</v>
      </c>
      <c r="J894" s="130" t="s">
        <v>646</v>
      </c>
      <c r="K894" s="130" t="str">
        <f>IF('SIG 2021'!$AM897="","",'SIG 2021'!$AM897)</f>
        <v/>
      </c>
      <c r="L894" s="130" t="str">
        <f>IF('SIG 2021'!$AN897="","",'SIG 2021'!$AN897)</f>
        <v/>
      </c>
      <c r="M894" s="130" t="str">
        <f>IF('SIG 2021'!$AO897="","",'SIG 2021'!$AO897)</f>
        <v/>
      </c>
    </row>
    <row r="895" spans="1:13" ht="43.2" x14ac:dyDescent="0.5">
      <c r="A895" s="130">
        <v>4531</v>
      </c>
      <c r="B895" s="130" t="s">
        <v>2988</v>
      </c>
      <c r="C895" s="130" t="s">
        <v>2989</v>
      </c>
      <c r="D895" s="130" t="str">
        <f>IF('SIG 2021'!$D898="","",'SIG 2021'!$D898)</f>
        <v>No</v>
      </c>
      <c r="E895" s="130" t="str">
        <f>IF('SIG 2021'!$E898="","",'SIG 2021'!$E898)</f>
        <v>Seismic Information Security handles this internally and has a documented process.</v>
      </c>
      <c r="F895" s="130" t="str">
        <f>IF('SIG 2021'!$F898="","",'SIG 2021'!F898)</f>
        <v/>
      </c>
      <c r="G895" s="130" t="s">
        <v>2982</v>
      </c>
      <c r="H895" s="130" t="s">
        <v>2991</v>
      </c>
      <c r="I895" s="130" t="s">
        <v>2840</v>
      </c>
      <c r="J895" s="130"/>
      <c r="K895" s="130" t="str">
        <f>IF('SIG 2021'!$AM898="","",'SIG 2021'!$AM898)</f>
        <v/>
      </c>
      <c r="L895" s="130" t="str">
        <f>IF('SIG 2021'!$AN898="","",'SIG 2021'!$AN898)</f>
        <v/>
      </c>
      <c r="M895" s="130" t="str">
        <f>IF('SIG 2021'!$AO898="","",'SIG 2021'!$AO898)</f>
        <v/>
      </c>
    </row>
    <row r="896" spans="1:13" ht="43.2" x14ac:dyDescent="0.5">
      <c r="A896" s="130">
        <v>4532</v>
      </c>
      <c r="B896" s="130" t="s">
        <v>2992</v>
      </c>
      <c r="C896" s="130" t="s">
        <v>2993</v>
      </c>
      <c r="D896" s="130" t="str">
        <f>IF('SIG 2021'!$D899="","",'SIG 2021'!$D899)</f>
        <v>Yes</v>
      </c>
      <c r="E896" s="130" t="str">
        <f>IF('SIG 2021'!$E899="","",'SIG 2021'!$E899)</f>
        <v/>
      </c>
      <c r="F896" s="130" t="str">
        <f>IF('SIG 2021'!$F899="","",'SIG 2021'!F899)</f>
        <v/>
      </c>
      <c r="G896" s="130" t="s">
        <v>2982</v>
      </c>
      <c r="H896" s="130" t="s">
        <v>2752</v>
      </c>
      <c r="I896" s="130" t="s">
        <v>2790</v>
      </c>
      <c r="J896" s="130"/>
      <c r="K896" s="130" t="str">
        <f>IF('SIG 2021'!$AM899="","",'SIG 2021'!$AM899)</f>
        <v/>
      </c>
      <c r="L896" s="130" t="str">
        <f>IF('SIG 2021'!$AN899="","",'SIG 2021'!$AN899)</f>
        <v/>
      </c>
      <c r="M896" s="130" t="str">
        <f>IF('SIG 2021'!$AO899="","",'SIG 2021'!$AO899)</f>
        <v/>
      </c>
    </row>
    <row r="897" spans="1:13" ht="57.6" x14ac:dyDescent="0.5">
      <c r="A897" s="130">
        <v>5922</v>
      </c>
      <c r="B897" s="130" t="s">
        <v>2994</v>
      </c>
      <c r="C897" s="130" t="s">
        <v>2995</v>
      </c>
      <c r="D897" s="130" t="str">
        <f>IF('SIG 2021'!$D900="","",'SIG 2021'!$D900)</f>
        <v>N/A</v>
      </c>
      <c r="E897" s="130" t="str">
        <f>IF('SIG 2021'!$E900="","",'SIG 2021'!$E900)</f>
        <v>Not required</v>
      </c>
      <c r="F897" s="130" t="str">
        <f>IF('SIG 2021'!$F900="","",'SIG 2021'!F900)</f>
        <v/>
      </c>
      <c r="G897" s="130" t="s">
        <v>2738</v>
      </c>
      <c r="H897" s="130" t="s">
        <v>2702</v>
      </c>
      <c r="I897" s="130" t="s">
        <v>2790</v>
      </c>
      <c r="J897" s="130"/>
      <c r="K897" s="130" t="str">
        <f>IF('SIG 2021'!$AM900="","",'SIG 2021'!$AM900)</f>
        <v/>
      </c>
      <c r="L897" s="130" t="str">
        <f>IF('SIG 2021'!$AN900="","",'SIG 2021'!$AN900)</f>
        <v/>
      </c>
      <c r="M897" s="130" t="str">
        <f>IF('SIG 2021'!$AO900="","",'SIG 2021'!$AO900)</f>
        <v/>
      </c>
    </row>
    <row r="898" spans="1:13" ht="57.6" x14ac:dyDescent="0.5">
      <c r="A898" s="130">
        <v>4956</v>
      </c>
      <c r="B898" s="130" t="s">
        <v>2997</v>
      </c>
      <c r="C898" s="130" t="s">
        <v>2998</v>
      </c>
      <c r="D898" s="130" t="str">
        <f>IF('SIG 2021'!$D901="","",'SIG 2021'!$D901)</f>
        <v>Yes</v>
      </c>
      <c r="E898" s="130" t="str">
        <f>IF('SIG 2021'!$E901="","",'SIG 2021'!$E901)</f>
        <v/>
      </c>
      <c r="F898" s="130" t="str">
        <f>IF('SIG 2021'!$F901="","",'SIG 2021'!F901)</f>
        <v/>
      </c>
      <c r="G898" s="130" t="s">
        <v>2982</v>
      </c>
      <c r="H898" s="130" t="s">
        <v>2752</v>
      </c>
      <c r="I898" s="130" t="s">
        <v>2790</v>
      </c>
      <c r="J898" s="130"/>
      <c r="K898" s="130" t="str">
        <f>IF('SIG 2021'!$AM901="","",'SIG 2021'!$AM901)</f>
        <v/>
      </c>
      <c r="L898" s="130" t="str">
        <f>IF('SIG 2021'!$AN901="","",'SIG 2021'!$AN901)</f>
        <v/>
      </c>
      <c r="M898" s="130" t="str">
        <f>IF('SIG 2021'!$AO901="","",'SIG 2021'!$AO901)</f>
        <v/>
      </c>
    </row>
    <row r="899" spans="1:13" ht="57.6" x14ac:dyDescent="0.5">
      <c r="A899" s="130">
        <v>4957</v>
      </c>
      <c r="B899" s="130" t="s">
        <v>2999</v>
      </c>
      <c r="C899" s="130" t="s">
        <v>3000</v>
      </c>
      <c r="D899" s="130" t="str">
        <f>IF('SIG 2021'!$D902="","",'SIG 2021'!$D902)</f>
        <v>Yes</v>
      </c>
      <c r="E899" s="130" t="str">
        <f>IF('SIG 2021'!$E902="","",'SIG 2021'!$E902)</f>
        <v/>
      </c>
      <c r="F899" s="130" t="str">
        <f>IF('SIG 2021'!$F902="","",'SIG 2021'!F902)</f>
        <v/>
      </c>
      <c r="G899" s="130" t="s">
        <v>2982</v>
      </c>
      <c r="H899" s="130" t="s">
        <v>3001</v>
      </c>
      <c r="I899" s="130" t="s">
        <v>2790</v>
      </c>
      <c r="J899" s="130"/>
      <c r="K899" s="130" t="str">
        <f>IF('SIG 2021'!$AM902="","",'SIG 2021'!$AM902)</f>
        <v/>
      </c>
      <c r="L899" s="130" t="str">
        <f>IF('SIG 2021'!$AN902="","",'SIG 2021'!$AN902)</f>
        <v/>
      </c>
      <c r="M899" s="130" t="str">
        <f>IF('SIG 2021'!$AO902="","",'SIG 2021'!$AO902)</f>
        <v/>
      </c>
    </row>
    <row r="900" spans="1:13" ht="43.2" x14ac:dyDescent="0.5">
      <c r="A900" s="130">
        <v>4958</v>
      </c>
      <c r="B900" s="130" t="s">
        <v>3002</v>
      </c>
      <c r="C900" s="130" t="s">
        <v>3003</v>
      </c>
      <c r="D900" s="130" t="str">
        <f>IF('SIG 2021'!$D903="","",'SIG 2021'!$D903)</f>
        <v>No</v>
      </c>
      <c r="E900" s="130" t="str">
        <f>IF('SIG 2021'!$E903="","",'SIG 2021'!$E903)</f>
        <v/>
      </c>
      <c r="F900" s="130" t="str">
        <f>IF('SIG 2021'!$F903="","",'SIG 2021'!F903)</f>
        <v/>
      </c>
      <c r="G900" s="130" t="s">
        <v>2982</v>
      </c>
      <c r="H900" s="130" t="s">
        <v>3001</v>
      </c>
      <c r="I900" s="130" t="s">
        <v>2790</v>
      </c>
      <c r="J900" s="130"/>
      <c r="K900" s="130" t="str">
        <f>IF('SIG 2021'!$AM903="","",'SIG 2021'!$AM903)</f>
        <v/>
      </c>
      <c r="L900" s="130" t="str">
        <f>IF('SIG 2021'!$AN903="","",'SIG 2021'!$AN903)</f>
        <v/>
      </c>
      <c r="M900" s="130" t="str">
        <f>IF('SIG 2021'!$AO903="","",'SIG 2021'!$AO903)</f>
        <v/>
      </c>
    </row>
    <row r="901" spans="1:13" ht="57.6" x14ac:dyDescent="0.5">
      <c r="A901" s="130">
        <v>5923</v>
      </c>
      <c r="B901" s="130" t="s">
        <v>3004</v>
      </c>
      <c r="C901" s="130" t="s">
        <v>3005</v>
      </c>
      <c r="D901" s="130" t="str">
        <f>IF('SIG 2021'!$D904="","",'SIG 2021'!$D904)</f>
        <v>Yes</v>
      </c>
      <c r="E901" s="130" t="str">
        <f>IF('SIG 2021'!$E904="","",'SIG 2021'!$E904)</f>
        <v/>
      </c>
      <c r="F901" s="130" t="str">
        <f>IF('SIG 2021'!$F904="","",'SIG 2021'!F904)</f>
        <v/>
      </c>
      <c r="G901" s="130" t="s">
        <v>2982</v>
      </c>
      <c r="H901" s="130" t="s">
        <v>2752</v>
      </c>
      <c r="I901" s="130" t="s">
        <v>2790</v>
      </c>
      <c r="J901" s="130" t="s">
        <v>2182</v>
      </c>
      <c r="K901" s="130" t="str">
        <f>IF('SIG 2021'!$AM904="","",'SIG 2021'!$AM904)</f>
        <v/>
      </c>
      <c r="L901" s="130" t="str">
        <f>IF('SIG 2021'!$AN904="","",'SIG 2021'!$AN904)</f>
        <v/>
      </c>
      <c r="M901" s="130" t="str">
        <f>IF('SIG 2021'!$AO904="","",'SIG 2021'!$AO904)</f>
        <v/>
      </c>
    </row>
    <row r="902" spans="1:13" ht="86.4" x14ac:dyDescent="0.5">
      <c r="A902" s="130">
        <v>5924</v>
      </c>
      <c r="B902" s="130" t="s">
        <v>3006</v>
      </c>
      <c r="C902" s="130" t="s">
        <v>3007</v>
      </c>
      <c r="D902" s="130" t="str">
        <f>IF('SIG 2021'!$D905="","",'SIG 2021'!$D905)</f>
        <v>Yes</v>
      </c>
      <c r="E902" s="130" t="str">
        <f>IF('SIG 2021'!$E905="","",'SIG 2021'!$E905)</f>
        <v>Dataguidance, ISO 27701</v>
      </c>
      <c r="F902" s="130" t="str">
        <f>IF('SIG 2021'!$F905="","",'SIG 2021'!F905)</f>
        <v/>
      </c>
      <c r="G902" s="130" t="s">
        <v>2982</v>
      </c>
      <c r="H902" s="130" t="s">
        <v>2752</v>
      </c>
      <c r="I902" s="130" t="s">
        <v>2790</v>
      </c>
      <c r="J902" s="130"/>
      <c r="K902" s="130" t="str">
        <f>IF('SIG 2021'!$AM905="","",'SIG 2021'!$AM905)</f>
        <v/>
      </c>
      <c r="L902" s="130" t="str">
        <f>IF('SIG 2021'!$AN905="","",'SIG 2021'!$AN905)</f>
        <v/>
      </c>
      <c r="M902" s="130" t="str">
        <f>IF('SIG 2021'!$AO905="","",'SIG 2021'!$AO905)</f>
        <v/>
      </c>
    </row>
    <row r="903" spans="1:13" ht="57.6" x14ac:dyDescent="0.5">
      <c r="A903" s="130">
        <v>5925</v>
      </c>
      <c r="B903" s="130" t="s">
        <v>3009</v>
      </c>
      <c r="C903" s="130" t="s">
        <v>3010</v>
      </c>
      <c r="D903" s="130" t="str">
        <f>IF('SIG 2021'!$D906="","",'SIG 2021'!$D906)</f>
        <v>Yes</v>
      </c>
      <c r="E903" s="130" t="str">
        <f>IF('SIG 2021'!$E906="","",'SIG 2021'!$E906)</f>
        <v>https://www.privacyshield.gov/participant?id=a2zt0000000GnjwAAC&amp;status=Active</v>
      </c>
      <c r="F903" s="130" t="str">
        <f>IF('SIG 2021'!$F906="","",'SIG 2021'!F906)</f>
        <v/>
      </c>
      <c r="G903" s="130" t="s">
        <v>2982</v>
      </c>
      <c r="H903" s="130" t="s">
        <v>2752</v>
      </c>
      <c r="I903" s="130" t="s">
        <v>2790</v>
      </c>
      <c r="J903" s="130"/>
      <c r="K903" s="130" t="str">
        <f>IF('SIG 2021'!$AM906="","",'SIG 2021'!$AM906)</f>
        <v/>
      </c>
      <c r="L903" s="130" t="str">
        <f>IF('SIG 2021'!$AN906="","",'SIG 2021'!$AN906)</f>
        <v/>
      </c>
      <c r="M903" s="130" t="str">
        <f>IF('SIG 2021'!$AO906="","",'SIG 2021'!$AO906)</f>
        <v/>
      </c>
    </row>
    <row r="904" spans="1:13" ht="43.2" x14ac:dyDescent="0.5">
      <c r="A904" s="130">
        <v>5926</v>
      </c>
      <c r="B904" s="130" t="s">
        <v>3012</v>
      </c>
      <c r="C904" s="130" t="s">
        <v>3013</v>
      </c>
      <c r="D904" s="130" t="str">
        <f>IF('SIG 2021'!$D907="","",'SIG 2021'!$D907)</f>
        <v>No</v>
      </c>
      <c r="E904" s="130" t="str">
        <f>IF('SIG 2021'!$E907="","",'SIG 2021'!$E907)</f>
        <v/>
      </c>
      <c r="F904" s="130" t="str">
        <f>IF('SIG 2021'!$F907="","",'SIG 2021'!F907)</f>
        <v/>
      </c>
      <c r="G904" s="130" t="s">
        <v>2982</v>
      </c>
      <c r="H904" s="130" t="s">
        <v>2752</v>
      </c>
      <c r="I904" s="130" t="s">
        <v>2790</v>
      </c>
      <c r="J904" s="130"/>
      <c r="K904" s="130" t="str">
        <f>IF('SIG 2021'!$AM907="","",'SIG 2021'!$AM907)</f>
        <v/>
      </c>
      <c r="L904" s="130" t="str">
        <f>IF('SIG 2021'!$AN907="","",'SIG 2021'!$AN907)</f>
        <v/>
      </c>
      <c r="M904" s="130" t="str">
        <f>IF('SIG 2021'!$AO907="","",'SIG 2021'!$AO907)</f>
        <v/>
      </c>
    </row>
    <row r="905" spans="1:13" ht="43.2" x14ac:dyDescent="0.5">
      <c r="A905" s="130">
        <v>5927</v>
      </c>
      <c r="B905" s="130" t="s">
        <v>3014</v>
      </c>
      <c r="C905" s="130" t="s">
        <v>3015</v>
      </c>
      <c r="D905" s="130" t="str">
        <f>IF('SIG 2021'!$D908="","",'SIG 2021'!$D908)</f>
        <v>No</v>
      </c>
      <c r="E905" s="130" t="str">
        <f>IF('SIG 2021'!$E908="","",'SIG 2021'!$E908)</f>
        <v/>
      </c>
      <c r="F905" s="130" t="str">
        <f>IF('SIG 2021'!$F908="","",'SIG 2021'!F908)</f>
        <v/>
      </c>
      <c r="G905" s="130" t="s">
        <v>2982</v>
      </c>
      <c r="H905" s="130" t="s">
        <v>2752</v>
      </c>
      <c r="I905" s="130" t="s">
        <v>2790</v>
      </c>
      <c r="J905" s="130"/>
      <c r="K905" s="130" t="str">
        <f>IF('SIG 2021'!$AM908="","",'SIG 2021'!$AM908)</f>
        <v/>
      </c>
      <c r="L905" s="130" t="str">
        <f>IF('SIG 2021'!$AN908="","",'SIG 2021'!$AN908)</f>
        <v/>
      </c>
      <c r="M905" s="130" t="str">
        <f>IF('SIG 2021'!$AO908="","",'SIG 2021'!$AO908)</f>
        <v/>
      </c>
    </row>
    <row r="906" spans="1:13" ht="57.6" x14ac:dyDescent="0.5">
      <c r="A906" s="130">
        <v>5928</v>
      </c>
      <c r="B906" s="130" t="s">
        <v>3016</v>
      </c>
      <c r="C906" s="130" t="s">
        <v>3017</v>
      </c>
      <c r="D906" s="130" t="str">
        <f>IF('SIG 2021'!$D909="","",'SIG 2021'!$D909)</f>
        <v>No</v>
      </c>
      <c r="E906" s="130" t="str">
        <f>IF('SIG 2021'!$E909="","",'SIG 2021'!$E909)</f>
        <v/>
      </c>
      <c r="F906" s="130" t="str">
        <f>IF('SIG 2021'!$F909="","",'SIG 2021'!F909)</f>
        <v/>
      </c>
      <c r="G906" s="130" t="s">
        <v>2982</v>
      </c>
      <c r="H906" s="130" t="s">
        <v>2752</v>
      </c>
      <c r="I906" s="130" t="s">
        <v>2790</v>
      </c>
      <c r="J906" s="130"/>
      <c r="K906" s="130" t="str">
        <f>IF('SIG 2021'!$AM909="","",'SIG 2021'!$AM909)</f>
        <v/>
      </c>
      <c r="L906" s="130" t="str">
        <f>IF('SIG 2021'!$AN909="","",'SIG 2021'!$AN909)</f>
        <v/>
      </c>
      <c r="M906" s="130" t="str">
        <f>IF('SIG 2021'!$AO909="","",'SIG 2021'!$AO909)</f>
        <v/>
      </c>
    </row>
    <row r="907" spans="1:13" ht="28.8" x14ac:dyDescent="0.5">
      <c r="A907" s="130">
        <v>4534</v>
      </c>
      <c r="B907" s="130" t="s">
        <v>411</v>
      </c>
      <c r="C907" s="130" t="s">
        <v>3018</v>
      </c>
      <c r="D907" s="130" t="str">
        <f>IF('SIG 2021'!$D910="","",'SIG 2021'!$D910)</f>
        <v>Yes</v>
      </c>
      <c r="E907" s="130" t="str">
        <f>IF('SIG 2021'!$E910="","",'SIG 2021'!$E910)</f>
        <v/>
      </c>
      <c r="F907" s="130" t="str">
        <f>IF('SIG 2021'!$F910="","",'SIG 2021'!F910)</f>
        <v/>
      </c>
      <c r="G907" s="130" t="s">
        <v>2460</v>
      </c>
      <c r="H907" s="130" t="s">
        <v>910</v>
      </c>
      <c r="I907" s="130"/>
      <c r="J907" s="130"/>
      <c r="K907" s="130" t="str">
        <f>IF('SIG 2021'!$AM910="","",'SIG 2021'!$AM910)</f>
        <v/>
      </c>
      <c r="L907" s="130" t="str">
        <f>IF('SIG 2021'!$AN910="","",'SIG 2021'!$AN910)</f>
        <v/>
      </c>
      <c r="M907" s="130" t="str">
        <f>IF('SIG 2021'!$AO910="","",'SIG 2021'!$AO910)</f>
        <v/>
      </c>
    </row>
    <row r="908" spans="1:13" ht="57.6" x14ac:dyDescent="0.5">
      <c r="A908" s="130">
        <v>895</v>
      </c>
      <c r="B908" s="130" t="s">
        <v>3020</v>
      </c>
      <c r="C908" s="130" t="s">
        <v>3021</v>
      </c>
      <c r="D908" s="130" t="str">
        <f>IF('SIG 2021'!$D911="","",'SIG 2021'!$D911)</f>
        <v>Yes</v>
      </c>
      <c r="E908" s="130" t="str">
        <f>IF('SIG 2021'!$E911="","",'SIG 2021'!$E911)</f>
        <v>Seismic has a documented Secure Configuration Standard that requires anti-malware solutions on company assets.</v>
      </c>
      <c r="F908" s="130" t="str">
        <f>IF('SIG 2021'!$F911="","",'SIG 2021'!F911)</f>
        <v/>
      </c>
      <c r="G908" s="130" t="s">
        <v>2460</v>
      </c>
      <c r="H908" s="130" t="s">
        <v>3023</v>
      </c>
      <c r="I908" s="130" t="s">
        <v>3024</v>
      </c>
      <c r="J908" s="130" t="s">
        <v>2467</v>
      </c>
      <c r="K908" s="130" t="str">
        <f>IF('SIG 2021'!$AM911="","",'SIG 2021'!$AM911)</f>
        <v/>
      </c>
      <c r="L908" s="130" t="str">
        <f>IF('SIG 2021'!$AN911="","",'SIG 2021'!$AN911)</f>
        <v/>
      </c>
      <c r="M908" s="130" t="str">
        <f>IF('SIG 2021'!$AO911="","",'SIG 2021'!$AO911)</f>
        <v/>
      </c>
    </row>
    <row r="909" spans="1:13" ht="43.2" x14ac:dyDescent="0.5">
      <c r="A909" s="130">
        <v>4343</v>
      </c>
      <c r="B909" s="130" t="s">
        <v>3025</v>
      </c>
      <c r="C909" s="130" t="s">
        <v>3026</v>
      </c>
      <c r="D909" s="130" t="str">
        <f>IF('SIG 2021'!$D912="","",'SIG 2021'!$D912)</f>
        <v>Yes</v>
      </c>
      <c r="E909" s="130" t="str">
        <f>IF('SIG 2021'!$E912="","",'SIG 2021'!$E912)</f>
        <v/>
      </c>
      <c r="F909" s="130" t="str">
        <f>IF('SIG 2021'!$F912="","",'SIG 2021'!F912)</f>
        <v/>
      </c>
      <c r="G909" s="130" t="s">
        <v>2460</v>
      </c>
      <c r="H909" s="130" t="s">
        <v>3023</v>
      </c>
      <c r="I909" s="130" t="s">
        <v>3024</v>
      </c>
      <c r="J909" s="130" t="s">
        <v>2467</v>
      </c>
      <c r="K909" s="130" t="str">
        <f>IF('SIG 2021'!$AM912="","",'SIG 2021'!$AM912)</f>
        <v/>
      </c>
      <c r="L909" s="130" t="str">
        <f>IF('SIG 2021'!$AN912="","",'SIG 2021'!$AN912)</f>
        <v/>
      </c>
      <c r="M909" s="130" t="str">
        <f>IF('SIG 2021'!$AO912="","",'SIG 2021'!$AO912)</f>
        <v/>
      </c>
    </row>
    <row r="910" spans="1:13" ht="43.2" x14ac:dyDescent="0.5">
      <c r="A910" s="130">
        <v>4344</v>
      </c>
      <c r="B910" s="130" t="s">
        <v>3027</v>
      </c>
      <c r="C910" s="130" t="s">
        <v>3028</v>
      </c>
      <c r="D910" s="130" t="str">
        <f>IF('SIG 2021'!$D913="","",'SIG 2021'!$D913)</f>
        <v>Yes</v>
      </c>
      <c r="E910" s="130" t="str">
        <f>IF('SIG 2021'!$E913="","",'SIG 2021'!$E913)</f>
        <v/>
      </c>
      <c r="F910" s="130" t="str">
        <f>IF('SIG 2021'!$F913="","",'SIG 2021'!F913)</f>
        <v/>
      </c>
      <c r="G910" s="130" t="s">
        <v>2460</v>
      </c>
      <c r="H910" s="130" t="s">
        <v>3023</v>
      </c>
      <c r="I910" s="130" t="s">
        <v>3024</v>
      </c>
      <c r="J910" s="130" t="s">
        <v>2467</v>
      </c>
      <c r="K910" s="130" t="str">
        <f>IF('SIG 2021'!$AM913="","",'SIG 2021'!$AM913)</f>
        <v/>
      </c>
      <c r="L910" s="130" t="str">
        <f>IF('SIG 2021'!$AN913="","",'SIG 2021'!$AN913)</f>
        <v/>
      </c>
      <c r="M910" s="130" t="str">
        <f>IF('SIG 2021'!$AO913="","",'SIG 2021'!$AO913)</f>
        <v/>
      </c>
    </row>
    <row r="911" spans="1:13" ht="57.6" x14ac:dyDescent="0.5">
      <c r="A911" s="130">
        <v>4345</v>
      </c>
      <c r="B911" s="130" t="s">
        <v>3029</v>
      </c>
      <c r="C911" s="130" t="s">
        <v>3030</v>
      </c>
      <c r="D911" s="130" t="str">
        <f>IF('SIG 2021'!$D914="","",'SIG 2021'!$D914)</f>
        <v>Yes</v>
      </c>
      <c r="E911" s="130" t="str">
        <f>IF('SIG 2021'!$E914="","",'SIG 2021'!$E914)</f>
        <v>Seismic uses an enterprise Anti-Virus solution that is deployed to all employee computers and centrally managed/administered.</v>
      </c>
      <c r="F911" s="130" t="str">
        <f>IF('SIG 2021'!$F914="","",'SIG 2021'!F914)</f>
        <v/>
      </c>
      <c r="G911" s="130" t="s">
        <v>2460</v>
      </c>
      <c r="H911" s="130" t="s">
        <v>3032</v>
      </c>
      <c r="I911" s="130" t="s">
        <v>3024</v>
      </c>
      <c r="J911" s="130" t="s">
        <v>2467</v>
      </c>
      <c r="K911" s="130" t="str">
        <f>IF('SIG 2021'!$AM914="","",'SIG 2021'!$AM914)</f>
        <v/>
      </c>
      <c r="L911" s="130" t="str">
        <f>IF('SIG 2021'!$AN914="","",'SIG 2021'!$AN914)</f>
        <v/>
      </c>
      <c r="M911" s="130" t="str">
        <f>IF('SIG 2021'!$AO914="","",'SIG 2021'!$AO914)</f>
        <v/>
      </c>
    </row>
    <row r="912" spans="1:13" ht="43.2" x14ac:dyDescent="0.5">
      <c r="A912" s="130">
        <v>4347</v>
      </c>
      <c r="B912" s="130" t="s">
        <v>3033</v>
      </c>
      <c r="C912" s="130" t="s">
        <v>3034</v>
      </c>
      <c r="D912" s="130" t="str">
        <f>IF('SIG 2021'!$D915="","",'SIG 2021'!$D915)</f>
        <v>Yes</v>
      </c>
      <c r="E912" s="130" t="str">
        <f>IF('SIG 2021'!$E915="","",'SIG 2021'!$E915)</f>
        <v/>
      </c>
      <c r="F912" s="130" t="str">
        <f>IF('SIG 2021'!$F915="","",'SIG 2021'!F915)</f>
        <v/>
      </c>
      <c r="G912" s="130" t="s">
        <v>2460</v>
      </c>
      <c r="H912" s="130" t="s">
        <v>3032</v>
      </c>
      <c r="I912" s="130" t="s">
        <v>3024</v>
      </c>
      <c r="J912" s="130"/>
      <c r="K912" s="130" t="str">
        <f>IF('SIG 2021'!$AM915="","",'SIG 2021'!$AM915)</f>
        <v/>
      </c>
      <c r="L912" s="130" t="str">
        <f>IF('SIG 2021'!$AN915="","",'SIG 2021'!$AN915)</f>
        <v/>
      </c>
      <c r="M912" s="130" t="str">
        <f>IF('SIG 2021'!$AO915="","",'SIG 2021'!$AO915)</f>
        <v/>
      </c>
    </row>
    <row r="913" spans="1:13" ht="57.6" x14ac:dyDescent="0.5">
      <c r="A913" s="130">
        <v>912</v>
      </c>
      <c r="B913" s="130" t="s">
        <v>3035</v>
      </c>
      <c r="C913" s="130" t="s">
        <v>3036</v>
      </c>
      <c r="D913" s="130" t="str">
        <f>IF('SIG 2021'!$D916="","",'SIG 2021'!$D916)</f>
        <v>Yes</v>
      </c>
      <c r="E913" s="130" t="str">
        <f>IF('SIG 2021'!$E916="","",'SIG 2021'!$E916)</f>
        <v/>
      </c>
      <c r="F913" s="130" t="str">
        <f>IF('SIG 2021'!$F916="","",'SIG 2021'!F916)</f>
        <v/>
      </c>
      <c r="G913" s="130" t="s">
        <v>2460</v>
      </c>
      <c r="H913" s="130" t="s">
        <v>3023</v>
      </c>
      <c r="I913" s="130" t="s">
        <v>3024</v>
      </c>
      <c r="J913" s="130"/>
      <c r="K913" s="130" t="str">
        <f>IF('SIG 2021'!$AM916="","",'SIG 2021'!$AM916)</f>
        <v/>
      </c>
      <c r="L913" s="130" t="str">
        <f>IF('SIG 2021'!$AN916="","",'SIG 2021'!$AN916)</f>
        <v/>
      </c>
      <c r="M913" s="130" t="str">
        <f>IF('SIG 2021'!$AO916="","",'SIG 2021'!$AO916)</f>
        <v/>
      </c>
    </row>
    <row r="914" spans="1:13" ht="43.2" x14ac:dyDescent="0.5">
      <c r="A914" s="130">
        <v>4116</v>
      </c>
      <c r="B914" s="130" t="s">
        <v>3037</v>
      </c>
      <c r="C914" s="130" t="s">
        <v>3038</v>
      </c>
      <c r="D914" s="130" t="str">
        <f>IF('SIG 2021'!$D917="","",'SIG 2021'!$D917)</f>
        <v>Yes</v>
      </c>
      <c r="E914" s="130" t="str">
        <f>IF('SIG 2021'!$E917="","",'SIG 2021'!$E917)</f>
        <v/>
      </c>
      <c r="F914" s="130" t="str">
        <f>IF('SIG 2021'!$F917="","",'SIG 2021'!F917)</f>
        <v/>
      </c>
      <c r="G914" s="130" t="s">
        <v>2460</v>
      </c>
      <c r="H914" s="130" t="s">
        <v>3023</v>
      </c>
      <c r="I914" s="130" t="s">
        <v>3024</v>
      </c>
      <c r="J914" s="130" t="s">
        <v>2467</v>
      </c>
      <c r="K914" s="130" t="str">
        <f>IF('SIG 2021'!$AM917="","",'SIG 2021'!$AM917)</f>
        <v/>
      </c>
      <c r="L914" s="130" t="str">
        <f>IF('SIG 2021'!$AN917="","",'SIG 2021'!$AN917)</f>
        <v/>
      </c>
      <c r="M914" s="130" t="str">
        <f>IF('SIG 2021'!$AO917="","",'SIG 2021'!$AO917)</f>
        <v/>
      </c>
    </row>
    <row r="915" spans="1:13" ht="43.2" x14ac:dyDescent="0.5">
      <c r="A915" s="130">
        <v>4384</v>
      </c>
      <c r="B915" s="130" t="s">
        <v>3039</v>
      </c>
      <c r="C915" s="130" t="s">
        <v>3040</v>
      </c>
      <c r="D915" s="130" t="str">
        <f>IF('SIG 2021'!$D918="","",'SIG 2021'!$D918)</f>
        <v>Yes</v>
      </c>
      <c r="E915" s="130" t="str">
        <f>IF('SIG 2021'!$E918="","",'SIG 2021'!$E918)</f>
        <v/>
      </c>
      <c r="F915" s="130" t="str">
        <f>IF('SIG 2021'!$F918="","",'SIG 2021'!F918)</f>
        <v/>
      </c>
      <c r="G915" s="130" t="s">
        <v>2460</v>
      </c>
      <c r="H915" s="130" t="s">
        <v>3041</v>
      </c>
      <c r="I915" s="130"/>
      <c r="J915" s="130" t="s">
        <v>2467</v>
      </c>
      <c r="K915" s="130" t="str">
        <f>IF('SIG 2021'!$AM918="","",'SIG 2021'!$AM918)</f>
        <v/>
      </c>
      <c r="L915" s="130" t="str">
        <f>IF('SIG 2021'!$AN918="","",'SIG 2021'!$AN918)</f>
        <v/>
      </c>
      <c r="M915" s="130" t="str">
        <f>IF('SIG 2021'!$AO918="","",'SIG 2021'!$AO918)</f>
        <v/>
      </c>
    </row>
    <row r="916" spans="1:13" ht="43.2" x14ac:dyDescent="0.5">
      <c r="A916" s="130">
        <v>4386</v>
      </c>
      <c r="B916" s="130" t="s">
        <v>3042</v>
      </c>
      <c r="C916" s="130" t="s">
        <v>3043</v>
      </c>
      <c r="D916" s="130" t="str">
        <f>IF('SIG 2021'!$D919="","",'SIG 2021'!$D919)</f>
        <v>Yes</v>
      </c>
      <c r="E916" s="130" t="str">
        <f>IF('SIG 2021'!$E919="","",'SIG 2021'!$E919)</f>
        <v/>
      </c>
      <c r="F916" s="130" t="str">
        <f>IF('SIG 2021'!$F919="","",'SIG 2021'!F919)</f>
        <v/>
      </c>
      <c r="G916" s="130" t="s">
        <v>2460</v>
      </c>
      <c r="H916" s="130" t="s">
        <v>3041</v>
      </c>
      <c r="I916" s="130"/>
      <c r="J916" s="130" t="s">
        <v>2467</v>
      </c>
      <c r="K916" s="130" t="str">
        <f>IF('SIG 2021'!$AM919="","",'SIG 2021'!$AM919)</f>
        <v/>
      </c>
      <c r="L916" s="130" t="str">
        <f>IF('SIG 2021'!$AN919="","",'SIG 2021'!$AN919)</f>
        <v/>
      </c>
      <c r="M916" s="130" t="str">
        <f>IF('SIG 2021'!$AO919="","",'SIG 2021'!$AO919)</f>
        <v/>
      </c>
    </row>
    <row r="917" spans="1:13" ht="57.6" x14ac:dyDescent="0.5">
      <c r="A917" s="130">
        <v>4387</v>
      </c>
      <c r="B917" s="130" t="s">
        <v>3044</v>
      </c>
      <c r="C917" s="130" t="s">
        <v>3045</v>
      </c>
      <c r="D917" s="130" t="str">
        <f>IF('SIG 2021'!$D920="","",'SIG 2021'!$D920)</f>
        <v>Yes</v>
      </c>
      <c r="E917" s="130" t="str">
        <f>IF('SIG 2021'!$E920="","",'SIG 2021'!$E920)</f>
        <v/>
      </c>
      <c r="F917" s="130" t="str">
        <f>IF('SIG 2021'!$F920="","",'SIG 2021'!F920)</f>
        <v/>
      </c>
      <c r="G917" s="130" t="s">
        <v>2460</v>
      </c>
      <c r="H917" s="130" t="s">
        <v>3023</v>
      </c>
      <c r="I917" s="130"/>
      <c r="J917" s="130" t="s">
        <v>2467</v>
      </c>
      <c r="K917" s="130" t="str">
        <f>IF('SIG 2021'!$AM920="","",'SIG 2021'!$AM920)</f>
        <v/>
      </c>
      <c r="L917" s="130" t="str">
        <f>IF('SIG 2021'!$AN920="","",'SIG 2021'!$AN920)</f>
        <v/>
      </c>
      <c r="M917" s="130" t="str">
        <f>IF('SIG 2021'!$AO920="","",'SIG 2021'!$AO920)</f>
        <v/>
      </c>
    </row>
    <row r="918" spans="1:13" ht="43.2" x14ac:dyDescent="0.5">
      <c r="A918" s="130">
        <v>1014</v>
      </c>
      <c r="B918" s="130" t="s">
        <v>3046</v>
      </c>
      <c r="C918" s="130" t="s">
        <v>3047</v>
      </c>
      <c r="D918" s="130" t="str">
        <f>IF('SIG 2021'!$D921="","",'SIG 2021'!$D921)</f>
        <v>Yes</v>
      </c>
      <c r="E918" s="130" t="str">
        <f>IF('SIG 2021'!$E921="","",'SIG 2021'!$E921)</f>
        <v/>
      </c>
      <c r="F918" s="130" t="str">
        <f>IF('SIG 2021'!$F921="","",'SIG 2021'!F921)</f>
        <v/>
      </c>
      <c r="G918" s="130" t="s">
        <v>2460</v>
      </c>
      <c r="H918" s="130" t="s">
        <v>3048</v>
      </c>
      <c r="I918" s="130"/>
      <c r="J918" s="130"/>
      <c r="K918" s="130" t="str">
        <f>IF('SIG 2021'!$AM921="","",'SIG 2021'!$AM921)</f>
        <v/>
      </c>
      <c r="L918" s="130" t="str">
        <f>IF('SIG 2021'!$AN921="","",'SIG 2021'!$AN921)</f>
        <v/>
      </c>
      <c r="M918" s="130" t="str">
        <f>IF('SIG 2021'!$AO921="","",'SIG 2021'!$AO921)</f>
        <v/>
      </c>
    </row>
    <row r="919" spans="1:13" ht="57.6" x14ac:dyDescent="0.5">
      <c r="A919" s="130">
        <v>4349</v>
      </c>
      <c r="B919" s="130" t="s">
        <v>413</v>
      </c>
      <c r="C919" s="130" t="s">
        <v>3049</v>
      </c>
      <c r="D919" s="130" t="str">
        <f>IF('SIG 2021'!$D922="","",'SIG 2021'!$D922)</f>
        <v>Yes</v>
      </c>
      <c r="E919" s="130" t="str">
        <f>IF('SIG 2021'!$E922="","",'SIG 2021'!$E922)</f>
        <v>Seismic has a documented Vulnerability Management Standard.</v>
      </c>
      <c r="F919" s="130" t="str">
        <f>IF('SIG 2021'!$F922="","",'SIG 2021'!F922)</f>
        <v/>
      </c>
      <c r="G919" s="130" t="s">
        <v>3051</v>
      </c>
      <c r="H919" s="130" t="s">
        <v>3052</v>
      </c>
      <c r="I919" s="130" t="s">
        <v>3053</v>
      </c>
      <c r="J919" s="130" t="s">
        <v>2594</v>
      </c>
      <c r="K919" s="130" t="str">
        <f>IF('SIG 2021'!$AM922="","",'SIG 2021'!$AM922)</f>
        <v/>
      </c>
      <c r="L919" s="130" t="str">
        <f>IF('SIG 2021'!$AN922="","",'SIG 2021'!$AN922)</f>
        <v/>
      </c>
      <c r="M919" s="130" t="str">
        <f>IF('SIG 2021'!$AO922="","",'SIG 2021'!$AO922)</f>
        <v/>
      </c>
    </row>
    <row r="920" spans="1:13" ht="57.6" x14ac:dyDescent="0.5">
      <c r="A920" s="130">
        <v>3716</v>
      </c>
      <c r="B920" s="130" t="s">
        <v>3054</v>
      </c>
      <c r="C920" s="130" t="s">
        <v>3055</v>
      </c>
      <c r="D920" s="130" t="str">
        <f>IF('SIG 2021'!$D923="","",'SIG 2021'!$D923)</f>
        <v>Yes</v>
      </c>
      <c r="E920" s="130" t="str">
        <f>IF('SIG 2021'!$E923="","",'SIG 2021'!$E923)</f>
        <v/>
      </c>
      <c r="F920" s="130" t="str">
        <f>IF('SIG 2021'!$F923="","",'SIG 2021'!F923)</f>
        <v/>
      </c>
      <c r="G920" s="130" t="s">
        <v>3051</v>
      </c>
      <c r="H920" s="130" t="s">
        <v>1637</v>
      </c>
      <c r="I920" s="130" t="s">
        <v>3053</v>
      </c>
      <c r="J920" s="130"/>
      <c r="K920" s="130" t="str">
        <f>IF('SIG 2021'!$AM923="","",'SIG 2021'!$AM923)</f>
        <v/>
      </c>
      <c r="L920" s="130" t="str">
        <f>IF('SIG 2021'!$AN923="","",'SIG 2021'!$AN923)</f>
        <v/>
      </c>
      <c r="M920" s="130" t="str">
        <f>IF('SIG 2021'!$AO923="","",'SIG 2021'!$AO923)</f>
        <v/>
      </c>
    </row>
    <row r="921" spans="1:13" ht="43.2" x14ac:dyDescent="0.5">
      <c r="A921" s="130">
        <v>4350</v>
      </c>
      <c r="B921" s="130" t="s">
        <v>3056</v>
      </c>
      <c r="C921" s="130" t="s">
        <v>3057</v>
      </c>
      <c r="D921" s="130" t="str">
        <f>IF('SIG 2021'!$D924="","",'SIG 2021'!$D924)</f>
        <v>Yes</v>
      </c>
      <c r="E921" s="130" t="str">
        <f>IF('SIG 2021'!$E924="","",'SIG 2021'!$E924)</f>
        <v/>
      </c>
      <c r="F921" s="130" t="str">
        <f>IF('SIG 2021'!$F924="","",'SIG 2021'!F924)</f>
        <v/>
      </c>
      <c r="G921" s="130" t="s">
        <v>3051</v>
      </c>
      <c r="H921" s="130" t="s">
        <v>1637</v>
      </c>
      <c r="I921" s="130" t="s">
        <v>3024</v>
      </c>
      <c r="J921" s="130"/>
      <c r="K921" s="130" t="str">
        <f>IF('SIG 2021'!$AM924="","",'SIG 2021'!$AM924)</f>
        <v/>
      </c>
      <c r="L921" s="130" t="str">
        <f>IF('SIG 2021'!$AN924="","",'SIG 2021'!$AN924)</f>
        <v/>
      </c>
      <c r="M921" s="130" t="str">
        <f>IF('SIG 2021'!$AO924="","",'SIG 2021'!$AO924)</f>
        <v/>
      </c>
    </row>
    <row r="922" spans="1:13" ht="57.6" x14ac:dyDescent="0.5">
      <c r="A922" s="130">
        <v>3711</v>
      </c>
      <c r="B922" s="130" t="s">
        <v>3058</v>
      </c>
      <c r="C922" s="130" t="s">
        <v>3059</v>
      </c>
      <c r="D922" s="130" t="str">
        <f>IF('SIG 2021'!$D925="","",'SIG 2021'!$D925)</f>
        <v>Yes</v>
      </c>
      <c r="E922" s="130" t="str">
        <f>IF('SIG 2021'!$E925="","",'SIG 2021'!$E925)</f>
        <v/>
      </c>
      <c r="F922" s="130" t="str">
        <f>IF('SIG 2021'!$F925="","",'SIG 2021'!F925)</f>
        <v/>
      </c>
      <c r="G922" s="130" t="s">
        <v>3051</v>
      </c>
      <c r="H922" s="130" t="s">
        <v>3060</v>
      </c>
      <c r="I922" s="130" t="s">
        <v>3053</v>
      </c>
      <c r="J922" s="130"/>
      <c r="K922" s="130" t="str">
        <f>IF('SIG 2021'!$AM925="","",'SIG 2021'!$AM925)</f>
        <v/>
      </c>
      <c r="L922" s="130" t="str">
        <f>IF('SIG 2021'!$AN925="","",'SIG 2021'!$AN925)</f>
        <v/>
      </c>
      <c r="M922" s="130" t="str">
        <f>IF('SIG 2021'!$AO925="","",'SIG 2021'!$AO925)</f>
        <v/>
      </c>
    </row>
    <row r="923" spans="1:13" ht="57.6" x14ac:dyDescent="0.5">
      <c r="A923" s="130">
        <v>4351</v>
      </c>
      <c r="B923" s="130" t="s">
        <v>3061</v>
      </c>
      <c r="C923" s="130" t="s">
        <v>3062</v>
      </c>
      <c r="D923" s="130" t="str">
        <f>IF('SIG 2021'!$D926="","",'SIG 2021'!$D926)</f>
        <v>Yes</v>
      </c>
      <c r="E923" s="130" t="str">
        <f>IF('SIG 2021'!$E926="","",'SIG 2021'!$E926)</f>
        <v/>
      </c>
      <c r="F923" s="130" t="str">
        <f>IF('SIG 2021'!$F926="","",'SIG 2021'!F926)</f>
        <v/>
      </c>
      <c r="G923" s="130" t="s">
        <v>3051</v>
      </c>
      <c r="H923" s="130" t="s">
        <v>3060</v>
      </c>
      <c r="I923" s="130" t="s">
        <v>3053</v>
      </c>
      <c r="J923" s="130"/>
      <c r="K923" s="130" t="str">
        <f>IF('SIG 2021'!$AM926="","",'SIG 2021'!$AM926)</f>
        <v/>
      </c>
      <c r="L923" s="130" t="str">
        <f>IF('SIG 2021'!$AN926="","",'SIG 2021'!$AN926)</f>
        <v/>
      </c>
      <c r="M923" s="130" t="str">
        <f>IF('SIG 2021'!$AO926="","",'SIG 2021'!$AO926)</f>
        <v/>
      </c>
    </row>
    <row r="924" spans="1:13" ht="57.6" x14ac:dyDescent="0.5">
      <c r="A924" s="130">
        <v>4352</v>
      </c>
      <c r="B924" s="130" t="s">
        <v>3063</v>
      </c>
      <c r="C924" s="130" t="s">
        <v>3064</v>
      </c>
      <c r="D924" s="130" t="str">
        <f>IF('SIG 2021'!$D927="","",'SIG 2021'!$D927)</f>
        <v>Yes</v>
      </c>
      <c r="E924" s="130" t="str">
        <f>IF('SIG 2021'!$E927="","",'SIG 2021'!$E927)</f>
        <v/>
      </c>
      <c r="F924" s="130" t="str">
        <f>IF('SIG 2021'!$F927="","",'SIG 2021'!F927)</f>
        <v/>
      </c>
      <c r="G924" s="130" t="s">
        <v>3051</v>
      </c>
      <c r="H924" s="130" t="s">
        <v>3060</v>
      </c>
      <c r="I924" s="130" t="s">
        <v>3053</v>
      </c>
      <c r="J924" s="130"/>
      <c r="K924" s="130" t="str">
        <f>IF('SIG 2021'!$AM927="","",'SIG 2021'!$AM927)</f>
        <v/>
      </c>
      <c r="L924" s="130" t="str">
        <f>IF('SIG 2021'!$AN927="","",'SIG 2021'!$AN927)</f>
        <v/>
      </c>
      <c r="M924" s="130" t="str">
        <f>IF('SIG 2021'!$AO927="","",'SIG 2021'!$AO927)</f>
        <v/>
      </c>
    </row>
    <row r="925" spans="1:13" ht="57.6" x14ac:dyDescent="0.5">
      <c r="A925" s="130">
        <v>3717</v>
      </c>
      <c r="B925" s="130" t="s">
        <v>3065</v>
      </c>
      <c r="C925" s="130" t="s">
        <v>3066</v>
      </c>
      <c r="D925" s="130" t="str">
        <f>IF('SIG 2021'!$D928="","",'SIG 2021'!$D928)</f>
        <v>Yes</v>
      </c>
      <c r="E925" s="130" t="str">
        <f>IF('SIG 2021'!$E928="","",'SIG 2021'!$E928)</f>
        <v/>
      </c>
      <c r="F925" s="130" t="str">
        <f>IF('SIG 2021'!$F928="","",'SIG 2021'!F928)</f>
        <v/>
      </c>
      <c r="G925" s="130" t="s">
        <v>3051</v>
      </c>
      <c r="H925" s="130" t="s">
        <v>3067</v>
      </c>
      <c r="I925" s="130" t="s">
        <v>3053</v>
      </c>
      <c r="J925" s="130"/>
      <c r="K925" s="130" t="str">
        <f>IF('SIG 2021'!$AM928="","",'SIG 2021'!$AM928)</f>
        <v/>
      </c>
      <c r="L925" s="130" t="str">
        <f>IF('SIG 2021'!$AN928="","",'SIG 2021'!$AN928)</f>
        <v/>
      </c>
      <c r="M925" s="130" t="str">
        <f>IF('SIG 2021'!$AO928="","",'SIG 2021'!$AO928)</f>
        <v/>
      </c>
    </row>
    <row r="926" spans="1:13" ht="57.6" x14ac:dyDescent="0.5">
      <c r="A926" s="130">
        <v>4353</v>
      </c>
      <c r="B926" s="130" t="s">
        <v>3068</v>
      </c>
      <c r="C926" s="130" t="s">
        <v>3062</v>
      </c>
      <c r="D926" s="130" t="str">
        <f>IF('SIG 2021'!$D929="","",'SIG 2021'!$D929)</f>
        <v>Yes</v>
      </c>
      <c r="E926" s="130" t="str">
        <f>IF('SIG 2021'!$E929="","",'SIG 2021'!$E929)</f>
        <v/>
      </c>
      <c r="F926" s="130" t="str">
        <f>IF('SIG 2021'!$F929="","",'SIG 2021'!F929)</f>
        <v/>
      </c>
      <c r="G926" s="130" t="s">
        <v>3051</v>
      </c>
      <c r="H926" s="130" t="s">
        <v>3067</v>
      </c>
      <c r="I926" s="130" t="s">
        <v>3053</v>
      </c>
      <c r="J926" s="130" t="s">
        <v>2594</v>
      </c>
      <c r="K926" s="130" t="str">
        <f>IF('SIG 2021'!$AM929="","",'SIG 2021'!$AM929)</f>
        <v/>
      </c>
      <c r="L926" s="130" t="str">
        <f>IF('SIG 2021'!$AN929="","",'SIG 2021'!$AN929)</f>
        <v/>
      </c>
      <c r="M926" s="130" t="str">
        <f>IF('SIG 2021'!$AO929="","",'SIG 2021'!$AO929)</f>
        <v/>
      </c>
    </row>
    <row r="927" spans="1:13" ht="57.6" x14ac:dyDescent="0.5">
      <c r="A927" s="130">
        <v>4354</v>
      </c>
      <c r="B927" s="130" t="s">
        <v>3069</v>
      </c>
      <c r="C927" s="130" t="s">
        <v>3064</v>
      </c>
      <c r="D927" s="130" t="str">
        <f>IF('SIG 2021'!$D930="","",'SIG 2021'!$D930)</f>
        <v>Yes</v>
      </c>
      <c r="E927" s="130" t="str">
        <f>IF('SIG 2021'!$E930="","",'SIG 2021'!$E930)</f>
        <v/>
      </c>
      <c r="F927" s="130" t="str">
        <f>IF('SIG 2021'!$F930="","",'SIG 2021'!F930)</f>
        <v/>
      </c>
      <c r="G927" s="130" t="s">
        <v>3051</v>
      </c>
      <c r="H927" s="130" t="s">
        <v>3067</v>
      </c>
      <c r="I927" s="130" t="s">
        <v>3053</v>
      </c>
      <c r="J927" s="130" t="s">
        <v>2594</v>
      </c>
      <c r="K927" s="130" t="str">
        <f>IF('SIG 2021'!$AM930="","",'SIG 2021'!$AM930)</f>
        <v/>
      </c>
      <c r="L927" s="130" t="str">
        <f>IF('SIG 2021'!$AN930="","",'SIG 2021'!$AN930)</f>
        <v/>
      </c>
      <c r="M927" s="130" t="str">
        <f>IF('SIG 2021'!$AO930="","",'SIG 2021'!$AO930)</f>
        <v/>
      </c>
    </row>
    <row r="928" spans="1:13" ht="28.8" x14ac:dyDescent="0.5">
      <c r="A928" s="130">
        <v>3721</v>
      </c>
      <c r="B928" s="130" t="s">
        <v>3070</v>
      </c>
      <c r="C928" s="130" t="s">
        <v>3071</v>
      </c>
      <c r="D928" s="130" t="str">
        <f>IF('SIG 2021'!$D931="","",'SIG 2021'!$D931)</f>
        <v>Yes</v>
      </c>
      <c r="E928" s="130" t="str">
        <f>IF('SIG 2021'!$E931="","",'SIG 2021'!$E931)</f>
        <v/>
      </c>
      <c r="F928" s="130" t="str">
        <f>IF('SIG 2021'!$F931="","",'SIG 2021'!F931)</f>
        <v/>
      </c>
      <c r="G928" s="130" t="s">
        <v>3051</v>
      </c>
      <c r="H928" s="130" t="s">
        <v>3072</v>
      </c>
      <c r="I928" s="130"/>
      <c r="J928" s="130" t="s">
        <v>2594</v>
      </c>
      <c r="K928" s="130" t="str">
        <f>IF('SIG 2021'!$AM931="","",'SIG 2021'!$AM931)</f>
        <v/>
      </c>
      <c r="L928" s="130" t="str">
        <f>IF('SIG 2021'!$AN931="","",'SIG 2021'!$AN931)</f>
        <v/>
      </c>
      <c r="M928" s="130" t="str">
        <f>IF('SIG 2021'!$AO931="","",'SIG 2021'!$AO931)</f>
        <v/>
      </c>
    </row>
    <row r="929" spans="1:13" ht="28.8" x14ac:dyDescent="0.5">
      <c r="A929" s="130">
        <v>4356</v>
      </c>
      <c r="B929" s="130" t="s">
        <v>3073</v>
      </c>
      <c r="C929" s="130" t="s">
        <v>3074</v>
      </c>
      <c r="D929" s="130" t="str">
        <f>IF('SIG 2021'!$D932="","",'SIG 2021'!$D932)</f>
        <v>Yes</v>
      </c>
      <c r="E929" s="130" t="str">
        <f>IF('SIG 2021'!$E932="","",'SIG 2021'!$E932)</f>
        <v/>
      </c>
      <c r="F929" s="130" t="str">
        <f>IF('SIG 2021'!$F932="","",'SIG 2021'!F932)</f>
        <v/>
      </c>
      <c r="G929" s="130" t="s">
        <v>3051</v>
      </c>
      <c r="H929" s="130" t="s">
        <v>3072</v>
      </c>
      <c r="I929" s="130"/>
      <c r="J929" s="130" t="s">
        <v>2594</v>
      </c>
      <c r="K929" s="130" t="str">
        <f>IF('SIG 2021'!$AM932="","",'SIG 2021'!$AM932)</f>
        <v/>
      </c>
      <c r="L929" s="130" t="str">
        <f>IF('SIG 2021'!$AN932="","",'SIG 2021'!$AN932)</f>
        <v/>
      </c>
      <c r="M929" s="130" t="str">
        <f>IF('SIG 2021'!$AO932="","",'SIG 2021'!$AO932)</f>
        <v/>
      </c>
    </row>
    <row r="930" spans="1:13" ht="28.8" x14ac:dyDescent="0.5">
      <c r="A930" s="130">
        <v>3710</v>
      </c>
      <c r="B930" s="130" t="s">
        <v>3075</v>
      </c>
      <c r="C930" s="130" t="s">
        <v>3076</v>
      </c>
      <c r="D930" s="130" t="str">
        <f>IF('SIG 2021'!$D933="","",'SIG 2021'!$D933)</f>
        <v>Yes</v>
      </c>
      <c r="E930" s="130" t="str">
        <f>IF('SIG 2021'!$E933="","",'SIG 2021'!$E933)</f>
        <v/>
      </c>
      <c r="F930" s="130" t="str">
        <f>IF('SIG 2021'!$F933="","",'SIG 2021'!F933)</f>
        <v/>
      </c>
      <c r="G930" s="130" t="s">
        <v>3051</v>
      </c>
      <c r="H930" s="130" t="s">
        <v>3072</v>
      </c>
      <c r="I930" s="130"/>
      <c r="J930" s="130" t="s">
        <v>2594</v>
      </c>
      <c r="K930" s="130" t="str">
        <f>IF('SIG 2021'!$AM933="","",'SIG 2021'!$AM933)</f>
        <v/>
      </c>
      <c r="L930" s="130" t="str">
        <f>IF('SIG 2021'!$AN933="","",'SIG 2021'!$AN933)</f>
        <v/>
      </c>
      <c r="M930" s="130" t="str">
        <f>IF('SIG 2021'!$AO933="","",'SIG 2021'!$AO933)</f>
        <v/>
      </c>
    </row>
    <row r="931" spans="1:13" ht="28.8" x14ac:dyDescent="0.5">
      <c r="A931" s="130">
        <v>3463</v>
      </c>
      <c r="B931" s="130" t="s">
        <v>3077</v>
      </c>
      <c r="C931" s="130" t="s">
        <v>3078</v>
      </c>
      <c r="D931" s="130" t="str">
        <f>IF('SIG 2021'!$D934="","",'SIG 2021'!$D934)</f>
        <v>Yes</v>
      </c>
      <c r="E931" s="130" t="str">
        <f>IF('SIG 2021'!$E934="","",'SIG 2021'!$E934)</f>
        <v/>
      </c>
      <c r="F931" s="130" t="str">
        <f>IF('SIG 2021'!$F934="","",'SIG 2021'!F934)</f>
        <v/>
      </c>
      <c r="G931" s="130" t="s">
        <v>3051</v>
      </c>
      <c r="H931" s="130" t="s">
        <v>3072</v>
      </c>
      <c r="I931" s="130"/>
      <c r="J931" s="130"/>
      <c r="K931" s="130" t="str">
        <f>IF('SIG 2021'!$AM934="","",'SIG 2021'!$AM934)</f>
        <v/>
      </c>
      <c r="L931" s="130" t="str">
        <f>IF('SIG 2021'!$AN934="","",'SIG 2021'!$AN934)</f>
        <v/>
      </c>
      <c r="M931" s="130" t="str">
        <f>IF('SIG 2021'!$AO934="","",'SIG 2021'!$AO934)</f>
        <v/>
      </c>
    </row>
    <row r="932" spans="1:13" ht="28.8" x14ac:dyDescent="0.5">
      <c r="A932" s="130">
        <v>4358</v>
      </c>
      <c r="B932" s="130" t="s">
        <v>3079</v>
      </c>
      <c r="C932" s="130" t="s">
        <v>3080</v>
      </c>
      <c r="D932" s="130" t="str">
        <f>IF('SIG 2021'!$D935="","",'SIG 2021'!$D935)</f>
        <v>Yes</v>
      </c>
      <c r="E932" s="130" t="str">
        <f>IF('SIG 2021'!$E935="","",'SIG 2021'!$E935)</f>
        <v/>
      </c>
      <c r="F932" s="130" t="str">
        <f>IF('SIG 2021'!$F935="","",'SIG 2021'!F935)</f>
        <v/>
      </c>
      <c r="G932" s="130" t="s">
        <v>3051</v>
      </c>
      <c r="H932" s="130" t="s">
        <v>3072</v>
      </c>
      <c r="I932" s="130"/>
      <c r="J932" s="130"/>
      <c r="K932" s="130" t="str">
        <f>IF('SIG 2021'!$AM935="","",'SIG 2021'!$AM935)</f>
        <v/>
      </c>
      <c r="L932" s="130" t="str">
        <f>IF('SIG 2021'!$AN935="","",'SIG 2021'!$AN935)</f>
        <v/>
      </c>
      <c r="M932" s="130" t="str">
        <f>IF('SIG 2021'!$AO935="","",'SIG 2021'!$AO935)</f>
        <v/>
      </c>
    </row>
    <row r="933" spans="1:13" ht="28.8" x14ac:dyDescent="0.5">
      <c r="A933" s="130">
        <v>4362</v>
      </c>
      <c r="B933" s="130" t="s">
        <v>3081</v>
      </c>
      <c r="C933" s="130" t="s">
        <v>3082</v>
      </c>
      <c r="D933" s="130" t="str">
        <f>IF('SIG 2021'!$D936="","",'SIG 2021'!$D936)</f>
        <v>Yes</v>
      </c>
      <c r="E933" s="130" t="str">
        <f>IF('SIG 2021'!$E936="","",'SIG 2021'!$E936)</f>
        <v/>
      </c>
      <c r="F933" s="130" t="str">
        <f>IF('SIG 2021'!$F936="","",'SIG 2021'!F936)</f>
        <v/>
      </c>
      <c r="G933" s="130" t="s">
        <v>3051</v>
      </c>
      <c r="H933" s="130" t="s">
        <v>3072</v>
      </c>
      <c r="I933" s="130"/>
      <c r="J933" s="130"/>
      <c r="K933" s="130" t="str">
        <f>IF('SIG 2021'!$AM936="","",'SIG 2021'!$AM936)</f>
        <v/>
      </c>
      <c r="L933" s="130" t="str">
        <f>IF('SIG 2021'!$AN936="","",'SIG 2021'!$AN936)</f>
        <v/>
      </c>
      <c r="M933" s="130" t="str">
        <f>IF('SIG 2021'!$AO936="","",'SIG 2021'!$AO936)</f>
        <v/>
      </c>
    </row>
    <row r="934" spans="1:13" ht="28.8" x14ac:dyDescent="0.5">
      <c r="A934" s="130">
        <v>4363</v>
      </c>
      <c r="B934" s="130" t="s">
        <v>3083</v>
      </c>
      <c r="C934" s="130" t="s">
        <v>3084</v>
      </c>
      <c r="D934" s="130" t="str">
        <f>IF('SIG 2021'!$D937="","",'SIG 2021'!$D937)</f>
        <v>Yes</v>
      </c>
      <c r="E934" s="130" t="str">
        <f>IF('SIG 2021'!$E937="","",'SIG 2021'!$E937)</f>
        <v/>
      </c>
      <c r="F934" s="130" t="str">
        <f>IF('SIG 2021'!$F937="","",'SIG 2021'!F937)</f>
        <v/>
      </c>
      <c r="G934" s="130" t="s">
        <v>3051</v>
      </c>
      <c r="H934" s="130" t="s">
        <v>3072</v>
      </c>
      <c r="I934" s="130"/>
      <c r="J934" s="130"/>
      <c r="K934" s="130" t="str">
        <f>IF('SIG 2021'!$AM937="","",'SIG 2021'!$AM937)</f>
        <v/>
      </c>
      <c r="L934" s="130" t="str">
        <f>IF('SIG 2021'!$AN937="","",'SIG 2021'!$AN937)</f>
        <v/>
      </c>
      <c r="M934" s="130" t="str">
        <f>IF('SIG 2021'!$AO937="","",'SIG 2021'!$AO937)</f>
        <v/>
      </c>
    </row>
    <row r="935" spans="1:13" ht="43.2" x14ac:dyDescent="0.5">
      <c r="A935" s="130">
        <v>3914</v>
      </c>
      <c r="B935" s="130" t="s">
        <v>3085</v>
      </c>
      <c r="C935" s="130" t="s">
        <v>3086</v>
      </c>
      <c r="D935" s="130" t="str">
        <f>IF('SIG 2021'!$D938="","",'SIG 2021'!$D938)</f>
        <v>Yes</v>
      </c>
      <c r="E935" s="130" t="str">
        <f>IF('SIG 2021'!$E938="","",'SIG 2021'!$E938)</f>
        <v/>
      </c>
      <c r="F935" s="130" t="str">
        <f>IF('SIG 2021'!$F938="","",'SIG 2021'!F938)</f>
        <v/>
      </c>
      <c r="G935" s="130" t="s">
        <v>3051</v>
      </c>
      <c r="H935" s="130" t="s">
        <v>3072</v>
      </c>
      <c r="I935" s="130"/>
      <c r="J935" s="130"/>
      <c r="K935" s="130" t="str">
        <f>IF('SIG 2021'!$AM938="","",'SIG 2021'!$AM938)</f>
        <v/>
      </c>
      <c r="L935" s="130" t="str">
        <f>IF('SIG 2021'!$AN938="","",'SIG 2021'!$AN938)</f>
        <v/>
      </c>
      <c r="M935" s="130" t="str">
        <f>IF('SIG 2021'!$AO938="","",'SIG 2021'!$AO938)</f>
        <v/>
      </c>
    </row>
    <row r="936" spans="1:13" ht="28.8" x14ac:dyDescent="0.5">
      <c r="A936" s="130">
        <v>3725</v>
      </c>
      <c r="B936" s="130" t="s">
        <v>3087</v>
      </c>
      <c r="C936" s="130" t="s">
        <v>3088</v>
      </c>
      <c r="D936" s="130" t="str">
        <f>IF('SIG 2021'!$D939="","",'SIG 2021'!$D939)</f>
        <v>Yes</v>
      </c>
      <c r="E936" s="130" t="str">
        <f>IF('SIG 2021'!$E939="","",'SIG 2021'!$E939)</f>
        <v/>
      </c>
      <c r="F936" s="130" t="str">
        <f>IF('SIG 2021'!$F939="","",'SIG 2021'!F939)</f>
        <v/>
      </c>
      <c r="G936" s="130" t="s">
        <v>3051</v>
      </c>
      <c r="H936" s="130" t="s">
        <v>3072</v>
      </c>
      <c r="I936" s="130"/>
      <c r="J936" s="130" t="s">
        <v>2594</v>
      </c>
      <c r="K936" s="130" t="str">
        <f>IF('SIG 2021'!$AM939="","",'SIG 2021'!$AM939)</f>
        <v/>
      </c>
      <c r="L936" s="130" t="str">
        <f>IF('SIG 2021'!$AN939="","",'SIG 2021'!$AN939)</f>
        <v/>
      </c>
      <c r="M936" s="130" t="str">
        <f>IF('SIG 2021'!$AO939="","",'SIG 2021'!$AO939)</f>
        <v/>
      </c>
    </row>
    <row r="937" spans="1:13" ht="43.2" x14ac:dyDescent="0.5">
      <c r="A937" s="130">
        <v>4364</v>
      </c>
      <c r="B937" s="130" t="s">
        <v>3089</v>
      </c>
      <c r="C937" s="130" t="s">
        <v>3090</v>
      </c>
      <c r="D937" s="130" t="str">
        <f>IF('SIG 2021'!$D940="","",'SIG 2021'!$D940)</f>
        <v>Yes</v>
      </c>
      <c r="E937" s="130" t="str">
        <f>IF('SIG 2021'!$E940="","",'SIG 2021'!$E940)</f>
        <v/>
      </c>
      <c r="F937" s="130" t="str">
        <f>IF('SIG 2021'!$F940="","",'SIG 2021'!F940)</f>
        <v/>
      </c>
      <c r="G937" s="130" t="s">
        <v>3051</v>
      </c>
      <c r="H937" s="130" t="s">
        <v>3072</v>
      </c>
      <c r="I937" s="130"/>
      <c r="J937" s="130" t="s">
        <v>2594</v>
      </c>
      <c r="K937" s="130" t="str">
        <f>IF('SIG 2021'!$AM940="","",'SIG 2021'!$AM940)</f>
        <v/>
      </c>
      <c r="L937" s="130" t="str">
        <f>IF('SIG 2021'!$AN940="","",'SIG 2021'!$AN940)</f>
        <v/>
      </c>
      <c r="M937" s="130" t="str">
        <f>IF('SIG 2021'!$AO940="","",'SIG 2021'!$AO940)</f>
        <v/>
      </c>
    </row>
    <row r="938" spans="1:13" ht="43.2" x14ac:dyDescent="0.5">
      <c r="A938" s="130">
        <v>2233</v>
      </c>
      <c r="B938" s="130" t="s">
        <v>415</v>
      </c>
      <c r="C938" s="130" t="s">
        <v>3091</v>
      </c>
      <c r="D938" s="130" t="str">
        <f>IF('SIG 2021'!$D941="","",'SIG 2021'!$D941)</f>
        <v>Yes</v>
      </c>
      <c r="E938" s="130" t="str">
        <f>IF('SIG 2021'!$E941="","",'SIG 2021'!$E941)</f>
        <v/>
      </c>
      <c r="F938" s="130" t="str">
        <f>IF('SIG 2021'!$F941="","",'SIG 2021'!F941)</f>
        <v/>
      </c>
      <c r="G938" s="130" t="s">
        <v>3051</v>
      </c>
      <c r="H938" s="130" t="s">
        <v>3092</v>
      </c>
      <c r="I938" s="130" t="s">
        <v>3093</v>
      </c>
      <c r="J938" s="130"/>
      <c r="K938" s="130" t="str">
        <f>IF('SIG 2021'!$AM941="","",'SIG 2021'!$AM941)</f>
        <v/>
      </c>
      <c r="L938" s="130" t="str">
        <f>IF('SIG 2021'!$AN941="","",'SIG 2021'!$AN941)</f>
        <v/>
      </c>
      <c r="M938" s="130" t="str">
        <f>IF('SIG 2021'!$AO941="","",'SIG 2021'!$AO941)</f>
        <v/>
      </c>
    </row>
    <row r="939" spans="1:13" ht="72" x14ac:dyDescent="0.5">
      <c r="A939" s="130">
        <v>4960</v>
      </c>
      <c r="B939" s="130" t="s">
        <v>417</v>
      </c>
      <c r="C939" s="130" t="s">
        <v>3094</v>
      </c>
      <c r="D939" s="130" t="str">
        <f>IF('SIG 2021'!$D942="","",'SIG 2021'!$D942)</f>
        <v>Yes</v>
      </c>
      <c r="E939" s="130" t="str">
        <f>IF('SIG 2021'!$E942="","",'SIG 2021'!$E942)</f>
        <v/>
      </c>
      <c r="F939" s="130" t="str">
        <f>IF('SIG 2021'!$F942="","",'SIG 2021'!F942)</f>
        <v/>
      </c>
      <c r="G939" s="130" t="s">
        <v>3051</v>
      </c>
      <c r="H939" s="130" t="s">
        <v>3095</v>
      </c>
      <c r="I939" s="130"/>
      <c r="J939" s="130"/>
      <c r="K939" s="130" t="str">
        <f>IF('SIG 2021'!$AM942="","",'SIG 2021'!$AM942)</f>
        <v/>
      </c>
      <c r="L939" s="130" t="str">
        <f>IF('SIG 2021'!$AN942="","",'SIG 2021'!$AN942)</f>
        <v/>
      </c>
      <c r="M939" s="130" t="str">
        <f>IF('SIG 2021'!$AO942="","",'SIG 2021'!$AO942)</f>
        <v/>
      </c>
    </row>
    <row r="940" spans="1:13" ht="43.2" x14ac:dyDescent="0.5">
      <c r="A940" s="130">
        <v>4962</v>
      </c>
      <c r="B940" s="130" t="s">
        <v>419</v>
      </c>
      <c r="C940" s="130" t="s">
        <v>3096</v>
      </c>
      <c r="D940" s="130" t="str">
        <f>IF('SIG 2021'!$D943="","",'SIG 2021'!$D943)</f>
        <v>No</v>
      </c>
      <c r="E940" s="130" t="str">
        <f>IF('SIG 2021'!$E943="","",'SIG 2021'!$E943)</f>
        <v/>
      </c>
      <c r="F940" s="130" t="str">
        <f>IF('SIG 2021'!$F943="","",'SIG 2021'!F943)</f>
        <v/>
      </c>
      <c r="G940" s="130" t="s">
        <v>3051</v>
      </c>
      <c r="H940" s="130" t="s">
        <v>3097</v>
      </c>
      <c r="I940" s="130"/>
      <c r="J940" s="130"/>
      <c r="K940" s="130" t="str">
        <f>IF('SIG 2021'!$AM943="","",'SIG 2021'!$AM943)</f>
        <v/>
      </c>
      <c r="L940" s="130" t="str">
        <f>IF('SIG 2021'!$AN943="","",'SIG 2021'!$AN943)</f>
        <v/>
      </c>
      <c r="M940" s="130" t="str">
        <f>IF('SIG 2021'!$AO943="","",'SIG 2021'!$AO943)</f>
        <v/>
      </c>
    </row>
    <row r="941" spans="1:13" ht="43.2" x14ac:dyDescent="0.5">
      <c r="A941" s="130">
        <v>4963</v>
      </c>
      <c r="B941" s="130" t="s">
        <v>3098</v>
      </c>
      <c r="C941" s="130" t="s">
        <v>3099</v>
      </c>
      <c r="D941" s="130" t="str">
        <f>IF('SIG 2021'!$D944="","",'SIG 2021'!$D944)</f>
        <v/>
      </c>
      <c r="E941" s="130" t="str">
        <f>IF('SIG 2021'!$E944="","",'SIG 2021'!$E944)</f>
        <v/>
      </c>
      <c r="F941" s="130" t="str">
        <f>IF('SIG 2021'!$F944="","",'SIG 2021'!F944)</f>
        <v/>
      </c>
      <c r="G941" s="130" t="s">
        <v>3051</v>
      </c>
      <c r="H941" s="130" t="s">
        <v>3097</v>
      </c>
      <c r="I941" s="130" t="s">
        <v>1062</v>
      </c>
      <c r="J941" s="130"/>
      <c r="K941" s="130" t="str">
        <f>IF('SIG 2021'!$AM944="","",'SIG 2021'!$AM944)</f>
        <v/>
      </c>
      <c r="L941" s="130" t="str">
        <f>IF('SIG 2021'!$AN944="","",'SIG 2021'!$AN944)</f>
        <v/>
      </c>
      <c r="M941" s="130" t="str">
        <f>IF('SIG 2021'!$AO944="","",'SIG 2021'!$AO944)</f>
        <v/>
      </c>
    </row>
    <row r="942" spans="1:13" ht="43.2" x14ac:dyDescent="0.5">
      <c r="A942" s="130">
        <v>4366</v>
      </c>
      <c r="B942" s="130" t="s">
        <v>423</v>
      </c>
      <c r="C942" s="130" t="s">
        <v>3100</v>
      </c>
      <c r="D942" s="130" t="str">
        <f>IF('SIG 2021'!$D945="","",'SIG 2021'!$D945)</f>
        <v>Yes</v>
      </c>
      <c r="E942" s="130" t="str">
        <f>IF('SIG 2021'!$E945="","",'SIG 2021'!$E945)</f>
        <v/>
      </c>
      <c r="F942" s="130" t="str">
        <f>IF('SIG 2021'!$F945="","",'SIG 2021'!F945)</f>
        <v/>
      </c>
      <c r="G942" s="130" t="s">
        <v>3101</v>
      </c>
      <c r="H942" s="130" t="s">
        <v>1742</v>
      </c>
      <c r="I942" s="130"/>
      <c r="J942" s="130"/>
      <c r="K942" s="130" t="str">
        <f>IF('SIG 2021'!$AM945="","",'SIG 2021'!$AM945)</f>
        <v/>
      </c>
      <c r="L942" s="130" t="str">
        <f>IF('SIG 2021'!$AN945="","",'SIG 2021'!$AN945)</f>
        <v/>
      </c>
      <c r="M942" s="130" t="str">
        <f>IF('SIG 2021'!$AO945="","",'SIG 2021'!$AO945)</f>
        <v/>
      </c>
    </row>
    <row r="943" spans="1:13" ht="43.2" x14ac:dyDescent="0.5">
      <c r="A943" s="130">
        <v>4367</v>
      </c>
      <c r="B943" s="130" t="s">
        <v>3103</v>
      </c>
      <c r="C943" s="130" t="s">
        <v>3104</v>
      </c>
      <c r="D943" s="130" t="str">
        <f>IF('SIG 2021'!$D946="","",'SIG 2021'!$D946)</f>
        <v>Yes</v>
      </c>
      <c r="E943" s="130" t="str">
        <f>IF('SIG 2021'!$E946="","",'SIG 2021'!$E946)</f>
        <v xml:space="preserve">Seismic has a documented Secure Configuration Standard. </v>
      </c>
      <c r="F943" s="130" t="str">
        <f>IF('SIG 2021'!$F946="","",'SIG 2021'!F946)</f>
        <v/>
      </c>
      <c r="G943" s="130" t="s">
        <v>3101</v>
      </c>
      <c r="H943" s="130" t="s">
        <v>3106</v>
      </c>
      <c r="I943" s="130" t="s">
        <v>1399</v>
      </c>
      <c r="J943" s="130"/>
      <c r="K943" s="130" t="str">
        <f>IF('SIG 2021'!$AM946="","",'SIG 2021'!$AM946)</f>
        <v/>
      </c>
      <c r="L943" s="130" t="str">
        <f>IF('SIG 2021'!$AN946="","",'SIG 2021'!$AN946)</f>
        <v/>
      </c>
      <c r="M943" s="130" t="str">
        <f>IF('SIG 2021'!$AO946="","",'SIG 2021'!$AO946)</f>
        <v/>
      </c>
    </row>
    <row r="944" spans="1:13" ht="57.6" x14ac:dyDescent="0.5">
      <c r="A944" s="130">
        <v>4368</v>
      </c>
      <c r="B944" s="130" t="s">
        <v>3107</v>
      </c>
      <c r="C944" s="130" t="s">
        <v>3108</v>
      </c>
      <c r="D944" s="130" t="str">
        <f>IF('SIG 2021'!$D947="","",'SIG 2021'!$D947)</f>
        <v>Yes</v>
      </c>
      <c r="E944" s="130" t="str">
        <f>IF('SIG 2021'!$E947="","",'SIG 2021'!$E947)</f>
        <v/>
      </c>
      <c r="F944" s="130" t="str">
        <f>IF('SIG 2021'!$F947="","",'SIG 2021'!F947)</f>
        <v/>
      </c>
      <c r="G944" s="130" t="s">
        <v>3101</v>
      </c>
      <c r="H944" s="130" t="s">
        <v>3106</v>
      </c>
      <c r="I944" s="130" t="s">
        <v>1399</v>
      </c>
      <c r="J944" s="130"/>
      <c r="K944" s="130" t="str">
        <f>IF('SIG 2021'!$AM947="","",'SIG 2021'!$AM947)</f>
        <v/>
      </c>
      <c r="L944" s="130" t="str">
        <f>IF('SIG 2021'!$AN947="","",'SIG 2021'!$AN947)</f>
        <v/>
      </c>
      <c r="M944" s="130" t="str">
        <f>IF('SIG 2021'!$AO947="","",'SIG 2021'!$AO947)</f>
        <v/>
      </c>
    </row>
    <row r="945" spans="1:13" ht="43.2" x14ac:dyDescent="0.5">
      <c r="A945" s="130">
        <v>4369</v>
      </c>
      <c r="B945" s="130" t="s">
        <v>3109</v>
      </c>
      <c r="C945" s="130" t="s">
        <v>3110</v>
      </c>
      <c r="D945" s="130" t="str">
        <f>IF('SIG 2021'!$D948="","",'SIG 2021'!$D948)</f>
        <v>Yes</v>
      </c>
      <c r="E945" s="130" t="str">
        <f>IF('SIG 2021'!$E948="","",'SIG 2021'!$E948)</f>
        <v/>
      </c>
      <c r="F945" s="130" t="str">
        <f>IF('SIG 2021'!$F948="","",'SIG 2021'!F948)</f>
        <v/>
      </c>
      <c r="G945" s="130" t="s">
        <v>3101</v>
      </c>
      <c r="H945" s="130" t="s">
        <v>3111</v>
      </c>
      <c r="I945" s="130" t="s">
        <v>1399</v>
      </c>
      <c r="J945" s="130"/>
      <c r="K945" s="130" t="str">
        <f>IF('SIG 2021'!$AM948="","",'SIG 2021'!$AM948)</f>
        <v/>
      </c>
      <c r="L945" s="130" t="str">
        <f>IF('SIG 2021'!$AN948="","",'SIG 2021'!$AN948)</f>
        <v/>
      </c>
      <c r="M945" s="130" t="str">
        <f>IF('SIG 2021'!$AO948="","",'SIG 2021'!$AO948)</f>
        <v/>
      </c>
    </row>
    <row r="946" spans="1:13" ht="43.2" x14ac:dyDescent="0.5">
      <c r="A946" s="130">
        <v>4535</v>
      </c>
      <c r="B946" s="130" t="s">
        <v>3112</v>
      </c>
      <c r="C946" s="130" t="s">
        <v>3113</v>
      </c>
      <c r="D946" s="130" t="str">
        <f>IF('SIG 2021'!$D949="","",'SIG 2021'!$D949)</f>
        <v>Yes</v>
      </c>
      <c r="E946" s="130" t="str">
        <f>IF('SIG 2021'!$E949="","",'SIG 2021'!$E949)</f>
        <v/>
      </c>
      <c r="F946" s="130" t="str">
        <f>IF('SIG 2021'!$F949="","",'SIG 2021'!F949)</f>
        <v/>
      </c>
      <c r="G946" s="130" t="s">
        <v>3101</v>
      </c>
      <c r="H946" s="130" t="s">
        <v>3111</v>
      </c>
      <c r="I946" s="130" t="s">
        <v>1399</v>
      </c>
      <c r="J946" s="130"/>
      <c r="K946" s="130" t="str">
        <f>IF('SIG 2021'!$AM949="","",'SIG 2021'!$AM949)</f>
        <v/>
      </c>
      <c r="L946" s="130" t="str">
        <f>IF('SIG 2021'!$AN949="","",'SIG 2021'!$AN949)</f>
        <v/>
      </c>
      <c r="M946" s="130" t="str">
        <f>IF('SIG 2021'!$AO949="","",'SIG 2021'!$AO949)</f>
        <v/>
      </c>
    </row>
    <row r="947" spans="1:13" ht="43.2" x14ac:dyDescent="0.5">
      <c r="A947" s="130">
        <v>4536</v>
      </c>
      <c r="B947" s="130" t="s">
        <v>3114</v>
      </c>
      <c r="C947" s="130" t="s">
        <v>3115</v>
      </c>
      <c r="D947" s="130" t="str">
        <f>IF('SIG 2021'!$D950="","",'SIG 2021'!$D950)</f>
        <v>Yes</v>
      </c>
      <c r="E947" s="130" t="str">
        <f>IF('SIG 2021'!$E950="","",'SIG 2021'!$E950)</f>
        <v/>
      </c>
      <c r="F947" s="130" t="str">
        <f>IF('SIG 2021'!$F950="","",'SIG 2021'!F950)</f>
        <v/>
      </c>
      <c r="G947" s="130" t="s">
        <v>3101</v>
      </c>
      <c r="H947" s="130" t="s">
        <v>3116</v>
      </c>
      <c r="I947" s="130" t="s">
        <v>1399</v>
      </c>
      <c r="J947" s="130"/>
      <c r="K947" s="130" t="str">
        <f>IF('SIG 2021'!$AM950="","",'SIG 2021'!$AM950)</f>
        <v/>
      </c>
      <c r="L947" s="130" t="str">
        <f>IF('SIG 2021'!$AN950="","",'SIG 2021'!$AN950)</f>
        <v/>
      </c>
      <c r="M947" s="130" t="str">
        <f>IF('SIG 2021'!$AO950="","",'SIG 2021'!$AO950)</f>
        <v/>
      </c>
    </row>
    <row r="948" spans="1:13" ht="43.2" x14ac:dyDescent="0.5">
      <c r="A948" s="130">
        <v>4370</v>
      </c>
      <c r="B948" s="130" t="s">
        <v>3117</v>
      </c>
      <c r="C948" s="130" t="s">
        <v>3118</v>
      </c>
      <c r="D948" s="130" t="str">
        <f>IF('SIG 2021'!$D951="","",'SIG 2021'!$D951)</f>
        <v>Yes</v>
      </c>
      <c r="E948" s="130" t="str">
        <f>IF('SIG 2021'!$E951="","",'SIG 2021'!$E951)</f>
        <v/>
      </c>
      <c r="F948" s="130" t="str">
        <f>IF('SIG 2021'!$F951="","",'SIG 2021'!F951)</f>
        <v/>
      </c>
      <c r="G948" s="130" t="s">
        <v>3101</v>
      </c>
      <c r="H948" s="130" t="s">
        <v>3119</v>
      </c>
      <c r="I948" s="130" t="s">
        <v>1399</v>
      </c>
      <c r="J948" s="130"/>
      <c r="K948" s="130" t="str">
        <f>IF('SIG 2021'!$AM951="","",'SIG 2021'!$AM951)</f>
        <v/>
      </c>
      <c r="L948" s="130" t="str">
        <f>IF('SIG 2021'!$AN951="","",'SIG 2021'!$AN951)</f>
        <v/>
      </c>
      <c r="M948" s="130" t="str">
        <f>IF('SIG 2021'!$AO951="","",'SIG 2021'!$AO951)</f>
        <v/>
      </c>
    </row>
    <row r="949" spans="1:13" ht="43.2" x14ac:dyDescent="0.5">
      <c r="A949" s="130">
        <v>4371</v>
      </c>
      <c r="B949" s="130" t="s">
        <v>3120</v>
      </c>
      <c r="C949" s="130" t="s">
        <v>3121</v>
      </c>
      <c r="D949" s="130" t="str">
        <f>IF('SIG 2021'!$D952="","",'SIG 2021'!$D952)</f>
        <v>Yes</v>
      </c>
      <c r="E949" s="130" t="str">
        <f>IF('SIG 2021'!$E952="","",'SIG 2021'!$E952)</f>
        <v/>
      </c>
      <c r="F949" s="130" t="str">
        <f>IF('SIG 2021'!$F952="","",'SIG 2021'!F952)</f>
        <v/>
      </c>
      <c r="G949" s="130" t="s">
        <v>3101</v>
      </c>
      <c r="H949" s="130" t="s">
        <v>3119</v>
      </c>
      <c r="I949" s="130" t="s">
        <v>1399</v>
      </c>
      <c r="J949" s="130"/>
      <c r="K949" s="130" t="str">
        <f>IF('SIG 2021'!$AM952="","",'SIG 2021'!$AM952)</f>
        <v/>
      </c>
      <c r="L949" s="130" t="str">
        <f>IF('SIG 2021'!$AN952="","",'SIG 2021'!$AN952)</f>
        <v/>
      </c>
      <c r="M949" s="130" t="str">
        <f>IF('SIG 2021'!$AO952="","",'SIG 2021'!$AO952)</f>
        <v/>
      </c>
    </row>
    <row r="950" spans="1:13" ht="43.2" x14ac:dyDescent="0.5">
      <c r="A950" s="130">
        <v>4372</v>
      </c>
      <c r="B950" s="130" t="s">
        <v>3122</v>
      </c>
      <c r="C950" s="130" t="s">
        <v>3123</v>
      </c>
      <c r="D950" s="130" t="str">
        <f>IF('SIG 2021'!$D953="","",'SIG 2021'!$D953)</f>
        <v>Yes</v>
      </c>
      <c r="E950" s="130" t="str">
        <f>IF('SIG 2021'!$E953="","",'SIG 2021'!$E953)</f>
        <v/>
      </c>
      <c r="F950" s="130" t="str">
        <f>IF('SIG 2021'!$F953="","",'SIG 2021'!F953)</f>
        <v/>
      </c>
      <c r="G950" s="130" t="s">
        <v>3101</v>
      </c>
      <c r="H950" s="130" t="s">
        <v>3124</v>
      </c>
      <c r="I950" s="130" t="s">
        <v>1399</v>
      </c>
      <c r="J950" s="130"/>
      <c r="K950" s="130" t="str">
        <f>IF('SIG 2021'!$AM953="","",'SIG 2021'!$AM953)</f>
        <v/>
      </c>
      <c r="L950" s="130" t="str">
        <f>IF('SIG 2021'!$AN953="","",'SIG 2021'!$AN953)</f>
        <v/>
      </c>
      <c r="M950" s="130" t="str">
        <f>IF('SIG 2021'!$AO953="","",'SIG 2021'!$AO953)</f>
        <v/>
      </c>
    </row>
    <row r="951" spans="1:13" ht="43.2" x14ac:dyDescent="0.5">
      <c r="A951" s="130">
        <v>4373</v>
      </c>
      <c r="B951" s="130" t="s">
        <v>3125</v>
      </c>
      <c r="C951" s="130" t="s">
        <v>3126</v>
      </c>
      <c r="D951" s="130" t="str">
        <f>IF('SIG 2021'!$D954="","",'SIG 2021'!$D954)</f>
        <v>Yes</v>
      </c>
      <c r="E951" s="130" t="str">
        <f>IF('SIG 2021'!$E954="","",'SIG 2021'!$E954)</f>
        <v/>
      </c>
      <c r="F951" s="130" t="str">
        <f>IF('SIG 2021'!$F954="","",'SIG 2021'!F954)</f>
        <v/>
      </c>
      <c r="G951" s="130" t="s">
        <v>3101</v>
      </c>
      <c r="H951" s="130" t="s">
        <v>3127</v>
      </c>
      <c r="I951" s="130" t="s">
        <v>1399</v>
      </c>
      <c r="J951" s="130"/>
      <c r="K951" s="130" t="str">
        <f>IF('SIG 2021'!$AM954="","",'SIG 2021'!$AM954)</f>
        <v/>
      </c>
      <c r="L951" s="130" t="str">
        <f>IF('SIG 2021'!$AN954="","",'SIG 2021'!$AN954)</f>
        <v/>
      </c>
      <c r="M951" s="130" t="str">
        <f>IF('SIG 2021'!$AO954="","",'SIG 2021'!$AO954)</f>
        <v/>
      </c>
    </row>
    <row r="952" spans="1:13" ht="43.2" x14ac:dyDescent="0.5">
      <c r="A952" s="130">
        <v>2659</v>
      </c>
      <c r="B952" s="130" t="s">
        <v>3128</v>
      </c>
      <c r="C952" s="130" t="s">
        <v>3129</v>
      </c>
      <c r="D952" s="130" t="str">
        <f>IF('SIG 2021'!$D955="","",'SIG 2021'!$D955)</f>
        <v>Yes</v>
      </c>
      <c r="E952" s="130" t="str">
        <f>IF('SIG 2021'!$E955="","",'SIG 2021'!$E955)</f>
        <v/>
      </c>
      <c r="F952" s="130" t="str">
        <f>IF('SIG 2021'!$F955="","",'SIG 2021'!F955)</f>
        <v/>
      </c>
      <c r="G952" s="130" t="s">
        <v>3101</v>
      </c>
      <c r="H952" s="130" t="s">
        <v>3130</v>
      </c>
      <c r="I952" s="130" t="s">
        <v>1399</v>
      </c>
      <c r="J952" s="130"/>
      <c r="K952" s="130" t="str">
        <f>IF('SIG 2021'!$AM955="","",'SIG 2021'!$AM955)</f>
        <v/>
      </c>
      <c r="L952" s="130" t="str">
        <f>IF('SIG 2021'!$AN955="","",'SIG 2021'!$AN955)</f>
        <v/>
      </c>
      <c r="M952" s="130" t="str">
        <f>IF('SIG 2021'!$AO955="","",'SIG 2021'!$AO955)</f>
        <v/>
      </c>
    </row>
    <row r="953" spans="1:13" ht="72" x14ac:dyDescent="0.5">
      <c r="A953" s="130">
        <v>4377</v>
      </c>
      <c r="B953" s="130" t="s">
        <v>3131</v>
      </c>
      <c r="C953" s="130" t="s">
        <v>3132</v>
      </c>
      <c r="D953" s="130" t="str">
        <f>IF('SIG 2021'!$D956="","",'SIG 2021'!$D956)</f>
        <v>Yes</v>
      </c>
      <c r="E953" s="130" t="str">
        <f>IF('SIG 2021'!$E956="","",'SIG 2021'!$E956)</f>
        <v/>
      </c>
      <c r="F953" s="130" t="str">
        <f>IF('SIG 2021'!$F956="","",'SIG 2021'!F956)</f>
        <v/>
      </c>
      <c r="G953" s="130" t="s">
        <v>3101</v>
      </c>
      <c r="H953" s="130" t="s">
        <v>2457</v>
      </c>
      <c r="I953" s="130" t="s">
        <v>1399</v>
      </c>
      <c r="J953" s="130" t="s">
        <v>2585</v>
      </c>
      <c r="K953" s="130" t="str">
        <f>IF('SIG 2021'!$AM956="","",'SIG 2021'!$AM956)</f>
        <v/>
      </c>
      <c r="L953" s="130" t="str">
        <f>IF('SIG 2021'!$AN956="","",'SIG 2021'!$AN956)</f>
        <v/>
      </c>
      <c r="M953" s="130" t="str">
        <f>IF('SIG 2021'!$AO956="","",'SIG 2021'!$AO956)</f>
        <v/>
      </c>
    </row>
    <row r="954" spans="1:13" ht="43.2" x14ac:dyDescent="0.5">
      <c r="A954" s="130">
        <v>4378</v>
      </c>
      <c r="B954" s="130" t="s">
        <v>3133</v>
      </c>
      <c r="C954" s="130" t="s">
        <v>3134</v>
      </c>
      <c r="D954" s="130" t="str">
        <f>IF('SIG 2021'!$D957="","",'SIG 2021'!$D957)</f>
        <v>Yes</v>
      </c>
      <c r="E954" s="130" t="str">
        <f>IF('SIG 2021'!$E957="","",'SIG 2021'!$E957)</f>
        <v/>
      </c>
      <c r="F954" s="130" t="str">
        <f>IF('SIG 2021'!$F957="","",'SIG 2021'!F957)</f>
        <v/>
      </c>
      <c r="G954" s="130" t="s">
        <v>3101</v>
      </c>
      <c r="H954" s="130" t="s">
        <v>2457</v>
      </c>
      <c r="I954" s="130" t="s">
        <v>1399</v>
      </c>
      <c r="J954" s="130" t="s">
        <v>2591</v>
      </c>
      <c r="K954" s="130" t="str">
        <f>IF('SIG 2021'!$AM957="","",'SIG 2021'!$AM957)</f>
        <v/>
      </c>
      <c r="L954" s="130" t="str">
        <f>IF('SIG 2021'!$AN957="","",'SIG 2021'!$AN957)</f>
        <v/>
      </c>
      <c r="M954" s="130" t="str">
        <f>IF('SIG 2021'!$AO957="","",'SIG 2021'!$AO957)</f>
        <v/>
      </c>
    </row>
    <row r="955" spans="1:13" ht="57.6" x14ac:dyDescent="0.5">
      <c r="A955" s="130">
        <v>4381</v>
      </c>
      <c r="B955" s="130" t="s">
        <v>3135</v>
      </c>
      <c r="C955" s="130" t="s">
        <v>3136</v>
      </c>
      <c r="D955" s="130" t="str">
        <f>IF('SIG 2021'!$D958="","",'SIG 2021'!$D958)</f>
        <v>Yes</v>
      </c>
      <c r="E955" s="130" t="str">
        <f>IF('SIG 2021'!$E958="","",'SIG 2021'!$E958)</f>
        <v/>
      </c>
      <c r="F955" s="130" t="str">
        <f>IF('SIG 2021'!$F958="","",'SIG 2021'!F958)</f>
        <v/>
      </c>
      <c r="G955" s="130" t="s">
        <v>3101</v>
      </c>
      <c r="H955" s="130" t="s">
        <v>2457</v>
      </c>
      <c r="I955" s="130" t="s">
        <v>1399</v>
      </c>
      <c r="J955" s="130" t="s">
        <v>2588</v>
      </c>
      <c r="K955" s="130" t="str">
        <f>IF('SIG 2021'!$AM958="","",'SIG 2021'!$AM958)</f>
        <v/>
      </c>
      <c r="L955" s="130" t="str">
        <f>IF('SIG 2021'!$AN958="","",'SIG 2021'!$AN958)</f>
        <v/>
      </c>
      <c r="M955" s="130" t="str">
        <f>IF('SIG 2021'!$AO958="","",'SIG 2021'!$AO958)</f>
        <v/>
      </c>
    </row>
    <row r="956" spans="1:13" ht="43.2" x14ac:dyDescent="0.5">
      <c r="A956" s="130">
        <v>4379</v>
      </c>
      <c r="B956" s="130" t="s">
        <v>3137</v>
      </c>
      <c r="C956" s="130" t="s">
        <v>3138</v>
      </c>
      <c r="D956" s="130" t="str">
        <f>IF('SIG 2021'!$D959="","",'SIG 2021'!$D959)</f>
        <v>Yes</v>
      </c>
      <c r="E956" s="130" t="str">
        <f>IF('SIG 2021'!$E959="","",'SIG 2021'!$E959)</f>
        <v>Within Seismic's enterprise SIEM solution.</v>
      </c>
      <c r="F956" s="130" t="str">
        <f>IF('SIG 2021'!$F959="","",'SIG 2021'!F959)</f>
        <v/>
      </c>
      <c r="G956" s="130" t="s">
        <v>3101</v>
      </c>
      <c r="H956" s="130" t="s">
        <v>2457</v>
      </c>
      <c r="I956" s="130" t="s">
        <v>1399</v>
      </c>
      <c r="J956" s="130" t="s">
        <v>3140</v>
      </c>
      <c r="K956" s="130" t="str">
        <f>IF('SIG 2021'!$AM959="","",'SIG 2021'!$AM959)</f>
        <v/>
      </c>
      <c r="L956" s="130" t="str">
        <f>IF('SIG 2021'!$AN959="","",'SIG 2021'!$AN959)</f>
        <v/>
      </c>
      <c r="M956" s="130" t="str">
        <f>IF('SIG 2021'!$AO959="","",'SIG 2021'!$AO959)</f>
        <v/>
      </c>
    </row>
    <row r="957" spans="1:13" ht="43.2" x14ac:dyDescent="0.5">
      <c r="A957" s="130">
        <v>4383</v>
      </c>
      <c r="B957" s="130" t="s">
        <v>3141</v>
      </c>
      <c r="C957" s="130" t="s">
        <v>3142</v>
      </c>
      <c r="D957" s="130" t="str">
        <f>IF('SIG 2021'!$D960="","",'SIG 2021'!$D960)</f>
        <v>Yes</v>
      </c>
      <c r="E957" s="130" t="str">
        <f>IF('SIG 2021'!$E960="","",'SIG 2021'!$E960)</f>
        <v/>
      </c>
      <c r="F957" s="130" t="str">
        <f>IF('SIG 2021'!$F960="","",'SIG 2021'!F960)</f>
        <v/>
      </c>
      <c r="G957" s="130" t="s">
        <v>3101</v>
      </c>
      <c r="H957" s="130" t="s">
        <v>2457</v>
      </c>
      <c r="I957" s="130" t="s">
        <v>1399</v>
      </c>
      <c r="J957" s="130"/>
      <c r="K957" s="130" t="str">
        <f>IF('SIG 2021'!$AM960="","",'SIG 2021'!$AM960)</f>
        <v/>
      </c>
      <c r="L957" s="130" t="str">
        <f>IF('SIG 2021'!$AN960="","",'SIG 2021'!$AN960)</f>
        <v/>
      </c>
      <c r="M957" s="130" t="str">
        <f>IF('SIG 2021'!$AO960="","",'SIG 2021'!$AO960)</f>
        <v/>
      </c>
    </row>
    <row r="958" spans="1:13" ht="28.8" x14ac:dyDescent="0.5">
      <c r="A958" s="130">
        <v>2213</v>
      </c>
      <c r="B958" s="130" t="s">
        <v>3143</v>
      </c>
      <c r="C958" s="130" t="s">
        <v>3144</v>
      </c>
      <c r="D958" s="130" t="str">
        <f>IF('SIG 2021'!$D961="","",'SIG 2021'!$D961)</f>
        <v>Yes</v>
      </c>
      <c r="E958" s="130" t="str">
        <f>IF('SIG 2021'!$E961="","",'SIG 2021'!$E961)</f>
        <v/>
      </c>
      <c r="F958" s="130" t="str">
        <f>IF('SIG 2021'!$F961="","",'SIG 2021'!F961)</f>
        <v/>
      </c>
      <c r="G958" s="130" t="s">
        <v>3145</v>
      </c>
      <c r="H958" s="130" t="s">
        <v>3146</v>
      </c>
      <c r="I958" s="130" t="s">
        <v>1399</v>
      </c>
      <c r="J958" s="130"/>
      <c r="K958" s="130" t="str">
        <f>IF('SIG 2021'!$AM961="","",'SIG 2021'!$AM961)</f>
        <v/>
      </c>
      <c r="L958" s="130" t="str">
        <f>IF('SIG 2021'!$AN961="","",'SIG 2021'!$AN961)</f>
        <v/>
      </c>
      <c r="M958" s="130" t="str">
        <f>IF('SIG 2021'!$AO961="","",'SIG 2021'!$AO961)</f>
        <v/>
      </c>
    </row>
    <row r="959" spans="1:13" ht="57.6" x14ac:dyDescent="0.5">
      <c r="A959" s="130">
        <v>4374</v>
      </c>
      <c r="B959" s="130" t="s">
        <v>3147</v>
      </c>
      <c r="C959" s="130" t="s">
        <v>3148</v>
      </c>
      <c r="D959" s="130" t="str">
        <f>IF('SIG 2021'!$D962="","",'SIG 2021'!$D962)</f>
        <v>Yes</v>
      </c>
      <c r="E959" s="130" t="str">
        <f>IF('SIG 2021'!$E962="","",'SIG 2021'!$E962)</f>
        <v>Seismic performs vulnerability scans on all systems at least monthly to verify no high-risk security patches are left unpatched.</v>
      </c>
      <c r="F959" s="130" t="str">
        <f>IF('SIG 2021'!$F962="","",'SIG 2021'!F962)</f>
        <v/>
      </c>
      <c r="G959" s="130" t="s">
        <v>3145</v>
      </c>
      <c r="H959" s="130" t="s">
        <v>3146</v>
      </c>
      <c r="I959" s="130" t="s">
        <v>1399</v>
      </c>
      <c r="J959" s="130"/>
      <c r="K959" s="130" t="str">
        <f>IF('SIG 2021'!$AM962="","",'SIG 2021'!$AM962)</f>
        <v/>
      </c>
      <c r="L959" s="130" t="str">
        <f>IF('SIG 2021'!$AN962="","",'SIG 2021'!$AN962)</f>
        <v/>
      </c>
      <c r="M959" s="130" t="str">
        <f>IF('SIG 2021'!$AO962="","",'SIG 2021'!$AO962)</f>
        <v/>
      </c>
    </row>
    <row r="960" spans="1:13" ht="28.8" x14ac:dyDescent="0.5">
      <c r="A960" s="130">
        <v>4375</v>
      </c>
      <c r="B960" s="130" t="s">
        <v>3150</v>
      </c>
      <c r="C960" s="130" t="s">
        <v>3151</v>
      </c>
      <c r="D960" s="130" t="str">
        <f>IF('SIG 2021'!$D963="","",'SIG 2021'!$D963)</f>
        <v>Yes</v>
      </c>
      <c r="E960" s="130" t="str">
        <f>IF('SIG 2021'!$E963="","",'SIG 2021'!$E963)</f>
        <v>Completed through Seismic's Risk Management Process.</v>
      </c>
      <c r="F960" s="130" t="str">
        <f>IF('SIG 2021'!$F963="","",'SIG 2021'!F963)</f>
        <v/>
      </c>
      <c r="G960" s="130" t="s">
        <v>3145</v>
      </c>
      <c r="H960" s="130" t="s">
        <v>3153</v>
      </c>
      <c r="I960" s="130" t="s">
        <v>1399</v>
      </c>
      <c r="J960" s="130"/>
      <c r="K960" s="130" t="str">
        <f>IF('SIG 2021'!$AM963="","",'SIG 2021'!$AM963)</f>
        <v/>
      </c>
      <c r="L960" s="130" t="str">
        <f>IF('SIG 2021'!$AN963="","",'SIG 2021'!$AN963)</f>
        <v/>
      </c>
      <c r="M960" s="130" t="str">
        <f>IF('SIG 2021'!$AO963="","",'SIG 2021'!$AO963)</f>
        <v/>
      </c>
    </row>
    <row r="961" spans="1:13" ht="57.6" x14ac:dyDescent="0.5">
      <c r="A961" s="130">
        <v>4376</v>
      </c>
      <c r="B961" s="130" t="s">
        <v>3154</v>
      </c>
      <c r="C961" s="130" t="s">
        <v>3155</v>
      </c>
      <c r="D961" s="130" t="str">
        <f>IF('SIG 2021'!$D964="","",'SIG 2021'!$D964)</f>
        <v>No</v>
      </c>
      <c r="E961" s="130" t="str">
        <f>IF('SIG 2021'!$E964="","",'SIG 2021'!$E964)</f>
        <v xml:space="preserve">EOL software is restricted from use.
</v>
      </c>
      <c r="F961" s="130" t="str">
        <f>IF('SIG 2021'!$F964="","",'SIG 2021'!F964)</f>
        <v/>
      </c>
      <c r="G961" s="130" t="s">
        <v>3145</v>
      </c>
      <c r="H961" s="130" t="s">
        <v>3157</v>
      </c>
      <c r="I961" s="130" t="s">
        <v>1399</v>
      </c>
      <c r="J961" s="130"/>
      <c r="K961" s="130" t="str">
        <f>IF('SIG 2021'!$AM964="","",'SIG 2021'!$AM964)</f>
        <v/>
      </c>
      <c r="L961" s="130" t="str">
        <f>IF('SIG 2021'!$AN964="","",'SIG 2021'!$AN964)</f>
        <v/>
      </c>
      <c r="M961" s="130" t="str">
        <f>IF('SIG 2021'!$AO964="","",'SIG 2021'!$AO964)</f>
        <v/>
      </c>
    </row>
    <row r="962" spans="1:13" ht="28.8" x14ac:dyDescent="0.5">
      <c r="A962" s="130">
        <v>4537</v>
      </c>
      <c r="B962" s="130" t="s">
        <v>3158</v>
      </c>
      <c r="C962" s="130" t="s">
        <v>3159</v>
      </c>
      <c r="D962" s="130" t="str">
        <f>IF('SIG 2021'!$D965="","",'SIG 2021'!$D965)</f>
        <v>Yes</v>
      </c>
      <c r="E962" s="130" t="str">
        <f>IF('SIG 2021'!$E965="","",'SIG 2021'!$E965)</f>
        <v/>
      </c>
      <c r="F962" s="130" t="str">
        <f>IF('SIG 2021'!$F965="","",'SIG 2021'!F965)</f>
        <v/>
      </c>
      <c r="G962" s="130" t="s">
        <v>3160</v>
      </c>
      <c r="H962" s="130" t="s">
        <v>910</v>
      </c>
      <c r="I962" s="130"/>
      <c r="J962" s="130"/>
      <c r="K962" s="130" t="str">
        <f>IF('SIG 2021'!$AM965="","",'SIG 2021'!$AM965)</f>
        <v/>
      </c>
      <c r="L962" s="130" t="str">
        <f>IF('SIG 2021'!$AN965="","",'SIG 2021'!$AN965)</f>
        <v/>
      </c>
      <c r="M962" s="130" t="str">
        <f>IF('SIG 2021'!$AO965="","",'SIG 2021'!$AO965)</f>
        <v/>
      </c>
    </row>
    <row r="963" spans="1:13" ht="28.8" x14ac:dyDescent="0.5">
      <c r="A963" s="130">
        <v>1292</v>
      </c>
      <c r="B963" s="130" t="s">
        <v>3161</v>
      </c>
      <c r="C963" s="130" t="s">
        <v>3162</v>
      </c>
      <c r="D963" s="130" t="str">
        <f>IF('SIG 2021'!$D966="","",'SIG 2021'!$D966)</f>
        <v>Yes</v>
      </c>
      <c r="E963" s="130" t="str">
        <f>IF('SIG 2021'!$E966="","",'SIG 2021'!$E966)</f>
        <v/>
      </c>
      <c r="F963" s="130" t="str">
        <f>IF('SIG 2021'!$F966="","",'SIG 2021'!F966)</f>
        <v/>
      </c>
      <c r="G963" s="130" t="s">
        <v>3160</v>
      </c>
      <c r="H963" s="130" t="s">
        <v>3163</v>
      </c>
      <c r="I963" s="130" t="s">
        <v>1399</v>
      </c>
      <c r="J963" s="130"/>
      <c r="K963" s="130" t="str">
        <f>IF('SIG 2021'!$AM966="","",'SIG 2021'!$AM966)</f>
        <v/>
      </c>
      <c r="L963" s="130" t="str">
        <f>IF('SIG 2021'!$AN966="","",'SIG 2021'!$AN966)</f>
        <v/>
      </c>
      <c r="M963" s="130" t="str">
        <f>IF('SIG 2021'!$AO966="","",'SIG 2021'!$AO966)</f>
        <v/>
      </c>
    </row>
    <row r="964" spans="1:13" ht="28.8" x14ac:dyDescent="0.5">
      <c r="A964" s="130">
        <v>1294</v>
      </c>
      <c r="B964" s="130" t="s">
        <v>3164</v>
      </c>
      <c r="C964" s="130" t="s">
        <v>3165</v>
      </c>
      <c r="D964" s="130" t="str">
        <f>IF('SIG 2021'!$D967="","",'SIG 2021'!$D967)</f>
        <v>N/A</v>
      </c>
      <c r="E964" s="130" t="str">
        <f>IF('SIG 2021'!$E967="","",'SIG 2021'!$E967)</f>
        <v>Remote usage of SU and root is disabled.</v>
      </c>
      <c r="F964" s="130" t="str">
        <f>IF('SIG 2021'!$F967="","",'SIG 2021'!F967)</f>
        <v/>
      </c>
      <c r="G964" s="130" t="s">
        <v>3160</v>
      </c>
      <c r="H964" s="130" t="s">
        <v>3167</v>
      </c>
      <c r="I964" s="130" t="s">
        <v>1399</v>
      </c>
      <c r="J964" s="130"/>
      <c r="K964" s="130" t="str">
        <f>IF('SIG 2021'!$AM967="","",'SIG 2021'!$AM967)</f>
        <v/>
      </c>
      <c r="L964" s="130" t="str">
        <f>IF('SIG 2021'!$AN967="","",'SIG 2021'!$AN967)</f>
        <v/>
      </c>
      <c r="M964" s="130" t="str">
        <f>IF('SIG 2021'!$AO967="","",'SIG 2021'!$AO967)</f>
        <v/>
      </c>
    </row>
    <row r="965" spans="1:13" ht="14.4" x14ac:dyDescent="0.5">
      <c r="A965" s="130">
        <v>4538</v>
      </c>
      <c r="B965" s="130" t="s">
        <v>3168</v>
      </c>
      <c r="C965" s="130" t="s">
        <v>3169</v>
      </c>
      <c r="D965" s="130" t="str">
        <f>IF('SIG 2021'!$D968="","",'SIG 2021'!$D968)</f>
        <v>No</v>
      </c>
      <c r="E965" s="130" t="str">
        <f>IF('SIG 2021'!$E968="","",'SIG 2021'!$E968)</f>
        <v/>
      </c>
      <c r="F965" s="130" t="str">
        <f>IF('SIG 2021'!$F968="","",'SIG 2021'!F968)</f>
        <v/>
      </c>
      <c r="G965" s="130" t="s">
        <v>3170</v>
      </c>
      <c r="H965" s="130" t="s">
        <v>910</v>
      </c>
      <c r="I965" s="130"/>
      <c r="J965" s="130"/>
      <c r="K965" s="130" t="str">
        <f>IF('SIG 2021'!$AM968="","",'SIG 2021'!$AM968)</f>
        <v/>
      </c>
      <c r="L965" s="130" t="str">
        <f>IF('SIG 2021'!$AN968="","",'SIG 2021'!$AN968)</f>
        <v/>
      </c>
      <c r="M965" s="130" t="str">
        <f>IF('SIG 2021'!$AO968="","",'SIG 2021'!$AO968)</f>
        <v/>
      </c>
    </row>
    <row r="966" spans="1:13" ht="28.8" x14ac:dyDescent="0.5">
      <c r="A966" s="130">
        <v>1580</v>
      </c>
      <c r="B966" s="130" t="s">
        <v>3171</v>
      </c>
      <c r="C966" s="130" t="s">
        <v>3172</v>
      </c>
      <c r="D966" s="130" t="str">
        <f>IF('SIG 2021'!$D969="","",'SIG 2021'!$D969)</f>
        <v>N/A</v>
      </c>
      <c r="E966" s="130" t="str">
        <f>IF('SIG 2021'!$E969="","",'SIG 2021'!$E969)</f>
        <v>Not used.</v>
      </c>
      <c r="F966" s="130" t="str">
        <f>IF('SIG 2021'!$F969="","",'SIG 2021'!F969)</f>
        <v/>
      </c>
      <c r="G966" s="130" t="s">
        <v>3170</v>
      </c>
      <c r="H966" s="130" t="s">
        <v>3174</v>
      </c>
      <c r="I966" s="130" t="s">
        <v>1399</v>
      </c>
      <c r="J966" s="130"/>
      <c r="K966" s="130" t="str">
        <f>IF('SIG 2021'!$AM969="","",'SIG 2021'!$AM969)</f>
        <v/>
      </c>
      <c r="L966" s="130" t="str">
        <f>IF('SIG 2021'!$AN969="","",'SIG 2021'!$AN969)</f>
        <v/>
      </c>
      <c r="M966" s="130" t="str">
        <f>IF('SIG 2021'!$AO969="","",'SIG 2021'!$AO969)</f>
        <v/>
      </c>
    </row>
    <row r="967" spans="1:13" ht="28.8" x14ac:dyDescent="0.5">
      <c r="A967" s="130">
        <v>1581</v>
      </c>
      <c r="B967" s="130" t="s">
        <v>3175</v>
      </c>
      <c r="C967" s="130" t="s">
        <v>3176</v>
      </c>
      <c r="D967" s="130" t="str">
        <f>IF('SIG 2021'!$D970="","",'SIG 2021'!$D970)</f>
        <v>N/A</v>
      </c>
      <c r="E967" s="130" t="str">
        <f>IF('SIG 2021'!$E970="","",'SIG 2021'!$E970)</f>
        <v>Not used.</v>
      </c>
      <c r="F967" s="130" t="str">
        <f>IF('SIG 2021'!$F970="","",'SIG 2021'!F970)</f>
        <v/>
      </c>
      <c r="G967" s="130" t="s">
        <v>3170</v>
      </c>
      <c r="H967" s="130" t="s">
        <v>3177</v>
      </c>
      <c r="I967" s="130" t="s">
        <v>1399</v>
      </c>
      <c r="J967" s="130"/>
      <c r="K967" s="130" t="str">
        <f>IF('SIG 2021'!$AM970="","",'SIG 2021'!$AM970)</f>
        <v/>
      </c>
      <c r="L967" s="130" t="str">
        <f>IF('SIG 2021'!$AN970="","",'SIG 2021'!$AN970)</f>
        <v/>
      </c>
      <c r="M967" s="130" t="str">
        <f>IF('SIG 2021'!$AO970="","",'SIG 2021'!$AO970)</f>
        <v/>
      </c>
    </row>
    <row r="968" spans="1:13" ht="28.8" x14ac:dyDescent="0.5">
      <c r="A968" s="130">
        <v>4539</v>
      </c>
      <c r="B968" s="130" t="s">
        <v>3178</v>
      </c>
      <c r="C968" s="130" t="s">
        <v>3179</v>
      </c>
      <c r="D968" s="130" t="str">
        <f>IF('SIG 2021'!$D971="","",'SIG 2021'!$D971)</f>
        <v>No</v>
      </c>
      <c r="E968" s="130" t="str">
        <f>IF('SIG 2021'!$E971="","",'SIG 2021'!$E971)</f>
        <v>Not used.</v>
      </c>
      <c r="F968" s="130" t="str">
        <f>IF('SIG 2021'!$F971="","",'SIG 2021'!F971)</f>
        <v/>
      </c>
      <c r="G968" s="130" t="s">
        <v>3180</v>
      </c>
      <c r="H968" s="130" t="s">
        <v>910</v>
      </c>
      <c r="I968" s="130"/>
      <c r="J968" s="130"/>
      <c r="K968" s="130" t="str">
        <f>IF('SIG 2021'!$AM971="","",'SIG 2021'!$AM971)</f>
        <v/>
      </c>
      <c r="L968" s="130" t="str">
        <f>IF('SIG 2021'!$AN971="","",'SIG 2021'!$AN971)</f>
        <v/>
      </c>
      <c r="M968" s="130" t="str">
        <f>IF('SIG 2021'!$AO971="","",'SIG 2021'!$AO971)</f>
        <v/>
      </c>
    </row>
    <row r="969" spans="1:13" ht="57.6" x14ac:dyDescent="0.5">
      <c r="A969" s="130">
        <v>1502</v>
      </c>
      <c r="B969" s="130" t="s">
        <v>3181</v>
      </c>
      <c r="C969" s="130" t="s">
        <v>3182</v>
      </c>
      <c r="D969" s="130" t="str">
        <f>IF('SIG 2021'!$D972="","",'SIG 2021'!$D972)</f>
        <v>N/A</v>
      </c>
      <c r="E969" s="130" t="str">
        <f>IF('SIG 2021'!$E972="","",'SIG 2021'!$E972)</f>
        <v>Not used.</v>
      </c>
      <c r="F969" s="130" t="str">
        <f>IF('SIG 2021'!$F972="","",'SIG 2021'!F972)</f>
        <v/>
      </c>
      <c r="G969" s="130" t="s">
        <v>3180</v>
      </c>
      <c r="H969" s="130" t="s">
        <v>3183</v>
      </c>
      <c r="I969" s="130" t="s">
        <v>1399</v>
      </c>
      <c r="J969" s="130"/>
      <c r="K969" s="130" t="str">
        <f>IF('SIG 2021'!$AM972="","",'SIG 2021'!$AM972)</f>
        <v/>
      </c>
      <c r="L969" s="130" t="str">
        <f>IF('SIG 2021'!$AN972="","",'SIG 2021'!$AN972)</f>
        <v/>
      </c>
      <c r="M969" s="130" t="str">
        <f>IF('SIG 2021'!$AO972="","",'SIG 2021'!$AO972)</f>
        <v/>
      </c>
    </row>
    <row r="970" spans="1:13" ht="43.2" x14ac:dyDescent="0.5">
      <c r="A970" s="130">
        <v>1492</v>
      </c>
      <c r="B970" s="130" t="s">
        <v>3184</v>
      </c>
      <c r="C970" s="130" t="s">
        <v>3185</v>
      </c>
      <c r="D970" s="130" t="str">
        <f>IF('SIG 2021'!$D973="","",'SIG 2021'!$D973)</f>
        <v>N/A</v>
      </c>
      <c r="E970" s="130" t="str">
        <f>IF('SIG 2021'!$E973="","",'SIG 2021'!$E973)</f>
        <v>Not used.</v>
      </c>
      <c r="F970" s="130" t="str">
        <f>IF('SIG 2021'!$F973="","",'SIG 2021'!F973)</f>
        <v/>
      </c>
      <c r="G970" s="130" t="s">
        <v>3180</v>
      </c>
      <c r="H970" s="130" t="s">
        <v>3186</v>
      </c>
      <c r="I970" s="130" t="s">
        <v>1399</v>
      </c>
      <c r="J970" s="130"/>
      <c r="K970" s="130" t="str">
        <f>IF('SIG 2021'!$AM973="","",'SIG 2021'!$AM973)</f>
        <v/>
      </c>
      <c r="L970" s="130" t="str">
        <f>IF('SIG 2021'!$AN973="","",'SIG 2021'!$AN973)</f>
        <v/>
      </c>
      <c r="M970" s="130" t="str">
        <f>IF('SIG 2021'!$AO973="","",'SIG 2021'!$AO973)</f>
        <v/>
      </c>
    </row>
    <row r="971" spans="1:13" ht="28.8" x14ac:dyDescent="0.5">
      <c r="A971" s="130">
        <v>3649</v>
      </c>
      <c r="B971" s="130" t="s">
        <v>3187</v>
      </c>
      <c r="C971" s="130" t="s">
        <v>3188</v>
      </c>
      <c r="D971" s="130" t="str">
        <f>IF('SIG 2021'!$D974="","",'SIG 2021'!$D974)</f>
        <v>No</v>
      </c>
      <c r="E971" s="130" t="str">
        <f>IF('SIG 2021'!$E974="","",'SIG 2021'!$E974)</f>
        <v>Hypervisors controlled by the cloud provider</v>
      </c>
      <c r="F971" s="130" t="str">
        <f>IF('SIG 2021'!$F974="","",'SIG 2021'!F974)</f>
        <v/>
      </c>
      <c r="G971" s="130" t="s">
        <v>3190</v>
      </c>
      <c r="H971" s="130" t="s">
        <v>3191</v>
      </c>
      <c r="I971" s="130"/>
      <c r="J971" s="130" t="s">
        <v>2591</v>
      </c>
      <c r="K971" s="130" t="str">
        <f>IF('SIG 2021'!$AM974="","",'SIG 2021'!$AM974)</f>
        <v/>
      </c>
      <c r="L971" s="130" t="str">
        <f>IF('SIG 2021'!$AN974="","",'SIG 2021'!$AN974)</f>
        <v/>
      </c>
      <c r="M971" s="130" t="str">
        <f>IF('SIG 2021'!$AO974="","",'SIG 2021'!$AO974)</f>
        <v/>
      </c>
    </row>
    <row r="972" spans="1:13" ht="28.8" x14ac:dyDescent="0.5">
      <c r="A972" s="130">
        <v>3650</v>
      </c>
      <c r="B972" s="130" t="s">
        <v>3192</v>
      </c>
      <c r="C972" s="130" t="s">
        <v>3193</v>
      </c>
      <c r="D972" s="130" t="str">
        <f>IF('SIG 2021'!$D975="","",'SIG 2021'!$D975)</f>
        <v>N/A</v>
      </c>
      <c r="E972" s="130" t="str">
        <f>IF('SIG 2021'!$E975="","",'SIG 2021'!$E975)</f>
        <v>See U.1.9</v>
      </c>
      <c r="F972" s="130" t="str">
        <f>IF('SIG 2021'!$F975="","",'SIG 2021'!F975)</f>
        <v/>
      </c>
      <c r="G972" s="130" t="s">
        <v>3190</v>
      </c>
      <c r="H972" s="130" t="s">
        <v>3191</v>
      </c>
      <c r="I972" s="130" t="s">
        <v>1399</v>
      </c>
      <c r="J972" s="130"/>
      <c r="K972" s="130" t="str">
        <f>IF('SIG 2021'!$AM975="","",'SIG 2021'!$AM975)</f>
        <v/>
      </c>
      <c r="L972" s="130" t="str">
        <f>IF('SIG 2021'!$AN975="","",'SIG 2021'!$AN975)</f>
        <v/>
      </c>
      <c r="M972" s="130" t="str">
        <f>IF('SIG 2021'!$AO975="","",'SIG 2021'!$AO975)</f>
        <v/>
      </c>
    </row>
    <row r="973" spans="1:13" ht="28.8" x14ac:dyDescent="0.5">
      <c r="A973" s="130">
        <v>3651</v>
      </c>
      <c r="B973" s="130" t="s">
        <v>3195</v>
      </c>
      <c r="C973" s="130" t="s">
        <v>3196</v>
      </c>
      <c r="D973" s="130" t="str">
        <f>IF('SIG 2021'!$D976="","",'SIG 2021'!$D976)</f>
        <v>N/A</v>
      </c>
      <c r="E973" s="130" t="str">
        <f>IF('SIG 2021'!$E976="","",'SIG 2021'!$E976)</f>
        <v>See U.1.9</v>
      </c>
      <c r="F973" s="130" t="str">
        <f>IF('SIG 2021'!$F976="","",'SIG 2021'!F976)</f>
        <v/>
      </c>
      <c r="G973" s="130" t="s">
        <v>3190</v>
      </c>
      <c r="H973" s="130" t="s">
        <v>3191</v>
      </c>
      <c r="I973" s="130"/>
      <c r="J973" s="130"/>
      <c r="K973" s="130" t="str">
        <f>IF('SIG 2021'!$AM976="","",'SIG 2021'!$AM976)</f>
        <v/>
      </c>
      <c r="L973" s="130" t="str">
        <f>IF('SIG 2021'!$AN976="","",'SIG 2021'!$AN976)</f>
        <v/>
      </c>
      <c r="M973" s="130" t="str">
        <f>IF('SIG 2021'!$AO976="","",'SIG 2021'!$AO976)</f>
        <v/>
      </c>
    </row>
    <row r="974" spans="1:13" ht="28.8" x14ac:dyDescent="0.5">
      <c r="A974" s="130">
        <v>3652</v>
      </c>
      <c r="B974" s="130" t="s">
        <v>3197</v>
      </c>
      <c r="C974" s="130" t="s">
        <v>3198</v>
      </c>
      <c r="D974" s="130" t="str">
        <f>IF('SIG 2021'!$D977="","",'SIG 2021'!$D977)</f>
        <v>N/A</v>
      </c>
      <c r="E974" s="130" t="str">
        <f>IF('SIG 2021'!$E977="","",'SIG 2021'!$E977)</f>
        <v>See U.1.9</v>
      </c>
      <c r="F974" s="130" t="str">
        <f>IF('SIG 2021'!$F977="","",'SIG 2021'!F977)</f>
        <v/>
      </c>
      <c r="G974" s="130" t="s">
        <v>3190</v>
      </c>
      <c r="H974" s="130" t="s">
        <v>3191</v>
      </c>
      <c r="I974" s="130"/>
      <c r="J974" s="130"/>
      <c r="K974" s="130" t="str">
        <f>IF('SIG 2021'!$AM977="","",'SIG 2021'!$AM977)</f>
        <v/>
      </c>
      <c r="L974" s="130" t="str">
        <f>IF('SIG 2021'!$AN977="","",'SIG 2021'!$AN977)</f>
        <v/>
      </c>
      <c r="M974" s="130" t="str">
        <f>IF('SIG 2021'!$AO977="","",'SIG 2021'!$AO977)</f>
        <v/>
      </c>
    </row>
    <row r="975" spans="1:13" ht="28.8" x14ac:dyDescent="0.5">
      <c r="A975" s="130">
        <v>3653</v>
      </c>
      <c r="B975" s="130" t="s">
        <v>3199</v>
      </c>
      <c r="C975" s="130" t="s">
        <v>3200</v>
      </c>
      <c r="D975" s="130" t="str">
        <f>IF('SIG 2021'!$D978="","",'SIG 2021'!$D978)</f>
        <v>N/A</v>
      </c>
      <c r="E975" s="130" t="str">
        <f>IF('SIG 2021'!$E978="","",'SIG 2021'!$E978)</f>
        <v>See U.1.9</v>
      </c>
      <c r="F975" s="130" t="str">
        <f>IF('SIG 2021'!$F978="","",'SIG 2021'!F978)</f>
        <v/>
      </c>
      <c r="G975" s="130" t="s">
        <v>3190</v>
      </c>
      <c r="H975" s="130" t="s">
        <v>3191</v>
      </c>
      <c r="I975" s="130" t="s">
        <v>1399</v>
      </c>
      <c r="J975" s="130"/>
      <c r="K975" s="130" t="str">
        <f>IF('SIG 2021'!$AM978="","",'SIG 2021'!$AM978)</f>
        <v/>
      </c>
      <c r="L975" s="130" t="str">
        <f>IF('SIG 2021'!$AN978="","",'SIG 2021'!$AN978)</f>
        <v/>
      </c>
      <c r="M975" s="130" t="str">
        <f>IF('SIG 2021'!$AO978="","",'SIG 2021'!$AO978)</f>
        <v/>
      </c>
    </row>
    <row r="976" spans="1:13" ht="28.8" x14ac:dyDescent="0.5">
      <c r="A976" s="130">
        <v>3655</v>
      </c>
      <c r="B976" s="130" t="s">
        <v>3201</v>
      </c>
      <c r="C976" s="130" t="s">
        <v>3202</v>
      </c>
      <c r="D976" s="130" t="str">
        <f>IF('SIG 2021'!$D979="","",'SIG 2021'!$D979)</f>
        <v>N/A</v>
      </c>
      <c r="E976" s="130" t="str">
        <f>IF('SIG 2021'!$E979="","",'SIG 2021'!$E979)</f>
        <v>See U.1.9</v>
      </c>
      <c r="F976" s="130" t="str">
        <f>IF('SIG 2021'!$F979="","",'SIG 2021'!F979)</f>
        <v/>
      </c>
      <c r="G976" s="130" t="s">
        <v>3190</v>
      </c>
      <c r="H976" s="130" t="s">
        <v>3191</v>
      </c>
      <c r="I976" s="130"/>
      <c r="J976" s="130" t="s">
        <v>3203</v>
      </c>
      <c r="K976" s="130" t="str">
        <f>IF('SIG 2021'!$AM979="","",'SIG 2021'!$AM979)</f>
        <v/>
      </c>
      <c r="L976" s="130" t="str">
        <f>IF('SIG 2021'!$AN979="","",'SIG 2021'!$AN979)</f>
        <v/>
      </c>
      <c r="M976" s="130" t="str">
        <f>IF('SIG 2021'!$AO979="","",'SIG 2021'!$AO979)</f>
        <v/>
      </c>
    </row>
    <row r="977" spans="1:13" ht="28.8" x14ac:dyDescent="0.5">
      <c r="A977" s="130">
        <v>3656</v>
      </c>
      <c r="B977" s="130" t="s">
        <v>3204</v>
      </c>
      <c r="C977" s="130" t="s">
        <v>3205</v>
      </c>
      <c r="D977" s="130" t="str">
        <f>IF('SIG 2021'!$D980="","",'SIG 2021'!$D980)</f>
        <v>N/A</v>
      </c>
      <c r="E977" s="130" t="str">
        <f>IF('SIG 2021'!$E980="","",'SIG 2021'!$E980)</f>
        <v>See U.1.9</v>
      </c>
      <c r="F977" s="130" t="str">
        <f>IF('SIG 2021'!$F980="","",'SIG 2021'!F980)</f>
        <v/>
      </c>
      <c r="G977" s="130" t="s">
        <v>3190</v>
      </c>
      <c r="H977" s="130" t="s">
        <v>3191</v>
      </c>
      <c r="I977" s="130"/>
      <c r="J977" s="130" t="s">
        <v>1145</v>
      </c>
      <c r="K977" s="130" t="str">
        <f>IF('SIG 2021'!$AM980="","",'SIG 2021'!$AM980)</f>
        <v/>
      </c>
      <c r="L977" s="130" t="str">
        <f>IF('SIG 2021'!$AN980="","",'SIG 2021'!$AN980)</f>
        <v/>
      </c>
      <c r="M977" s="130" t="str">
        <f>IF('SIG 2021'!$AO980="","",'SIG 2021'!$AO980)</f>
        <v/>
      </c>
    </row>
    <row r="978" spans="1:13" ht="28.8" x14ac:dyDescent="0.5">
      <c r="A978" s="130">
        <v>3658</v>
      </c>
      <c r="B978" s="130" t="s">
        <v>3206</v>
      </c>
      <c r="C978" s="130" t="s">
        <v>3207</v>
      </c>
      <c r="D978" s="130" t="str">
        <f>IF('SIG 2021'!$D981="","",'SIG 2021'!$D981)</f>
        <v>N/A</v>
      </c>
      <c r="E978" s="130" t="str">
        <f>IF('SIG 2021'!$E981="","",'SIG 2021'!$E981)</f>
        <v>See U.1.9</v>
      </c>
      <c r="F978" s="130" t="str">
        <f>IF('SIG 2021'!$F981="","",'SIG 2021'!F981)</f>
        <v/>
      </c>
      <c r="G978" s="130" t="s">
        <v>3190</v>
      </c>
      <c r="H978" s="130" t="s">
        <v>3191</v>
      </c>
      <c r="I978" s="130"/>
      <c r="J978" s="130" t="s">
        <v>3140</v>
      </c>
      <c r="K978" s="130" t="str">
        <f>IF('SIG 2021'!$AM981="","",'SIG 2021'!$AM981)</f>
        <v/>
      </c>
      <c r="L978" s="130" t="str">
        <f>IF('SIG 2021'!$AN981="","",'SIG 2021'!$AN981)</f>
        <v/>
      </c>
      <c r="M978" s="130" t="str">
        <f>IF('SIG 2021'!$AO981="","",'SIG 2021'!$AO981)</f>
        <v/>
      </c>
    </row>
    <row r="979" spans="1:13" ht="43.2" x14ac:dyDescent="0.5">
      <c r="A979" s="130">
        <v>3659</v>
      </c>
      <c r="B979" s="130" t="s">
        <v>3208</v>
      </c>
      <c r="C979" s="130" t="s">
        <v>3209</v>
      </c>
      <c r="D979" s="130" t="str">
        <f>IF('SIG 2021'!$D982="","",'SIG 2021'!$D982)</f>
        <v>N/A</v>
      </c>
      <c r="E979" s="130" t="str">
        <f>IF('SIG 2021'!$E982="","",'SIG 2021'!$E982)</f>
        <v>See U.1.9</v>
      </c>
      <c r="F979" s="130" t="str">
        <f>IF('SIG 2021'!$F982="","",'SIG 2021'!F982)</f>
        <v/>
      </c>
      <c r="G979" s="130" t="s">
        <v>3190</v>
      </c>
      <c r="H979" s="130" t="s">
        <v>3191</v>
      </c>
      <c r="I979" s="130"/>
      <c r="J979" s="130" t="s">
        <v>1709</v>
      </c>
      <c r="K979" s="130" t="str">
        <f>IF('SIG 2021'!$AM982="","",'SIG 2021'!$AM982)</f>
        <v/>
      </c>
      <c r="L979" s="130" t="str">
        <f>IF('SIG 2021'!$AN982="","",'SIG 2021'!$AN982)</f>
        <v/>
      </c>
      <c r="M979" s="130" t="str">
        <f>IF('SIG 2021'!$AO982="","",'SIG 2021'!$AO982)</f>
        <v/>
      </c>
    </row>
    <row r="980" spans="1:13" ht="28.8" x14ac:dyDescent="0.5">
      <c r="A980" s="130">
        <v>3670</v>
      </c>
      <c r="B980" s="130" t="s">
        <v>3210</v>
      </c>
      <c r="C980" s="130" t="s">
        <v>3211</v>
      </c>
      <c r="D980" s="130" t="str">
        <f>IF('SIG 2021'!$D983="","",'SIG 2021'!$D983)</f>
        <v>N/A</v>
      </c>
      <c r="E980" s="130" t="str">
        <f>IF('SIG 2021'!$E983="","",'SIG 2021'!$E983)</f>
        <v>See U.1.9</v>
      </c>
      <c r="F980" s="130" t="str">
        <f>IF('SIG 2021'!$F983="","",'SIG 2021'!F983)</f>
        <v/>
      </c>
      <c r="G980" s="130" t="s">
        <v>3190</v>
      </c>
      <c r="H980" s="130" t="s">
        <v>3191</v>
      </c>
      <c r="I980" s="130"/>
      <c r="J980" s="130"/>
      <c r="K980" s="130" t="str">
        <f>IF('SIG 2021'!$AM983="","",'SIG 2021'!$AM983)</f>
        <v/>
      </c>
      <c r="L980" s="130" t="str">
        <f>IF('SIG 2021'!$AN983="","",'SIG 2021'!$AN983)</f>
        <v/>
      </c>
      <c r="M980" s="130" t="str">
        <f>IF('SIG 2021'!$AO983="","",'SIG 2021'!$AO983)</f>
        <v/>
      </c>
    </row>
    <row r="981" spans="1:13" ht="28.8" x14ac:dyDescent="0.5">
      <c r="A981" s="130">
        <v>3671</v>
      </c>
      <c r="B981" s="130" t="s">
        <v>3212</v>
      </c>
      <c r="C981" s="130" t="s">
        <v>3213</v>
      </c>
      <c r="D981" s="130" t="str">
        <f>IF('SIG 2021'!$D984="","",'SIG 2021'!$D984)</f>
        <v>N/A</v>
      </c>
      <c r="E981" s="130" t="str">
        <f>IF('SIG 2021'!$E984="","",'SIG 2021'!$E984)</f>
        <v>See U.1.9</v>
      </c>
      <c r="F981" s="130" t="str">
        <f>IF('SIG 2021'!$F984="","",'SIG 2021'!F984)</f>
        <v/>
      </c>
      <c r="G981" s="130" t="s">
        <v>3190</v>
      </c>
      <c r="H981" s="130" t="s">
        <v>3191</v>
      </c>
      <c r="I981" s="130" t="s">
        <v>1399</v>
      </c>
      <c r="J981" s="130"/>
      <c r="K981" s="130" t="str">
        <f>IF('SIG 2021'!$AM984="","",'SIG 2021'!$AM984)</f>
        <v/>
      </c>
      <c r="L981" s="130" t="str">
        <f>IF('SIG 2021'!$AN984="","",'SIG 2021'!$AN984)</f>
        <v/>
      </c>
      <c r="M981" s="130" t="str">
        <f>IF('SIG 2021'!$AO984="","",'SIG 2021'!$AO984)</f>
        <v/>
      </c>
    </row>
    <row r="982" spans="1:13" ht="43.2" x14ac:dyDescent="0.5">
      <c r="A982" s="130">
        <v>3672</v>
      </c>
      <c r="B982" s="130" t="s">
        <v>3214</v>
      </c>
      <c r="C982" s="130" t="s">
        <v>3215</v>
      </c>
      <c r="D982" s="130" t="str">
        <f>IF('SIG 2021'!$D985="","",'SIG 2021'!$D985)</f>
        <v>N/A</v>
      </c>
      <c r="E982" s="130" t="str">
        <f>IF('SIG 2021'!$E985="","",'SIG 2021'!$E985)</f>
        <v>See U.1.9</v>
      </c>
      <c r="F982" s="130" t="str">
        <f>IF('SIG 2021'!$F985="","",'SIG 2021'!F985)</f>
        <v/>
      </c>
      <c r="G982" s="130" t="s">
        <v>3190</v>
      </c>
      <c r="H982" s="130" t="s">
        <v>3191</v>
      </c>
      <c r="I982" s="130" t="s">
        <v>1399</v>
      </c>
      <c r="J982" s="130"/>
      <c r="K982" s="130" t="str">
        <f>IF('SIG 2021'!$AM985="","",'SIG 2021'!$AM985)</f>
        <v/>
      </c>
      <c r="L982" s="130" t="str">
        <f>IF('SIG 2021'!$AN985="","",'SIG 2021'!$AN985)</f>
        <v/>
      </c>
      <c r="M982" s="130" t="str">
        <f>IF('SIG 2021'!$AO985="","",'SIG 2021'!$AO985)</f>
        <v/>
      </c>
    </row>
    <row r="983" spans="1:13" ht="43.2" x14ac:dyDescent="0.5">
      <c r="A983" s="130">
        <v>3673</v>
      </c>
      <c r="B983" s="130" t="s">
        <v>3216</v>
      </c>
      <c r="C983" s="130" t="s">
        <v>3217</v>
      </c>
      <c r="D983" s="130" t="str">
        <f>IF('SIG 2021'!$D986="","",'SIG 2021'!$D986)</f>
        <v>N/A</v>
      </c>
      <c r="E983" s="130" t="str">
        <f>IF('SIG 2021'!$E986="","",'SIG 2021'!$E986)</f>
        <v>See U.1.9</v>
      </c>
      <c r="F983" s="130" t="str">
        <f>IF('SIG 2021'!$F986="","",'SIG 2021'!F986)</f>
        <v/>
      </c>
      <c r="G983" s="130" t="s">
        <v>3190</v>
      </c>
      <c r="H983" s="130" t="s">
        <v>3218</v>
      </c>
      <c r="I983" s="130" t="s">
        <v>1399</v>
      </c>
      <c r="J983" s="130"/>
      <c r="K983" s="130" t="str">
        <f>IF('SIG 2021'!$AM986="","",'SIG 2021'!$AM986)</f>
        <v/>
      </c>
      <c r="L983" s="130" t="str">
        <f>IF('SIG 2021'!$AN986="","",'SIG 2021'!$AN986)</f>
        <v/>
      </c>
      <c r="M983" s="130" t="str">
        <f>IF('SIG 2021'!$AO986="","",'SIG 2021'!$AO986)</f>
        <v/>
      </c>
    </row>
    <row r="984" spans="1:13" ht="43.2" x14ac:dyDescent="0.5">
      <c r="A984" s="130">
        <v>3674</v>
      </c>
      <c r="B984" s="130" t="s">
        <v>3219</v>
      </c>
      <c r="C984" s="130" t="s">
        <v>3220</v>
      </c>
      <c r="D984" s="130" t="str">
        <f>IF('SIG 2021'!$D987="","",'SIG 2021'!$D987)</f>
        <v>N/A</v>
      </c>
      <c r="E984" s="130" t="str">
        <f>IF('SIG 2021'!$E987="","",'SIG 2021'!$E987)</f>
        <v>See U.1.9</v>
      </c>
      <c r="F984" s="130" t="str">
        <f>IF('SIG 2021'!$F987="","",'SIG 2021'!F987)</f>
        <v/>
      </c>
      <c r="G984" s="130" t="s">
        <v>3190</v>
      </c>
      <c r="H984" s="130" t="s">
        <v>3221</v>
      </c>
      <c r="I984" s="130" t="s">
        <v>1399</v>
      </c>
      <c r="J984" s="130"/>
      <c r="K984" s="130" t="str">
        <f>IF('SIG 2021'!$AM987="","",'SIG 2021'!$AM987)</f>
        <v/>
      </c>
      <c r="L984" s="130" t="str">
        <f>IF('SIG 2021'!$AN987="","",'SIG 2021'!$AN987)</f>
        <v/>
      </c>
      <c r="M984" s="130" t="str">
        <f>IF('SIG 2021'!$AO987="","",'SIG 2021'!$AO987)</f>
        <v/>
      </c>
    </row>
    <row r="985" spans="1:13" ht="43.2" x14ac:dyDescent="0.5">
      <c r="A985" s="130">
        <v>3675</v>
      </c>
      <c r="B985" s="130" t="s">
        <v>3222</v>
      </c>
      <c r="C985" s="130" t="s">
        <v>3223</v>
      </c>
      <c r="D985" s="130" t="str">
        <f>IF('SIG 2021'!$D988="","",'SIG 2021'!$D988)</f>
        <v>N/A</v>
      </c>
      <c r="E985" s="130" t="str">
        <f>IF('SIG 2021'!$E988="","",'SIG 2021'!$E988)</f>
        <v>See U.1.9</v>
      </c>
      <c r="F985" s="130" t="str">
        <f>IF('SIG 2021'!$F988="","",'SIG 2021'!F988)</f>
        <v/>
      </c>
      <c r="G985" s="130" t="s">
        <v>3190</v>
      </c>
      <c r="H985" s="130" t="s">
        <v>3221</v>
      </c>
      <c r="I985" s="130" t="s">
        <v>1399</v>
      </c>
      <c r="J985" s="130"/>
      <c r="K985" s="130" t="str">
        <f>IF('SIG 2021'!$AM988="","",'SIG 2021'!$AM988)</f>
        <v/>
      </c>
      <c r="L985" s="130" t="str">
        <f>IF('SIG 2021'!$AN988="","",'SIG 2021'!$AN988)</f>
        <v/>
      </c>
      <c r="M985" s="130" t="str">
        <f>IF('SIG 2021'!$AO988="","",'SIG 2021'!$AO988)</f>
        <v/>
      </c>
    </row>
    <row r="986" spans="1:13" ht="57.6" x14ac:dyDescent="0.5">
      <c r="A986" s="130">
        <v>3676</v>
      </c>
      <c r="B986" s="130" t="s">
        <v>3224</v>
      </c>
      <c r="C986" s="130" t="s">
        <v>3225</v>
      </c>
      <c r="D986" s="130" t="str">
        <f>IF('SIG 2021'!$D989="","",'SIG 2021'!$D989)</f>
        <v>N/A</v>
      </c>
      <c r="E986" s="130" t="str">
        <f>IF('SIG 2021'!$E989="","",'SIG 2021'!$E989)</f>
        <v>See U.1.9</v>
      </c>
      <c r="F986" s="130" t="str">
        <f>IF('SIG 2021'!$F989="","",'SIG 2021'!F989)</f>
        <v/>
      </c>
      <c r="G986" s="130" t="s">
        <v>3190</v>
      </c>
      <c r="H986" s="130" t="s">
        <v>3221</v>
      </c>
      <c r="I986" s="130" t="s">
        <v>1399</v>
      </c>
      <c r="J986" s="130"/>
      <c r="K986" s="130" t="str">
        <f>IF('SIG 2021'!$AM989="","",'SIG 2021'!$AM989)</f>
        <v/>
      </c>
      <c r="L986" s="130" t="str">
        <f>IF('SIG 2021'!$AN989="","",'SIG 2021'!$AN989)</f>
        <v/>
      </c>
      <c r="M986" s="130" t="str">
        <f>IF('SIG 2021'!$AO989="","",'SIG 2021'!$AO989)</f>
        <v/>
      </c>
    </row>
    <row r="987" spans="1:13" ht="43.2" x14ac:dyDescent="0.5">
      <c r="A987" s="130">
        <v>3677</v>
      </c>
      <c r="B987" s="130" t="s">
        <v>3226</v>
      </c>
      <c r="C987" s="130" t="s">
        <v>3227</v>
      </c>
      <c r="D987" s="130" t="str">
        <f>IF('SIG 2021'!$D990="","",'SIG 2021'!$D990)</f>
        <v>N/A</v>
      </c>
      <c r="E987" s="130" t="str">
        <f>IF('SIG 2021'!$E990="","",'SIG 2021'!$E990)</f>
        <v>See U.1.9</v>
      </c>
      <c r="F987" s="130" t="str">
        <f>IF('SIG 2021'!$F990="","",'SIG 2021'!F990)</f>
        <v/>
      </c>
      <c r="G987" s="130" t="s">
        <v>3190</v>
      </c>
      <c r="H987" s="130" t="s">
        <v>3221</v>
      </c>
      <c r="I987" s="130" t="s">
        <v>1399</v>
      </c>
      <c r="J987" s="130"/>
      <c r="K987" s="130" t="str">
        <f>IF('SIG 2021'!$AM990="","",'SIG 2021'!$AM990)</f>
        <v/>
      </c>
      <c r="L987" s="130" t="str">
        <f>IF('SIG 2021'!$AN990="","",'SIG 2021'!$AN990)</f>
        <v/>
      </c>
      <c r="M987" s="130" t="str">
        <f>IF('SIG 2021'!$AO990="","",'SIG 2021'!$AO990)</f>
        <v/>
      </c>
    </row>
    <row r="988" spans="1:13" ht="28.8" x14ac:dyDescent="0.5">
      <c r="A988" s="130">
        <v>3678</v>
      </c>
      <c r="B988" s="130" t="s">
        <v>3228</v>
      </c>
      <c r="C988" s="130" t="s">
        <v>3229</v>
      </c>
      <c r="D988" s="130" t="str">
        <f>IF('SIG 2021'!$D991="","",'SIG 2021'!$D991)</f>
        <v>N/A</v>
      </c>
      <c r="E988" s="130" t="str">
        <f>IF('SIG 2021'!$E991="","",'SIG 2021'!$E991)</f>
        <v>See U.1.9</v>
      </c>
      <c r="F988" s="130" t="str">
        <f>IF('SIG 2021'!$F991="","",'SIG 2021'!F991)</f>
        <v/>
      </c>
      <c r="G988" s="130" t="s">
        <v>3190</v>
      </c>
      <c r="H988" s="130" t="s">
        <v>3191</v>
      </c>
      <c r="I988" s="130" t="s">
        <v>1399</v>
      </c>
      <c r="J988" s="130"/>
      <c r="K988" s="130" t="str">
        <f>IF('SIG 2021'!$AM991="","",'SIG 2021'!$AM991)</f>
        <v/>
      </c>
      <c r="L988" s="130" t="str">
        <f>IF('SIG 2021'!$AN991="","",'SIG 2021'!$AN991)</f>
        <v/>
      </c>
      <c r="M988" s="130" t="str">
        <f>IF('SIG 2021'!$AO991="","",'SIG 2021'!$AO991)</f>
        <v/>
      </c>
    </row>
    <row r="989" spans="1:13" ht="28.8" x14ac:dyDescent="0.5">
      <c r="A989" s="130">
        <v>3680</v>
      </c>
      <c r="B989" s="130" t="s">
        <v>3230</v>
      </c>
      <c r="C989" s="130" t="s">
        <v>3231</v>
      </c>
      <c r="D989" s="130" t="str">
        <f>IF('SIG 2021'!$D992="","",'SIG 2021'!$D992)</f>
        <v>N/A</v>
      </c>
      <c r="E989" s="130" t="str">
        <f>IF('SIG 2021'!$E992="","",'SIG 2021'!$E992)</f>
        <v>See U.1.9</v>
      </c>
      <c r="F989" s="130" t="str">
        <f>IF('SIG 2021'!$F992="","",'SIG 2021'!F992)</f>
        <v/>
      </c>
      <c r="G989" s="130" t="s">
        <v>3190</v>
      </c>
      <c r="H989" s="130" t="s">
        <v>3232</v>
      </c>
      <c r="I989" s="130" t="s">
        <v>1399</v>
      </c>
      <c r="J989" s="130"/>
      <c r="K989" s="130" t="str">
        <f>IF('SIG 2021'!$AM992="","",'SIG 2021'!$AM992)</f>
        <v/>
      </c>
      <c r="L989" s="130" t="str">
        <f>IF('SIG 2021'!$AN992="","",'SIG 2021'!$AN992)</f>
        <v/>
      </c>
      <c r="M989" s="130" t="str">
        <f>IF('SIG 2021'!$AO992="","",'SIG 2021'!$AO992)</f>
        <v/>
      </c>
    </row>
    <row r="990" spans="1:13" ht="28.8" x14ac:dyDescent="0.5">
      <c r="A990" s="130">
        <v>3681</v>
      </c>
      <c r="B990" s="130" t="s">
        <v>3233</v>
      </c>
      <c r="C990" s="130" t="s">
        <v>3234</v>
      </c>
      <c r="D990" s="130" t="str">
        <f>IF('SIG 2021'!$D993="","",'SIG 2021'!$D993)</f>
        <v>N/A</v>
      </c>
      <c r="E990" s="130" t="str">
        <f>IF('SIG 2021'!$E993="","",'SIG 2021'!$E993)</f>
        <v>See U.1.9</v>
      </c>
      <c r="F990" s="130" t="str">
        <f>IF('SIG 2021'!$F993="","",'SIG 2021'!F993)</f>
        <v/>
      </c>
      <c r="G990" s="130" t="s">
        <v>3190</v>
      </c>
      <c r="H990" s="130" t="s">
        <v>3232</v>
      </c>
      <c r="I990" s="130" t="s">
        <v>1399</v>
      </c>
      <c r="J990" s="130"/>
      <c r="K990" s="130" t="str">
        <f>IF('SIG 2021'!$AM993="","",'SIG 2021'!$AM993)</f>
        <v/>
      </c>
      <c r="L990" s="130" t="str">
        <f>IF('SIG 2021'!$AN993="","",'SIG 2021'!$AN993)</f>
        <v/>
      </c>
      <c r="M990" s="130" t="str">
        <f>IF('SIG 2021'!$AO993="","",'SIG 2021'!$AO993)</f>
        <v/>
      </c>
    </row>
    <row r="991" spans="1:13" ht="43.2" x14ac:dyDescent="0.5">
      <c r="A991" s="130">
        <v>3683</v>
      </c>
      <c r="B991" s="130" t="s">
        <v>3235</v>
      </c>
      <c r="C991" s="130" t="s">
        <v>3236</v>
      </c>
      <c r="D991" s="130" t="str">
        <f>IF('SIG 2021'!$D994="","",'SIG 2021'!$D994)</f>
        <v>N/A</v>
      </c>
      <c r="E991" s="130" t="str">
        <f>IF('SIG 2021'!$E994="","",'SIG 2021'!$E994)</f>
        <v>See U.1.9</v>
      </c>
      <c r="F991" s="130" t="str">
        <f>IF('SIG 2021'!$F994="","",'SIG 2021'!F994)</f>
        <v/>
      </c>
      <c r="G991" s="130" t="s">
        <v>3190</v>
      </c>
      <c r="H991" s="130" t="s">
        <v>3232</v>
      </c>
      <c r="I991" s="130" t="s">
        <v>1399</v>
      </c>
      <c r="J991" s="130"/>
      <c r="K991" s="130" t="str">
        <f>IF('SIG 2021'!$AM994="","",'SIG 2021'!$AM994)</f>
        <v/>
      </c>
      <c r="L991" s="130" t="str">
        <f>IF('SIG 2021'!$AN994="","",'SIG 2021'!$AN994)</f>
        <v/>
      </c>
      <c r="M991" s="130" t="str">
        <f>IF('SIG 2021'!$AO994="","",'SIG 2021'!$AO994)</f>
        <v/>
      </c>
    </row>
    <row r="992" spans="1:13" ht="28.8" x14ac:dyDescent="0.5">
      <c r="A992" s="130">
        <v>4393</v>
      </c>
      <c r="B992" s="130" t="s">
        <v>3237</v>
      </c>
      <c r="C992" s="130" t="s">
        <v>3238</v>
      </c>
      <c r="D992" s="130" t="str">
        <f>IF('SIG 2021'!$D995="","",'SIG 2021'!$D995)</f>
        <v>Yes</v>
      </c>
      <c r="E992" s="130" t="str">
        <f>IF('SIG 2021'!$E995="","",'SIG 2021'!$E995)</f>
        <v/>
      </c>
      <c r="F992" s="130" t="str">
        <f>IF('SIG 2021'!$F995="","",'SIG 2021'!F995)</f>
        <v/>
      </c>
      <c r="G992" s="130" t="s">
        <v>3239</v>
      </c>
      <c r="H992" s="130" t="s">
        <v>910</v>
      </c>
      <c r="I992" s="130"/>
      <c r="J992" s="130"/>
      <c r="K992" s="130" t="str">
        <f>IF('SIG 2021'!$AM995="","",'SIG 2021'!$AM995)</f>
        <v/>
      </c>
      <c r="L992" s="130" t="str">
        <f>IF('SIG 2021'!$AN995="","",'SIG 2021'!$AN995)</f>
        <v/>
      </c>
      <c r="M992" s="130" t="str">
        <f>IF('SIG 2021'!$AO995="","",'SIG 2021'!$AO995)</f>
        <v/>
      </c>
    </row>
    <row r="993" spans="1:13" ht="43.2" x14ac:dyDescent="0.5">
      <c r="A993" s="130">
        <v>4394</v>
      </c>
      <c r="B993" s="130" t="s">
        <v>3240</v>
      </c>
      <c r="C993" s="130" t="s">
        <v>3241</v>
      </c>
      <c r="D993" s="130" t="str">
        <f>IF('SIG 2021'!$D996="","",'SIG 2021'!$D996)</f>
        <v>No</v>
      </c>
      <c r="E993" s="130" t="str">
        <f>IF('SIG 2021'!$E996="","",'SIG 2021'!$E996)</f>
        <v/>
      </c>
      <c r="F993" s="130" t="str">
        <f>IF('SIG 2021'!$F996="","",'SIG 2021'!F996)</f>
        <v/>
      </c>
      <c r="G993" s="130" t="s">
        <v>3239</v>
      </c>
      <c r="H993" s="130" t="s">
        <v>3242</v>
      </c>
      <c r="I993" s="130"/>
      <c r="J993" s="130"/>
      <c r="K993" s="130" t="str">
        <f>IF('SIG 2021'!$AM996="","",'SIG 2021'!$AM996)</f>
        <v/>
      </c>
      <c r="L993" s="130" t="str">
        <f>IF('SIG 2021'!$AN996="","",'SIG 2021'!$AN996)</f>
        <v/>
      </c>
      <c r="M993" s="130" t="str">
        <f>IF('SIG 2021'!$AO996="","",'SIG 2021'!$AO996)</f>
        <v/>
      </c>
    </row>
    <row r="994" spans="1:13" ht="43.2" x14ac:dyDescent="0.5">
      <c r="A994" s="130">
        <v>4395</v>
      </c>
      <c r="B994" s="130" t="s">
        <v>3243</v>
      </c>
      <c r="C994" s="130" t="s">
        <v>3244</v>
      </c>
      <c r="D994" s="130" t="str">
        <f>IF('SIG 2021'!$D997="","",'SIG 2021'!$D997)</f>
        <v>Yes</v>
      </c>
      <c r="E994" s="130" t="str">
        <f>IF('SIG 2021'!$E997="","",'SIG 2021'!$E997)</f>
        <v/>
      </c>
      <c r="F994" s="130" t="str">
        <f>IF('SIG 2021'!$F997="","",'SIG 2021'!F997)</f>
        <v/>
      </c>
      <c r="G994" s="130" t="s">
        <v>3239</v>
      </c>
      <c r="H994" s="130" t="s">
        <v>3245</v>
      </c>
      <c r="I994" s="130" t="s">
        <v>1399</v>
      </c>
      <c r="J994" s="130"/>
      <c r="K994" s="130" t="str">
        <f>IF('SIG 2021'!$AM997="","",'SIG 2021'!$AM997)</f>
        <v/>
      </c>
      <c r="L994" s="130" t="str">
        <f>IF('SIG 2021'!$AN997="","",'SIG 2021'!$AN997)</f>
        <v/>
      </c>
      <c r="M994" s="130" t="str">
        <f>IF('SIG 2021'!$AO997="","",'SIG 2021'!$AO997)</f>
        <v/>
      </c>
    </row>
    <row r="995" spans="1:13" ht="43.2" x14ac:dyDescent="0.5">
      <c r="A995" s="130">
        <v>4396</v>
      </c>
      <c r="B995" s="130" t="s">
        <v>3246</v>
      </c>
      <c r="C995" s="130" t="s">
        <v>3247</v>
      </c>
      <c r="D995" s="130" t="str">
        <f>IF('SIG 2021'!$D998="","",'SIG 2021'!$D998)</f>
        <v>Yes</v>
      </c>
      <c r="E995" s="130" t="str">
        <f>IF('SIG 2021'!$E998="","",'SIG 2021'!$E998)</f>
        <v/>
      </c>
      <c r="F995" s="130" t="str">
        <f>IF('SIG 2021'!$F998="","",'SIG 2021'!F998)</f>
        <v/>
      </c>
      <c r="G995" s="130" t="s">
        <v>3239</v>
      </c>
      <c r="H995" s="130" t="s">
        <v>3245</v>
      </c>
      <c r="I995" s="130" t="s">
        <v>1399</v>
      </c>
      <c r="J995" s="130"/>
      <c r="K995" s="130" t="str">
        <f>IF('SIG 2021'!$AM998="","",'SIG 2021'!$AM998)</f>
        <v/>
      </c>
      <c r="L995" s="130" t="str">
        <f>IF('SIG 2021'!$AN998="","",'SIG 2021'!$AN998)</f>
        <v/>
      </c>
      <c r="M995" s="130" t="str">
        <f>IF('SIG 2021'!$AO998="","",'SIG 2021'!$AO998)</f>
        <v/>
      </c>
    </row>
    <row r="996" spans="1:13" ht="43.2" x14ac:dyDescent="0.5">
      <c r="A996" s="130">
        <v>4397</v>
      </c>
      <c r="B996" s="130" t="s">
        <v>3248</v>
      </c>
      <c r="C996" s="130" t="s">
        <v>3249</v>
      </c>
      <c r="D996" s="130" t="str">
        <f>IF('SIG 2021'!$D999="","",'SIG 2021'!$D999)</f>
        <v>Yes</v>
      </c>
      <c r="E996" s="130" t="str">
        <f>IF('SIG 2021'!$E999="","",'SIG 2021'!$E999)</f>
        <v/>
      </c>
      <c r="F996" s="130" t="str">
        <f>IF('SIG 2021'!$F999="","",'SIG 2021'!F999)</f>
        <v/>
      </c>
      <c r="G996" s="130" t="s">
        <v>3239</v>
      </c>
      <c r="H996" s="130" t="s">
        <v>3245</v>
      </c>
      <c r="I996" s="130" t="s">
        <v>1399</v>
      </c>
      <c r="J996" s="130"/>
      <c r="K996" s="130" t="str">
        <f>IF('SIG 2021'!$AM999="","",'SIG 2021'!$AM999)</f>
        <v/>
      </c>
      <c r="L996" s="130" t="str">
        <f>IF('SIG 2021'!$AN999="","",'SIG 2021'!$AN999)</f>
        <v/>
      </c>
      <c r="M996" s="130" t="str">
        <f>IF('SIG 2021'!$AO999="","",'SIG 2021'!$AO999)</f>
        <v/>
      </c>
    </row>
    <row r="997" spans="1:13" ht="43.2" x14ac:dyDescent="0.5">
      <c r="A997" s="130">
        <v>4398</v>
      </c>
      <c r="B997" s="130" t="s">
        <v>3250</v>
      </c>
      <c r="C997" s="130" t="s">
        <v>3251</v>
      </c>
      <c r="D997" s="130" t="str">
        <f>IF('SIG 2021'!$D1000="","",'SIG 2021'!$D1000)</f>
        <v>Yes</v>
      </c>
      <c r="E997" s="130" t="str">
        <f>IF('SIG 2021'!$E1000="","",'SIG 2021'!$E1000)</f>
        <v/>
      </c>
      <c r="F997" s="130" t="str">
        <f>IF('SIG 2021'!$F1000="","",'SIG 2021'!F1000)</f>
        <v/>
      </c>
      <c r="G997" s="130" t="s">
        <v>3239</v>
      </c>
      <c r="H997" s="130" t="s">
        <v>3245</v>
      </c>
      <c r="I997" s="130" t="s">
        <v>1399</v>
      </c>
      <c r="J997" s="130"/>
      <c r="K997" s="130" t="str">
        <f>IF('SIG 2021'!$AM1000="","",'SIG 2021'!$AM1000)</f>
        <v/>
      </c>
      <c r="L997" s="130" t="str">
        <f>IF('SIG 2021'!$AN1000="","",'SIG 2021'!$AN1000)</f>
        <v/>
      </c>
      <c r="M997" s="130" t="str">
        <f>IF('SIG 2021'!$AO1000="","",'SIG 2021'!$AO1000)</f>
        <v/>
      </c>
    </row>
    <row r="998" spans="1:13" ht="43.2" x14ac:dyDescent="0.5">
      <c r="A998" s="130">
        <v>4399</v>
      </c>
      <c r="B998" s="130" t="s">
        <v>3252</v>
      </c>
      <c r="C998" s="130" t="s">
        <v>3253</v>
      </c>
      <c r="D998" s="130" t="str">
        <f>IF('SIG 2021'!$D1001="","",'SIG 2021'!$D1001)</f>
        <v>Yes</v>
      </c>
      <c r="E998" s="130" t="str">
        <f>IF('SIG 2021'!$E1001="","",'SIG 2021'!$E1001)</f>
        <v/>
      </c>
      <c r="F998" s="130" t="str">
        <f>IF('SIG 2021'!$F1001="","",'SIG 2021'!F1001)</f>
        <v/>
      </c>
      <c r="G998" s="130" t="s">
        <v>3239</v>
      </c>
      <c r="H998" s="130" t="s">
        <v>3245</v>
      </c>
      <c r="I998" s="130" t="s">
        <v>1399</v>
      </c>
      <c r="J998" s="130"/>
      <c r="K998" s="130" t="str">
        <f>IF('SIG 2021'!$AM1001="","",'SIG 2021'!$AM1001)</f>
        <v/>
      </c>
      <c r="L998" s="130" t="str">
        <f>IF('SIG 2021'!$AN1001="","",'SIG 2021'!$AN1001)</f>
        <v/>
      </c>
      <c r="M998" s="130" t="str">
        <f>IF('SIG 2021'!$AO1001="","",'SIG 2021'!$AO1001)</f>
        <v/>
      </c>
    </row>
    <row r="999" spans="1:13" ht="43.2" x14ac:dyDescent="0.5">
      <c r="A999" s="130">
        <v>4400</v>
      </c>
      <c r="B999" s="130" t="s">
        <v>3254</v>
      </c>
      <c r="C999" s="130" t="s">
        <v>3255</v>
      </c>
      <c r="D999" s="130" t="str">
        <f>IF('SIG 2021'!$D1002="","",'SIG 2021'!$D1002)</f>
        <v>No</v>
      </c>
      <c r="E999" s="130" t="str">
        <f>IF('SIG 2021'!$E1002="","",'SIG 2021'!$E1002)</f>
        <v/>
      </c>
      <c r="F999" s="130" t="str">
        <f>IF('SIG 2021'!$F1002="","",'SIG 2021'!F1002)</f>
        <v/>
      </c>
      <c r="G999" s="130" t="s">
        <v>3239</v>
      </c>
      <c r="H999" s="130" t="s">
        <v>3245</v>
      </c>
      <c r="I999" s="130" t="s">
        <v>1399</v>
      </c>
      <c r="J999" s="130"/>
      <c r="K999" s="130" t="str">
        <f>IF('SIG 2021'!$AM1002="","",'SIG 2021'!$AM1002)</f>
        <v/>
      </c>
      <c r="L999" s="130" t="str">
        <f>IF('SIG 2021'!$AN1002="","",'SIG 2021'!$AN1002)</f>
        <v/>
      </c>
      <c r="M999" s="130" t="str">
        <f>IF('SIG 2021'!$AO1002="","",'SIG 2021'!$AO1002)</f>
        <v/>
      </c>
    </row>
    <row r="1000" spans="1:13" ht="28.8" x14ac:dyDescent="0.5">
      <c r="A1000" s="130">
        <v>4401</v>
      </c>
      <c r="B1000" s="130" t="s">
        <v>3256</v>
      </c>
      <c r="C1000" s="130" t="s">
        <v>3257</v>
      </c>
      <c r="D1000" s="130" t="str">
        <f>IF('SIG 2021'!$D1003="","",'SIG 2021'!$D1003)</f>
        <v>No</v>
      </c>
      <c r="E1000" s="130" t="str">
        <f>IF('SIG 2021'!$E1003="","",'SIG 2021'!$E1003)</f>
        <v/>
      </c>
      <c r="F1000" s="130" t="str">
        <f>IF('SIG 2021'!$F1003="","",'SIG 2021'!F1003)</f>
        <v/>
      </c>
      <c r="G1000" s="130" t="s">
        <v>3239</v>
      </c>
      <c r="H1000" s="130" t="s">
        <v>3245</v>
      </c>
      <c r="I1000" s="130" t="s">
        <v>1399</v>
      </c>
      <c r="J1000" s="130"/>
      <c r="K1000" s="130" t="str">
        <f>IF('SIG 2021'!$AM1003="","",'SIG 2021'!$AM1003)</f>
        <v/>
      </c>
      <c r="L1000" s="130" t="str">
        <f>IF('SIG 2021'!$AN1003="","",'SIG 2021'!$AN1003)</f>
        <v/>
      </c>
      <c r="M1000" s="130" t="str">
        <f>IF('SIG 2021'!$AO1003="","",'SIG 2021'!$AO1003)</f>
        <v/>
      </c>
    </row>
    <row r="1001" spans="1:13" ht="57.6" x14ac:dyDescent="0.5">
      <c r="A1001" s="130">
        <v>4402</v>
      </c>
      <c r="B1001" s="130" t="s">
        <v>3258</v>
      </c>
      <c r="C1001" s="130" t="s">
        <v>3259</v>
      </c>
      <c r="D1001" s="130" t="str">
        <f>IF('SIG 2021'!$D1004="","",'SIG 2021'!$D1004)</f>
        <v>Yes</v>
      </c>
      <c r="E1001" s="130" t="str">
        <f>IF('SIG 2021'!$E1004="","",'SIG 2021'!$E1004)</f>
        <v/>
      </c>
      <c r="F1001" s="130" t="str">
        <f>IF('SIG 2021'!$F1004="","",'SIG 2021'!F1004)</f>
        <v/>
      </c>
      <c r="G1001" s="130" t="s">
        <v>3239</v>
      </c>
      <c r="H1001" s="130" t="s">
        <v>3245</v>
      </c>
      <c r="I1001" s="130" t="s">
        <v>1399</v>
      </c>
      <c r="J1001" s="130"/>
      <c r="K1001" s="130" t="str">
        <f>IF('SIG 2021'!$AM1004="","",'SIG 2021'!$AM1004)</f>
        <v/>
      </c>
      <c r="L1001" s="130" t="str">
        <f>IF('SIG 2021'!$AN1004="","",'SIG 2021'!$AN1004)</f>
        <v/>
      </c>
      <c r="M1001" s="130" t="str">
        <f>IF('SIG 2021'!$AO1004="","",'SIG 2021'!$AO1004)</f>
        <v/>
      </c>
    </row>
    <row r="1002" spans="1:13" ht="57.6" x14ac:dyDescent="0.5">
      <c r="A1002" s="130">
        <v>4403</v>
      </c>
      <c r="B1002" s="130" t="s">
        <v>3260</v>
      </c>
      <c r="C1002" s="130" t="s">
        <v>3261</v>
      </c>
      <c r="D1002" s="130" t="str">
        <f>IF('SIG 2021'!$D1005="","",'SIG 2021'!$D1005)</f>
        <v>Yes</v>
      </c>
      <c r="E1002" s="130" t="str">
        <f>IF('SIG 2021'!$E1005="","",'SIG 2021'!$E1005)</f>
        <v/>
      </c>
      <c r="F1002" s="130" t="str">
        <f>IF('SIG 2021'!$F1005="","",'SIG 2021'!F1005)</f>
        <v/>
      </c>
      <c r="G1002" s="130" t="s">
        <v>3239</v>
      </c>
      <c r="H1002" s="130" t="s">
        <v>3245</v>
      </c>
      <c r="I1002" s="130" t="s">
        <v>1399</v>
      </c>
      <c r="J1002" s="130"/>
      <c r="K1002" s="130" t="str">
        <f>IF('SIG 2021'!$AM1005="","",'SIG 2021'!$AM1005)</f>
        <v/>
      </c>
      <c r="L1002" s="130" t="str">
        <f>IF('SIG 2021'!$AN1005="","",'SIG 2021'!$AN1005)</f>
        <v/>
      </c>
      <c r="M1002" s="130" t="str">
        <f>IF('SIG 2021'!$AO1005="","",'SIG 2021'!$AO1005)</f>
        <v/>
      </c>
    </row>
    <row r="1003" spans="1:13" ht="43.2" x14ac:dyDescent="0.5">
      <c r="A1003" s="130">
        <v>4577</v>
      </c>
      <c r="B1003" s="130" t="s">
        <v>3262</v>
      </c>
      <c r="C1003" s="130" t="s">
        <v>3263</v>
      </c>
      <c r="D1003" s="130" t="str">
        <f>IF('SIG 2021'!$D1006="","",'SIG 2021'!$D1006)</f>
        <v>Yes</v>
      </c>
      <c r="E1003" s="130" t="str">
        <f>IF('SIG 2021'!$E1006="","",'SIG 2021'!$E1006)</f>
        <v/>
      </c>
      <c r="F1003" s="130" t="str">
        <f>IF('SIG 2021'!$F1006="","",'SIG 2021'!F1006)</f>
        <v/>
      </c>
      <c r="G1003" s="130" t="s">
        <v>3239</v>
      </c>
      <c r="H1003" s="130" t="s">
        <v>3051</v>
      </c>
      <c r="I1003" s="130" t="s">
        <v>1399</v>
      </c>
      <c r="J1003" s="130"/>
      <c r="K1003" s="130" t="str">
        <f>IF('SIG 2021'!$AM1006="","",'SIG 2021'!$AM1006)</f>
        <v/>
      </c>
      <c r="L1003" s="130" t="str">
        <f>IF('SIG 2021'!$AN1006="","",'SIG 2021'!$AN1006)</f>
        <v/>
      </c>
      <c r="M1003" s="130" t="str">
        <f>IF('SIG 2021'!$AO1006="","",'SIG 2021'!$AO1006)</f>
        <v/>
      </c>
    </row>
    <row r="1004" spans="1:13" ht="14.4" x14ac:dyDescent="0.5">
      <c r="A1004" s="130">
        <v>3304</v>
      </c>
      <c r="B1004" s="130" t="s">
        <v>425</v>
      </c>
      <c r="C1004" s="130" t="s">
        <v>3264</v>
      </c>
      <c r="D1004" s="130" t="str">
        <f>IF('SIG 2021'!$D1007="","",'SIG 2021'!$D1007)</f>
        <v>Yes</v>
      </c>
      <c r="E1004" s="130" t="str">
        <f>IF('SIG 2021'!$E1007="","",'SIG 2021'!$E1007)</f>
        <v/>
      </c>
      <c r="F1004" s="130" t="str">
        <f>IF('SIG 2021'!$F1007="","",'SIG 2021'!F1007)</f>
        <v/>
      </c>
      <c r="G1004" s="130" t="s">
        <v>3265</v>
      </c>
      <c r="H1004" s="130" t="s">
        <v>3266</v>
      </c>
      <c r="I1004" s="130"/>
      <c r="J1004" s="130"/>
      <c r="K1004" s="130" t="str">
        <f>IF('SIG 2021'!$AM1007="","",'SIG 2021'!$AM1007)</f>
        <v/>
      </c>
      <c r="L1004" s="130" t="str">
        <f>IF('SIG 2021'!$AN1007="","",'SIG 2021'!$AN1007)</f>
        <v/>
      </c>
      <c r="M1004" s="130" t="str">
        <f>IF('SIG 2021'!$AO1007="","",'SIG 2021'!$AO1007)</f>
        <v/>
      </c>
    </row>
    <row r="1005" spans="1:13" ht="57.6" x14ac:dyDescent="0.5">
      <c r="A1005" s="130">
        <v>4388</v>
      </c>
      <c r="B1005" s="130" t="s">
        <v>3268</v>
      </c>
      <c r="C1005" s="130" t="s">
        <v>3269</v>
      </c>
      <c r="D1005" s="130" t="str">
        <f>IF('SIG 2021'!$D1008="","",'SIG 2021'!$D1008)</f>
        <v>Yes</v>
      </c>
      <c r="E1005" s="130" t="str">
        <f>IF('SIG 2021'!$E1008="","",'SIG 2021'!$E1008)</f>
        <v>An administrative console is available in the web application for Seismic administrators only.</v>
      </c>
      <c r="F1005" s="130" t="str">
        <f>IF('SIG 2021'!$F1008="","",'SIG 2021'!F1008)</f>
        <v/>
      </c>
      <c r="G1005" s="130" t="s">
        <v>3271</v>
      </c>
      <c r="H1005" s="130" t="s">
        <v>910</v>
      </c>
      <c r="I1005" s="130"/>
      <c r="J1005" s="130" t="s">
        <v>2591</v>
      </c>
      <c r="K1005" s="130" t="str">
        <f>IF('SIG 2021'!$AM1008="","",'SIG 2021'!$AM1008)</f>
        <v/>
      </c>
      <c r="L1005" s="130" t="str">
        <f>IF('SIG 2021'!$AN1008="","",'SIG 2021'!$AN1008)</f>
        <v/>
      </c>
      <c r="M1005" s="130" t="str">
        <f>IF('SIG 2021'!$AO1008="","",'SIG 2021'!$AO1008)</f>
        <v/>
      </c>
    </row>
    <row r="1006" spans="1:13" ht="28.8" x14ac:dyDescent="0.5">
      <c r="A1006" s="130">
        <v>3511</v>
      </c>
      <c r="B1006" s="130" t="s">
        <v>3272</v>
      </c>
      <c r="C1006" s="130" t="s">
        <v>3273</v>
      </c>
      <c r="D1006" s="130" t="str">
        <f>IF('SIG 2021'!$D1009="","",'SIG 2021'!$D1009)</f>
        <v>No</v>
      </c>
      <c r="E1006" s="130" t="str">
        <f>IF('SIG 2021'!$E1009="","",'SIG 2021'!$E1009)</f>
        <v/>
      </c>
      <c r="F1006" s="130" t="str">
        <f>IF('SIG 2021'!$F1009="","",'SIG 2021'!F1009)</f>
        <v/>
      </c>
      <c r="G1006" s="130" t="s">
        <v>3271</v>
      </c>
      <c r="H1006" s="130" t="s">
        <v>3274</v>
      </c>
      <c r="I1006" s="130"/>
      <c r="J1006" s="130"/>
      <c r="K1006" s="130" t="str">
        <f>IF('SIG 2021'!$AM1009="","",'SIG 2021'!$AM1009)</f>
        <v/>
      </c>
      <c r="L1006" s="130" t="str">
        <f>IF('SIG 2021'!$AN1009="","",'SIG 2021'!$AN1009)</f>
        <v/>
      </c>
      <c r="M1006" s="130" t="str">
        <f>IF('SIG 2021'!$AO1009="","",'SIG 2021'!$AO1009)</f>
        <v/>
      </c>
    </row>
    <row r="1007" spans="1:13" ht="28.8" x14ac:dyDescent="0.5">
      <c r="A1007" s="130">
        <v>4540</v>
      </c>
      <c r="B1007" s="130" t="s">
        <v>427</v>
      </c>
      <c r="C1007" s="130" t="s">
        <v>3275</v>
      </c>
      <c r="D1007" s="130" t="str">
        <f>IF('SIG 2021'!$D1010="","",'SIG 2021'!$D1010)</f>
        <v>Yes</v>
      </c>
      <c r="E1007" s="130" t="str">
        <f>IF('SIG 2021'!$E1010="","",'SIG 2021'!$E1010)</f>
        <v/>
      </c>
      <c r="F1007" s="130" t="str">
        <f>IF('SIG 2021'!$F1010="","",'SIG 2021'!F1010)</f>
        <v/>
      </c>
      <c r="G1007" s="130" t="s">
        <v>3276</v>
      </c>
      <c r="H1007" s="130" t="s">
        <v>3277</v>
      </c>
      <c r="I1007" s="130"/>
      <c r="J1007" s="130"/>
      <c r="K1007" s="130" t="str">
        <f>IF('SIG 2021'!$AM1010="","",'SIG 2021'!$AM1010)</f>
        <v/>
      </c>
      <c r="L1007" s="130" t="str">
        <f>IF('SIG 2021'!$AN1010="","",'SIG 2021'!$AN1010)</f>
        <v/>
      </c>
      <c r="M1007" s="130" t="str">
        <f>IF('SIG 2021'!$AO1010="","",'SIG 2021'!$AO1010)</f>
        <v/>
      </c>
    </row>
    <row r="1008" spans="1:13" ht="28.8" x14ac:dyDescent="0.5">
      <c r="A1008" s="130">
        <v>3384</v>
      </c>
      <c r="B1008" s="130" t="s">
        <v>3278</v>
      </c>
      <c r="C1008" s="130" t="s">
        <v>3279</v>
      </c>
      <c r="D1008" s="130" t="str">
        <f>IF('SIG 2021'!$D1011="","",'SIG 2021'!$D1011)</f>
        <v>Yes</v>
      </c>
      <c r="E1008" s="130" t="str">
        <f>IF('SIG 2021'!$E1011="","",'SIG 2021'!$E1011)</f>
        <v/>
      </c>
      <c r="F1008" s="130" t="str">
        <f>IF('SIG 2021'!$F1011="","",'SIG 2021'!F1011)</f>
        <v/>
      </c>
      <c r="G1008" s="130" t="s">
        <v>3276</v>
      </c>
      <c r="H1008" s="130" t="s">
        <v>3280</v>
      </c>
      <c r="I1008" s="130" t="s">
        <v>976</v>
      </c>
      <c r="J1008" s="130"/>
      <c r="K1008" s="130" t="str">
        <f>IF('SIG 2021'!$AM1011="","",'SIG 2021'!$AM1011)</f>
        <v/>
      </c>
      <c r="L1008" s="130" t="str">
        <f>IF('SIG 2021'!$AN1011="","",'SIG 2021'!$AN1011)</f>
        <v/>
      </c>
      <c r="M1008" s="130" t="str">
        <f>IF('SIG 2021'!$AO1011="","",'SIG 2021'!$AO1011)</f>
        <v/>
      </c>
    </row>
    <row r="1009" spans="1:13" ht="57.6" x14ac:dyDescent="0.5">
      <c r="A1009" s="130">
        <v>3373</v>
      </c>
      <c r="B1009" s="130" t="s">
        <v>429</v>
      </c>
      <c r="C1009" s="130" t="s">
        <v>3281</v>
      </c>
      <c r="D1009" s="130" t="str">
        <f>IF('SIG 2021'!$D1012="","",'SIG 2021'!$D1012)</f>
        <v>N/A</v>
      </c>
      <c r="E1009" s="130" t="str">
        <f>IF('SIG 2021'!$E1012="","",'SIG 2021'!$E1012)</f>
        <v>Seismic does not use snapshots to back up data.</v>
      </c>
      <c r="F1009" s="130" t="str">
        <f>IF('SIG 2021'!$F1012="","",'SIG 2021'!F1012)</f>
        <v/>
      </c>
      <c r="G1009" s="130" t="s">
        <v>1650</v>
      </c>
      <c r="H1009" s="130" t="s">
        <v>3283</v>
      </c>
      <c r="I1009" s="130" t="s">
        <v>976</v>
      </c>
      <c r="J1009" s="130"/>
      <c r="K1009" s="130" t="str">
        <f>IF('SIG 2021'!$AM1012="","",'SIG 2021'!$AM1012)</f>
        <v/>
      </c>
      <c r="L1009" s="130" t="str">
        <f>IF('SIG 2021'!$AN1012="","",'SIG 2021'!$AN1012)</f>
        <v/>
      </c>
      <c r="M1009" s="130" t="str">
        <f>IF('SIG 2021'!$AO1012="","",'SIG 2021'!$AO1012)</f>
        <v/>
      </c>
    </row>
    <row r="1010" spans="1:13" ht="57.6" x14ac:dyDescent="0.5">
      <c r="A1010" s="130">
        <v>3374</v>
      </c>
      <c r="B1010" s="130" t="s">
        <v>3284</v>
      </c>
      <c r="C1010" s="130" t="s">
        <v>3285</v>
      </c>
      <c r="D1010" s="130" t="str">
        <f>IF('SIG 2021'!$D1013="","",'SIG 2021'!$D1013)</f>
        <v>N/A</v>
      </c>
      <c r="E1010" s="130" t="str">
        <f>IF('SIG 2021'!$E1013="","",'SIG 2021'!$E1013)</f>
        <v>Seismic does not use snapshots to back up data.</v>
      </c>
      <c r="F1010" s="130" t="str">
        <f>IF('SIG 2021'!$F1013="","",'SIG 2021'!F1013)</f>
        <v/>
      </c>
      <c r="G1010" s="130" t="s">
        <v>1650</v>
      </c>
      <c r="H1010" s="130" t="s">
        <v>3283</v>
      </c>
      <c r="I1010" s="130" t="s">
        <v>976</v>
      </c>
      <c r="J1010" s="130"/>
      <c r="K1010" s="130" t="str">
        <f>IF('SIG 2021'!$AM1013="","",'SIG 2021'!$AM1013)</f>
        <v/>
      </c>
      <c r="L1010" s="130" t="str">
        <f>IF('SIG 2021'!$AN1013="","",'SIG 2021'!$AN1013)</f>
        <v/>
      </c>
      <c r="M1010" s="130" t="str">
        <f>IF('SIG 2021'!$AO1013="","",'SIG 2021'!$AO1013)</f>
        <v/>
      </c>
    </row>
    <row r="1011" spans="1:13" ht="28.8" x14ac:dyDescent="0.5">
      <c r="A1011" s="130">
        <v>3587</v>
      </c>
      <c r="B1011" s="130" t="s">
        <v>3286</v>
      </c>
      <c r="C1011" s="130" t="s">
        <v>3287</v>
      </c>
      <c r="D1011" s="130" t="str">
        <f>IF('SIG 2021'!$D1014="","",'SIG 2021'!$D1014)</f>
        <v>Yes</v>
      </c>
      <c r="E1011" s="130" t="str">
        <f>IF('SIG 2021'!$E1014="","",'SIG 2021'!$E1014)</f>
        <v/>
      </c>
      <c r="F1011" s="130" t="str">
        <f>IF('SIG 2021'!$F1014="","",'SIG 2021'!F1014)</f>
        <v/>
      </c>
      <c r="G1011" s="130" t="s">
        <v>1650</v>
      </c>
      <c r="H1011" s="130" t="s">
        <v>3283</v>
      </c>
      <c r="I1011" s="130" t="s">
        <v>976</v>
      </c>
      <c r="J1011" s="130"/>
      <c r="K1011" s="130" t="str">
        <f>IF('SIG 2021'!$AM1014="","",'SIG 2021'!$AM1014)</f>
        <v/>
      </c>
      <c r="L1011" s="130" t="str">
        <f>IF('SIG 2021'!$AN1014="","",'SIG 2021'!$AN1014)</f>
        <v/>
      </c>
      <c r="M1011" s="130" t="str">
        <f>IF('SIG 2021'!$AO1014="","",'SIG 2021'!$AO1014)</f>
        <v/>
      </c>
    </row>
    <row r="1012" spans="1:13" ht="28.8" x14ac:dyDescent="0.5">
      <c r="A1012" s="130">
        <v>3577</v>
      </c>
      <c r="B1012" s="130" t="s">
        <v>3288</v>
      </c>
      <c r="C1012" s="130" t="s">
        <v>3289</v>
      </c>
      <c r="D1012" s="130" t="str">
        <f>IF('SIG 2021'!$D1015="","",'SIG 2021'!$D1015)</f>
        <v>No</v>
      </c>
      <c r="E1012" s="130" t="str">
        <f>IF('SIG 2021'!$E1015="","",'SIG 2021'!$E1015)</f>
        <v>Not required for a SaaS solution.</v>
      </c>
      <c r="F1012" s="130" t="str">
        <f>IF('SIG 2021'!$F1015="","",'SIG 2021'!F1015)</f>
        <v/>
      </c>
      <c r="G1012" s="130" t="s">
        <v>1650</v>
      </c>
      <c r="H1012" s="130" t="s">
        <v>3291</v>
      </c>
      <c r="I1012" s="130" t="s">
        <v>3292</v>
      </c>
      <c r="J1012" s="130"/>
      <c r="K1012" s="130" t="str">
        <f>IF('SIG 2021'!$AM1015="","",'SIG 2021'!$AM1015)</f>
        <v/>
      </c>
      <c r="L1012" s="130" t="str">
        <f>IF('SIG 2021'!$AN1015="","",'SIG 2021'!$AN1015)</f>
        <v/>
      </c>
      <c r="M1012" s="130" t="str">
        <f>IF('SIG 2021'!$AO1015="","",'SIG 2021'!$AO1015)</f>
        <v/>
      </c>
    </row>
    <row r="1013" spans="1:13" ht="28.8" x14ac:dyDescent="0.5">
      <c r="A1013" s="130">
        <v>3585</v>
      </c>
      <c r="B1013" s="130" t="s">
        <v>3293</v>
      </c>
      <c r="C1013" s="130" t="s">
        <v>3294</v>
      </c>
      <c r="D1013" s="130" t="str">
        <f>IF('SIG 2021'!$D1016="","",'SIG 2021'!$D1016)</f>
        <v>No</v>
      </c>
      <c r="E1013" s="130" t="str">
        <f>IF('SIG 2021'!$E1016="","",'SIG 2021'!$E1016)</f>
        <v/>
      </c>
      <c r="F1013" s="130" t="str">
        <f>IF('SIG 2021'!$F1016="","",'SIG 2021'!F1016)</f>
        <v/>
      </c>
      <c r="G1013" s="130" t="s">
        <v>1650</v>
      </c>
      <c r="H1013" s="130" t="s">
        <v>3295</v>
      </c>
      <c r="I1013" s="130" t="s">
        <v>3292</v>
      </c>
      <c r="J1013" s="130"/>
      <c r="K1013" s="130" t="str">
        <f>IF('SIG 2021'!$AM1016="","",'SIG 2021'!$AM1016)</f>
        <v/>
      </c>
      <c r="L1013" s="130" t="str">
        <f>IF('SIG 2021'!$AN1016="","",'SIG 2021'!$AN1016)</f>
        <v/>
      </c>
      <c r="M1013" s="130" t="str">
        <f>IF('SIG 2021'!$AO1016="","",'SIG 2021'!$AO1016)</f>
        <v/>
      </c>
    </row>
    <row r="1014" spans="1:13" ht="43.2" x14ac:dyDescent="0.5">
      <c r="A1014" s="130">
        <v>4541</v>
      </c>
      <c r="B1014" s="130" t="s">
        <v>3296</v>
      </c>
      <c r="C1014" s="130" t="s">
        <v>3297</v>
      </c>
      <c r="D1014" s="130" t="str">
        <f>IF('SIG 2021'!$D1017="","",'SIG 2021'!$D1017)</f>
        <v>No</v>
      </c>
      <c r="E1014" s="130" t="str">
        <f>IF('SIG 2021'!$E1017="","",'SIG 2021'!$E1017)</f>
        <v/>
      </c>
      <c r="F1014" s="130" t="str">
        <f>IF('SIG 2021'!$F1017="","",'SIG 2021'!F1017)</f>
        <v/>
      </c>
      <c r="G1014" s="130" t="s">
        <v>1650</v>
      </c>
      <c r="H1014" s="130" t="s">
        <v>3291</v>
      </c>
      <c r="I1014" s="130" t="s">
        <v>3292</v>
      </c>
      <c r="J1014" s="130"/>
      <c r="K1014" s="130" t="str">
        <f>IF('SIG 2021'!$AM1017="","",'SIG 2021'!$AM1017)</f>
        <v/>
      </c>
      <c r="L1014" s="130" t="str">
        <f>IF('SIG 2021'!$AN1017="","",'SIG 2021'!$AN1017)</f>
        <v/>
      </c>
      <c r="M1014" s="130" t="str">
        <f>IF('SIG 2021'!$AO1017="","",'SIG 2021'!$AO1017)</f>
        <v/>
      </c>
    </row>
    <row r="1015" spans="1:13" ht="43.2" x14ac:dyDescent="0.5">
      <c r="A1015" s="130">
        <v>4392</v>
      </c>
      <c r="B1015" s="130" t="s">
        <v>3298</v>
      </c>
      <c r="C1015" s="130" t="s">
        <v>3299</v>
      </c>
      <c r="D1015" s="130" t="str">
        <f>IF('SIG 2021'!$D1018="","",'SIG 2021'!$D1018)</f>
        <v>No</v>
      </c>
      <c r="E1015" s="130" t="str">
        <f>IF('SIG 2021'!$E1018="","",'SIG 2021'!$E1018)</f>
        <v/>
      </c>
      <c r="F1015" s="130" t="str">
        <f>IF('SIG 2021'!$F1018="","",'SIG 2021'!F1018)</f>
        <v/>
      </c>
      <c r="G1015" s="130" t="s">
        <v>1650</v>
      </c>
      <c r="H1015" s="130" t="s">
        <v>3295</v>
      </c>
      <c r="I1015" s="130" t="s">
        <v>3292</v>
      </c>
      <c r="J1015" s="130"/>
      <c r="K1015" s="130" t="str">
        <f>IF('SIG 2021'!$AM1018="","",'SIG 2021'!$AM1018)</f>
        <v/>
      </c>
      <c r="L1015" s="130" t="str">
        <f>IF('SIG 2021'!$AN1018="","",'SIG 2021'!$AN1018)</f>
        <v/>
      </c>
      <c r="M1015" s="130" t="str">
        <f>IF('SIG 2021'!$AO1018="","",'SIG 2021'!$AO1018)</f>
        <v/>
      </c>
    </row>
    <row r="1016" spans="1:13" ht="28.8" x14ac:dyDescent="0.5">
      <c r="A1016" s="130">
        <v>3568</v>
      </c>
      <c r="B1016" s="130" t="s">
        <v>3300</v>
      </c>
      <c r="C1016" s="130" t="s">
        <v>3301</v>
      </c>
      <c r="D1016" s="130" t="str">
        <f>IF('SIG 2021'!$D1019="","",'SIG 2021'!$D1019)</f>
        <v>Yes</v>
      </c>
      <c r="E1016" s="130" t="str">
        <f>IF('SIG 2021'!$E1019="","",'SIG 2021'!$E1019)</f>
        <v/>
      </c>
      <c r="F1016" s="130" t="str">
        <f>IF('SIG 2021'!$F1019="","",'SIG 2021'!F1019)</f>
        <v/>
      </c>
      <c r="G1016" s="130" t="s">
        <v>1650</v>
      </c>
      <c r="H1016" s="130" t="s">
        <v>3295</v>
      </c>
      <c r="I1016" s="130" t="s">
        <v>976</v>
      </c>
      <c r="J1016" s="130"/>
      <c r="K1016" s="130" t="str">
        <f>IF('SIG 2021'!$AM1019="","",'SIG 2021'!$AM1019)</f>
        <v/>
      </c>
      <c r="L1016" s="130" t="str">
        <f>IF('SIG 2021'!$AN1019="","",'SIG 2021'!$AN1019)</f>
        <v/>
      </c>
      <c r="M1016" s="130" t="str">
        <f>IF('SIG 2021'!$AO1019="","",'SIG 2021'!$AO1019)</f>
        <v/>
      </c>
    </row>
    <row r="1017" spans="1:13" ht="43.2" x14ac:dyDescent="0.5">
      <c r="A1017" s="130">
        <v>4390</v>
      </c>
      <c r="B1017" s="130" t="s">
        <v>3302</v>
      </c>
      <c r="C1017" s="130" t="s">
        <v>3303</v>
      </c>
      <c r="D1017" s="130" t="str">
        <f>IF('SIG 2021'!$D1020="","",'SIG 2021'!$D1020)</f>
        <v>Yes</v>
      </c>
      <c r="E1017" s="130" t="str">
        <f>IF('SIG 2021'!$E1020="","",'SIG 2021'!$E1020)</f>
        <v/>
      </c>
      <c r="F1017" s="130" t="str">
        <f>IF('SIG 2021'!$F1020="","",'SIG 2021'!F1020)</f>
        <v/>
      </c>
      <c r="G1017" s="130" t="s">
        <v>1650</v>
      </c>
      <c r="H1017" s="130" t="s">
        <v>3295</v>
      </c>
      <c r="I1017" s="130"/>
      <c r="J1017" s="130"/>
      <c r="K1017" s="130" t="str">
        <f>IF('SIG 2021'!$AM1020="","",'SIG 2021'!$AM1020)</f>
        <v/>
      </c>
      <c r="L1017" s="130" t="str">
        <f>IF('SIG 2021'!$AN1020="","",'SIG 2021'!$AN1020)</f>
        <v/>
      </c>
      <c r="M1017" s="130" t="str">
        <f>IF('SIG 2021'!$AO1020="","",'SIG 2021'!$AO1020)</f>
        <v/>
      </c>
    </row>
    <row r="1018" spans="1:13" ht="43.2" x14ac:dyDescent="0.5">
      <c r="A1018" s="130">
        <v>4542</v>
      </c>
      <c r="B1018" s="130" t="s">
        <v>3304</v>
      </c>
      <c r="C1018" s="130" t="s">
        <v>3305</v>
      </c>
      <c r="D1018" s="130" t="str">
        <f>IF('SIG 2021'!$D1021="","",'SIG 2021'!$D1021)</f>
        <v>Yes</v>
      </c>
      <c r="E1018" s="130" t="str">
        <f>IF('SIG 2021'!$E1021="","",'SIG 2021'!$E1021)</f>
        <v/>
      </c>
      <c r="F1018" s="130" t="str">
        <f>IF('SIG 2021'!$F1021="","",'SIG 2021'!F1021)</f>
        <v/>
      </c>
      <c r="G1018" s="130" t="s">
        <v>1650</v>
      </c>
      <c r="H1018" s="130" t="s">
        <v>3306</v>
      </c>
      <c r="I1018" s="130"/>
      <c r="J1018" s="130"/>
      <c r="K1018" s="130" t="str">
        <f>IF('SIG 2021'!$AM1021="","",'SIG 2021'!$AM1021)</f>
        <v/>
      </c>
      <c r="L1018" s="130" t="str">
        <f>IF('SIG 2021'!$AN1021="","",'SIG 2021'!$AN1021)</f>
        <v/>
      </c>
      <c r="M1018" s="130" t="str">
        <f>IF('SIG 2021'!$AO1021="","",'SIG 2021'!$AO1021)</f>
        <v/>
      </c>
    </row>
    <row r="1019" spans="1:13" ht="28.8" x14ac:dyDescent="0.5">
      <c r="A1019" s="130">
        <v>3570</v>
      </c>
      <c r="B1019" s="130" t="s">
        <v>3307</v>
      </c>
      <c r="C1019" s="130" t="s">
        <v>3308</v>
      </c>
      <c r="D1019" s="130" t="str">
        <f>IF('SIG 2021'!$D1022="","",'SIG 2021'!$D1022)</f>
        <v>No</v>
      </c>
      <c r="E1019" s="130" t="str">
        <f>IF('SIG 2021'!$E1022="","",'SIG 2021'!$E1022)</f>
        <v/>
      </c>
      <c r="F1019" s="130" t="str">
        <f>IF('SIG 2021'!$F1022="","",'SIG 2021'!F1022)</f>
        <v/>
      </c>
      <c r="G1019" s="130" t="s">
        <v>1650</v>
      </c>
      <c r="H1019" s="130" t="s">
        <v>3306</v>
      </c>
      <c r="I1019" s="130" t="s">
        <v>976</v>
      </c>
      <c r="J1019" s="130"/>
      <c r="K1019" s="130" t="str">
        <f>IF('SIG 2021'!$AM1022="","",'SIG 2021'!$AM1022)</f>
        <v/>
      </c>
      <c r="L1019" s="130" t="str">
        <f>IF('SIG 2021'!$AN1022="","",'SIG 2021'!$AN1022)</f>
        <v/>
      </c>
      <c r="M1019" s="130" t="str">
        <f>IF('SIG 2021'!$AO1022="","",'SIG 2021'!$AO1022)</f>
        <v/>
      </c>
    </row>
    <row r="1020" spans="1:13" ht="43.2" x14ac:dyDescent="0.5">
      <c r="A1020" s="130">
        <v>3579</v>
      </c>
      <c r="B1020" s="130" t="s">
        <v>3309</v>
      </c>
      <c r="C1020" s="130" t="s">
        <v>3310</v>
      </c>
      <c r="D1020" s="130" t="str">
        <f>IF('SIG 2021'!$D1023="","",'SIG 2021'!$D1023)</f>
        <v>Yes</v>
      </c>
      <c r="E1020" s="130" t="str">
        <f>IF('SIG 2021'!$E1023="","",'SIG 2021'!$E1023)</f>
        <v/>
      </c>
      <c r="F1020" s="130" t="str">
        <f>IF('SIG 2021'!$F1023="","",'SIG 2021'!F1023)</f>
        <v/>
      </c>
      <c r="G1020" s="130" t="s">
        <v>1650</v>
      </c>
      <c r="H1020" s="130" t="s">
        <v>3291</v>
      </c>
      <c r="I1020" s="130" t="s">
        <v>3292</v>
      </c>
      <c r="J1020" s="130"/>
      <c r="K1020" s="130" t="str">
        <f>IF('SIG 2021'!$AM1023="","",'SIG 2021'!$AM1023)</f>
        <v/>
      </c>
      <c r="L1020" s="130" t="str">
        <f>IF('SIG 2021'!$AN1023="","",'SIG 2021'!$AN1023)</f>
        <v/>
      </c>
      <c r="M1020" s="130" t="str">
        <f>IF('SIG 2021'!$AO1023="","",'SIG 2021'!$AO1023)</f>
        <v/>
      </c>
    </row>
    <row r="1021" spans="1:13" ht="43.2" x14ac:dyDescent="0.5">
      <c r="A1021" s="130">
        <v>4543</v>
      </c>
      <c r="B1021" s="130" t="s">
        <v>3311</v>
      </c>
      <c r="C1021" s="130" t="s">
        <v>3312</v>
      </c>
      <c r="D1021" s="130" t="str">
        <f>IF('SIG 2021'!$D1024="","",'SIG 2021'!$D1024)</f>
        <v>Yes</v>
      </c>
      <c r="E1021" s="130" t="str">
        <f>IF('SIG 2021'!$E1024="","",'SIG 2021'!$E1024)</f>
        <v>AWS is SOC2 Type II compliant</v>
      </c>
      <c r="F1021" s="130" t="str">
        <f>IF('SIG 2021'!$F1024="","",'SIG 2021'!F1024)</f>
        <v/>
      </c>
      <c r="G1021" s="130" t="s">
        <v>3314</v>
      </c>
      <c r="H1021" s="130" t="s">
        <v>3315</v>
      </c>
      <c r="I1021" s="130" t="s">
        <v>3292</v>
      </c>
      <c r="J1021" s="130"/>
      <c r="K1021" s="130" t="str">
        <f>IF('SIG 2021'!$AM1024="","",'SIG 2021'!$AM1024)</f>
        <v/>
      </c>
      <c r="L1021" s="130" t="str">
        <f>IF('SIG 2021'!$AN1024="","",'SIG 2021'!$AN1024)</f>
        <v/>
      </c>
      <c r="M1021" s="130" t="str">
        <f>IF('SIG 2021'!$AO1024="","",'SIG 2021'!$AO1024)</f>
        <v/>
      </c>
    </row>
    <row r="1022" spans="1:13" ht="72" x14ac:dyDescent="0.5">
      <c r="A1022" s="130">
        <v>4544</v>
      </c>
      <c r="B1022" s="130" t="s">
        <v>3316</v>
      </c>
      <c r="C1022" s="130" t="s">
        <v>3317</v>
      </c>
      <c r="D1022" s="130" t="str">
        <f>IF('SIG 2021'!$D1025="","",'SIG 2021'!$D1025)</f>
        <v>Yes</v>
      </c>
      <c r="E1022" s="130" t="str">
        <f>IF('SIG 2021'!$E1025="","",'SIG 2021'!$E1025)</f>
        <v/>
      </c>
      <c r="F1022" s="130" t="str">
        <f>IF('SIG 2021'!$F1025="","",'SIG 2021'!F1025)</f>
        <v/>
      </c>
      <c r="G1022" s="130" t="s">
        <v>3314</v>
      </c>
      <c r="H1022" s="130" t="s">
        <v>3315</v>
      </c>
      <c r="I1022" s="130" t="s">
        <v>3292</v>
      </c>
      <c r="J1022" s="130"/>
      <c r="K1022" s="130" t="str">
        <f>IF('SIG 2021'!$AM1025="","",'SIG 2021'!$AM1025)</f>
        <v/>
      </c>
      <c r="L1022" s="130" t="str">
        <f>IF('SIG 2021'!$AN1025="","",'SIG 2021'!$AN1025)</f>
        <v/>
      </c>
      <c r="M1022" s="130" t="str">
        <f>IF('SIG 2021'!$AO1025="","",'SIG 2021'!$AO1025)</f>
        <v/>
      </c>
    </row>
    <row r="1023" spans="1:13" ht="86.4" x14ac:dyDescent="0.5">
      <c r="A1023" s="130">
        <v>4545</v>
      </c>
      <c r="B1023" s="130" t="s">
        <v>3318</v>
      </c>
      <c r="C1023" s="130" t="s">
        <v>3319</v>
      </c>
      <c r="D1023" s="130" t="str">
        <f>IF('SIG 2021'!$D1026="","",'SIG 2021'!$D1026)</f>
        <v>Yes</v>
      </c>
      <c r="E1023" s="130" t="str">
        <f>IF('SIG 2021'!$E1026="","",'SIG 2021'!$E1026)</f>
        <v>AWS is SOC2 Type II and ISO certified</v>
      </c>
      <c r="F1023" s="130" t="str">
        <f>IF('SIG 2021'!$F1026="","",'SIG 2021'!F1026)</f>
        <v/>
      </c>
      <c r="G1023" s="130" t="s">
        <v>3314</v>
      </c>
      <c r="H1023" s="130" t="s">
        <v>3315</v>
      </c>
      <c r="I1023" s="130" t="s">
        <v>3292</v>
      </c>
      <c r="J1023" s="130"/>
      <c r="K1023" s="130" t="str">
        <f>IF('SIG 2021'!$AM1026="","",'SIG 2021'!$AM1026)</f>
        <v/>
      </c>
      <c r="L1023" s="130" t="str">
        <f>IF('SIG 2021'!$AN1026="","",'SIG 2021'!$AN1026)</f>
        <v/>
      </c>
      <c r="M1023" s="130" t="str">
        <f>IF('SIG 2021'!$AO1026="","",'SIG 2021'!$AO1026)</f>
        <v/>
      </c>
    </row>
    <row r="1024" spans="1:13" ht="57.6" x14ac:dyDescent="0.5">
      <c r="A1024" s="130">
        <v>4546</v>
      </c>
      <c r="B1024" s="130" t="s">
        <v>3321</v>
      </c>
      <c r="C1024" s="130" t="s">
        <v>3322</v>
      </c>
      <c r="D1024" s="130" t="str">
        <f>IF('SIG 2021'!$D1027="","",'SIG 2021'!$D1027)</f>
        <v>Yes</v>
      </c>
      <c r="E1024" s="130" t="str">
        <f>IF('SIG 2021'!$E1027="","",'SIG 2021'!$E1027)</f>
        <v/>
      </c>
      <c r="F1024" s="130" t="str">
        <f>IF('SIG 2021'!$F1027="","",'SIG 2021'!F1027)</f>
        <v/>
      </c>
      <c r="G1024" s="130" t="s">
        <v>3314</v>
      </c>
      <c r="H1024" s="130" t="s">
        <v>3315</v>
      </c>
      <c r="I1024" s="130" t="s">
        <v>3292</v>
      </c>
      <c r="J1024" s="130"/>
      <c r="K1024" s="130" t="str">
        <f>IF('SIG 2021'!$AM1027="","",'SIG 2021'!$AM1027)</f>
        <v/>
      </c>
      <c r="L1024" s="130" t="str">
        <f>IF('SIG 2021'!$AN1027="","",'SIG 2021'!$AN1027)</f>
        <v/>
      </c>
      <c r="M1024" s="130" t="str">
        <f>IF('SIG 2021'!$AO1027="","",'SIG 2021'!$AO1027)</f>
        <v/>
      </c>
    </row>
    <row r="1025" spans="1:13" ht="100.8" x14ac:dyDescent="0.5">
      <c r="A1025" s="130">
        <v>4547</v>
      </c>
      <c r="B1025" s="130" t="s">
        <v>3323</v>
      </c>
      <c r="C1025" s="130" t="s">
        <v>3324</v>
      </c>
      <c r="D1025" s="130" t="str">
        <f>IF('SIG 2021'!$D1028="","",'SIG 2021'!$D1028)</f>
        <v>Yes</v>
      </c>
      <c r="E1025" s="130" t="str">
        <f>IF('SIG 2021'!$E1028="","",'SIG 2021'!$E1028)</f>
        <v>Customers may conduct testing on their environments with thirty (30) days prior written notice and approval to security@seismic.com. And are obligated to share the reports with Seismic's Information Security team for review.</v>
      </c>
      <c r="F1025" s="130" t="str">
        <f>IF('SIG 2021'!$F1028="","",'SIG 2021'!F1028)</f>
        <v/>
      </c>
      <c r="G1025" s="130" t="s">
        <v>3314</v>
      </c>
      <c r="H1025" s="130" t="s">
        <v>3326</v>
      </c>
      <c r="I1025" s="130" t="s">
        <v>3292</v>
      </c>
      <c r="J1025" s="130"/>
      <c r="K1025" s="130" t="str">
        <f>IF('SIG 2021'!$AM1028="","",'SIG 2021'!$AM1028)</f>
        <v/>
      </c>
      <c r="L1025" s="130" t="str">
        <f>IF('SIG 2021'!$AN1028="","",'SIG 2021'!$AN1028)</f>
        <v/>
      </c>
      <c r="M1025" s="130" t="str">
        <f>IF('SIG 2021'!$AO1028="","",'SIG 2021'!$AO1028)</f>
        <v/>
      </c>
    </row>
    <row r="1026" spans="1:13" ht="28.8" x14ac:dyDescent="0.5">
      <c r="A1026" s="130">
        <v>4548</v>
      </c>
      <c r="B1026" s="130" t="s">
        <v>3327</v>
      </c>
      <c r="C1026" s="130" t="s">
        <v>3328</v>
      </c>
      <c r="D1026" s="130" t="str">
        <f>IF('SIG 2021'!$D1029="","",'SIG 2021'!$D1029)</f>
        <v>No</v>
      </c>
      <c r="E1026" s="130" t="str">
        <f>IF('SIG 2021'!$E1029="","",'SIG 2021'!$E1029)</f>
        <v xml:space="preserve">These are managed by Seismic. </v>
      </c>
      <c r="F1026" s="130" t="str">
        <f>IF('SIG 2021'!$F1029="","",'SIG 2021'!F1029)</f>
        <v/>
      </c>
      <c r="G1026" s="130" t="s">
        <v>3314</v>
      </c>
      <c r="H1026" s="130" t="s">
        <v>3326</v>
      </c>
      <c r="I1026" s="130" t="s">
        <v>3292</v>
      </c>
      <c r="J1026" s="130"/>
      <c r="K1026" s="130" t="str">
        <f>IF('SIG 2021'!$AM1029="","",'SIG 2021'!$AM1029)</f>
        <v/>
      </c>
      <c r="L1026" s="130" t="str">
        <f>IF('SIG 2021'!$AN1029="","",'SIG 2021'!$AN1029)</f>
        <v/>
      </c>
      <c r="M1026" s="130" t="str">
        <f>IF('SIG 2021'!$AO1029="","",'SIG 2021'!$AO1029)</f>
        <v/>
      </c>
    </row>
  </sheetData>
  <sheetProtection algorithmName="SHA-512" hashValue="7Z2tc4P022/U59r1x+hG9wDdJIScJdqlIwnhqqYNNGmz0/qqvjODaiemh68oCS+XMLdHPc/Q/w0+NCKd2UNuXg==" saltValue="2bylPe567u67nbLoxR6bRQ==" spinCount="100000" sheet="1" objects="1" scenarios="1" formatColumns="0" autoFilter="0"/>
  <autoFilter ref="A1:M1026" xr:uid="{02AFDF4D-2CCA-44E7-8EE6-4FB708BDBAC9}"/>
  <conditionalFormatting sqref="A2:A1026">
    <cfRule type="expression" dxfId="0" priority="1" stopIfTrue="1">
      <formula>COUNTIF(A:A,A2)&gt;1</formula>
    </cfRule>
  </conditionalFormatting>
  <pageMargins left="0.7" right="0.7" top="0.75" bottom="0.75" header="0.3" footer="0.3"/>
  <pageSetup orientation="landscape" horizontalDpi="300" verticalDpi="300" r:id="rId1"/>
  <headerFooter>
    <oddHeader>&amp;L&amp;K756762Shared Assessments Program&amp;C&amp;K756762Standardized Information Gathering (SIG) Questionnaire&amp;R&amp;K756762Version 2020</oddHeader>
    <oddFooter>&amp;L&amp;K756762&amp;A&amp;C&amp;K756762Page &amp;P of &amp;N Page(s)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9EFB-0588-41D4-8FC0-8041696F38BA}">
  <sheetPr codeName="Sheet29">
    <tabColor rgb="FF006680"/>
  </sheetPr>
  <dimension ref="A1:N6001"/>
  <sheetViews>
    <sheetView workbookViewId="0"/>
  </sheetViews>
  <sheetFormatPr defaultColWidth="8.68359375" defaultRowHeight="12.9" x14ac:dyDescent="0.5"/>
  <cols>
    <col min="1" max="1" width="8.68359375" style="2" customWidth="1"/>
    <col min="2" max="4" width="8.68359375" style="2"/>
    <col min="5" max="5" width="12.47265625" style="2" bestFit="1" customWidth="1"/>
    <col min="6" max="11" width="8.68359375" style="2"/>
    <col min="12" max="29" width="8.68359375" style="2" customWidth="1"/>
    <col min="30" max="16384" width="8.68359375" style="2"/>
  </cols>
  <sheetData>
    <row r="1" spans="1:13" x14ac:dyDescent="0.5">
      <c r="A1" s="2" t="s">
        <v>63</v>
      </c>
      <c r="B1" s="2" t="s">
        <v>3425</v>
      </c>
      <c r="C1" s="2" t="s">
        <v>3426</v>
      </c>
      <c r="E1" s="2" t="s">
        <v>3427</v>
      </c>
      <c r="F1" s="2" t="s">
        <v>3428</v>
      </c>
      <c r="G1" s="2" t="s">
        <v>3429</v>
      </c>
      <c r="H1" s="2" t="s">
        <v>3430</v>
      </c>
      <c r="J1" s="2" t="s">
        <v>3431</v>
      </c>
      <c r="K1" s="2" t="s">
        <v>3432</v>
      </c>
      <c r="L1" s="2" t="s">
        <v>3433</v>
      </c>
      <c r="M1" s="2" t="s">
        <v>3434</v>
      </c>
    </row>
    <row r="2" spans="1:13" x14ac:dyDescent="0.5">
      <c r="C2" s="2" t="s">
        <v>434</v>
      </c>
      <c r="J2" s="2" t="b">
        <v>0</v>
      </c>
      <c r="K2" s="2">
        <v>18</v>
      </c>
      <c r="M2" s="2">
        <v>1</v>
      </c>
    </row>
    <row r="3" spans="1:13" x14ac:dyDescent="0.5">
      <c r="A3" s="2" t="s">
        <v>52</v>
      </c>
      <c r="B3" s="2">
        <v>1</v>
      </c>
      <c r="C3" s="2" t="s">
        <v>435</v>
      </c>
      <c r="D3" s="2" t="s">
        <v>3435</v>
      </c>
      <c r="E3" s="2" t="s">
        <v>483</v>
      </c>
      <c r="H3" s="2" t="str">
        <f ca="1">IF(I3=FALSE,"",IF(G3=0,0,G3/F3))</f>
        <v/>
      </c>
      <c r="I3" s="2" t="b">
        <f t="shared" ref="I3:I22" ca="1" si="0">ISREF(INDIRECT("'"&amp;D3&amp;"'!A1"))</f>
        <v>0</v>
      </c>
      <c r="M3" s="2">
        <v>2</v>
      </c>
    </row>
    <row r="4" spans="1:13" x14ac:dyDescent="0.5">
      <c r="A4" s="2" t="s">
        <v>55</v>
      </c>
      <c r="B4" s="2">
        <v>2</v>
      </c>
      <c r="D4" s="2" t="s">
        <v>59</v>
      </c>
      <c r="E4" s="2" t="s">
        <v>652</v>
      </c>
      <c r="H4" s="2" t="str">
        <f t="shared" ref="H4:H21" ca="1" si="1">IF(I4=FALSE,"",IF(G4=0,0,G4/F4))</f>
        <v/>
      </c>
      <c r="I4" s="2" t="b">
        <f t="shared" ca="1" si="0"/>
        <v>0</v>
      </c>
      <c r="M4" s="2">
        <v>3</v>
      </c>
    </row>
    <row r="5" spans="1:13" x14ac:dyDescent="0.5">
      <c r="A5" s="2" t="s">
        <v>48</v>
      </c>
      <c r="B5" s="2">
        <v>3</v>
      </c>
      <c r="D5" s="2" t="s">
        <v>60</v>
      </c>
      <c r="E5" s="2" t="s">
        <v>679</v>
      </c>
      <c r="H5" s="2" t="str">
        <f t="shared" ca="1" si="1"/>
        <v/>
      </c>
      <c r="I5" s="2" t="b">
        <f t="shared" ca="1" si="0"/>
        <v>0</v>
      </c>
      <c r="M5" s="2">
        <v>4</v>
      </c>
    </row>
    <row r="6" spans="1:13" x14ac:dyDescent="0.5">
      <c r="B6" s="2">
        <v>4</v>
      </c>
      <c r="D6" s="2" t="s">
        <v>3436</v>
      </c>
      <c r="E6" s="2" t="s">
        <v>747</v>
      </c>
      <c r="H6" s="2" t="str">
        <f t="shared" ca="1" si="1"/>
        <v/>
      </c>
      <c r="I6" s="2" t="b">
        <f t="shared" ca="1" si="0"/>
        <v>0</v>
      </c>
      <c r="M6" s="2">
        <v>5</v>
      </c>
    </row>
    <row r="7" spans="1:13" x14ac:dyDescent="0.5">
      <c r="B7" s="2">
        <v>5</v>
      </c>
      <c r="D7" s="2" t="s">
        <v>64</v>
      </c>
      <c r="E7" s="2" t="s">
        <v>987</v>
      </c>
      <c r="H7" s="2" t="str">
        <f t="shared" ca="1" si="1"/>
        <v/>
      </c>
      <c r="I7" s="2" t="b">
        <f t="shared" ca="1" si="0"/>
        <v>0</v>
      </c>
      <c r="M7" s="2">
        <v>6</v>
      </c>
    </row>
    <row r="8" spans="1:13" x14ac:dyDescent="0.5">
      <c r="B8" s="2" t="s">
        <v>48</v>
      </c>
      <c r="D8" s="2" t="s">
        <v>3437</v>
      </c>
      <c r="E8" s="2" t="s">
        <v>1059</v>
      </c>
      <c r="H8" s="2" t="str">
        <f t="shared" ca="1" si="1"/>
        <v/>
      </c>
      <c r="I8" s="2" t="b">
        <f t="shared" ca="1" si="0"/>
        <v>0</v>
      </c>
      <c r="M8" s="2">
        <v>7</v>
      </c>
    </row>
    <row r="9" spans="1:13" x14ac:dyDescent="0.5">
      <c r="D9" s="2" t="s">
        <v>66</v>
      </c>
      <c r="E9" s="2" t="s">
        <v>1210</v>
      </c>
      <c r="H9" s="2" t="str">
        <f t="shared" ca="1" si="1"/>
        <v/>
      </c>
      <c r="I9" s="2" t="b">
        <f t="shared" ca="1" si="0"/>
        <v>0</v>
      </c>
      <c r="M9" s="2">
        <v>8</v>
      </c>
    </row>
    <row r="10" spans="1:13" x14ac:dyDescent="0.5">
      <c r="D10" s="2" t="s">
        <v>67</v>
      </c>
      <c r="E10" s="2" t="s">
        <v>1275</v>
      </c>
      <c r="H10" s="2" t="str">
        <f t="shared" ca="1" si="1"/>
        <v/>
      </c>
      <c r="I10" s="2" t="b">
        <f t="shared" ca="1" si="0"/>
        <v>0</v>
      </c>
      <c r="M10" s="2">
        <v>9</v>
      </c>
    </row>
    <row r="11" spans="1:13" x14ac:dyDescent="0.5">
      <c r="A11" s="2" t="s">
        <v>470</v>
      </c>
      <c r="D11" s="2" t="s">
        <v>68</v>
      </c>
      <c r="E11" s="2" t="s">
        <v>1442</v>
      </c>
      <c r="H11" s="2" t="str">
        <f t="shared" ca="1" si="1"/>
        <v/>
      </c>
      <c r="I11" s="2" t="b">
        <f t="shared" ca="1" si="0"/>
        <v>0</v>
      </c>
      <c r="M11" s="2">
        <v>10</v>
      </c>
    </row>
    <row r="12" spans="1:13" x14ac:dyDescent="0.5">
      <c r="A12" s="2" t="b">
        <v>0</v>
      </c>
      <c r="D12" s="2" t="s">
        <v>3438</v>
      </c>
      <c r="E12" s="2" t="s">
        <v>1744</v>
      </c>
      <c r="H12" s="2" t="str">
        <f t="shared" ca="1" si="1"/>
        <v/>
      </c>
      <c r="I12" s="2" t="b">
        <f t="shared" ca="1" si="0"/>
        <v>0</v>
      </c>
      <c r="M12" s="2">
        <v>11</v>
      </c>
    </row>
    <row r="13" spans="1:13" x14ac:dyDescent="0.5">
      <c r="D13" s="2" t="s">
        <v>70</v>
      </c>
      <c r="E13" s="2" t="s">
        <v>1846</v>
      </c>
      <c r="H13" s="2" t="str">
        <f t="shared" ca="1" si="1"/>
        <v/>
      </c>
      <c r="I13" s="2" t="b">
        <f t="shared" ca="1" si="0"/>
        <v>0</v>
      </c>
      <c r="M13" s="2">
        <v>12</v>
      </c>
    </row>
    <row r="14" spans="1:13" x14ac:dyDescent="0.5">
      <c r="D14" s="2" t="s">
        <v>71</v>
      </c>
      <c r="E14" s="2" t="s">
        <v>2176</v>
      </c>
      <c r="H14" s="2" t="str">
        <f t="shared" ca="1" si="1"/>
        <v/>
      </c>
      <c r="I14" s="2" t="b">
        <f t="shared" ca="1" si="0"/>
        <v>0</v>
      </c>
      <c r="M14" s="2">
        <v>13</v>
      </c>
    </row>
    <row r="15" spans="1:13" x14ac:dyDescent="0.5">
      <c r="D15" s="2" t="s">
        <v>72</v>
      </c>
      <c r="E15" s="2" t="s">
        <v>2430</v>
      </c>
      <c r="H15" s="2" t="str">
        <f t="shared" ca="1" si="1"/>
        <v/>
      </c>
      <c r="I15" s="2" t="b">
        <f t="shared" ca="1" si="0"/>
        <v>0</v>
      </c>
      <c r="M15" s="2">
        <v>14</v>
      </c>
    </row>
    <row r="16" spans="1:13" x14ac:dyDescent="0.5">
      <c r="A16" s="110" t="s">
        <v>3439</v>
      </c>
      <c r="D16" s="2" t="s">
        <v>73</v>
      </c>
      <c r="E16" s="2" t="s">
        <v>2560</v>
      </c>
      <c r="H16" s="2" t="str">
        <f t="shared" ca="1" si="1"/>
        <v/>
      </c>
      <c r="I16" s="2" t="b">
        <f t="shared" ca="1" si="0"/>
        <v>0</v>
      </c>
      <c r="M16" s="2">
        <v>15</v>
      </c>
    </row>
    <row r="17" spans="1:14" x14ac:dyDescent="0.5">
      <c r="A17" s="110" t="s">
        <v>3417</v>
      </c>
      <c r="D17" s="2" t="s">
        <v>74</v>
      </c>
      <c r="E17" s="2" t="s">
        <v>2694</v>
      </c>
      <c r="H17" s="2" t="str">
        <f t="shared" ca="1" si="1"/>
        <v/>
      </c>
      <c r="I17" s="2" t="b">
        <f t="shared" ca="1" si="0"/>
        <v>0</v>
      </c>
      <c r="M17" s="2">
        <v>16</v>
      </c>
    </row>
    <row r="18" spans="1:14" x14ac:dyDescent="0.5">
      <c r="D18" s="2" t="s">
        <v>75</v>
      </c>
      <c r="E18" s="2" t="s">
        <v>3019</v>
      </c>
      <c r="H18" s="2" t="str">
        <f t="shared" ca="1" si="1"/>
        <v/>
      </c>
      <c r="I18" s="2" t="b">
        <f t="shared" ca="1" si="0"/>
        <v>0</v>
      </c>
      <c r="M18" s="2">
        <v>17</v>
      </c>
    </row>
    <row r="19" spans="1:14" x14ac:dyDescent="0.5">
      <c r="D19" s="2" t="s">
        <v>76</v>
      </c>
      <c r="E19" s="2" t="s">
        <v>3102</v>
      </c>
      <c r="H19" s="2" t="str">
        <f t="shared" ca="1" si="1"/>
        <v/>
      </c>
      <c r="I19" s="2" t="b">
        <f t="shared" ca="1" si="0"/>
        <v>0</v>
      </c>
      <c r="M19" s="2">
        <v>18</v>
      </c>
    </row>
    <row r="20" spans="1:14" x14ac:dyDescent="0.5">
      <c r="D20" s="2" t="s">
        <v>77</v>
      </c>
      <c r="E20" s="2" t="s">
        <v>3267</v>
      </c>
      <c r="H20" s="2" t="str">
        <f t="shared" ca="1" si="1"/>
        <v/>
      </c>
      <c r="I20" s="2" t="b">
        <f t="shared" ca="1" si="0"/>
        <v>0</v>
      </c>
      <c r="M20" s="2">
        <v>19</v>
      </c>
    </row>
    <row r="21" spans="1:14" x14ac:dyDescent="0.5">
      <c r="D21" s="2" t="s">
        <v>78</v>
      </c>
      <c r="H21" s="2" t="str">
        <f t="shared" ca="1" si="1"/>
        <v/>
      </c>
      <c r="I21" s="2" t="b">
        <f t="shared" ca="1" si="0"/>
        <v>0</v>
      </c>
      <c r="M21" s="2">
        <v>20</v>
      </c>
    </row>
    <row r="22" spans="1:14" x14ac:dyDescent="0.5">
      <c r="D22" s="2" t="s">
        <v>79</v>
      </c>
      <c r="E22" s="2" t="s">
        <v>79</v>
      </c>
      <c r="F22" s="2">
        <f>'SIG 2021'!$M$2</f>
        <v>1025</v>
      </c>
      <c r="G22" s="2">
        <f ca="1">'SIG 2021'!$N$2</f>
        <v>1025</v>
      </c>
      <c r="H22" s="2">
        <f ca="1">IF(I22=FALSE,"",IF(G22=0,0,G22/F22))</f>
        <v>1</v>
      </c>
      <c r="I22" s="2" t="b">
        <f t="shared" ca="1" si="0"/>
        <v>1</v>
      </c>
      <c r="M22" s="2">
        <v>21</v>
      </c>
    </row>
    <row r="23" spans="1:14" x14ac:dyDescent="0.5">
      <c r="A23" s="2" t="s">
        <v>3440</v>
      </c>
      <c r="D23" s="2" t="s">
        <v>82</v>
      </c>
      <c r="E23" s="2" t="s">
        <v>82</v>
      </c>
      <c r="I23" s="110" t="b">
        <v>1</v>
      </c>
      <c r="J23" s="110" t="s">
        <v>3433</v>
      </c>
      <c r="M23" s="2">
        <v>22</v>
      </c>
    </row>
    <row r="24" spans="1:14" x14ac:dyDescent="0.5">
      <c r="A24" s="2" t="s">
        <v>3441</v>
      </c>
      <c r="F24" s="2">
        <f>IF(F22&gt;0,F22,SUM(F3:F20))</f>
        <v>1025</v>
      </c>
      <c r="G24" s="2">
        <f ca="1">IF(G22&gt;0,G22,SUM(G3:G20))</f>
        <v>1025</v>
      </c>
      <c r="H24" s="2">
        <f ca="1">IF(G24=0,0,G24/F24)</f>
        <v>1</v>
      </c>
      <c r="M24" s="2">
        <v>23</v>
      </c>
    </row>
    <row r="25" spans="1:14" x14ac:dyDescent="0.5">
      <c r="A25" s="110" t="s">
        <v>3442</v>
      </c>
      <c r="B25" s="110">
        <v>2021.02</v>
      </c>
      <c r="M25" s="2">
        <v>24</v>
      </c>
    </row>
    <row r="26" spans="1:14" x14ac:dyDescent="0.5">
      <c r="D26" s="110" t="s">
        <v>483</v>
      </c>
      <c r="E26" s="110" t="s">
        <v>3435</v>
      </c>
      <c r="F26" s="110">
        <f>IF(OR(ISNA(VLOOKUP($E26,'SIG 2021'!$Q$5:$R$2000,2,FALSE)),$D26=""),"",VLOOKUP($E26,'SIG 2021'!$Q$5:$R$2000,2,FALSE))</f>
        <v>5</v>
      </c>
      <c r="H26" s="131" t="s">
        <v>3443</v>
      </c>
      <c r="I26" s="131"/>
      <c r="J26" s="132" t="s">
        <v>3444</v>
      </c>
      <c r="K26" s="132"/>
      <c r="L26" s="133"/>
      <c r="M26" s="2">
        <v>25</v>
      </c>
    </row>
    <row r="27" spans="1:14" x14ac:dyDescent="0.5">
      <c r="A27" s="110" t="s">
        <v>3445</v>
      </c>
      <c r="B27" s="110">
        <v>18</v>
      </c>
      <c r="D27" s="110" t="s">
        <v>652</v>
      </c>
      <c r="E27" s="110" t="s">
        <v>59</v>
      </c>
      <c r="F27" s="110">
        <f>IF(OR(ISNA(VLOOKUP($E27,'SIG 2021'!$Q$5:$R$2000,2,FALSE)),$D27=""),"",VLOOKUP($E27,'SIG 2021'!$Q$5:$R$2000,2,FALSE))</f>
        <v>66</v>
      </c>
      <c r="H27" s="110">
        <f>'Business Information'!A4</f>
        <v>2891</v>
      </c>
      <c r="I27" s="134" t="str">
        <f>IF('Business Information'!C4="","",'Business Information'!C4)</f>
        <v>Information Security</v>
      </c>
      <c r="J27" s="110">
        <f>Documentation!A3</f>
        <v>5660</v>
      </c>
      <c r="K27" s="110" t="str">
        <f>IF(Documentation!E3="","",Documentation!E3)</f>
        <v/>
      </c>
      <c r="L27" s="110" t="str">
        <f>IF(Documentation!F3="","",Documentation!F3)</f>
        <v/>
      </c>
      <c r="M27" s="2">
        <v>26</v>
      </c>
      <c r="N27" s="2" t="s">
        <v>3446</v>
      </c>
    </row>
    <row r="28" spans="1:14" x14ac:dyDescent="0.5">
      <c r="D28" s="110" t="s">
        <v>679</v>
      </c>
      <c r="E28" s="110" t="s">
        <v>60</v>
      </c>
      <c r="F28" s="110">
        <f>IF(OR(ISNA(VLOOKUP($E28,'SIG 2021'!$Q$5:$R$2000,2,FALSE)),$D28=""),"",VLOOKUP($E28,'SIG 2021'!$Q$5:$R$2000,2,FALSE))</f>
        <v>73</v>
      </c>
      <c r="H28" s="110">
        <f>'Business Information'!A5</f>
        <v>2892</v>
      </c>
      <c r="I28" s="134" t="str">
        <f>IF('Business Information'!C5="","",'Business Information'!C5)</f>
        <v>Sr. Director of Information Security</v>
      </c>
      <c r="J28" s="110">
        <f>Documentation!A4</f>
        <v>5661</v>
      </c>
      <c r="K28" s="110" t="str">
        <f>IF(Documentation!E4="","",Documentation!E4)</f>
        <v/>
      </c>
      <c r="L28" s="110" t="str">
        <f>IF(Documentation!F4="","",Documentation!F4)</f>
        <v/>
      </c>
      <c r="M28" s="2">
        <v>27</v>
      </c>
    </row>
    <row r="29" spans="1:14" x14ac:dyDescent="0.5">
      <c r="A29" s="110" t="s">
        <v>3447</v>
      </c>
      <c r="B29" s="110" t="s">
        <v>3448</v>
      </c>
      <c r="D29" s="110" t="s">
        <v>747</v>
      </c>
      <c r="E29" s="110" t="s">
        <v>3436</v>
      </c>
      <c r="F29" s="110">
        <f>IF(OR(ISNA(VLOOKUP($E29,'SIG 2021'!$Q$5:$R$2000,2,FALSE)),$D29=""),"",VLOOKUP($E29,'SIG 2021'!$Q$5:$R$2000,2,FALSE))</f>
        <v>91</v>
      </c>
      <c r="H29" s="110">
        <f>'Business Information'!A6</f>
        <v>2893</v>
      </c>
      <c r="I29" s="134" t="str">
        <f>IF('Business Information'!C6="","",'Business Information'!C6)</f>
        <v>security@seismic.com</v>
      </c>
      <c r="J29" s="110">
        <f>Documentation!A5</f>
        <v>5662</v>
      </c>
      <c r="K29" s="110" t="str">
        <f>IF(Documentation!E5="","",Documentation!E5)</f>
        <v/>
      </c>
      <c r="L29" s="110" t="str">
        <f>IF(Documentation!F5="","",Documentation!F5)</f>
        <v/>
      </c>
      <c r="M29" s="2">
        <v>28</v>
      </c>
    </row>
    <row r="30" spans="1:14" x14ac:dyDescent="0.5">
      <c r="D30" s="110" t="s">
        <v>987</v>
      </c>
      <c r="E30" s="110" t="s">
        <v>64</v>
      </c>
      <c r="F30" s="110">
        <f>IF(OR(ISNA(VLOOKUP($E30,'SIG 2021'!$Q$5:$R$2000,2,FALSE)),$D30=""),"",VLOOKUP($E30,'SIG 2021'!$Q$5:$R$2000,2,FALSE))</f>
        <v>167</v>
      </c>
      <c r="H30" s="110">
        <f>'Business Information'!A7</f>
        <v>4616</v>
      </c>
      <c r="I30" s="134" t="str">
        <f>IF('Business Information'!C7="","",'Business Information'!C7)</f>
        <v>Same as above</v>
      </c>
      <c r="J30" s="110">
        <f>Documentation!A6</f>
        <v>5663</v>
      </c>
      <c r="K30" s="110" t="str">
        <f>IF(Documentation!E6="","",Documentation!E6)</f>
        <v/>
      </c>
      <c r="L30" s="110" t="str">
        <f>IF(Documentation!F6="","",Documentation!F6)</f>
        <v/>
      </c>
      <c r="M30" s="2">
        <v>29</v>
      </c>
    </row>
    <row r="31" spans="1:14" x14ac:dyDescent="0.5">
      <c r="A31" s="110" t="s">
        <v>3449</v>
      </c>
      <c r="B31" s="110"/>
      <c r="D31" s="110" t="s">
        <v>1059</v>
      </c>
      <c r="E31" s="110" t="s">
        <v>3437</v>
      </c>
      <c r="F31" s="110">
        <f>IF(OR(ISNA(VLOOKUP($E31,'SIG 2021'!$Q$5:$R$2000,2,FALSE)),$D31=""),"",VLOOKUP($E31,'SIG 2021'!$Q$5:$R$2000,2,FALSE))</f>
        <v>187</v>
      </c>
      <c r="H31" s="110">
        <f>'Business Information'!A8</f>
        <v>2894</v>
      </c>
      <c r="I31" s="135">
        <f>IF('Business Information'!C8="","",'Business Information'!C8)</f>
        <v>44454</v>
      </c>
      <c r="J31" s="110">
        <f>Documentation!A7</f>
        <v>5664</v>
      </c>
      <c r="K31" s="110" t="str">
        <f>IF(Documentation!E7="","",Documentation!E7)</f>
        <v/>
      </c>
      <c r="L31" s="110" t="str">
        <f>IF(Documentation!F7="","",Documentation!F7)</f>
        <v/>
      </c>
      <c r="M31" s="2">
        <v>30</v>
      </c>
    </row>
    <row r="32" spans="1:14" x14ac:dyDescent="0.5">
      <c r="A32" s="110" t="s">
        <v>3450</v>
      </c>
      <c r="B32" s="110">
        <v>2</v>
      </c>
      <c r="D32" s="110" t="s">
        <v>1210</v>
      </c>
      <c r="E32" s="110" t="s">
        <v>66</v>
      </c>
      <c r="F32" s="110">
        <f>IF(OR(ISNA(VLOOKUP($E32,'SIG 2021'!$Q$5:$R$2000,2,FALSE)),$D32=""),"",VLOOKUP($E32,'SIG 2021'!$Q$5:$R$2000,2,FALSE))</f>
        <v>240</v>
      </c>
      <c r="H32" s="110">
        <f>'Business Information'!A9</f>
        <v>0</v>
      </c>
      <c r="I32" s="134" t="str">
        <f>IF('Business Information'!C9="","",'Business Information'!C9)</f>
        <v/>
      </c>
      <c r="J32" s="110">
        <f>Documentation!A8</f>
        <v>5665</v>
      </c>
      <c r="K32" s="110" t="str">
        <f>IF(Documentation!E8="","",Documentation!E8)</f>
        <v/>
      </c>
      <c r="L32" s="110" t="str">
        <f>IF(Documentation!F8="","",Documentation!F8)</f>
        <v/>
      </c>
      <c r="M32" s="2">
        <v>31</v>
      </c>
    </row>
    <row r="33" spans="1:14" x14ac:dyDescent="0.5">
      <c r="D33" s="110" t="s">
        <v>1275</v>
      </c>
      <c r="E33" s="110" t="s">
        <v>67</v>
      </c>
      <c r="F33" s="110">
        <f>IF(OR(ISNA(VLOOKUP($E33,'SIG 2021'!$Q$5:$R$2000,2,FALSE)),$D33=""),"",VLOOKUP($E33,'SIG 2021'!$Q$5:$R$2000,2,FALSE))</f>
        <v>261</v>
      </c>
      <c r="H33" s="110">
        <f>'Business Information'!A10</f>
        <v>2896</v>
      </c>
      <c r="I33" s="134" t="str">
        <f>IF('Business Information'!C10="","",'Business Information'!C10)</f>
        <v>Seismic Software</v>
      </c>
      <c r="J33" s="110">
        <f>Documentation!A9</f>
        <v>5666</v>
      </c>
      <c r="K33" s="110" t="str">
        <f>IF(Documentation!E9="","",Documentation!E9)</f>
        <v/>
      </c>
      <c r="L33" s="110" t="str">
        <f>IF(Documentation!F9="","",Documentation!F9)</f>
        <v/>
      </c>
      <c r="M33" s="2">
        <v>32</v>
      </c>
      <c r="N33" s="2" t="s">
        <v>3446</v>
      </c>
    </row>
    <row r="34" spans="1:14" x14ac:dyDescent="0.5">
      <c r="A34" s="136" t="s">
        <v>3451</v>
      </c>
      <c r="B34" s="136" t="s">
        <v>99</v>
      </c>
      <c r="D34" s="110" t="s">
        <v>1442</v>
      </c>
      <c r="E34" s="110" t="s">
        <v>68</v>
      </c>
      <c r="F34" s="110">
        <f>IF(OR(ISNA(VLOOKUP($E34,'SIG 2021'!$Q$5:$R$2000,2,FALSE)),$D34=""),"",VLOOKUP($E34,'SIG 2021'!$Q$5:$R$2000,2,FALSE))</f>
        <v>319</v>
      </c>
      <c r="H34" s="110">
        <f>'Business Information'!A11</f>
        <v>2897</v>
      </c>
      <c r="I34" s="134" t="str">
        <f>IF('Business Information'!C11="","",'Business Information'!C11)</f>
        <v>Lessonly by Seismic</v>
      </c>
      <c r="J34" s="110">
        <f>Documentation!A10</f>
        <v>5667</v>
      </c>
      <c r="K34" s="110" t="str">
        <f>IF(Documentation!E10="","",Documentation!E10)</f>
        <v/>
      </c>
      <c r="L34" s="110" t="str">
        <f>IF(Documentation!F10="","",Documentation!F10)</f>
        <v/>
      </c>
      <c r="M34" s="2">
        <v>33</v>
      </c>
    </row>
    <row r="35" spans="1:14" x14ac:dyDescent="0.5">
      <c r="A35" s="136" t="s">
        <v>3452</v>
      </c>
      <c r="B35" s="136" t="b">
        <v>1</v>
      </c>
      <c r="D35" s="110" t="s">
        <v>1744</v>
      </c>
      <c r="E35" s="110" t="s">
        <v>3438</v>
      </c>
      <c r="F35" s="110">
        <f>IF(OR(ISNA(VLOOKUP($E35,'SIG 2021'!$Q$5:$R$2000,2,FALSE)),$D35=""),"",VLOOKUP($E35,'SIG 2021'!$Q$5:$R$2000,2,FALSE))</f>
        <v>421</v>
      </c>
      <c r="H35" s="110">
        <f>'Business Information'!A12</f>
        <v>2898</v>
      </c>
      <c r="I35" s="134" t="str">
        <f>IF('Business Information'!C12="","",'Business Information'!C12)</f>
        <v>Privately held</v>
      </c>
      <c r="J35" s="110">
        <f>Documentation!A11</f>
        <v>5668</v>
      </c>
      <c r="K35" s="110" t="str">
        <f>IF(Documentation!E11="","",Documentation!E11)</f>
        <v/>
      </c>
      <c r="L35" s="110" t="str">
        <f>IF(Documentation!F11="","",Documentation!F11)</f>
        <v/>
      </c>
      <c r="M35" s="2">
        <v>34</v>
      </c>
    </row>
    <row r="36" spans="1:14" x14ac:dyDescent="0.5">
      <c r="A36" s="136" t="s">
        <v>3453</v>
      </c>
      <c r="B36" s="136" t="s">
        <v>433</v>
      </c>
      <c r="D36" s="110" t="s">
        <v>1846</v>
      </c>
      <c r="E36" s="110" t="s">
        <v>70</v>
      </c>
      <c r="F36" s="110">
        <f>IF(OR(ISNA(VLOOKUP($E36,'SIG 2021'!$Q$5:$R$2000,2,FALSE)),$D36=""),"",VLOOKUP($E36,'SIG 2021'!$Q$5:$R$2000,2,FALSE))</f>
        <v>454</v>
      </c>
      <c r="H36" s="110">
        <f>'Business Information'!A13</f>
        <v>2899</v>
      </c>
      <c r="I36" s="134" t="str">
        <f>IF('Business Information'!C13="","",'Business Information'!C13)</f>
        <v/>
      </c>
      <c r="J36" s="110">
        <f>Documentation!A12</f>
        <v>5669</v>
      </c>
      <c r="K36" s="110" t="str">
        <f>IF(Documentation!E12="","",Documentation!E12)</f>
        <v/>
      </c>
      <c r="L36" s="110" t="str">
        <f>IF(Documentation!F12="","",Documentation!F12)</f>
        <v/>
      </c>
      <c r="M36" s="2">
        <v>35</v>
      </c>
    </row>
    <row r="37" spans="1:14" x14ac:dyDescent="0.5">
      <c r="B37" s="2" t="b">
        <v>1</v>
      </c>
      <c r="D37" s="110" t="s">
        <v>2176</v>
      </c>
      <c r="E37" s="110" t="s">
        <v>71</v>
      </c>
      <c r="F37" s="110">
        <f>IF(OR(ISNA(VLOOKUP($E37,'SIG 2021'!$Q$5:$R$2000,2,FALSE)),$D37=""),"",VLOOKUP($E37,'SIG 2021'!$Q$5:$R$2000,2,FALSE))</f>
        <v>590</v>
      </c>
      <c r="H37" s="110">
        <f>'Business Information'!A14</f>
        <v>2900</v>
      </c>
      <c r="I37" s="134" t="str">
        <f>IF('Business Information'!C14="","",'Business Information'!C14)</f>
        <v/>
      </c>
      <c r="J37" s="110">
        <f>Documentation!A13</f>
        <v>5670</v>
      </c>
      <c r="K37" s="110" t="str">
        <f>IF(Documentation!E13="","",Documentation!E13)</f>
        <v/>
      </c>
      <c r="L37" s="110" t="str">
        <f>IF(Documentation!F13="","",Documentation!F13)</f>
        <v/>
      </c>
      <c r="M37" s="2">
        <v>36</v>
      </c>
    </row>
    <row r="38" spans="1:14" x14ac:dyDescent="0.5">
      <c r="A38" s="110" t="s">
        <v>3454</v>
      </c>
      <c r="B38" s="110" t="b">
        <v>0</v>
      </c>
      <c r="D38" s="110" t="s">
        <v>2430</v>
      </c>
      <c r="E38" s="110" t="s">
        <v>72</v>
      </c>
      <c r="F38" s="110">
        <f>IF(OR(ISNA(VLOOKUP($E38,'SIG 2021'!$Q$5:$R$2000,2,FALSE)),$D38=""),"",VLOOKUP($E38,'SIG 2021'!$Q$5:$R$2000,2,FALSE))</f>
        <v>685</v>
      </c>
      <c r="H38" s="110">
        <f>'Business Information'!A15</f>
        <v>2901</v>
      </c>
      <c r="I38" s="134" t="str">
        <f>IF('Business Information'!C15="","",'Business Information'!C15)</f>
        <v>C-Corp, Delaware</v>
      </c>
      <c r="J38" s="110">
        <f>Documentation!A14</f>
        <v>2922</v>
      </c>
      <c r="K38" s="110" t="str">
        <f>IF(Documentation!E14="","",Documentation!E14)</f>
        <v/>
      </c>
      <c r="L38" s="110" t="str">
        <f>IF(Documentation!F14="","",Documentation!F14)</f>
        <v/>
      </c>
      <c r="M38" s="2">
        <v>37</v>
      </c>
    </row>
    <row r="39" spans="1:14" x14ac:dyDescent="0.5">
      <c r="A39" s="110" t="s">
        <v>3455</v>
      </c>
      <c r="B39" s="110" t="b">
        <v>1</v>
      </c>
      <c r="D39" s="110" t="s">
        <v>2560</v>
      </c>
      <c r="E39" s="110" t="s">
        <v>73</v>
      </c>
      <c r="F39" s="110">
        <f>IF(OR(ISNA(VLOOKUP($E39,'SIG 2021'!$Q$5:$R$2000,2,FALSE)),$D39=""),"",VLOOKUP($E39,'SIG 2021'!$Q$5:$R$2000,2,FALSE))</f>
        <v>733</v>
      </c>
      <c r="H39" s="110">
        <f>'Business Information'!A16</f>
        <v>2902</v>
      </c>
      <c r="I39" s="134" t="str">
        <f>IF('Business Information'!C16="","",'Business Information'!C16)</f>
        <v>Since 2014</v>
      </c>
      <c r="J39" s="110">
        <f>Documentation!A15</f>
        <v>5671</v>
      </c>
      <c r="K39" s="110" t="str">
        <f>IF(Documentation!E15="","",Documentation!E15)</f>
        <v/>
      </c>
      <c r="L39" s="110" t="str">
        <f>IF(Documentation!F15="","",Documentation!F15)</f>
        <v/>
      </c>
      <c r="M39" s="2">
        <v>38</v>
      </c>
    </row>
    <row r="40" spans="1:14" x14ac:dyDescent="0.5">
      <c r="A40" s="137" t="s">
        <v>3456</v>
      </c>
      <c r="B40" s="2" t="b">
        <v>0</v>
      </c>
      <c r="D40" s="110" t="s">
        <v>2694</v>
      </c>
      <c r="E40" s="110" t="s">
        <v>74</v>
      </c>
      <c r="F40" s="110">
        <f>IF(OR(ISNA(VLOOKUP($E40,'SIG 2021'!$Q$5:$R$2000,2,FALSE)),$D40=""),"",VLOOKUP($E40,'SIG 2021'!$Q$5:$R$2000,2,FALSE))</f>
        <v>785</v>
      </c>
      <c r="H40" s="110">
        <f>'Business Information'!A17</f>
        <v>2903</v>
      </c>
      <c r="I40" s="134" t="str">
        <f>IF('Business Information'!C17="","",'Business Information'!C17)</f>
        <v>No</v>
      </c>
      <c r="J40" s="110">
        <f>Documentation!A16</f>
        <v>5672</v>
      </c>
      <c r="K40" s="110" t="str">
        <f>IF(Documentation!E16="","",Documentation!E16)</f>
        <v/>
      </c>
      <c r="L40" s="110" t="str">
        <f>IF(Documentation!F16="","",Documentation!F16)</f>
        <v/>
      </c>
      <c r="M40" s="2">
        <v>39</v>
      </c>
    </row>
    <row r="41" spans="1:14" x14ac:dyDescent="0.5">
      <c r="A41" s="137"/>
      <c r="D41" s="110" t="s">
        <v>3019</v>
      </c>
      <c r="E41" s="110" t="s">
        <v>75</v>
      </c>
      <c r="F41" s="110">
        <f>IF(OR(ISNA(VLOOKUP($E41,'SIG 2021'!$Q$5:$R$2000,2,FALSE)),$D41=""),"",VLOOKUP($E41,'SIG 2021'!$Q$5:$R$2000,2,FALSE))</f>
        <v>910</v>
      </c>
      <c r="H41" s="110">
        <f>'Business Information'!A18</f>
        <v>2904</v>
      </c>
      <c r="I41" s="134" t="str">
        <f>IF('Business Information'!C18="","",'Business Information'!C18)</f>
        <v/>
      </c>
      <c r="J41" s="110">
        <f>Documentation!A17</f>
        <v>5673</v>
      </c>
      <c r="K41" s="110" t="str">
        <f>IF(Documentation!E17="","",Documentation!E17)</f>
        <v/>
      </c>
      <c r="L41" s="110" t="str">
        <f>IF(Documentation!F17="","",Documentation!F17)</f>
        <v/>
      </c>
      <c r="M41" s="2">
        <v>40</v>
      </c>
    </row>
    <row r="42" spans="1:14" x14ac:dyDescent="0.5">
      <c r="D42" s="110" t="s">
        <v>3102</v>
      </c>
      <c r="E42" s="110" t="s">
        <v>76</v>
      </c>
      <c r="F42" s="110">
        <f>IF(OR(ISNA(VLOOKUP($E42,'SIG 2021'!$Q$5:$R$2000,2,FALSE)),$D42=""),"",VLOOKUP($E42,'SIG 2021'!$Q$5:$R$2000,2,FALSE))</f>
        <v>945</v>
      </c>
      <c r="H42" s="110">
        <f>'Business Information'!A19</f>
        <v>4000</v>
      </c>
      <c r="I42" s="134" t="str">
        <f>IF('Business Information'!C19="","",'Business Information'!C19)</f>
        <v>No</v>
      </c>
      <c r="J42" s="110">
        <f>Documentation!A18</f>
        <v>5674</v>
      </c>
      <c r="K42" s="110" t="str">
        <f>IF(Documentation!E18="","",Documentation!E18)</f>
        <v/>
      </c>
      <c r="L42" s="110" t="str">
        <f>IF(Documentation!F18="","",Documentation!F18)</f>
        <v/>
      </c>
      <c r="M42" s="2">
        <v>41</v>
      </c>
    </row>
    <row r="43" spans="1:14" x14ac:dyDescent="0.5">
      <c r="D43" s="110" t="s">
        <v>3267</v>
      </c>
      <c r="E43" s="110" t="s">
        <v>77</v>
      </c>
      <c r="F43" s="110">
        <f>IF(OR(ISNA(VLOOKUP($E43,'SIG 2021'!$Q$5:$R$2000,2,FALSE)),$D43=""),"",VLOOKUP($E43,'SIG 2021'!$Q$5:$R$2000,2,FALSE))</f>
        <v>1007</v>
      </c>
      <c r="H43" s="110">
        <f>'Business Information'!A20</f>
        <v>4001</v>
      </c>
      <c r="I43" s="134" t="str">
        <f>IF('Business Information'!C20="","",'Business Information'!C20)</f>
        <v/>
      </c>
      <c r="J43" s="110">
        <f>Documentation!A19</f>
        <v>5675</v>
      </c>
      <c r="K43" s="110" t="str">
        <f>IF(Documentation!E19="","",Documentation!E19)</f>
        <v/>
      </c>
      <c r="L43" s="110" t="str">
        <f>IF(Documentation!F19="","",Documentation!F19)</f>
        <v/>
      </c>
      <c r="M43" s="2">
        <v>42</v>
      </c>
    </row>
    <row r="44" spans="1:14" x14ac:dyDescent="0.5">
      <c r="D44" s="110"/>
      <c r="E44" s="110"/>
      <c r="F44" s="110"/>
      <c r="H44" s="110">
        <f>'Business Information'!A21</f>
        <v>4002</v>
      </c>
      <c r="I44" s="134" t="str">
        <f>IF('Business Information'!C21="","",'Business Information'!C21)</f>
        <v>No</v>
      </c>
      <c r="J44" s="110">
        <f>Documentation!A20</f>
        <v>5676</v>
      </c>
      <c r="K44" s="110" t="str">
        <f>IF(Documentation!E20="","",Documentation!E20)</f>
        <v/>
      </c>
      <c r="L44" s="110" t="str">
        <f>IF(Documentation!F20="","",Documentation!F20)</f>
        <v/>
      </c>
      <c r="M44" s="2">
        <v>43</v>
      </c>
    </row>
    <row r="45" spans="1:14" x14ac:dyDescent="0.5">
      <c r="C45" s="110" t="s">
        <v>3457</v>
      </c>
      <c r="D45" s="110">
        <v>18</v>
      </c>
      <c r="E45" s="110" t="s">
        <v>3458</v>
      </c>
      <c r="F45" s="110"/>
      <c r="H45" s="110">
        <f>'Business Information'!A22</f>
        <v>4003</v>
      </c>
      <c r="I45" s="134" t="str">
        <f>IF('Business Information'!C22="","",'Business Information'!C22)</f>
        <v>Not to our knowledge</v>
      </c>
      <c r="J45" s="110">
        <f>Documentation!A21</f>
        <v>5677</v>
      </c>
      <c r="K45" s="110" t="str">
        <f>IF(Documentation!E21="","",Documentation!E21)</f>
        <v/>
      </c>
      <c r="L45" s="110" t="str">
        <f>IF(Documentation!F21="","",Documentation!F21)</f>
        <v/>
      </c>
      <c r="M45" s="2">
        <v>44</v>
      </c>
    </row>
    <row r="46" spans="1:14" x14ac:dyDescent="0.5">
      <c r="H46" s="110">
        <f>'Business Information'!A23</f>
        <v>0</v>
      </c>
      <c r="I46" s="134" t="str">
        <f>IF('Business Information'!C23="","",'Business Information'!C23)</f>
        <v/>
      </c>
      <c r="J46" s="110">
        <f>Documentation!A22</f>
        <v>5678</v>
      </c>
      <c r="K46" s="110" t="str">
        <f>IF(Documentation!E22="","",Documentation!E22)</f>
        <v/>
      </c>
      <c r="L46" s="110" t="str">
        <f>IF(Documentation!F22="","",Documentation!F22)</f>
        <v/>
      </c>
      <c r="M46" s="2">
        <v>45</v>
      </c>
    </row>
    <row r="47" spans="1:14" x14ac:dyDescent="0.5">
      <c r="H47" s="110">
        <f>'Business Information'!A24</f>
        <v>2911</v>
      </c>
      <c r="I47" s="134" t="str">
        <f>IF('Business Information'!C24="","",'Business Information'!C24)</f>
        <v>No</v>
      </c>
      <c r="J47" s="110">
        <f>Documentation!A23</f>
        <v>5679</v>
      </c>
      <c r="K47" s="110" t="str">
        <f>IF(Documentation!E23="","",Documentation!E23)</f>
        <v/>
      </c>
      <c r="L47" s="110" t="str">
        <f>IF(Documentation!F23="","",Documentation!F23)</f>
        <v/>
      </c>
      <c r="M47" s="2">
        <v>46</v>
      </c>
    </row>
    <row r="48" spans="1:14" x14ac:dyDescent="0.5">
      <c r="H48" s="110">
        <f>'Business Information'!A25</f>
        <v>2912</v>
      </c>
      <c r="I48" s="134" t="str">
        <f>IF('Business Information'!C25="","",'Business Information'!C25)</f>
        <v>AWS East-1</v>
      </c>
      <c r="J48" s="110">
        <f>Documentation!A24</f>
        <v>5680</v>
      </c>
      <c r="K48" s="110" t="str">
        <f>IF(Documentation!E24="","",Documentation!E24)</f>
        <v/>
      </c>
      <c r="L48" s="110" t="str">
        <f>IF(Documentation!F24="","",Documentation!F24)</f>
        <v/>
      </c>
      <c r="M48" s="2">
        <v>47</v>
      </c>
    </row>
    <row r="49" spans="8:14" x14ac:dyDescent="0.5">
      <c r="H49" s="110">
        <f>'Business Information'!A26</f>
        <v>2913</v>
      </c>
      <c r="I49" s="134" t="str">
        <f>IF('Business Information'!C26="","",'Business Information'!C26)</f>
        <v>No</v>
      </c>
      <c r="J49" s="110">
        <f>Documentation!A25</f>
        <v>5681</v>
      </c>
      <c r="K49" s="110" t="str">
        <f>IF(Documentation!E25="","",Documentation!E25)</f>
        <v/>
      </c>
      <c r="L49" s="110" t="str">
        <f>IF(Documentation!F25="","",Documentation!F25)</f>
        <v/>
      </c>
      <c r="M49" s="2">
        <v>48</v>
      </c>
    </row>
    <row r="50" spans="8:14" x14ac:dyDescent="0.5">
      <c r="H50" s="110">
        <f>'Business Information'!A27</f>
        <v>2914</v>
      </c>
      <c r="I50" s="134" t="str">
        <f>IF('Business Information'!C27="","",'Business Information'!C27)</f>
        <v/>
      </c>
      <c r="J50" s="110">
        <f>Documentation!A26</f>
        <v>5682</v>
      </c>
      <c r="K50" s="110" t="str">
        <f>IF(Documentation!E26="","",Documentation!E26)</f>
        <v/>
      </c>
      <c r="L50" s="110" t="str">
        <f>IF(Documentation!F26="","",Documentation!F26)</f>
        <v/>
      </c>
      <c r="M50" s="2">
        <v>49</v>
      </c>
    </row>
    <row r="51" spans="8:14" x14ac:dyDescent="0.5">
      <c r="H51" s="110">
        <f>'Business Information'!A28</f>
        <v>2973</v>
      </c>
      <c r="I51" s="134" t="str">
        <f>IF('Business Information'!C28="","",'Business Information'!C28)</f>
        <v>SaaS</v>
      </c>
      <c r="J51" s="110">
        <f>Documentation!A27</f>
        <v>5683</v>
      </c>
      <c r="K51" s="110" t="str">
        <f>IF(Documentation!E27="","",Documentation!E27)</f>
        <v/>
      </c>
      <c r="L51" s="110" t="str">
        <f>IF(Documentation!F27="","",Documentation!F27)</f>
        <v/>
      </c>
      <c r="M51" s="2">
        <v>50</v>
      </c>
    </row>
    <row r="52" spans="8:14" x14ac:dyDescent="0.5">
      <c r="H52" s="110">
        <f>'Business Information'!A29</f>
        <v>4617</v>
      </c>
      <c r="I52" s="134" t="str">
        <f>IF('Business Information'!C29="","",'Business Information'!C29)</f>
        <v>Yes</v>
      </c>
      <c r="J52" s="110">
        <f>Documentation!A28</f>
        <v>5684</v>
      </c>
      <c r="K52" s="110" t="str">
        <f>IF(Documentation!E28="","",Documentation!E28)</f>
        <v/>
      </c>
      <c r="L52" s="110" t="str">
        <f>IF(Documentation!F28="","",Documentation!F28)</f>
        <v/>
      </c>
      <c r="M52" s="2">
        <v>51</v>
      </c>
    </row>
    <row r="53" spans="8:14" x14ac:dyDescent="0.5">
      <c r="H53" s="110">
        <f>'Business Information'!A30</f>
        <v>3992</v>
      </c>
      <c r="I53" s="134" t="str">
        <f>IF('Business Information'!C30="","",'Business Information'!C30)</f>
        <v>Lessonly by Seismic</v>
      </c>
      <c r="J53" s="110">
        <f>Documentation!A29</f>
        <v>5685</v>
      </c>
      <c r="K53" s="110" t="str">
        <f>IF(Documentation!E29="","",Documentation!E29)</f>
        <v/>
      </c>
      <c r="L53" s="110" t="str">
        <f>IF(Documentation!F29="","",Documentation!F29)</f>
        <v/>
      </c>
      <c r="M53" s="2">
        <v>52</v>
      </c>
    </row>
    <row r="54" spans="8:14" x14ac:dyDescent="0.5">
      <c r="H54" s="110">
        <f>'Business Information'!A31</f>
        <v>3993</v>
      </c>
      <c r="I54" s="134" t="str">
        <f>IF('Business Information'!C31="","",'Business Information'!C31)</f>
        <v>Lessonly by Seismic</v>
      </c>
      <c r="J54" s="110">
        <f>Documentation!A30</f>
        <v>5686</v>
      </c>
      <c r="K54" s="110" t="str">
        <f>IF(Documentation!E30="","",Documentation!E30)</f>
        <v/>
      </c>
      <c r="L54" s="110" t="str">
        <f>IF(Documentation!F30="","",Documentation!F30)</f>
        <v/>
      </c>
      <c r="M54" s="2">
        <v>53</v>
      </c>
    </row>
    <row r="55" spans="8:14" x14ac:dyDescent="0.5">
      <c r="H55" s="110">
        <f>'Business Information'!A32</f>
        <v>3994</v>
      </c>
      <c r="I55" s="134" t="str">
        <f>IF('Business Information'!C32="","",'Business Information'!C32)</f>
        <v/>
      </c>
      <c r="J55" s="110">
        <f>Documentation!A31</f>
        <v>2925</v>
      </c>
      <c r="K55" s="110" t="str">
        <f>IF(Documentation!E31="","",Documentation!E31)</f>
        <v/>
      </c>
      <c r="L55" s="110" t="str">
        <f>IF(Documentation!F31="","",Documentation!F31)</f>
        <v/>
      </c>
      <c r="M55" s="2">
        <v>54</v>
      </c>
    </row>
    <row r="56" spans="8:14" x14ac:dyDescent="0.5">
      <c r="H56" s="110">
        <f>'Business Information'!A33</f>
        <v>3995</v>
      </c>
      <c r="I56" s="134" t="str">
        <f>IF('Business Information'!C33="","",'Business Information'!C33)</f>
        <v>No</v>
      </c>
      <c r="J56" s="110">
        <f>Documentation!A32</f>
        <v>5687</v>
      </c>
      <c r="K56" s="110" t="str">
        <f>IF(Documentation!E32="","",Documentation!E32)</f>
        <v/>
      </c>
      <c r="L56" s="110" t="str">
        <f>IF(Documentation!F32="","",Documentation!F32)</f>
        <v/>
      </c>
      <c r="M56" s="2">
        <v>55</v>
      </c>
    </row>
    <row r="57" spans="8:14" x14ac:dyDescent="0.5">
      <c r="H57" s="110">
        <f>'Business Information'!A34</f>
        <v>3996</v>
      </c>
      <c r="I57" s="134" t="str">
        <f>IF('Business Information'!C34="","",'Business Information'!C34)</f>
        <v>No</v>
      </c>
      <c r="J57" s="110">
        <f>Documentation!A33</f>
        <v>5688</v>
      </c>
      <c r="K57" s="110" t="str">
        <f>IF(Documentation!E33="","",Documentation!E33)</f>
        <v/>
      </c>
      <c r="L57" s="110" t="str">
        <f>IF(Documentation!F33="","",Documentation!F33)</f>
        <v/>
      </c>
      <c r="M57" s="2">
        <v>56</v>
      </c>
    </row>
    <row r="58" spans="8:14" x14ac:dyDescent="0.5">
      <c r="H58" s="110">
        <f>'Business Information'!A35</f>
        <v>3997</v>
      </c>
      <c r="I58" s="134" t="str">
        <f>IF('Business Information'!C35="","",'Business Information'!C35)</f>
        <v>Yes</v>
      </c>
      <c r="J58" s="110">
        <f>Documentation!A34</f>
        <v>5689</v>
      </c>
      <c r="K58" s="110" t="str">
        <f>IF(Documentation!E34="","",Documentation!E34)</f>
        <v/>
      </c>
      <c r="L58" s="110" t="str">
        <f>IF(Documentation!F34="","",Documentation!F34)</f>
        <v/>
      </c>
      <c r="M58" s="2">
        <v>57</v>
      </c>
    </row>
    <row r="59" spans="8:14" x14ac:dyDescent="0.5">
      <c r="H59" s="110">
        <f>'Business Information'!A36</f>
        <v>3998</v>
      </c>
      <c r="I59" s="134" t="str">
        <f>IF('Business Information'!C36="","",'Business Information'!C36)</f>
        <v>No</v>
      </c>
      <c r="J59" s="110">
        <f>Documentation!A35</f>
        <v>5690</v>
      </c>
      <c r="K59" s="110" t="str">
        <f>IF(Documentation!E35="","",Documentation!E35)</f>
        <v/>
      </c>
      <c r="L59" s="110" t="str">
        <f>IF(Documentation!F35="","",Documentation!F35)</f>
        <v/>
      </c>
      <c r="M59" s="2">
        <v>58</v>
      </c>
      <c r="N59" s="2" t="s">
        <v>3446</v>
      </c>
    </row>
    <row r="60" spans="8:14" x14ac:dyDescent="0.5">
      <c r="H60" s="110">
        <f>'Business Information'!A37</f>
        <v>4004</v>
      </c>
      <c r="I60" s="134" t="str">
        <f>IF('Business Information'!C37="","",'Business Information'!C37)</f>
        <v>No</v>
      </c>
      <c r="J60" s="110">
        <f>Documentation!A36</f>
        <v>5691</v>
      </c>
      <c r="K60" s="110" t="str">
        <f>IF(Documentation!E36="","",Documentation!E36)</f>
        <v/>
      </c>
      <c r="L60" s="110" t="str">
        <f>IF(Documentation!F36="","",Documentation!F36)</f>
        <v/>
      </c>
      <c r="M60" s="2">
        <v>59</v>
      </c>
    </row>
    <row r="61" spans="8:14" x14ac:dyDescent="0.5">
      <c r="H61" s="110">
        <f>'Business Information'!A38</f>
        <v>3999</v>
      </c>
      <c r="I61" s="134" t="str">
        <f>IF('Business Information'!C38="","",'Business Information'!C38)</f>
        <v>No</v>
      </c>
      <c r="J61" s="110">
        <f>Documentation!A37</f>
        <v>5692</v>
      </c>
      <c r="K61" s="110" t="str">
        <f>IF(Documentation!E37="","",Documentation!E37)</f>
        <v/>
      </c>
      <c r="L61" s="110" t="str">
        <f>IF(Documentation!F37="","",Documentation!F37)</f>
        <v/>
      </c>
      <c r="M61" s="2">
        <v>60</v>
      </c>
    </row>
    <row r="62" spans="8:14" x14ac:dyDescent="0.5">
      <c r="H62" s="110">
        <f>'Business Information'!A39</f>
        <v>4410</v>
      </c>
      <c r="I62" s="134" t="str">
        <f>IF('Business Information'!C39="","",'Business Information'!C39)</f>
        <v>No</v>
      </c>
      <c r="J62" s="110">
        <f>Documentation!A38</f>
        <v>5693</v>
      </c>
      <c r="K62" s="110" t="str">
        <f>IF(Documentation!E38="","",Documentation!E38)</f>
        <v/>
      </c>
      <c r="L62" s="110" t="str">
        <f>IF(Documentation!F38="","",Documentation!F38)</f>
        <v/>
      </c>
      <c r="M62" s="2">
        <v>61</v>
      </c>
      <c r="N62" s="2" t="s">
        <v>3446</v>
      </c>
    </row>
    <row r="63" spans="8:14" x14ac:dyDescent="0.5">
      <c r="H63" s="110">
        <f>'Business Information'!A40</f>
        <v>4411</v>
      </c>
      <c r="I63" s="134" t="str">
        <f>IF('Business Information'!C40="","",'Business Information'!C40)</f>
        <v/>
      </c>
      <c r="J63" s="110">
        <f>Documentation!A39</f>
        <v>5694</v>
      </c>
      <c r="K63" s="110" t="str">
        <f>IF(Documentation!E39="","",Documentation!E39)</f>
        <v/>
      </c>
      <c r="L63" s="110" t="str">
        <f>IF(Documentation!F39="","",Documentation!F39)</f>
        <v/>
      </c>
      <c r="M63" s="2">
        <v>62</v>
      </c>
      <c r="N63" s="2" t="s">
        <v>3446</v>
      </c>
    </row>
    <row r="64" spans="8:14" x14ac:dyDescent="0.5">
      <c r="H64" s="110">
        <f>'Business Information'!A41</f>
        <v>4618</v>
      </c>
      <c r="I64" s="134" t="str">
        <f>IF('Business Information'!C41="","",'Business Information'!C41)</f>
        <v>Yes</v>
      </c>
      <c r="J64" s="110">
        <f>Documentation!A40</f>
        <v>5695</v>
      </c>
      <c r="K64" s="110" t="str">
        <f>IF(Documentation!E40="","",Documentation!E40)</f>
        <v/>
      </c>
      <c r="L64" s="110" t="str">
        <f>IF(Documentation!F40="","",Documentation!F40)</f>
        <v/>
      </c>
      <c r="M64" s="2">
        <v>63</v>
      </c>
      <c r="N64" s="2" t="s">
        <v>3446</v>
      </c>
    </row>
    <row r="65" spans="8:14" x14ac:dyDescent="0.5">
      <c r="H65" s="110">
        <f>'Business Information'!A42</f>
        <v>4619</v>
      </c>
      <c r="I65" s="134" t="str">
        <f>IF('Business Information'!C42="","",'Business Information'!C42)</f>
        <v/>
      </c>
      <c r="J65" s="110">
        <f>Documentation!A41</f>
        <v>5696</v>
      </c>
      <c r="K65" s="110" t="str">
        <f>IF(Documentation!E41="","",Documentation!E41)</f>
        <v/>
      </c>
      <c r="L65" s="110" t="str">
        <f>IF(Documentation!F41="","",Documentation!F41)</f>
        <v/>
      </c>
      <c r="M65" s="2">
        <v>64</v>
      </c>
    </row>
    <row r="66" spans="8:14" x14ac:dyDescent="0.5">
      <c r="H66" s="110">
        <f>'Business Information'!A43</f>
        <v>4620</v>
      </c>
      <c r="I66" s="134" t="str">
        <f>IF('Business Information'!C43="","",'Business Information'!C43)</f>
        <v>No</v>
      </c>
      <c r="J66" s="110">
        <f>Documentation!A42</f>
        <v>2937</v>
      </c>
      <c r="K66" s="110" t="str">
        <f>IF(Documentation!E42="","",Documentation!E42)</f>
        <v/>
      </c>
      <c r="L66" s="110" t="str">
        <f>IF(Documentation!F42="","",Documentation!F42)</f>
        <v/>
      </c>
      <c r="M66" s="2">
        <v>65</v>
      </c>
      <c r="N66" s="2" t="s">
        <v>3446</v>
      </c>
    </row>
    <row r="67" spans="8:14" x14ac:dyDescent="0.5">
      <c r="H67" s="110">
        <f>'Business Information'!A44</f>
        <v>4621</v>
      </c>
      <c r="I67" s="134" t="str">
        <f>IF('Business Information'!C44="","",'Business Information'!C44)</f>
        <v>No</v>
      </c>
      <c r="J67" s="110">
        <f>Documentation!A43</f>
        <v>5697</v>
      </c>
      <c r="K67" s="110" t="str">
        <f>IF(Documentation!E43="","",Documentation!E43)</f>
        <v/>
      </c>
      <c r="L67" s="110" t="str">
        <f>IF(Documentation!F43="","",Documentation!F43)</f>
        <v/>
      </c>
      <c r="M67" s="2">
        <v>66</v>
      </c>
    </row>
    <row r="68" spans="8:14" x14ac:dyDescent="0.5">
      <c r="H68" s="110">
        <f>'Business Information'!A45</f>
        <v>4622</v>
      </c>
      <c r="I68" s="134" t="str">
        <f>IF('Business Information'!C45="","",'Business Information'!C45)</f>
        <v>No</v>
      </c>
      <c r="J68" s="110">
        <f>Documentation!A44</f>
        <v>5698</v>
      </c>
      <c r="K68" s="110" t="str">
        <f>IF(Documentation!E44="","",Documentation!E44)</f>
        <v/>
      </c>
      <c r="L68" s="110" t="str">
        <f>IF(Documentation!F44="","",Documentation!F44)</f>
        <v/>
      </c>
      <c r="M68" s="2">
        <v>67</v>
      </c>
    </row>
    <row r="69" spans="8:14" x14ac:dyDescent="0.5">
      <c r="H69" s="110">
        <f>'Business Information'!A46</f>
        <v>4623</v>
      </c>
      <c r="I69" s="134" t="str">
        <f>IF('Business Information'!C46="","",'Business Information'!C46)</f>
        <v>No</v>
      </c>
      <c r="J69" s="110">
        <f>Documentation!A45</f>
        <v>5699</v>
      </c>
      <c r="K69" s="110" t="str">
        <f>IF(Documentation!E45="","",Documentation!E45)</f>
        <v/>
      </c>
      <c r="L69" s="110" t="str">
        <f>IF(Documentation!F45="","",Documentation!F45)</f>
        <v/>
      </c>
      <c r="M69" s="2">
        <v>68</v>
      </c>
    </row>
    <row r="70" spans="8:14" x14ac:dyDescent="0.5">
      <c r="H70" s="110">
        <f>'Business Information'!A47</f>
        <v>4624</v>
      </c>
      <c r="I70" s="134" t="str">
        <f>IF('Business Information'!C47="","",'Business Information'!C47)</f>
        <v>No</v>
      </c>
      <c r="J70" s="110">
        <f>Documentation!A46</f>
        <v>5700</v>
      </c>
      <c r="K70" s="110" t="str">
        <f>IF(Documentation!E46="","",Documentation!E46)</f>
        <v/>
      </c>
      <c r="L70" s="110" t="str">
        <f>IF(Documentation!F46="","",Documentation!F46)</f>
        <v/>
      </c>
      <c r="M70" s="2">
        <v>69</v>
      </c>
    </row>
    <row r="71" spans="8:14" x14ac:dyDescent="0.5">
      <c r="H71" s="110">
        <f>'Business Information'!A48</f>
        <v>4625</v>
      </c>
      <c r="I71" s="134" t="str">
        <f>IF('Business Information'!C48="","",'Business Information'!C48)</f>
        <v>Yes</v>
      </c>
      <c r="J71" s="110">
        <f>Documentation!A47</f>
        <v>5701</v>
      </c>
      <c r="K71" s="110" t="str">
        <f>IF(Documentation!E47="","",Documentation!E47)</f>
        <v/>
      </c>
      <c r="L71" s="110" t="str">
        <f>IF(Documentation!F47="","",Documentation!F47)</f>
        <v/>
      </c>
      <c r="M71" s="2">
        <v>70</v>
      </c>
    </row>
    <row r="72" spans="8:14" x14ac:dyDescent="0.5">
      <c r="H72" s="110">
        <f>'Business Information'!A49</f>
        <v>4615</v>
      </c>
      <c r="I72" s="134" t="str">
        <f>IF('Business Information'!C49="","",'Business Information'!C49)</f>
        <v/>
      </c>
      <c r="J72" s="110">
        <f>Documentation!A48</f>
        <v>5702</v>
      </c>
      <c r="K72" s="110" t="str">
        <f>IF(Documentation!E48="","",Documentation!E48)</f>
        <v/>
      </c>
      <c r="L72" s="110" t="str">
        <f>IF(Documentation!F48="","",Documentation!F48)</f>
        <v/>
      </c>
      <c r="M72" s="2">
        <v>71</v>
      </c>
      <c r="N72" s="2" t="s">
        <v>3446</v>
      </c>
    </row>
    <row r="73" spans="8:14" x14ac:dyDescent="0.5">
      <c r="H73" s="110">
        <f>'Business Information'!A50</f>
        <v>4626</v>
      </c>
      <c r="I73" s="134" t="str">
        <f>IF('Business Information'!C50="","",'Business Information'!C50)</f>
        <v>Yes</v>
      </c>
      <c r="J73" s="110">
        <f>Documentation!A49</f>
        <v>5703</v>
      </c>
      <c r="K73" s="110" t="str">
        <f>IF(Documentation!E49="","",Documentation!E49)</f>
        <v/>
      </c>
      <c r="L73" s="110" t="str">
        <f>IF(Documentation!F49="","",Documentation!F49)</f>
        <v/>
      </c>
      <c r="M73" s="2">
        <v>72</v>
      </c>
      <c r="N73" s="2" t="s">
        <v>3446</v>
      </c>
    </row>
    <row r="74" spans="8:14" x14ac:dyDescent="0.5">
      <c r="H74" s="110">
        <f>'Business Information'!A51</f>
        <v>4627</v>
      </c>
      <c r="I74" s="134" t="str">
        <f>IF('Business Information'!C51="","",'Business Information'!C51)</f>
        <v>No</v>
      </c>
      <c r="J74" s="110">
        <f>Documentation!A50</f>
        <v>5704</v>
      </c>
      <c r="K74" s="110" t="str">
        <f>IF(Documentation!E50="","",Documentation!E50)</f>
        <v/>
      </c>
      <c r="L74" s="110" t="str">
        <f>IF(Documentation!F50="","",Documentation!F50)</f>
        <v/>
      </c>
      <c r="M74" s="2">
        <v>73</v>
      </c>
    </row>
    <row r="75" spans="8:14" x14ac:dyDescent="0.5">
      <c r="H75" s="110">
        <f>'Business Information'!A52</f>
        <v>4628</v>
      </c>
      <c r="I75" s="134" t="str">
        <f>IF('Business Information'!C52="","",'Business Information'!C52)</f>
        <v/>
      </c>
      <c r="J75" s="110">
        <f>Documentation!A51</f>
        <v>5705</v>
      </c>
      <c r="K75" s="110" t="str">
        <f>IF(Documentation!E51="","",Documentation!E51)</f>
        <v/>
      </c>
      <c r="L75" s="110" t="str">
        <f>IF(Documentation!F51="","",Documentation!F51)</f>
        <v/>
      </c>
      <c r="M75" s="2">
        <v>74</v>
      </c>
      <c r="N75" s="2" t="s">
        <v>3446</v>
      </c>
    </row>
    <row r="76" spans="8:14" x14ac:dyDescent="0.5">
      <c r="H76" s="110">
        <f>'Business Information'!A53</f>
        <v>4629</v>
      </c>
      <c r="I76" s="134" t="str">
        <f>IF('Business Information'!C53="","",'Business Information'!C53)</f>
        <v>Yes</v>
      </c>
      <c r="J76" s="110">
        <f>Documentation!A52</f>
        <v>5706</v>
      </c>
      <c r="K76" s="110" t="str">
        <f>IF(Documentation!E52="","",Documentation!E52)</f>
        <v/>
      </c>
      <c r="L76" s="110" t="str">
        <f>IF(Documentation!F52="","",Documentation!F52)</f>
        <v/>
      </c>
      <c r="M76" s="2">
        <v>75</v>
      </c>
    </row>
    <row r="77" spans="8:14" x14ac:dyDescent="0.5">
      <c r="H77" s="110">
        <f>'Business Information'!A54</f>
        <v>4630</v>
      </c>
      <c r="I77" s="134" t="str">
        <f>IF('Business Information'!C54="","",'Business Information'!C54)</f>
        <v>Yes</v>
      </c>
      <c r="J77" s="110">
        <f>Documentation!A53</f>
        <v>5707</v>
      </c>
      <c r="K77" s="110" t="str">
        <f>IF(Documentation!E53="","",Documentation!E53)</f>
        <v/>
      </c>
      <c r="L77" s="110" t="str">
        <f>IF(Documentation!F53="","",Documentation!F53)</f>
        <v/>
      </c>
      <c r="M77" s="2">
        <v>76</v>
      </c>
      <c r="N77" s="2" t="s">
        <v>3446</v>
      </c>
    </row>
    <row r="78" spans="8:14" x14ac:dyDescent="0.5">
      <c r="H78" s="110">
        <f>'Business Information'!A55</f>
        <v>4631</v>
      </c>
      <c r="I78" s="134" t="str">
        <f>IF('Business Information'!C55="","",'Business Information'!C55)</f>
        <v>No</v>
      </c>
      <c r="J78" s="110">
        <f>Documentation!A54</f>
        <v>5708</v>
      </c>
      <c r="K78" s="110" t="str">
        <f>IF(Documentation!E54="","",Documentation!E54)</f>
        <v/>
      </c>
      <c r="L78" s="110" t="str">
        <f>IF(Documentation!F54="","",Documentation!F54)</f>
        <v/>
      </c>
      <c r="M78" s="2">
        <v>77</v>
      </c>
    </row>
    <row r="79" spans="8:14" x14ac:dyDescent="0.5">
      <c r="H79" s="110">
        <f>'Business Information'!A56</f>
        <v>4632</v>
      </c>
      <c r="I79" s="134" t="str">
        <f>IF('Business Information'!C56="","",'Business Information'!C56)</f>
        <v>No</v>
      </c>
      <c r="J79" s="110">
        <f>Documentation!A55</f>
        <v>5709</v>
      </c>
      <c r="K79" s="110" t="str">
        <f>IF(Documentation!E55="","",Documentation!E55)</f>
        <v/>
      </c>
      <c r="L79" s="110" t="str">
        <f>IF(Documentation!F55="","",Documentation!F55)</f>
        <v/>
      </c>
      <c r="M79" s="2">
        <v>78</v>
      </c>
      <c r="N79" s="2" t="s">
        <v>3446</v>
      </c>
    </row>
    <row r="80" spans="8:14" x14ac:dyDescent="0.5">
      <c r="J80" s="110">
        <f>Documentation!A56</f>
        <v>5710</v>
      </c>
      <c r="K80" s="110" t="str">
        <f>IF(Documentation!E56="","",Documentation!E56)</f>
        <v/>
      </c>
      <c r="L80" s="110" t="str">
        <f>IF(Documentation!F56="","",Documentation!F56)</f>
        <v/>
      </c>
      <c r="M80" s="2">
        <v>79</v>
      </c>
    </row>
    <row r="81" spans="10:14" x14ac:dyDescent="0.5">
      <c r="J81" s="110">
        <f>Documentation!A57</f>
        <v>5711</v>
      </c>
      <c r="K81" s="110" t="str">
        <f>IF(Documentation!E57="","",Documentation!E57)</f>
        <v/>
      </c>
      <c r="L81" s="110" t="str">
        <f>IF(Documentation!F57="","",Documentation!F57)</f>
        <v/>
      </c>
      <c r="M81" s="2">
        <v>80</v>
      </c>
    </row>
    <row r="82" spans="10:14" x14ac:dyDescent="0.5">
      <c r="J82" s="110">
        <f>Documentation!A58</f>
        <v>5950</v>
      </c>
      <c r="K82" s="110" t="str">
        <f>IF(Documentation!E58="","",Documentation!E58)</f>
        <v/>
      </c>
      <c r="L82" s="110" t="str">
        <f>IF(Documentation!F58="","",Documentation!F58)</f>
        <v/>
      </c>
      <c r="M82" s="2">
        <v>81</v>
      </c>
      <c r="N82" s="2" t="s">
        <v>3446</v>
      </c>
    </row>
    <row r="83" spans="10:14" x14ac:dyDescent="0.5">
      <c r="J83" s="110">
        <f>Documentation!A59</f>
        <v>5712</v>
      </c>
      <c r="K83" s="110" t="str">
        <f>IF(Documentation!E59="","",Documentation!E59)</f>
        <v/>
      </c>
      <c r="L83" s="110" t="str">
        <f>IF(Documentation!F59="","",Documentation!F59)</f>
        <v/>
      </c>
      <c r="M83" s="2">
        <v>82</v>
      </c>
      <c r="N83" s="2" t="s">
        <v>3446</v>
      </c>
    </row>
    <row r="84" spans="10:14" x14ac:dyDescent="0.5">
      <c r="J84" s="110">
        <f>Documentation!A60</f>
        <v>2940</v>
      </c>
      <c r="K84" s="110" t="str">
        <f>IF(Documentation!E60="","",Documentation!E60)</f>
        <v/>
      </c>
      <c r="L84" s="110" t="str">
        <f>IF(Documentation!F60="","",Documentation!F60)</f>
        <v/>
      </c>
      <c r="M84" s="2">
        <v>83</v>
      </c>
    </row>
    <row r="85" spans="10:14" x14ac:dyDescent="0.5">
      <c r="J85" s="110">
        <f>Documentation!A61</f>
        <v>5713</v>
      </c>
      <c r="K85" s="110" t="str">
        <f>IF(Documentation!E61="","",Documentation!E61)</f>
        <v/>
      </c>
      <c r="L85" s="110" t="str">
        <f>IF(Documentation!F61="","",Documentation!F61)</f>
        <v/>
      </c>
      <c r="M85" s="2">
        <v>84</v>
      </c>
    </row>
    <row r="86" spans="10:14" x14ac:dyDescent="0.5">
      <c r="J86" s="110">
        <f>Documentation!A62</f>
        <v>5714</v>
      </c>
      <c r="K86" s="110" t="str">
        <f>IF(Documentation!E62="","",Documentation!E62)</f>
        <v/>
      </c>
      <c r="L86" s="110" t="str">
        <f>IF(Documentation!F62="","",Documentation!F62)</f>
        <v/>
      </c>
      <c r="M86" s="2">
        <v>85</v>
      </c>
      <c r="N86" s="2" t="s">
        <v>3446</v>
      </c>
    </row>
    <row r="87" spans="10:14" x14ac:dyDescent="0.5">
      <c r="J87" s="110">
        <f>Documentation!A63</f>
        <v>5715</v>
      </c>
      <c r="K87" s="110" t="str">
        <f>IF(Documentation!E63="","",Documentation!E63)</f>
        <v/>
      </c>
      <c r="L87" s="110" t="str">
        <f>IF(Documentation!F63="","",Documentation!F63)</f>
        <v/>
      </c>
      <c r="M87" s="2">
        <v>86</v>
      </c>
      <c r="N87" s="2" t="s">
        <v>3446</v>
      </c>
    </row>
    <row r="88" spans="10:14" x14ac:dyDescent="0.5">
      <c r="J88" s="110">
        <f>Documentation!A64</f>
        <v>5716</v>
      </c>
      <c r="K88" s="110" t="str">
        <f>IF(Documentation!E64="","",Documentation!E64)</f>
        <v/>
      </c>
      <c r="L88" s="110" t="str">
        <f>IF(Documentation!F64="","",Documentation!F64)</f>
        <v/>
      </c>
      <c r="M88" s="2">
        <v>87</v>
      </c>
    </row>
    <row r="89" spans="10:14" x14ac:dyDescent="0.5">
      <c r="J89" s="110">
        <f>Documentation!A65</f>
        <v>5717</v>
      </c>
      <c r="K89" s="110" t="str">
        <f>IF(Documentation!E65="","",Documentation!E65)</f>
        <v/>
      </c>
      <c r="L89" s="110" t="str">
        <f>IF(Documentation!F65="","",Documentation!F65)</f>
        <v/>
      </c>
      <c r="M89" s="2">
        <v>88</v>
      </c>
    </row>
    <row r="90" spans="10:14" x14ac:dyDescent="0.5">
      <c r="J90" s="110">
        <f>Documentation!A66</f>
        <v>5718</v>
      </c>
      <c r="K90" s="110" t="str">
        <f>IF(Documentation!E66="","",Documentation!E66)</f>
        <v/>
      </c>
      <c r="L90" s="110" t="str">
        <f>IF(Documentation!F66="","",Documentation!F66)</f>
        <v/>
      </c>
      <c r="M90" s="2">
        <v>89</v>
      </c>
    </row>
    <row r="91" spans="10:14" x14ac:dyDescent="0.5">
      <c r="J91" s="110">
        <f>Documentation!A67</f>
        <v>5719</v>
      </c>
      <c r="K91" s="110" t="str">
        <f>IF(Documentation!E67="","",Documentation!E67)</f>
        <v/>
      </c>
      <c r="L91" s="110" t="str">
        <f>IF(Documentation!F67="","",Documentation!F67)</f>
        <v/>
      </c>
      <c r="M91" s="2">
        <v>90</v>
      </c>
    </row>
    <row r="92" spans="10:14" x14ac:dyDescent="0.5">
      <c r="J92" s="110">
        <f>Documentation!A68</f>
        <v>5720</v>
      </c>
      <c r="K92" s="110" t="str">
        <f>IF(Documentation!E68="","",Documentation!E68)</f>
        <v/>
      </c>
      <c r="L92" s="110" t="str">
        <f>IF(Documentation!F68="","",Documentation!F68)</f>
        <v/>
      </c>
      <c r="M92" s="2">
        <v>91</v>
      </c>
      <c r="N92" s="2" t="s">
        <v>3446</v>
      </c>
    </row>
    <row r="93" spans="10:14" x14ac:dyDescent="0.5">
      <c r="J93" s="110">
        <f>Documentation!A69</f>
        <v>5721</v>
      </c>
      <c r="K93" s="110" t="str">
        <f>IF(Documentation!E69="","",Documentation!E69)</f>
        <v/>
      </c>
      <c r="L93" s="110" t="str">
        <f>IF(Documentation!F69="","",Documentation!F69)</f>
        <v/>
      </c>
      <c r="M93" s="2">
        <v>92</v>
      </c>
    </row>
    <row r="94" spans="10:14" x14ac:dyDescent="0.5">
      <c r="J94" s="110">
        <f>Documentation!A70</f>
        <v>5722</v>
      </c>
      <c r="K94" s="110" t="str">
        <f>IF(Documentation!E70="","",Documentation!E70)</f>
        <v/>
      </c>
      <c r="L94" s="110" t="str">
        <f>IF(Documentation!F70="","",Documentation!F70)</f>
        <v/>
      </c>
      <c r="M94" s="2">
        <v>93</v>
      </c>
    </row>
    <row r="95" spans="10:14" x14ac:dyDescent="0.5">
      <c r="J95" s="110">
        <f>Documentation!A71</f>
        <v>5723</v>
      </c>
      <c r="K95" s="110" t="str">
        <f>IF(Documentation!E71="","",Documentation!E71)</f>
        <v/>
      </c>
      <c r="L95" s="110" t="str">
        <f>IF(Documentation!F71="","",Documentation!F71)</f>
        <v/>
      </c>
      <c r="M95" s="2">
        <v>94</v>
      </c>
    </row>
    <row r="96" spans="10:14" x14ac:dyDescent="0.5">
      <c r="J96" s="110">
        <f>Documentation!A72</f>
        <v>5724</v>
      </c>
      <c r="K96" s="110" t="str">
        <f>IF(Documentation!E72="","",Documentation!E72)</f>
        <v/>
      </c>
      <c r="L96" s="110" t="str">
        <f>IF(Documentation!F72="","",Documentation!F72)</f>
        <v/>
      </c>
      <c r="M96" s="2">
        <v>95</v>
      </c>
    </row>
    <row r="97" spans="10:14" x14ac:dyDescent="0.5">
      <c r="J97" s="110">
        <f>Documentation!A73</f>
        <v>5725</v>
      </c>
      <c r="K97" s="110" t="str">
        <f>IF(Documentation!E73="","",Documentation!E73)</f>
        <v/>
      </c>
      <c r="L97" s="110" t="str">
        <f>IF(Documentation!F73="","",Documentation!F73)</f>
        <v/>
      </c>
      <c r="M97" s="2">
        <v>96</v>
      </c>
    </row>
    <row r="98" spans="10:14" x14ac:dyDescent="0.5">
      <c r="J98" s="110">
        <f>Documentation!A74</f>
        <v>5726</v>
      </c>
      <c r="K98" s="110" t="str">
        <f>IF(Documentation!E74="","",Documentation!E74)</f>
        <v/>
      </c>
      <c r="L98" s="110" t="str">
        <f>IF(Documentation!F74="","",Documentation!F74)</f>
        <v/>
      </c>
      <c r="M98" s="2">
        <v>97</v>
      </c>
    </row>
    <row r="99" spans="10:14" x14ac:dyDescent="0.5">
      <c r="J99" s="110">
        <f>Documentation!A75</f>
        <v>5727</v>
      </c>
      <c r="K99" s="110" t="str">
        <f>IF(Documentation!E75="","",Documentation!E75)</f>
        <v/>
      </c>
      <c r="L99" s="110" t="str">
        <f>IF(Documentation!F75="","",Documentation!F75)</f>
        <v/>
      </c>
      <c r="M99" s="2">
        <v>98</v>
      </c>
    </row>
    <row r="100" spans="10:14" x14ac:dyDescent="0.5">
      <c r="J100" s="110">
        <f>Documentation!A76</f>
        <v>5728</v>
      </c>
      <c r="K100" s="110" t="str">
        <f>IF(Documentation!E76="","",Documentation!E76)</f>
        <v/>
      </c>
      <c r="L100" s="110" t="str">
        <f>IF(Documentation!F76="","",Documentation!F76)</f>
        <v/>
      </c>
      <c r="M100" s="2">
        <v>99</v>
      </c>
    </row>
    <row r="101" spans="10:14" x14ac:dyDescent="0.5">
      <c r="J101" s="110">
        <f>Documentation!A77</f>
        <v>2928</v>
      </c>
      <c r="K101" s="110" t="str">
        <f>IF(Documentation!E77="","",Documentation!E77)</f>
        <v/>
      </c>
      <c r="L101" s="110" t="str">
        <f>IF(Documentation!F77="","",Documentation!F77)</f>
        <v/>
      </c>
      <c r="M101" s="2">
        <v>100</v>
      </c>
    </row>
    <row r="102" spans="10:14" x14ac:dyDescent="0.5">
      <c r="J102" s="110">
        <f>Documentation!A78</f>
        <v>5729</v>
      </c>
      <c r="K102" s="110" t="str">
        <f>IF(Documentation!E78="","",Documentation!E78)</f>
        <v/>
      </c>
      <c r="L102" s="110" t="str">
        <f>IF(Documentation!F78="","",Documentation!F78)</f>
        <v/>
      </c>
      <c r="M102" s="2">
        <v>101</v>
      </c>
    </row>
    <row r="103" spans="10:14" x14ac:dyDescent="0.5">
      <c r="J103" s="110">
        <f>Documentation!A79</f>
        <v>5730</v>
      </c>
      <c r="K103" s="110" t="str">
        <f>IF(Documentation!E79="","",Documentation!E79)</f>
        <v/>
      </c>
      <c r="L103" s="110" t="str">
        <f>IF(Documentation!F79="","",Documentation!F79)</f>
        <v/>
      </c>
      <c r="M103" s="2">
        <v>102</v>
      </c>
    </row>
    <row r="104" spans="10:14" x14ac:dyDescent="0.5">
      <c r="J104" s="110">
        <f>Documentation!A80</f>
        <v>5731</v>
      </c>
      <c r="K104" s="110" t="str">
        <f>IF(Documentation!E80="","",Documentation!E80)</f>
        <v/>
      </c>
      <c r="L104" s="110" t="str">
        <f>IF(Documentation!F80="","",Documentation!F80)</f>
        <v/>
      </c>
      <c r="M104" s="2">
        <v>103</v>
      </c>
    </row>
    <row r="105" spans="10:14" x14ac:dyDescent="0.5">
      <c r="J105" s="110">
        <f>Documentation!A81</f>
        <v>5732</v>
      </c>
      <c r="K105" s="110" t="str">
        <f>IF(Documentation!E81="","",Documentation!E81)</f>
        <v/>
      </c>
      <c r="L105" s="110" t="str">
        <f>IF(Documentation!F81="","",Documentation!F81)</f>
        <v/>
      </c>
      <c r="M105" s="2">
        <v>104</v>
      </c>
    </row>
    <row r="106" spans="10:14" x14ac:dyDescent="0.5">
      <c r="J106" s="110">
        <f>Documentation!A82</f>
        <v>5733</v>
      </c>
      <c r="K106" s="110" t="str">
        <f>IF(Documentation!E82="","",Documentation!E82)</f>
        <v/>
      </c>
      <c r="L106" s="110" t="str">
        <f>IF(Documentation!F82="","",Documentation!F82)</f>
        <v/>
      </c>
      <c r="M106" s="2">
        <v>105</v>
      </c>
    </row>
    <row r="107" spans="10:14" x14ac:dyDescent="0.5">
      <c r="J107" s="110">
        <f>Documentation!A83</f>
        <v>5734</v>
      </c>
      <c r="K107" s="110" t="str">
        <f>IF(Documentation!E83="","",Documentation!E83)</f>
        <v/>
      </c>
      <c r="L107" s="110" t="str">
        <f>IF(Documentation!F83="","",Documentation!F83)</f>
        <v/>
      </c>
      <c r="M107" s="2">
        <v>106</v>
      </c>
    </row>
    <row r="108" spans="10:14" x14ac:dyDescent="0.5">
      <c r="J108" s="110">
        <f>Documentation!A84</f>
        <v>5735</v>
      </c>
      <c r="K108" s="110" t="str">
        <f>IF(Documentation!E84="","",Documentation!E84)</f>
        <v/>
      </c>
      <c r="L108" s="110" t="str">
        <f>IF(Documentation!F84="","",Documentation!F84)</f>
        <v/>
      </c>
      <c r="M108" s="2">
        <v>107</v>
      </c>
    </row>
    <row r="109" spans="10:14" x14ac:dyDescent="0.5">
      <c r="J109" s="110">
        <f>Documentation!A85</f>
        <v>5736</v>
      </c>
      <c r="K109" s="110" t="str">
        <f>IF(Documentation!E85="","",Documentation!E85)</f>
        <v/>
      </c>
      <c r="L109" s="110" t="str">
        <f>IF(Documentation!F85="","",Documentation!F85)</f>
        <v/>
      </c>
      <c r="M109" s="2">
        <v>108</v>
      </c>
    </row>
    <row r="110" spans="10:14" x14ac:dyDescent="0.5">
      <c r="J110" s="110">
        <f>Documentation!A86</f>
        <v>5737</v>
      </c>
      <c r="K110" s="110" t="str">
        <f>IF(Documentation!E86="","",Documentation!E86)</f>
        <v/>
      </c>
      <c r="L110" s="110" t="str">
        <f>IF(Documentation!F86="","",Documentation!F86)</f>
        <v/>
      </c>
      <c r="M110" s="2">
        <v>109</v>
      </c>
    </row>
    <row r="111" spans="10:14" x14ac:dyDescent="0.5">
      <c r="J111" s="110">
        <f>Documentation!A87</f>
        <v>5738</v>
      </c>
      <c r="K111" s="110" t="str">
        <f>IF(Documentation!E87="","",Documentation!E87)</f>
        <v/>
      </c>
      <c r="L111" s="110" t="str">
        <f>IF(Documentation!F87="","",Documentation!F87)</f>
        <v/>
      </c>
      <c r="M111" s="2">
        <v>110</v>
      </c>
      <c r="N111" s="2" t="s">
        <v>3446</v>
      </c>
    </row>
    <row r="112" spans="10:14" x14ac:dyDescent="0.5">
      <c r="J112" s="110">
        <f>Documentation!A88</f>
        <v>5739</v>
      </c>
      <c r="K112" s="110" t="str">
        <f>IF(Documentation!E88="","",Documentation!E88)</f>
        <v/>
      </c>
      <c r="L112" s="110" t="str">
        <f>IF(Documentation!F88="","",Documentation!F88)</f>
        <v/>
      </c>
      <c r="M112" s="2">
        <v>111</v>
      </c>
    </row>
    <row r="113" spans="10:14" x14ac:dyDescent="0.5">
      <c r="J113" s="110">
        <f>Documentation!A89</f>
        <v>5740</v>
      </c>
      <c r="K113" s="110" t="str">
        <f>IF(Documentation!E89="","",Documentation!E89)</f>
        <v/>
      </c>
      <c r="L113" s="110" t="str">
        <f>IF(Documentation!F89="","",Documentation!F89)</f>
        <v/>
      </c>
      <c r="M113" s="2">
        <v>112</v>
      </c>
      <c r="N113" s="2" t="s">
        <v>3446</v>
      </c>
    </row>
    <row r="114" spans="10:14" x14ac:dyDescent="0.5">
      <c r="J114" s="110">
        <f>Documentation!A90</f>
        <v>5741</v>
      </c>
      <c r="K114" s="110" t="str">
        <f>IF(Documentation!E90="","",Documentation!E90)</f>
        <v/>
      </c>
      <c r="L114" s="110" t="str">
        <f>IF(Documentation!F90="","",Documentation!F90)</f>
        <v/>
      </c>
      <c r="M114" s="2">
        <v>113</v>
      </c>
    </row>
    <row r="115" spans="10:14" x14ac:dyDescent="0.5">
      <c r="J115" s="110">
        <f>Documentation!A91</f>
        <v>5742</v>
      </c>
      <c r="K115" s="110" t="str">
        <f>IF(Documentation!E91="","",Documentation!E91)</f>
        <v/>
      </c>
      <c r="L115" s="110" t="str">
        <f>IF(Documentation!F91="","",Documentation!F91)</f>
        <v/>
      </c>
      <c r="M115" s="2">
        <v>114</v>
      </c>
    </row>
    <row r="116" spans="10:14" x14ac:dyDescent="0.5">
      <c r="J116" s="110">
        <f>Documentation!A92</f>
        <v>5743</v>
      </c>
      <c r="K116" s="110" t="str">
        <f>IF(Documentation!E92="","",Documentation!E92)</f>
        <v/>
      </c>
      <c r="L116" s="110" t="str">
        <f>IF(Documentation!F92="","",Documentation!F92)</f>
        <v/>
      </c>
      <c r="M116" s="2">
        <v>115</v>
      </c>
    </row>
    <row r="117" spans="10:14" x14ac:dyDescent="0.5">
      <c r="J117" s="110">
        <f>Documentation!A93</f>
        <v>5744</v>
      </c>
      <c r="K117" s="110" t="str">
        <f>IF(Documentation!E93="","",Documentation!E93)</f>
        <v/>
      </c>
      <c r="L117" s="110" t="str">
        <f>IF(Documentation!F93="","",Documentation!F93)</f>
        <v/>
      </c>
      <c r="M117" s="2">
        <v>116</v>
      </c>
    </row>
    <row r="118" spans="10:14" x14ac:dyDescent="0.5">
      <c r="J118" s="110">
        <f>Documentation!A94</f>
        <v>2941</v>
      </c>
      <c r="K118" s="110" t="str">
        <f>IF(Documentation!E94="","",Documentation!E94)</f>
        <v/>
      </c>
      <c r="L118" s="110" t="str">
        <f>IF(Documentation!F94="","",Documentation!F94)</f>
        <v/>
      </c>
      <c r="M118" s="2">
        <v>117</v>
      </c>
    </row>
    <row r="119" spans="10:14" x14ac:dyDescent="0.5">
      <c r="J119" s="110">
        <f>Documentation!A95</f>
        <v>5745</v>
      </c>
      <c r="K119" s="110" t="str">
        <f>IF(Documentation!E95="","",Documentation!E95)</f>
        <v/>
      </c>
      <c r="L119" s="110" t="str">
        <f>IF(Documentation!F95="","",Documentation!F95)</f>
        <v/>
      </c>
      <c r="M119" s="2">
        <v>118</v>
      </c>
    </row>
    <row r="120" spans="10:14" x14ac:dyDescent="0.5">
      <c r="J120" s="110">
        <f>Documentation!A96</f>
        <v>5746</v>
      </c>
      <c r="K120" s="110" t="str">
        <f>IF(Documentation!E96="","",Documentation!E96)</f>
        <v/>
      </c>
      <c r="L120" s="110" t="str">
        <f>IF(Documentation!F96="","",Documentation!F96)</f>
        <v/>
      </c>
      <c r="M120" s="2">
        <v>119</v>
      </c>
    </row>
    <row r="121" spans="10:14" x14ac:dyDescent="0.5">
      <c r="J121" s="110">
        <f>Documentation!A97</f>
        <v>5747</v>
      </c>
      <c r="K121" s="110" t="str">
        <f>IF(Documentation!E97="","",Documentation!E97)</f>
        <v/>
      </c>
      <c r="L121" s="110" t="str">
        <f>IF(Documentation!F97="","",Documentation!F97)</f>
        <v/>
      </c>
      <c r="M121" s="2">
        <v>120</v>
      </c>
      <c r="N121" s="2" t="s">
        <v>3446</v>
      </c>
    </row>
    <row r="122" spans="10:14" x14ac:dyDescent="0.5">
      <c r="J122" s="110">
        <f>Documentation!A98</f>
        <v>5748</v>
      </c>
      <c r="K122" s="110" t="str">
        <f>IF(Documentation!E98="","",Documentation!E98)</f>
        <v/>
      </c>
      <c r="L122" s="110" t="str">
        <f>IF(Documentation!F98="","",Documentation!F98)</f>
        <v/>
      </c>
      <c r="M122" s="2">
        <v>121</v>
      </c>
      <c r="N122" s="2" t="s">
        <v>3446</v>
      </c>
    </row>
    <row r="123" spans="10:14" x14ac:dyDescent="0.5">
      <c r="J123" s="110">
        <f>Documentation!A99</f>
        <v>5749</v>
      </c>
      <c r="K123" s="110" t="str">
        <f>IF(Documentation!E99="","",Documentation!E99)</f>
        <v/>
      </c>
      <c r="L123" s="110" t="str">
        <f>IF(Documentation!F99="","",Documentation!F99)</f>
        <v/>
      </c>
      <c r="M123" s="2">
        <v>122</v>
      </c>
    </row>
    <row r="124" spans="10:14" x14ac:dyDescent="0.5">
      <c r="J124" s="110">
        <f>Documentation!A100</f>
        <v>5750</v>
      </c>
      <c r="K124" s="110" t="str">
        <f>IF(Documentation!E100="","",Documentation!E100)</f>
        <v/>
      </c>
      <c r="L124" s="110" t="str">
        <f>IF(Documentation!F100="","",Documentation!F100)</f>
        <v/>
      </c>
      <c r="M124" s="2">
        <v>123</v>
      </c>
    </row>
    <row r="125" spans="10:14" x14ac:dyDescent="0.5">
      <c r="J125" s="110">
        <f>Documentation!A101</f>
        <v>5751</v>
      </c>
      <c r="K125" s="110" t="str">
        <f>IF(Documentation!E101="","",Documentation!E101)</f>
        <v/>
      </c>
      <c r="L125" s="110" t="str">
        <f>IF(Documentation!F101="","",Documentation!F101)</f>
        <v/>
      </c>
      <c r="M125" s="2">
        <v>124</v>
      </c>
    </row>
    <row r="126" spans="10:14" x14ac:dyDescent="0.5">
      <c r="J126" s="110">
        <f>Documentation!A102</f>
        <v>5752</v>
      </c>
      <c r="K126" s="110" t="str">
        <f>IF(Documentation!E102="","",Documentation!E102)</f>
        <v/>
      </c>
      <c r="L126" s="110" t="str">
        <f>IF(Documentation!F102="","",Documentation!F102)</f>
        <v/>
      </c>
      <c r="M126" s="2">
        <v>125</v>
      </c>
    </row>
    <row r="127" spans="10:14" x14ac:dyDescent="0.5">
      <c r="J127" s="110">
        <f>Documentation!A103</f>
        <v>5753</v>
      </c>
      <c r="K127" s="110" t="str">
        <f>IF(Documentation!E103="","",Documentation!E103)</f>
        <v/>
      </c>
      <c r="L127" s="110" t="str">
        <f>IF(Documentation!F103="","",Documentation!F103)</f>
        <v/>
      </c>
      <c r="M127" s="2">
        <v>126</v>
      </c>
    </row>
    <row r="128" spans="10:14" x14ac:dyDescent="0.5">
      <c r="J128" s="110">
        <f>Documentation!A104</f>
        <v>2930</v>
      </c>
      <c r="K128" s="110" t="str">
        <f>IF(Documentation!E104="","",Documentation!E104)</f>
        <v/>
      </c>
      <c r="L128" s="110" t="str">
        <f>IF(Documentation!F104="","",Documentation!F104)</f>
        <v/>
      </c>
      <c r="M128" s="2">
        <v>127</v>
      </c>
    </row>
    <row r="129" spans="10:14" x14ac:dyDescent="0.5">
      <c r="J129" s="110">
        <f>Documentation!A105</f>
        <v>5754</v>
      </c>
      <c r="K129" s="110" t="str">
        <f>IF(Documentation!E105="","",Documentation!E105)</f>
        <v/>
      </c>
      <c r="L129" s="110" t="str">
        <f>IF(Documentation!F105="","",Documentation!F105)</f>
        <v/>
      </c>
      <c r="M129" s="2">
        <v>128</v>
      </c>
      <c r="N129" s="2" t="s">
        <v>3446</v>
      </c>
    </row>
    <row r="130" spans="10:14" x14ac:dyDescent="0.5">
      <c r="J130" s="110">
        <f>Documentation!A106</f>
        <v>5755</v>
      </c>
      <c r="K130" s="110" t="str">
        <f>IF(Documentation!E106="","",Documentation!E106)</f>
        <v/>
      </c>
      <c r="L130" s="110" t="str">
        <f>IF(Documentation!F106="","",Documentation!F106)</f>
        <v/>
      </c>
      <c r="M130" s="2">
        <v>129</v>
      </c>
    </row>
    <row r="131" spans="10:14" x14ac:dyDescent="0.5">
      <c r="J131" s="110">
        <f>Documentation!A107</f>
        <v>5756</v>
      </c>
      <c r="K131" s="110" t="str">
        <f>IF(Documentation!E107="","",Documentation!E107)</f>
        <v/>
      </c>
      <c r="L131" s="110" t="str">
        <f>IF(Documentation!F107="","",Documentation!F107)</f>
        <v/>
      </c>
      <c r="M131" s="2">
        <v>130</v>
      </c>
    </row>
    <row r="132" spans="10:14" x14ac:dyDescent="0.5">
      <c r="J132" s="110">
        <f>Documentation!A108</f>
        <v>5757</v>
      </c>
      <c r="K132" s="110" t="str">
        <f>IF(Documentation!E108="","",Documentation!E108)</f>
        <v/>
      </c>
      <c r="L132" s="110" t="str">
        <f>IF(Documentation!F108="","",Documentation!F108)</f>
        <v/>
      </c>
      <c r="M132" s="2">
        <v>131</v>
      </c>
      <c r="N132" s="2" t="s">
        <v>3446</v>
      </c>
    </row>
    <row r="133" spans="10:14" x14ac:dyDescent="0.5">
      <c r="J133" s="110">
        <f>Documentation!A109</f>
        <v>5758</v>
      </c>
      <c r="K133" s="110" t="str">
        <f>IF(Documentation!E109="","",Documentation!E109)</f>
        <v/>
      </c>
      <c r="L133" s="110" t="str">
        <f>IF(Documentation!F109="","",Documentation!F109)</f>
        <v/>
      </c>
      <c r="M133" s="2">
        <v>132</v>
      </c>
      <c r="N133" s="2" t="s">
        <v>3446</v>
      </c>
    </row>
    <row r="134" spans="10:14" x14ac:dyDescent="0.5">
      <c r="J134" s="110">
        <f>Documentation!A110</f>
        <v>5759</v>
      </c>
      <c r="K134" s="110" t="str">
        <f>IF(Documentation!E110="","",Documentation!E110)</f>
        <v/>
      </c>
      <c r="L134" s="110" t="str">
        <f>IF(Documentation!F110="","",Documentation!F110)</f>
        <v/>
      </c>
      <c r="M134" s="2">
        <v>133</v>
      </c>
      <c r="N134" s="2" t="s">
        <v>3446</v>
      </c>
    </row>
    <row r="135" spans="10:14" x14ac:dyDescent="0.5">
      <c r="J135" s="110">
        <f>Documentation!A111</f>
        <v>5760</v>
      </c>
      <c r="K135" s="110" t="str">
        <f>IF(Documentation!E111="","",Documentation!E111)</f>
        <v/>
      </c>
      <c r="L135" s="110" t="str">
        <f>IF(Documentation!F111="","",Documentation!F111)</f>
        <v/>
      </c>
      <c r="M135" s="2">
        <v>134</v>
      </c>
      <c r="N135" s="2" t="s">
        <v>3446</v>
      </c>
    </row>
    <row r="136" spans="10:14" x14ac:dyDescent="0.5">
      <c r="J136" s="110">
        <f>Documentation!A112</f>
        <v>5761</v>
      </c>
      <c r="K136" s="110" t="str">
        <f>IF(Documentation!E112="","",Documentation!E112)</f>
        <v/>
      </c>
      <c r="L136" s="110" t="str">
        <f>IF(Documentation!F112="","",Documentation!F112)</f>
        <v/>
      </c>
      <c r="M136" s="2">
        <v>135</v>
      </c>
      <c r="N136" s="2" t="s">
        <v>3446</v>
      </c>
    </row>
    <row r="137" spans="10:14" x14ac:dyDescent="0.5">
      <c r="J137" s="110">
        <f>Documentation!A113</f>
        <v>5762</v>
      </c>
      <c r="K137" s="110" t="str">
        <f>IF(Documentation!E113="","",Documentation!E113)</f>
        <v/>
      </c>
      <c r="L137" s="110" t="str">
        <f>IF(Documentation!F113="","",Documentation!F113)</f>
        <v/>
      </c>
      <c r="M137" s="2">
        <v>136</v>
      </c>
    </row>
    <row r="138" spans="10:14" x14ac:dyDescent="0.5">
      <c r="J138" s="110">
        <f>Documentation!A114</f>
        <v>5951</v>
      </c>
      <c r="K138" s="110" t="str">
        <f>IF(Documentation!E114="","",Documentation!E114)</f>
        <v/>
      </c>
      <c r="L138" s="110" t="str">
        <f>IF(Documentation!F114="","",Documentation!F114)</f>
        <v/>
      </c>
      <c r="M138" s="2">
        <v>137</v>
      </c>
    </row>
    <row r="139" spans="10:14" x14ac:dyDescent="0.5">
      <c r="J139" s="110">
        <f>Documentation!A115</f>
        <v>5952</v>
      </c>
      <c r="K139" s="110" t="str">
        <f>IF(Documentation!E115="","",Documentation!E115)</f>
        <v/>
      </c>
      <c r="L139" s="110" t="str">
        <f>IF(Documentation!F115="","",Documentation!F115)</f>
        <v/>
      </c>
      <c r="M139" s="2">
        <v>138</v>
      </c>
    </row>
    <row r="140" spans="10:14" x14ac:dyDescent="0.5">
      <c r="J140" s="110">
        <f>Documentation!A116</f>
        <v>5953</v>
      </c>
      <c r="K140" s="110" t="str">
        <f>IF(Documentation!E116="","",Documentation!E116)</f>
        <v/>
      </c>
      <c r="L140" s="110" t="str">
        <f>IF(Documentation!F116="","",Documentation!F116)</f>
        <v/>
      </c>
      <c r="M140" s="2">
        <v>139</v>
      </c>
    </row>
    <row r="141" spans="10:14" x14ac:dyDescent="0.5">
      <c r="J141" s="110">
        <f>Documentation!A117</f>
        <v>5763</v>
      </c>
      <c r="K141" s="110" t="str">
        <f>IF(Documentation!E117="","",Documentation!E117)</f>
        <v/>
      </c>
      <c r="L141" s="110" t="str">
        <f>IF(Documentation!F117="","",Documentation!F117)</f>
        <v/>
      </c>
      <c r="M141" s="2">
        <v>140</v>
      </c>
    </row>
    <row r="142" spans="10:14" x14ac:dyDescent="0.5">
      <c r="J142" s="110">
        <f>Documentation!A118</f>
        <v>5764</v>
      </c>
      <c r="K142" s="110" t="str">
        <f>IF(Documentation!E118="","",Documentation!E118)</f>
        <v/>
      </c>
      <c r="L142" s="110" t="str">
        <f>IF(Documentation!F118="","",Documentation!F118)</f>
        <v/>
      </c>
      <c r="M142" s="2">
        <v>141</v>
      </c>
    </row>
    <row r="143" spans="10:14" x14ac:dyDescent="0.5">
      <c r="J143" s="110">
        <f>Documentation!A119</f>
        <v>5765</v>
      </c>
      <c r="K143" s="110" t="str">
        <f>IF(Documentation!E119="","",Documentation!E119)</f>
        <v/>
      </c>
      <c r="L143" s="110" t="str">
        <f>IF(Documentation!F119="","",Documentation!F119)</f>
        <v/>
      </c>
      <c r="M143" s="2">
        <v>142</v>
      </c>
    </row>
    <row r="144" spans="10:14" x14ac:dyDescent="0.5">
      <c r="J144" s="110">
        <f>Documentation!A120</f>
        <v>5766</v>
      </c>
      <c r="K144" s="110" t="str">
        <f>IF(Documentation!E120="","",Documentation!E120)</f>
        <v/>
      </c>
      <c r="L144" s="110" t="str">
        <f>IF(Documentation!F120="","",Documentation!F120)</f>
        <v/>
      </c>
      <c r="M144" s="2">
        <v>143</v>
      </c>
    </row>
    <row r="145" spans="10:14" x14ac:dyDescent="0.5">
      <c r="J145" s="110">
        <f>Documentation!A121</f>
        <v>5767</v>
      </c>
      <c r="K145" s="110" t="str">
        <f>IF(Documentation!E121="","",Documentation!E121)</f>
        <v/>
      </c>
      <c r="L145" s="110" t="str">
        <f>IF(Documentation!F121="","",Documentation!F121)</f>
        <v/>
      </c>
      <c r="M145" s="2">
        <v>144</v>
      </c>
    </row>
    <row r="146" spans="10:14" x14ac:dyDescent="0.5">
      <c r="J146" s="110">
        <f>Documentation!A122</f>
        <v>5768</v>
      </c>
      <c r="K146" s="110" t="str">
        <f>IF(Documentation!E122="","",Documentation!E122)</f>
        <v/>
      </c>
      <c r="L146" s="110" t="str">
        <f>IF(Documentation!F122="","",Documentation!F122)</f>
        <v/>
      </c>
      <c r="M146" s="2">
        <v>145</v>
      </c>
    </row>
    <row r="147" spans="10:14" x14ac:dyDescent="0.5">
      <c r="J147" s="110">
        <f>Documentation!A123</f>
        <v>5769</v>
      </c>
      <c r="K147" s="110" t="str">
        <f>IF(Documentation!E123="","",Documentation!E123)</f>
        <v/>
      </c>
      <c r="L147" s="110" t="str">
        <f>IF(Documentation!F123="","",Documentation!F123)</f>
        <v/>
      </c>
      <c r="M147" s="2">
        <v>146</v>
      </c>
    </row>
    <row r="148" spans="10:14" x14ac:dyDescent="0.5">
      <c r="J148" s="110">
        <f>Documentation!A124</f>
        <v>5770</v>
      </c>
      <c r="K148" s="110" t="str">
        <f>IF(Documentation!E124="","",Documentation!E124)</f>
        <v/>
      </c>
      <c r="L148" s="110" t="str">
        <f>IF(Documentation!F124="","",Documentation!F124)</f>
        <v/>
      </c>
      <c r="M148" s="2">
        <v>147</v>
      </c>
    </row>
    <row r="149" spans="10:14" x14ac:dyDescent="0.5">
      <c r="J149" s="110">
        <f>Documentation!A125</f>
        <v>5771</v>
      </c>
      <c r="K149" s="110" t="str">
        <f>IF(Documentation!E125="","",Documentation!E125)</f>
        <v/>
      </c>
      <c r="L149" s="110" t="str">
        <f>IF(Documentation!F125="","",Documentation!F125)</f>
        <v/>
      </c>
      <c r="M149" s="2">
        <v>148</v>
      </c>
      <c r="N149" s="2" t="s">
        <v>3446</v>
      </c>
    </row>
    <row r="150" spans="10:14" x14ac:dyDescent="0.5">
      <c r="J150" s="110">
        <f>Documentation!A126</f>
        <v>5772</v>
      </c>
      <c r="K150" s="110" t="str">
        <f>IF(Documentation!E126="","",Documentation!E126)</f>
        <v/>
      </c>
      <c r="L150" s="110" t="str">
        <f>IF(Documentation!F126="","",Documentation!F126)</f>
        <v/>
      </c>
      <c r="M150" s="2">
        <v>149</v>
      </c>
    </row>
    <row r="151" spans="10:14" x14ac:dyDescent="0.5">
      <c r="J151" s="110">
        <f>Documentation!A127</f>
        <v>5773</v>
      </c>
      <c r="K151" s="110" t="str">
        <f>IF(Documentation!E127="","",Documentation!E127)</f>
        <v/>
      </c>
      <c r="L151" s="110" t="str">
        <f>IF(Documentation!F127="","",Documentation!F127)</f>
        <v/>
      </c>
      <c r="M151" s="2">
        <v>150</v>
      </c>
    </row>
    <row r="152" spans="10:14" x14ac:dyDescent="0.5">
      <c r="J152" s="110">
        <f>Documentation!A128</f>
        <v>5774</v>
      </c>
      <c r="K152" s="110" t="str">
        <f>IF(Documentation!E128="","",Documentation!E128)</f>
        <v/>
      </c>
      <c r="L152" s="110" t="str">
        <f>IF(Documentation!F128="","",Documentation!F128)</f>
        <v/>
      </c>
      <c r="M152" s="2">
        <v>151</v>
      </c>
    </row>
    <row r="153" spans="10:14" x14ac:dyDescent="0.5">
      <c r="J153" s="110">
        <f>Documentation!A129</f>
        <v>5775</v>
      </c>
      <c r="K153" s="110" t="str">
        <f>IF(Documentation!E129="","",Documentation!E129)</f>
        <v/>
      </c>
      <c r="L153" s="110" t="str">
        <f>IF(Documentation!F129="","",Documentation!F129)</f>
        <v/>
      </c>
      <c r="M153" s="2">
        <v>152</v>
      </c>
    </row>
    <row r="154" spans="10:14" x14ac:dyDescent="0.5">
      <c r="J154" s="110">
        <f>Documentation!A130</f>
        <v>2939</v>
      </c>
      <c r="K154" s="110" t="str">
        <f>IF(Documentation!E130="","",Documentation!E130)</f>
        <v/>
      </c>
      <c r="L154" s="110" t="str">
        <f>IF(Documentation!F130="","",Documentation!F130)</f>
        <v/>
      </c>
      <c r="M154" s="2">
        <v>153</v>
      </c>
    </row>
    <row r="155" spans="10:14" x14ac:dyDescent="0.5">
      <c r="J155" s="110">
        <f>Documentation!A131</f>
        <v>2934</v>
      </c>
      <c r="K155" s="110" t="str">
        <f>IF(Documentation!E131="","",Documentation!E131)</f>
        <v/>
      </c>
      <c r="L155" s="110" t="str">
        <f>IF(Documentation!F131="","",Documentation!F131)</f>
        <v/>
      </c>
      <c r="M155" s="2">
        <v>154</v>
      </c>
    </row>
    <row r="156" spans="10:14" x14ac:dyDescent="0.5">
      <c r="J156" s="110">
        <f>Documentation!A136</f>
        <v>5779</v>
      </c>
      <c r="K156" s="110" t="str">
        <f>IF(Documentation!E132="","",Documentation!E132)</f>
        <v/>
      </c>
      <c r="L156" s="110" t="str">
        <f>IF(Documentation!F132="","",Documentation!F132)</f>
        <v/>
      </c>
      <c r="M156" s="2">
        <v>155</v>
      </c>
      <c r="N156" s="2" t="s">
        <v>3446</v>
      </c>
    </row>
    <row r="157" spans="10:14" x14ac:dyDescent="0.5">
      <c r="J157" s="137"/>
      <c r="K157" s="137"/>
      <c r="L157" s="137"/>
      <c r="M157" s="2">
        <v>156</v>
      </c>
    </row>
    <row r="158" spans="10:14" x14ac:dyDescent="0.5">
      <c r="J158" s="137"/>
      <c r="K158" s="137"/>
      <c r="L158" s="137"/>
      <c r="M158" s="2">
        <v>157</v>
      </c>
    </row>
    <row r="159" spans="10:14" x14ac:dyDescent="0.5">
      <c r="J159" s="137"/>
      <c r="K159" s="137"/>
      <c r="L159" s="137"/>
      <c r="M159" s="2">
        <v>158</v>
      </c>
    </row>
    <row r="160" spans="10:14" x14ac:dyDescent="0.5">
      <c r="J160" s="137"/>
      <c r="K160" s="137"/>
      <c r="L160" s="137"/>
      <c r="M160" s="2">
        <v>159</v>
      </c>
    </row>
    <row r="161" spans="10:14" x14ac:dyDescent="0.5">
      <c r="J161" s="137"/>
      <c r="K161" s="137"/>
      <c r="L161" s="137"/>
      <c r="M161" s="2">
        <v>160</v>
      </c>
    </row>
    <row r="162" spans="10:14" x14ac:dyDescent="0.5">
      <c r="J162" s="137"/>
      <c r="K162" s="137"/>
      <c r="L162" s="137"/>
      <c r="M162" s="2">
        <v>161</v>
      </c>
    </row>
    <row r="163" spans="10:14" x14ac:dyDescent="0.5">
      <c r="J163" s="137"/>
      <c r="K163" s="137"/>
      <c r="L163" s="137"/>
      <c r="M163" s="2">
        <v>162</v>
      </c>
      <c r="N163" s="2" t="s">
        <v>3446</v>
      </c>
    </row>
    <row r="164" spans="10:14" x14ac:dyDescent="0.5">
      <c r="J164" s="137"/>
      <c r="K164" s="137"/>
      <c r="L164" s="137"/>
      <c r="M164" s="2">
        <v>163</v>
      </c>
    </row>
    <row r="165" spans="10:14" x14ac:dyDescent="0.5">
      <c r="J165" s="137"/>
      <c r="K165" s="137"/>
      <c r="L165" s="137"/>
      <c r="M165" s="2">
        <v>164</v>
      </c>
    </row>
    <row r="166" spans="10:14" x14ac:dyDescent="0.5">
      <c r="M166" s="2">
        <v>165</v>
      </c>
    </row>
    <row r="167" spans="10:14" x14ac:dyDescent="0.5">
      <c r="M167" s="2">
        <v>166</v>
      </c>
    </row>
    <row r="168" spans="10:14" x14ac:dyDescent="0.5">
      <c r="M168" s="2">
        <v>167</v>
      </c>
    </row>
    <row r="169" spans="10:14" x14ac:dyDescent="0.5">
      <c r="M169" s="2">
        <v>168</v>
      </c>
    </row>
    <row r="170" spans="10:14" x14ac:dyDescent="0.5">
      <c r="M170" s="2">
        <v>169</v>
      </c>
      <c r="N170" s="2" t="s">
        <v>3446</v>
      </c>
    </row>
    <row r="171" spans="10:14" x14ac:dyDescent="0.5">
      <c r="M171" s="2">
        <v>170</v>
      </c>
    </row>
    <row r="172" spans="10:14" x14ac:dyDescent="0.5">
      <c r="M172" s="2">
        <v>171</v>
      </c>
    </row>
    <row r="173" spans="10:14" x14ac:dyDescent="0.5">
      <c r="M173" s="2">
        <v>172</v>
      </c>
    </row>
    <row r="174" spans="10:14" x14ac:dyDescent="0.5">
      <c r="M174" s="2">
        <v>173</v>
      </c>
    </row>
    <row r="175" spans="10:14" x14ac:dyDescent="0.5">
      <c r="M175" s="2">
        <v>174</v>
      </c>
    </row>
    <row r="176" spans="10:14" x14ac:dyDescent="0.5">
      <c r="M176" s="2">
        <v>175</v>
      </c>
    </row>
    <row r="177" spans="13:14" x14ac:dyDescent="0.5">
      <c r="M177" s="2">
        <v>176</v>
      </c>
      <c r="N177" s="2" t="s">
        <v>3446</v>
      </c>
    </row>
    <row r="178" spans="13:14" x14ac:dyDescent="0.5">
      <c r="M178" s="2">
        <v>177</v>
      </c>
    </row>
    <row r="179" spans="13:14" x14ac:dyDescent="0.5">
      <c r="M179" s="2">
        <v>178</v>
      </c>
    </row>
    <row r="180" spans="13:14" x14ac:dyDescent="0.5">
      <c r="M180" s="2">
        <v>179</v>
      </c>
    </row>
    <row r="181" spans="13:14" x14ac:dyDescent="0.5">
      <c r="M181" s="2">
        <v>180</v>
      </c>
    </row>
    <row r="182" spans="13:14" x14ac:dyDescent="0.5">
      <c r="M182" s="2">
        <v>181</v>
      </c>
    </row>
    <row r="183" spans="13:14" x14ac:dyDescent="0.5">
      <c r="M183" s="2">
        <v>182</v>
      </c>
    </row>
    <row r="184" spans="13:14" x14ac:dyDescent="0.5">
      <c r="M184" s="2">
        <v>183</v>
      </c>
      <c r="N184" s="2" t="s">
        <v>3446</v>
      </c>
    </row>
    <row r="185" spans="13:14" x14ac:dyDescent="0.5">
      <c r="M185" s="2">
        <v>184</v>
      </c>
      <c r="N185" s="2" t="s">
        <v>3446</v>
      </c>
    </row>
    <row r="186" spans="13:14" x14ac:dyDescent="0.5">
      <c r="M186" s="2">
        <v>185</v>
      </c>
    </row>
    <row r="187" spans="13:14" x14ac:dyDescent="0.5">
      <c r="M187" s="2">
        <v>186</v>
      </c>
    </row>
    <row r="188" spans="13:14" x14ac:dyDescent="0.5">
      <c r="M188" s="2">
        <v>187</v>
      </c>
    </row>
    <row r="189" spans="13:14" x14ac:dyDescent="0.5">
      <c r="M189" s="2">
        <v>188</v>
      </c>
    </row>
    <row r="190" spans="13:14" x14ac:dyDescent="0.5">
      <c r="M190" s="2">
        <v>189</v>
      </c>
    </row>
    <row r="191" spans="13:14" x14ac:dyDescent="0.5">
      <c r="M191" s="2">
        <v>190</v>
      </c>
    </row>
    <row r="192" spans="13:14" x14ac:dyDescent="0.5">
      <c r="M192" s="2">
        <v>191</v>
      </c>
      <c r="N192" s="2" t="s">
        <v>3446</v>
      </c>
    </row>
    <row r="193" spans="13:14" x14ac:dyDescent="0.5">
      <c r="M193" s="2">
        <v>192</v>
      </c>
    </row>
    <row r="194" spans="13:14" x14ac:dyDescent="0.5">
      <c r="M194" s="2">
        <v>193</v>
      </c>
    </row>
    <row r="195" spans="13:14" x14ac:dyDescent="0.5">
      <c r="M195" s="2">
        <v>194</v>
      </c>
    </row>
    <row r="196" spans="13:14" x14ac:dyDescent="0.5">
      <c r="M196" s="2">
        <v>195</v>
      </c>
    </row>
    <row r="197" spans="13:14" x14ac:dyDescent="0.5">
      <c r="M197" s="2">
        <v>196</v>
      </c>
    </row>
    <row r="198" spans="13:14" x14ac:dyDescent="0.5">
      <c r="M198" s="2">
        <v>197</v>
      </c>
    </row>
    <row r="199" spans="13:14" x14ac:dyDescent="0.5">
      <c r="M199" s="2">
        <v>198</v>
      </c>
    </row>
    <row r="200" spans="13:14" x14ac:dyDescent="0.5">
      <c r="M200" s="2">
        <v>199</v>
      </c>
    </row>
    <row r="201" spans="13:14" x14ac:dyDescent="0.5">
      <c r="M201" s="2">
        <v>200</v>
      </c>
    </row>
    <row r="202" spans="13:14" x14ac:dyDescent="0.5">
      <c r="M202" s="2">
        <v>201</v>
      </c>
    </row>
    <row r="203" spans="13:14" x14ac:dyDescent="0.5">
      <c r="M203" s="2">
        <v>202</v>
      </c>
    </row>
    <row r="204" spans="13:14" x14ac:dyDescent="0.5">
      <c r="M204" s="2">
        <v>203</v>
      </c>
    </row>
    <row r="205" spans="13:14" x14ac:dyDescent="0.5">
      <c r="M205" s="2">
        <v>204</v>
      </c>
    </row>
    <row r="206" spans="13:14" x14ac:dyDescent="0.5">
      <c r="M206" s="2">
        <v>205</v>
      </c>
      <c r="N206" s="2" t="s">
        <v>3446</v>
      </c>
    </row>
    <row r="207" spans="13:14" x14ac:dyDescent="0.5">
      <c r="M207" s="2">
        <v>206</v>
      </c>
    </row>
    <row r="208" spans="13:14" x14ac:dyDescent="0.5">
      <c r="M208" s="2">
        <v>207</v>
      </c>
    </row>
    <row r="209" spans="13:14" x14ac:dyDescent="0.5">
      <c r="M209" s="2">
        <v>208</v>
      </c>
    </row>
    <row r="210" spans="13:14" x14ac:dyDescent="0.5">
      <c r="M210" s="2">
        <v>209</v>
      </c>
    </row>
    <row r="211" spans="13:14" x14ac:dyDescent="0.5">
      <c r="M211" s="2">
        <v>210</v>
      </c>
    </row>
    <row r="212" spans="13:14" x14ac:dyDescent="0.5">
      <c r="M212" s="2">
        <v>211</v>
      </c>
    </row>
    <row r="213" spans="13:14" x14ac:dyDescent="0.5">
      <c r="M213" s="2">
        <v>212</v>
      </c>
      <c r="N213" s="2" t="s">
        <v>3446</v>
      </c>
    </row>
    <row r="214" spans="13:14" x14ac:dyDescent="0.5">
      <c r="M214" s="2">
        <v>213</v>
      </c>
    </row>
    <row r="215" spans="13:14" x14ac:dyDescent="0.5">
      <c r="M215" s="2">
        <v>214</v>
      </c>
      <c r="N215" s="2" t="s">
        <v>3446</v>
      </c>
    </row>
    <row r="216" spans="13:14" x14ac:dyDescent="0.5">
      <c r="M216" s="2">
        <v>215</v>
      </c>
      <c r="N216" s="2" t="s">
        <v>3446</v>
      </c>
    </row>
    <row r="217" spans="13:14" x14ac:dyDescent="0.5">
      <c r="M217" s="2">
        <v>216</v>
      </c>
    </row>
    <row r="218" spans="13:14" x14ac:dyDescent="0.5">
      <c r="M218" s="2">
        <v>217</v>
      </c>
    </row>
    <row r="219" spans="13:14" x14ac:dyDescent="0.5">
      <c r="M219" s="2">
        <v>218</v>
      </c>
    </row>
    <row r="220" spans="13:14" x14ac:dyDescent="0.5">
      <c r="M220" s="2">
        <v>219</v>
      </c>
    </row>
    <row r="221" spans="13:14" x14ac:dyDescent="0.5">
      <c r="M221" s="2">
        <v>220</v>
      </c>
      <c r="N221" s="2" t="s">
        <v>3446</v>
      </c>
    </row>
    <row r="222" spans="13:14" x14ac:dyDescent="0.5">
      <c r="M222" s="2">
        <v>221</v>
      </c>
    </row>
    <row r="223" spans="13:14" x14ac:dyDescent="0.5">
      <c r="M223" s="2">
        <v>222</v>
      </c>
    </row>
    <row r="224" spans="13:14" x14ac:dyDescent="0.5">
      <c r="M224" s="2">
        <v>223</v>
      </c>
    </row>
    <row r="225" spans="13:13" x14ac:dyDescent="0.5">
      <c r="M225" s="2">
        <v>224</v>
      </c>
    </row>
    <row r="226" spans="13:13" x14ac:dyDescent="0.5">
      <c r="M226" s="2">
        <v>225</v>
      </c>
    </row>
    <row r="227" spans="13:13" x14ac:dyDescent="0.5">
      <c r="M227" s="2">
        <v>226</v>
      </c>
    </row>
    <row r="228" spans="13:13" x14ac:dyDescent="0.5">
      <c r="M228" s="2">
        <v>227</v>
      </c>
    </row>
    <row r="229" spans="13:13" x14ac:dyDescent="0.5">
      <c r="M229" s="2">
        <v>228</v>
      </c>
    </row>
    <row r="230" spans="13:13" x14ac:dyDescent="0.5">
      <c r="M230" s="2">
        <v>229</v>
      </c>
    </row>
    <row r="231" spans="13:13" x14ac:dyDescent="0.5">
      <c r="M231" s="2">
        <v>230</v>
      </c>
    </row>
    <row r="232" spans="13:13" x14ac:dyDescent="0.5">
      <c r="M232" s="2">
        <v>231</v>
      </c>
    </row>
    <row r="233" spans="13:13" x14ac:dyDescent="0.5">
      <c r="M233" s="2">
        <v>232</v>
      </c>
    </row>
    <row r="234" spans="13:13" x14ac:dyDescent="0.5">
      <c r="M234" s="2">
        <v>233</v>
      </c>
    </row>
    <row r="235" spans="13:13" x14ac:dyDescent="0.5">
      <c r="M235" s="2">
        <v>234</v>
      </c>
    </row>
    <row r="236" spans="13:13" x14ac:dyDescent="0.5">
      <c r="M236" s="2">
        <v>235</v>
      </c>
    </row>
    <row r="237" spans="13:13" x14ac:dyDescent="0.5">
      <c r="M237" s="2">
        <v>236</v>
      </c>
    </row>
    <row r="238" spans="13:13" x14ac:dyDescent="0.5">
      <c r="M238" s="2">
        <v>237</v>
      </c>
    </row>
    <row r="239" spans="13:13" x14ac:dyDescent="0.5">
      <c r="M239" s="2">
        <v>238</v>
      </c>
    </row>
    <row r="240" spans="13:13" x14ac:dyDescent="0.5">
      <c r="M240" s="2">
        <v>239</v>
      </c>
    </row>
    <row r="241" spans="13:13" x14ac:dyDescent="0.5">
      <c r="M241" s="2">
        <v>240</v>
      </c>
    </row>
    <row r="242" spans="13:13" x14ac:dyDescent="0.5">
      <c r="M242" s="2">
        <v>241</v>
      </c>
    </row>
    <row r="243" spans="13:13" x14ac:dyDescent="0.5">
      <c r="M243" s="2">
        <v>242</v>
      </c>
    </row>
    <row r="244" spans="13:13" x14ac:dyDescent="0.5">
      <c r="M244" s="2">
        <v>243</v>
      </c>
    </row>
    <row r="245" spans="13:13" x14ac:dyDescent="0.5">
      <c r="M245" s="2">
        <v>244</v>
      </c>
    </row>
    <row r="246" spans="13:13" x14ac:dyDescent="0.5">
      <c r="M246" s="2">
        <v>245</v>
      </c>
    </row>
    <row r="247" spans="13:13" x14ac:dyDescent="0.5">
      <c r="M247" s="2">
        <v>246</v>
      </c>
    </row>
    <row r="248" spans="13:13" x14ac:dyDescent="0.5">
      <c r="M248" s="2">
        <v>247</v>
      </c>
    </row>
    <row r="249" spans="13:13" x14ac:dyDescent="0.5">
      <c r="M249" s="2">
        <v>248</v>
      </c>
    </row>
    <row r="250" spans="13:13" x14ac:dyDescent="0.5">
      <c r="M250" s="2">
        <v>249</v>
      </c>
    </row>
    <row r="251" spans="13:13" x14ac:dyDescent="0.5">
      <c r="M251" s="2">
        <v>250</v>
      </c>
    </row>
    <row r="252" spans="13:13" x14ac:dyDescent="0.5">
      <c r="M252" s="2">
        <v>251</v>
      </c>
    </row>
    <row r="253" spans="13:13" x14ac:dyDescent="0.5">
      <c r="M253" s="2">
        <v>252</v>
      </c>
    </row>
    <row r="254" spans="13:13" x14ac:dyDescent="0.5">
      <c r="M254" s="2">
        <v>253</v>
      </c>
    </row>
    <row r="255" spans="13:13" x14ac:dyDescent="0.5">
      <c r="M255" s="2">
        <v>254</v>
      </c>
    </row>
    <row r="256" spans="13:13" x14ac:dyDescent="0.5">
      <c r="M256" s="2">
        <v>255</v>
      </c>
    </row>
    <row r="257" spans="13:13" x14ac:dyDescent="0.5">
      <c r="M257" s="2">
        <v>256</v>
      </c>
    </row>
    <row r="258" spans="13:13" x14ac:dyDescent="0.5">
      <c r="M258" s="2">
        <v>257</v>
      </c>
    </row>
    <row r="259" spans="13:13" x14ac:dyDescent="0.5">
      <c r="M259" s="2">
        <v>258</v>
      </c>
    </row>
    <row r="260" spans="13:13" x14ac:dyDescent="0.5">
      <c r="M260" s="2">
        <v>259</v>
      </c>
    </row>
    <row r="261" spans="13:13" x14ac:dyDescent="0.5">
      <c r="M261" s="2">
        <v>260</v>
      </c>
    </row>
    <row r="262" spans="13:13" x14ac:dyDescent="0.5">
      <c r="M262" s="2">
        <v>261</v>
      </c>
    </row>
    <row r="263" spans="13:13" x14ac:dyDescent="0.5">
      <c r="M263" s="2">
        <v>262</v>
      </c>
    </row>
    <row r="264" spans="13:13" x14ac:dyDescent="0.5">
      <c r="M264" s="2">
        <v>263</v>
      </c>
    </row>
    <row r="265" spans="13:13" x14ac:dyDescent="0.5">
      <c r="M265" s="2">
        <v>264</v>
      </c>
    </row>
    <row r="266" spans="13:13" x14ac:dyDescent="0.5">
      <c r="M266" s="2">
        <v>265</v>
      </c>
    </row>
    <row r="267" spans="13:13" x14ac:dyDescent="0.5">
      <c r="M267" s="2">
        <v>266</v>
      </c>
    </row>
    <row r="268" spans="13:13" x14ac:dyDescent="0.5">
      <c r="M268" s="2">
        <v>267</v>
      </c>
    </row>
    <row r="269" spans="13:13" x14ac:dyDescent="0.5">
      <c r="M269" s="2">
        <v>268</v>
      </c>
    </row>
    <row r="270" spans="13:13" x14ac:dyDescent="0.5">
      <c r="M270" s="2">
        <v>269</v>
      </c>
    </row>
    <row r="271" spans="13:13" x14ac:dyDescent="0.5">
      <c r="M271" s="2">
        <v>270</v>
      </c>
    </row>
    <row r="272" spans="13:13" x14ac:dyDescent="0.5">
      <c r="M272" s="2">
        <v>271</v>
      </c>
    </row>
    <row r="273" spans="13:13" x14ac:dyDescent="0.5">
      <c r="M273" s="2">
        <v>272</v>
      </c>
    </row>
    <row r="274" spans="13:13" x14ac:dyDescent="0.5">
      <c r="M274" s="2">
        <v>273</v>
      </c>
    </row>
    <row r="275" spans="13:13" x14ac:dyDescent="0.5">
      <c r="M275" s="2">
        <v>274</v>
      </c>
    </row>
    <row r="276" spans="13:13" x14ac:dyDescent="0.5">
      <c r="M276" s="2">
        <v>275</v>
      </c>
    </row>
    <row r="277" spans="13:13" x14ac:dyDescent="0.5">
      <c r="M277" s="2">
        <v>276</v>
      </c>
    </row>
    <row r="278" spans="13:13" x14ac:dyDescent="0.5">
      <c r="M278" s="2">
        <v>277</v>
      </c>
    </row>
    <row r="279" spans="13:13" x14ac:dyDescent="0.5">
      <c r="M279" s="2">
        <v>278</v>
      </c>
    </row>
    <row r="280" spans="13:13" x14ac:dyDescent="0.5">
      <c r="M280" s="2">
        <v>279</v>
      </c>
    </row>
    <row r="281" spans="13:13" x14ac:dyDescent="0.5">
      <c r="M281" s="2">
        <v>280</v>
      </c>
    </row>
    <row r="282" spans="13:13" x14ac:dyDescent="0.5">
      <c r="M282" s="2">
        <v>281</v>
      </c>
    </row>
    <row r="283" spans="13:13" x14ac:dyDescent="0.5">
      <c r="M283" s="2">
        <v>282</v>
      </c>
    </row>
    <row r="284" spans="13:13" x14ac:dyDescent="0.5">
      <c r="M284" s="2">
        <v>283</v>
      </c>
    </row>
    <row r="285" spans="13:13" x14ac:dyDescent="0.5">
      <c r="M285" s="2">
        <v>284</v>
      </c>
    </row>
    <row r="286" spans="13:13" x14ac:dyDescent="0.5">
      <c r="M286" s="2">
        <v>285</v>
      </c>
    </row>
    <row r="287" spans="13:13" x14ac:dyDescent="0.5">
      <c r="M287" s="2">
        <v>286</v>
      </c>
    </row>
    <row r="288" spans="13:13" x14ac:dyDescent="0.5">
      <c r="M288" s="2">
        <v>287</v>
      </c>
    </row>
    <row r="289" spans="13:14" x14ac:dyDescent="0.5">
      <c r="M289" s="2">
        <v>288</v>
      </c>
    </row>
    <row r="290" spans="13:14" x14ac:dyDescent="0.5">
      <c r="M290" s="2">
        <v>289</v>
      </c>
    </row>
    <row r="291" spans="13:14" x14ac:dyDescent="0.5">
      <c r="M291" s="2">
        <v>290</v>
      </c>
    </row>
    <row r="292" spans="13:14" x14ac:dyDescent="0.5">
      <c r="M292" s="2">
        <v>291</v>
      </c>
    </row>
    <row r="293" spans="13:14" x14ac:dyDescent="0.5">
      <c r="M293" s="2">
        <v>292</v>
      </c>
    </row>
    <row r="294" spans="13:14" x14ac:dyDescent="0.5">
      <c r="M294" s="2">
        <v>293</v>
      </c>
      <c r="N294" s="2" t="s">
        <v>3446</v>
      </c>
    </row>
    <row r="295" spans="13:14" x14ac:dyDescent="0.5">
      <c r="M295" s="2">
        <v>294</v>
      </c>
    </row>
    <row r="296" spans="13:14" x14ac:dyDescent="0.5">
      <c r="M296" s="2">
        <v>295</v>
      </c>
    </row>
    <row r="297" spans="13:14" x14ac:dyDescent="0.5">
      <c r="M297" s="2">
        <v>296</v>
      </c>
    </row>
    <row r="298" spans="13:14" x14ac:dyDescent="0.5">
      <c r="M298" s="2">
        <v>297</v>
      </c>
    </row>
    <row r="299" spans="13:14" x14ac:dyDescent="0.5">
      <c r="M299" s="2">
        <v>298</v>
      </c>
    </row>
    <row r="300" spans="13:14" x14ac:dyDescent="0.5">
      <c r="M300" s="2">
        <v>299</v>
      </c>
      <c r="N300" s="2" t="s">
        <v>3446</v>
      </c>
    </row>
    <row r="301" spans="13:14" x14ac:dyDescent="0.5">
      <c r="M301" s="2">
        <v>300</v>
      </c>
    </row>
    <row r="302" spans="13:14" x14ac:dyDescent="0.5">
      <c r="M302" s="2">
        <v>301</v>
      </c>
    </row>
    <row r="303" spans="13:14" x14ac:dyDescent="0.5">
      <c r="M303" s="2">
        <v>302</v>
      </c>
    </row>
    <row r="304" spans="13:14" x14ac:dyDescent="0.5">
      <c r="M304" s="2">
        <v>303</v>
      </c>
    </row>
    <row r="305" spans="13:14" x14ac:dyDescent="0.5">
      <c r="M305" s="2">
        <v>304</v>
      </c>
    </row>
    <row r="306" spans="13:14" x14ac:dyDescent="0.5">
      <c r="M306" s="2">
        <v>305</v>
      </c>
    </row>
    <row r="307" spans="13:14" x14ac:dyDescent="0.5">
      <c r="M307" s="2">
        <v>306</v>
      </c>
    </row>
    <row r="308" spans="13:14" x14ac:dyDescent="0.5">
      <c r="M308" s="2">
        <v>307</v>
      </c>
    </row>
    <row r="309" spans="13:14" x14ac:dyDescent="0.5">
      <c r="M309" s="2">
        <v>308</v>
      </c>
    </row>
    <row r="310" spans="13:14" x14ac:dyDescent="0.5">
      <c r="M310" s="2">
        <v>309</v>
      </c>
    </row>
    <row r="311" spans="13:14" x14ac:dyDescent="0.5">
      <c r="M311" s="2">
        <v>310</v>
      </c>
    </row>
    <row r="312" spans="13:14" x14ac:dyDescent="0.5">
      <c r="M312" s="2">
        <v>311</v>
      </c>
    </row>
    <row r="313" spans="13:14" x14ac:dyDescent="0.5">
      <c r="M313" s="2">
        <v>312</v>
      </c>
      <c r="N313" s="2" t="s">
        <v>3446</v>
      </c>
    </row>
    <row r="314" spans="13:14" x14ac:dyDescent="0.5">
      <c r="M314" s="2">
        <v>313</v>
      </c>
    </row>
    <row r="315" spans="13:14" x14ac:dyDescent="0.5">
      <c r="M315" s="2">
        <v>314</v>
      </c>
    </row>
    <row r="316" spans="13:14" x14ac:dyDescent="0.5">
      <c r="M316" s="2">
        <v>315</v>
      </c>
    </row>
    <row r="317" spans="13:14" x14ac:dyDescent="0.5">
      <c r="M317" s="2">
        <v>316</v>
      </c>
    </row>
    <row r="318" spans="13:14" x14ac:dyDescent="0.5">
      <c r="M318" s="2">
        <v>317</v>
      </c>
    </row>
    <row r="319" spans="13:14" x14ac:dyDescent="0.5">
      <c r="M319" s="2">
        <v>318</v>
      </c>
    </row>
    <row r="320" spans="13:14" x14ac:dyDescent="0.5">
      <c r="M320" s="2">
        <v>319</v>
      </c>
    </row>
    <row r="321" spans="13:13" x14ac:dyDescent="0.5">
      <c r="M321" s="2">
        <v>320</v>
      </c>
    </row>
    <row r="322" spans="13:13" x14ac:dyDescent="0.5">
      <c r="M322" s="2">
        <v>321</v>
      </c>
    </row>
    <row r="323" spans="13:13" x14ac:dyDescent="0.5">
      <c r="M323" s="2">
        <v>322</v>
      </c>
    </row>
    <row r="324" spans="13:13" x14ac:dyDescent="0.5">
      <c r="M324" s="2">
        <v>323</v>
      </c>
    </row>
    <row r="325" spans="13:13" x14ac:dyDescent="0.5">
      <c r="M325" s="2">
        <v>324</v>
      </c>
    </row>
    <row r="326" spans="13:13" x14ac:dyDescent="0.5">
      <c r="M326" s="2">
        <v>325</v>
      </c>
    </row>
    <row r="327" spans="13:13" x14ac:dyDescent="0.5">
      <c r="M327" s="2">
        <v>326</v>
      </c>
    </row>
    <row r="328" spans="13:13" x14ac:dyDescent="0.5">
      <c r="M328" s="2">
        <v>327</v>
      </c>
    </row>
    <row r="329" spans="13:13" x14ac:dyDescent="0.5">
      <c r="M329" s="2">
        <v>328</v>
      </c>
    </row>
    <row r="330" spans="13:13" x14ac:dyDescent="0.5">
      <c r="M330" s="2">
        <v>329</v>
      </c>
    </row>
    <row r="331" spans="13:13" x14ac:dyDescent="0.5">
      <c r="M331" s="2">
        <v>330</v>
      </c>
    </row>
    <row r="332" spans="13:13" x14ac:dyDescent="0.5">
      <c r="M332" s="2">
        <v>331</v>
      </c>
    </row>
    <row r="333" spans="13:13" x14ac:dyDescent="0.5">
      <c r="M333" s="2">
        <v>332</v>
      </c>
    </row>
    <row r="334" spans="13:13" x14ac:dyDescent="0.5">
      <c r="M334" s="2">
        <v>333</v>
      </c>
    </row>
    <row r="335" spans="13:13" x14ac:dyDescent="0.5">
      <c r="M335" s="2">
        <v>334</v>
      </c>
    </row>
    <row r="336" spans="13:13" x14ac:dyDescent="0.5">
      <c r="M336" s="2">
        <v>335</v>
      </c>
    </row>
    <row r="337" spans="13:14" x14ac:dyDescent="0.5">
      <c r="M337" s="2">
        <v>336</v>
      </c>
    </row>
    <row r="338" spans="13:14" x14ac:dyDescent="0.5">
      <c r="M338" s="2">
        <v>337</v>
      </c>
    </row>
    <row r="339" spans="13:14" x14ac:dyDescent="0.5">
      <c r="M339" s="2">
        <v>338</v>
      </c>
    </row>
    <row r="340" spans="13:14" x14ac:dyDescent="0.5">
      <c r="M340" s="2">
        <v>339</v>
      </c>
    </row>
    <row r="341" spans="13:14" x14ac:dyDescent="0.5">
      <c r="M341" s="2">
        <v>340</v>
      </c>
    </row>
    <row r="342" spans="13:14" x14ac:dyDescent="0.5">
      <c r="M342" s="2">
        <v>341</v>
      </c>
    </row>
    <row r="343" spans="13:14" x14ac:dyDescent="0.5">
      <c r="M343" s="2">
        <v>342</v>
      </c>
    </row>
    <row r="344" spans="13:14" x14ac:dyDescent="0.5">
      <c r="M344" s="2">
        <v>343</v>
      </c>
    </row>
    <row r="345" spans="13:14" x14ac:dyDescent="0.5">
      <c r="M345" s="2">
        <v>344</v>
      </c>
    </row>
    <row r="346" spans="13:14" x14ac:dyDescent="0.5">
      <c r="M346" s="2">
        <v>345</v>
      </c>
    </row>
    <row r="347" spans="13:14" x14ac:dyDescent="0.5">
      <c r="M347" s="2">
        <v>346</v>
      </c>
    </row>
    <row r="348" spans="13:14" x14ac:dyDescent="0.5">
      <c r="M348" s="2">
        <v>347</v>
      </c>
    </row>
    <row r="349" spans="13:14" x14ac:dyDescent="0.5">
      <c r="M349" s="2">
        <v>348</v>
      </c>
    </row>
    <row r="350" spans="13:14" x14ac:dyDescent="0.5">
      <c r="M350" s="2">
        <v>349</v>
      </c>
    </row>
    <row r="351" spans="13:14" x14ac:dyDescent="0.5">
      <c r="M351" s="2">
        <v>350</v>
      </c>
    </row>
    <row r="352" spans="13:14" x14ac:dyDescent="0.5">
      <c r="M352" s="2">
        <v>351</v>
      </c>
      <c r="N352" s="2" t="s">
        <v>3446</v>
      </c>
    </row>
    <row r="353" spans="13:14" x14ac:dyDescent="0.5">
      <c r="M353" s="2">
        <v>352</v>
      </c>
    </row>
    <row r="354" spans="13:14" x14ac:dyDescent="0.5">
      <c r="M354" s="2">
        <v>353</v>
      </c>
    </row>
    <row r="355" spans="13:14" x14ac:dyDescent="0.5">
      <c r="M355" s="2">
        <v>354</v>
      </c>
    </row>
    <row r="356" spans="13:14" x14ac:dyDescent="0.5">
      <c r="M356" s="2">
        <v>355</v>
      </c>
    </row>
    <row r="357" spans="13:14" x14ac:dyDescent="0.5">
      <c r="M357" s="2">
        <v>356</v>
      </c>
    </row>
    <row r="358" spans="13:14" x14ac:dyDescent="0.5">
      <c r="M358" s="2">
        <v>357</v>
      </c>
    </row>
    <row r="359" spans="13:14" x14ac:dyDescent="0.5">
      <c r="M359" s="2">
        <v>358</v>
      </c>
      <c r="N359" s="2" t="s">
        <v>3446</v>
      </c>
    </row>
    <row r="360" spans="13:14" x14ac:dyDescent="0.5">
      <c r="M360" s="2">
        <v>359</v>
      </c>
    </row>
    <row r="361" spans="13:14" x14ac:dyDescent="0.5">
      <c r="M361" s="2">
        <v>360</v>
      </c>
      <c r="N361" s="2" t="s">
        <v>3446</v>
      </c>
    </row>
    <row r="362" spans="13:14" x14ac:dyDescent="0.5">
      <c r="M362" s="2">
        <v>361</v>
      </c>
    </row>
    <row r="363" spans="13:14" x14ac:dyDescent="0.5">
      <c r="M363" s="2">
        <v>362</v>
      </c>
    </row>
    <row r="364" spans="13:14" x14ac:dyDescent="0.5">
      <c r="M364" s="2">
        <v>363</v>
      </c>
    </row>
    <row r="365" spans="13:14" x14ac:dyDescent="0.5">
      <c r="M365" s="2">
        <v>364</v>
      </c>
      <c r="N365" s="2" t="s">
        <v>3446</v>
      </c>
    </row>
    <row r="366" spans="13:14" x14ac:dyDescent="0.5">
      <c r="M366" s="2">
        <v>365</v>
      </c>
      <c r="N366" s="2" t="s">
        <v>3446</v>
      </c>
    </row>
    <row r="367" spans="13:14" x14ac:dyDescent="0.5">
      <c r="M367" s="2">
        <v>366</v>
      </c>
      <c r="N367" s="2" t="s">
        <v>3446</v>
      </c>
    </row>
    <row r="368" spans="13:14" x14ac:dyDescent="0.5">
      <c r="M368" s="2">
        <v>367</v>
      </c>
    </row>
    <row r="369" spans="13:14" x14ac:dyDescent="0.5">
      <c r="M369" s="2">
        <v>368</v>
      </c>
    </row>
    <row r="370" spans="13:14" x14ac:dyDescent="0.5">
      <c r="M370" s="2">
        <v>369</v>
      </c>
    </row>
    <row r="371" spans="13:14" x14ac:dyDescent="0.5">
      <c r="M371" s="2">
        <v>370</v>
      </c>
    </row>
    <row r="372" spans="13:14" x14ac:dyDescent="0.5">
      <c r="M372" s="2">
        <v>371</v>
      </c>
      <c r="N372" s="2" t="s">
        <v>3446</v>
      </c>
    </row>
    <row r="373" spans="13:14" x14ac:dyDescent="0.5">
      <c r="M373" s="2">
        <v>372</v>
      </c>
    </row>
    <row r="374" spans="13:14" x14ac:dyDescent="0.5">
      <c r="M374" s="2">
        <v>373</v>
      </c>
    </row>
    <row r="375" spans="13:14" x14ac:dyDescent="0.5">
      <c r="M375" s="2">
        <v>374</v>
      </c>
      <c r="N375" s="2" t="s">
        <v>3446</v>
      </c>
    </row>
    <row r="376" spans="13:14" x14ac:dyDescent="0.5">
      <c r="M376" s="2">
        <v>375</v>
      </c>
    </row>
    <row r="377" spans="13:14" x14ac:dyDescent="0.5">
      <c r="M377" s="2">
        <v>376</v>
      </c>
    </row>
    <row r="378" spans="13:14" x14ac:dyDescent="0.5">
      <c r="M378" s="2">
        <v>377</v>
      </c>
    </row>
    <row r="379" spans="13:14" x14ac:dyDescent="0.5">
      <c r="M379" s="2">
        <v>378</v>
      </c>
    </row>
    <row r="380" spans="13:14" x14ac:dyDescent="0.5">
      <c r="M380" s="2">
        <v>379</v>
      </c>
    </row>
    <row r="381" spans="13:14" x14ac:dyDescent="0.5">
      <c r="M381" s="2">
        <v>380</v>
      </c>
    </row>
    <row r="382" spans="13:14" x14ac:dyDescent="0.5">
      <c r="M382" s="2">
        <v>381</v>
      </c>
      <c r="N382" s="2" t="s">
        <v>3446</v>
      </c>
    </row>
    <row r="383" spans="13:14" x14ac:dyDescent="0.5">
      <c r="M383" s="2">
        <v>382</v>
      </c>
      <c r="N383" s="2" t="s">
        <v>3446</v>
      </c>
    </row>
    <row r="384" spans="13:14" x14ac:dyDescent="0.5">
      <c r="M384" s="2">
        <v>383</v>
      </c>
      <c r="N384" s="2" t="s">
        <v>3446</v>
      </c>
    </row>
    <row r="385" spans="13:14" x14ac:dyDescent="0.5">
      <c r="M385" s="2">
        <v>384</v>
      </c>
      <c r="N385" s="2" t="s">
        <v>3446</v>
      </c>
    </row>
    <row r="386" spans="13:14" x14ac:dyDescent="0.5">
      <c r="M386" s="2">
        <v>385</v>
      </c>
    </row>
    <row r="387" spans="13:14" x14ac:dyDescent="0.5">
      <c r="M387" s="2">
        <v>386</v>
      </c>
    </row>
    <row r="388" spans="13:14" x14ac:dyDescent="0.5">
      <c r="M388" s="2">
        <v>387</v>
      </c>
      <c r="N388" s="2" t="s">
        <v>3446</v>
      </c>
    </row>
    <row r="389" spans="13:14" x14ac:dyDescent="0.5">
      <c r="M389" s="2">
        <v>388</v>
      </c>
    </row>
    <row r="390" spans="13:14" x14ac:dyDescent="0.5">
      <c r="M390" s="2">
        <v>389</v>
      </c>
      <c r="N390" s="2" t="s">
        <v>3446</v>
      </c>
    </row>
    <row r="391" spans="13:14" x14ac:dyDescent="0.5">
      <c r="M391" s="2">
        <v>390</v>
      </c>
      <c r="N391" s="2" t="s">
        <v>3446</v>
      </c>
    </row>
    <row r="392" spans="13:14" x14ac:dyDescent="0.5">
      <c r="M392" s="2">
        <v>391</v>
      </c>
      <c r="N392" s="2" t="s">
        <v>3446</v>
      </c>
    </row>
    <row r="393" spans="13:14" x14ac:dyDescent="0.5">
      <c r="M393" s="2">
        <v>392</v>
      </c>
    </row>
    <row r="394" spans="13:14" x14ac:dyDescent="0.5">
      <c r="M394" s="2">
        <v>393</v>
      </c>
    </row>
    <row r="395" spans="13:14" x14ac:dyDescent="0.5">
      <c r="M395" s="2">
        <v>394</v>
      </c>
    </row>
    <row r="396" spans="13:14" x14ac:dyDescent="0.5">
      <c r="M396" s="2">
        <v>395</v>
      </c>
      <c r="N396" s="2" t="s">
        <v>3446</v>
      </c>
    </row>
    <row r="397" spans="13:14" x14ac:dyDescent="0.5">
      <c r="M397" s="2">
        <v>396</v>
      </c>
      <c r="N397" s="2" t="s">
        <v>3446</v>
      </c>
    </row>
    <row r="398" spans="13:14" x14ac:dyDescent="0.5">
      <c r="M398" s="2">
        <v>397</v>
      </c>
      <c r="N398" s="2" t="s">
        <v>3446</v>
      </c>
    </row>
    <row r="399" spans="13:14" x14ac:dyDescent="0.5">
      <c r="M399" s="2">
        <v>398</v>
      </c>
      <c r="N399" s="2" t="s">
        <v>3446</v>
      </c>
    </row>
    <row r="400" spans="13:14" x14ac:dyDescent="0.5">
      <c r="M400" s="2">
        <v>399</v>
      </c>
      <c r="N400" s="2" t="s">
        <v>3446</v>
      </c>
    </row>
    <row r="401" spans="13:14" x14ac:dyDescent="0.5">
      <c r="M401" s="2">
        <v>400</v>
      </c>
      <c r="N401" s="2" t="s">
        <v>3446</v>
      </c>
    </row>
    <row r="402" spans="13:14" x14ac:dyDescent="0.5">
      <c r="M402" s="2">
        <v>401</v>
      </c>
      <c r="N402" s="2" t="s">
        <v>3446</v>
      </c>
    </row>
    <row r="403" spans="13:14" x14ac:dyDescent="0.5">
      <c r="M403" s="2">
        <v>402</v>
      </c>
    </row>
    <row r="404" spans="13:14" x14ac:dyDescent="0.5">
      <c r="M404" s="2">
        <v>403</v>
      </c>
    </row>
    <row r="405" spans="13:14" x14ac:dyDescent="0.5">
      <c r="M405" s="2">
        <v>404</v>
      </c>
    </row>
    <row r="406" spans="13:14" x14ac:dyDescent="0.5">
      <c r="M406" s="2">
        <v>405</v>
      </c>
    </row>
    <row r="407" spans="13:14" x14ac:dyDescent="0.5">
      <c r="M407" s="2">
        <v>406</v>
      </c>
    </row>
    <row r="408" spans="13:14" x14ac:dyDescent="0.5">
      <c r="M408" s="2">
        <v>407</v>
      </c>
    </row>
    <row r="409" spans="13:14" x14ac:dyDescent="0.5">
      <c r="M409" s="2">
        <v>408</v>
      </c>
    </row>
    <row r="410" spans="13:14" x14ac:dyDescent="0.5">
      <c r="M410" s="2">
        <v>409</v>
      </c>
    </row>
    <row r="411" spans="13:14" x14ac:dyDescent="0.5">
      <c r="M411" s="2">
        <v>410</v>
      </c>
    </row>
    <row r="412" spans="13:14" x14ac:dyDescent="0.5">
      <c r="M412" s="2">
        <v>411</v>
      </c>
    </row>
    <row r="413" spans="13:14" x14ac:dyDescent="0.5">
      <c r="M413" s="2">
        <v>412</v>
      </c>
    </row>
    <row r="414" spans="13:14" x14ac:dyDescent="0.5">
      <c r="M414" s="2">
        <v>413</v>
      </c>
    </row>
    <row r="415" spans="13:14" x14ac:dyDescent="0.5">
      <c r="M415" s="2">
        <v>414</v>
      </c>
    </row>
    <row r="416" spans="13:14" x14ac:dyDescent="0.5">
      <c r="M416" s="2">
        <v>415</v>
      </c>
    </row>
    <row r="417" spans="13:14" x14ac:dyDescent="0.5">
      <c r="M417" s="2">
        <v>416</v>
      </c>
    </row>
    <row r="418" spans="13:14" x14ac:dyDescent="0.5">
      <c r="M418" s="2">
        <v>417</v>
      </c>
    </row>
    <row r="419" spans="13:14" x14ac:dyDescent="0.5">
      <c r="M419" s="2">
        <v>418</v>
      </c>
    </row>
    <row r="420" spans="13:14" x14ac:dyDescent="0.5">
      <c r="M420" s="2">
        <v>419</v>
      </c>
    </row>
    <row r="421" spans="13:14" x14ac:dyDescent="0.5">
      <c r="M421" s="2">
        <v>420</v>
      </c>
    </row>
    <row r="422" spans="13:14" x14ac:dyDescent="0.5">
      <c r="M422" s="2">
        <v>421</v>
      </c>
    </row>
    <row r="423" spans="13:14" x14ac:dyDescent="0.5">
      <c r="M423" s="2">
        <v>422</v>
      </c>
    </row>
    <row r="424" spans="13:14" x14ac:dyDescent="0.5">
      <c r="M424" s="2">
        <v>423</v>
      </c>
    </row>
    <row r="425" spans="13:14" x14ac:dyDescent="0.5">
      <c r="M425" s="2">
        <v>424</v>
      </c>
    </row>
    <row r="426" spans="13:14" x14ac:dyDescent="0.5">
      <c r="M426" s="2">
        <v>425</v>
      </c>
    </row>
    <row r="427" spans="13:14" x14ac:dyDescent="0.5">
      <c r="M427" s="2">
        <v>426</v>
      </c>
    </row>
    <row r="428" spans="13:14" x14ac:dyDescent="0.5">
      <c r="M428" s="2">
        <v>427</v>
      </c>
    </row>
    <row r="429" spans="13:14" x14ac:dyDescent="0.5">
      <c r="M429" s="2">
        <v>428</v>
      </c>
    </row>
    <row r="430" spans="13:14" x14ac:dyDescent="0.5">
      <c r="M430" s="2">
        <v>429</v>
      </c>
    </row>
    <row r="431" spans="13:14" x14ac:dyDescent="0.5">
      <c r="M431" s="2">
        <v>430</v>
      </c>
      <c r="N431" s="2" t="s">
        <v>3446</v>
      </c>
    </row>
    <row r="432" spans="13:14" x14ac:dyDescent="0.5">
      <c r="M432" s="2">
        <v>431</v>
      </c>
    </row>
    <row r="433" spans="13:14" x14ac:dyDescent="0.5">
      <c r="M433" s="2">
        <v>432</v>
      </c>
      <c r="N433" s="2" t="s">
        <v>3446</v>
      </c>
    </row>
    <row r="434" spans="13:14" x14ac:dyDescent="0.5">
      <c r="M434" s="2">
        <v>433</v>
      </c>
    </row>
    <row r="435" spans="13:14" x14ac:dyDescent="0.5">
      <c r="M435" s="2">
        <v>434</v>
      </c>
    </row>
    <row r="436" spans="13:14" x14ac:dyDescent="0.5">
      <c r="M436" s="2">
        <v>435</v>
      </c>
    </row>
    <row r="437" spans="13:14" x14ac:dyDescent="0.5">
      <c r="M437" s="2">
        <v>436</v>
      </c>
    </row>
    <row r="438" spans="13:14" x14ac:dyDescent="0.5">
      <c r="M438" s="2">
        <v>437</v>
      </c>
    </row>
    <row r="439" spans="13:14" x14ac:dyDescent="0.5">
      <c r="M439" s="2">
        <v>438</v>
      </c>
    </row>
    <row r="440" spans="13:14" x14ac:dyDescent="0.5">
      <c r="M440" s="2">
        <v>439</v>
      </c>
    </row>
    <row r="441" spans="13:14" x14ac:dyDescent="0.5">
      <c r="M441" s="2">
        <v>440</v>
      </c>
    </row>
    <row r="442" spans="13:14" x14ac:dyDescent="0.5">
      <c r="M442" s="2">
        <v>441</v>
      </c>
    </row>
    <row r="443" spans="13:14" x14ac:dyDescent="0.5">
      <c r="M443" s="2">
        <v>442</v>
      </c>
    </row>
    <row r="444" spans="13:14" x14ac:dyDescent="0.5">
      <c r="M444" s="2">
        <v>443</v>
      </c>
    </row>
    <row r="445" spans="13:14" x14ac:dyDescent="0.5">
      <c r="M445" s="2">
        <v>444</v>
      </c>
    </row>
    <row r="446" spans="13:14" x14ac:dyDescent="0.5">
      <c r="M446" s="2">
        <v>445</v>
      </c>
    </row>
    <row r="447" spans="13:14" x14ac:dyDescent="0.5">
      <c r="M447" s="2">
        <v>446</v>
      </c>
    </row>
    <row r="448" spans="13:14" x14ac:dyDescent="0.5">
      <c r="M448" s="2">
        <v>447</v>
      </c>
    </row>
    <row r="449" spans="13:14" x14ac:dyDescent="0.5">
      <c r="M449" s="2">
        <v>448</v>
      </c>
    </row>
    <row r="450" spans="13:14" x14ac:dyDescent="0.5">
      <c r="M450" s="2">
        <v>449</v>
      </c>
    </row>
    <row r="451" spans="13:14" x14ac:dyDescent="0.5">
      <c r="M451" s="2">
        <v>450</v>
      </c>
    </row>
    <row r="452" spans="13:14" x14ac:dyDescent="0.5">
      <c r="M452" s="2">
        <v>451</v>
      </c>
    </row>
    <row r="453" spans="13:14" x14ac:dyDescent="0.5">
      <c r="M453" s="2">
        <v>452</v>
      </c>
    </row>
    <row r="454" spans="13:14" x14ac:dyDescent="0.5">
      <c r="M454" s="2">
        <v>453</v>
      </c>
    </row>
    <row r="455" spans="13:14" x14ac:dyDescent="0.5">
      <c r="M455" s="2">
        <v>454</v>
      </c>
    </row>
    <row r="456" spans="13:14" x14ac:dyDescent="0.5">
      <c r="M456" s="2">
        <v>455</v>
      </c>
    </row>
    <row r="457" spans="13:14" x14ac:dyDescent="0.5">
      <c r="M457" s="2">
        <v>456</v>
      </c>
    </row>
    <row r="458" spans="13:14" x14ac:dyDescent="0.5">
      <c r="M458" s="2">
        <v>457</v>
      </c>
      <c r="N458" s="2" t="s">
        <v>3446</v>
      </c>
    </row>
    <row r="459" spans="13:14" x14ac:dyDescent="0.5">
      <c r="M459" s="2">
        <v>458</v>
      </c>
    </row>
    <row r="460" spans="13:14" x14ac:dyDescent="0.5">
      <c r="M460" s="2">
        <v>459</v>
      </c>
    </row>
    <row r="461" spans="13:14" x14ac:dyDescent="0.5">
      <c r="M461" s="2">
        <v>460</v>
      </c>
    </row>
    <row r="462" spans="13:14" x14ac:dyDescent="0.5">
      <c r="M462" s="2">
        <v>461</v>
      </c>
    </row>
    <row r="463" spans="13:14" x14ac:dyDescent="0.5">
      <c r="M463" s="2">
        <v>462</v>
      </c>
    </row>
    <row r="464" spans="13:14" x14ac:dyDescent="0.5">
      <c r="M464" s="2">
        <v>463</v>
      </c>
    </row>
    <row r="465" spans="13:14" x14ac:dyDescent="0.5">
      <c r="M465" s="2">
        <v>464</v>
      </c>
    </row>
    <row r="466" spans="13:14" x14ac:dyDescent="0.5">
      <c r="M466" s="2">
        <v>465</v>
      </c>
    </row>
    <row r="467" spans="13:14" x14ac:dyDescent="0.5">
      <c r="M467" s="2">
        <v>466</v>
      </c>
    </row>
    <row r="468" spans="13:14" x14ac:dyDescent="0.5">
      <c r="M468" s="2">
        <v>467</v>
      </c>
    </row>
    <row r="469" spans="13:14" x14ac:dyDescent="0.5">
      <c r="M469" s="2">
        <v>468</v>
      </c>
    </row>
    <row r="470" spans="13:14" x14ac:dyDescent="0.5">
      <c r="M470" s="2">
        <v>469</v>
      </c>
    </row>
    <row r="471" spans="13:14" x14ac:dyDescent="0.5">
      <c r="M471" s="2">
        <v>470</v>
      </c>
    </row>
    <row r="472" spans="13:14" x14ac:dyDescent="0.5">
      <c r="M472" s="2">
        <v>471</v>
      </c>
    </row>
    <row r="473" spans="13:14" x14ac:dyDescent="0.5">
      <c r="M473" s="2">
        <v>472</v>
      </c>
    </row>
    <row r="474" spans="13:14" x14ac:dyDescent="0.5">
      <c r="M474" s="2">
        <v>473</v>
      </c>
    </row>
    <row r="475" spans="13:14" x14ac:dyDescent="0.5">
      <c r="M475" s="2">
        <v>474</v>
      </c>
      <c r="N475" s="2" t="s">
        <v>3446</v>
      </c>
    </row>
    <row r="476" spans="13:14" x14ac:dyDescent="0.5">
      <c r="M476" s="2">
        <v>475</v>
      </c>
    </row>
    <row r="477" spans="13:14" x14ac:dyDescent="0.5">
      <c r="M477" s="2">
        <v>476</v>
      </c>
    </row>
    <row r="478" spans="13:14" x14ac:dyDescent="0.5">
      <c r="M478" s="2">
        <v>477</v>
      </c>
    </row>
    <row r="479" spans="13:14" x14ac:dyDescent="0.5">
      <c r="M479" s="2">
        <v>478</v>
      </c>
    </row>
    <row r="480" spans="13:14" x14ac:dyDescent="0.5">
      <c r="M480" s="2">
        <v>479</v>
      </c>
      <c r="N480" s="2" t="s">
        <v>3446</v>
      </c>
    </row>
    <row r="481" spans="13:14" x14ac:dyDescent="0.5">
      <c r="M481" s="2">
        <v>480</v>
      </c>
    </row>
    <row r="482" spans="13:14" x14ac:dyDescent="0.5">
      <c r="M482" s="2">
        <v>481</v>
      </c>
    </row>
    <row r="483" spans="13:14" x14ac:dyDescent="0.5">
      <c r="M483" s="2">
        <v>482</v>
      </c>
    </row>
    <row r="484" spans="13:14" x14ac:dyDescent="0.5">
      <c r="M484" s="2">
        <v>483</v>
      </c>
    </row>
    <row r="485" spans="13:14" x14ac:dyDescent="0.5">
      <c r="M485" s="2">
        <v>484</v>
      </c>
    </row>
    <row r="486" spans="13:14" x14ac:dyDescent="0.5">
      <c r="M486" s="2">
        <v>485</v>
      </c>
    </row>
    <row r="487" spans="13:14" x14ac:dyDescent="0.5">
      <c r="M487" s="2">
        <v>486</v>
      </c>
    </row>
    <row r="488" spans="13:14" x14ac:dyDescent="0.5">
      <c r="M488" s="2">
        <v>487</v>
      </c>
    </row>
    <row r="489" spans="13:14" x14ac:dyDescent="0.5">
      <c r="M489" s="2">
        <v>488</v>
      </c>
    </row>
    <row r="490" spans="13:14" x14ac:dyDescent="0.5">
      <c r="M490" s="2">
        <v>489</v>
      </c>
    </row>
    <row r="491" spans="13:14" x14ac:dyDescent="0.5">
      <c r="M491" s="2">
        <v>490</v>
      </c>
    </row>
    <row r="492" spans="13:14" x14ac:dyDescent="0.5">
      <c r="M492" s="2">
        <v>491</v>
      </c>
      <c r="N492" s="2" t="s">
        <v>3446</v>
      </c>
    </row>
    <row r="493" spans="13:14" x14ac:dyDescent="0.5">
      <c r="M493" s="2">
        <v>492</v>
      </c>
      <c r="N493" s="2" t="s">
        <v>3446</v>
      </c>
    </row>
    <row r="494" spans="13:14" x14ac:dyDescent="0.5">
      <c r="M494" s="2">
        <v>493</v>
      </c>
      <c r="N494" s="2" t="s">
        <v>3446</v>
      </c>
    </row>
    <row r="495" spans="13:14" x14ac:dyDescent="0.5">
      <c r="M495" s="2">
        <v>494</v>
      </c>
    </row>
    <row r="496" spans="13:14" x14ac:dyDescent="0.5">
      <c r="M496" s="2">
        <v>495</v>
      </c>
      <c r="N496" s="2" t="s">
        <v>3446</v>
      </c>
    </row>
    <row r="497" spans="13:14" x14ac:dyDescent="0.5">
      <c r="M497" s="2">
        <v>496</v>
      </c>
    </row>
    <row r="498" spans="13:14" x14ac:dyDescent="0.5">
      <c r="M498" s="2">
        <v>497</v>
      </c>
    </row>
    <row r="499" spans="13:14" x14ac:dyDescent="0.5">
      <c r="M499" s="2">
        <v>498</v>
      </c>
    </row>
    <row r="500" spans="13:14" x14ac:dyDescent="0.5">
      <c r="M500" s="2">
        <v>499</v>
      </c>
    </row>
    <row r="501" spans="13:14" x14ac:dyDescent="0.5">
      <c r="M501" s="2">
        <v>500</v>
      </c>
    </row>
    <row r="502" spans="13:14" x14ac:dyDescent="0.5">
      <c r="M502" s="2">
        <v>501</v>
      </c>
    </row>
    <row r="503" spans="13:14" x14ac:dyDescent="0.5">
      <c r="M503" s="2">
        <v>502</v>
      </c>
    </row>
    <row r="504" spans="13:14" x14ac:dyDescent="0.5">
      <c r="M504" s="2">
        <v>503</v>
      </c>
    </row>
    <row r="505" spans="13:14" x14ac:dyDescent="0.5">
      <c r="M505" s="2">
        <v>504</v>
      </c>
    </row>
    <row r="506" spans="13:14" x14ac:dyDescent="0.5">
      <c r="M506" s="2">
        <v>505</v>
      </c>
    </row>
    <row r="507" spans="13:14" x14ac:dyDescent="0.5">
      <c r="M507" s="2">
        <v>506</v>
      </c>
    </row>
    <row r="508" spans="13:14" x14ac:dyDescent="0.5">
      <c r="M508" s="2">
        <v>507</v>
      </c>
    </row>
    <row r="509" spans="13:14" x14ac:dyDescent="0.5">
      <c r="M509" s="2">
        <v>508</v>
      </c>
      <c r="N509" s="2" t="s">
        <v>3446</v>
      </c>
    </row>
    <row r="510" spans="13:14" x14ac:dyDescent="0.5">
      <c r="M510" s="2">
        <v>509</v>
      </c>
    </row>
    <row r="511" spans="13:14" x14ac:dyDescent="0.5">
      <c r="M511" s="2">
        <v>510</v>
      </c>
    </row>
    <row r="512" spans="13:14" x14ac:dyDescent="0.5">
      <c r="M512" s="2">
        <v>511</v>
      </c>
    </row>
    <row r="513" spans="13:14" x14ac:dyDescent="0.5">
      <c r="M513" s="2">
        <v>512</v>
      </c>
    </row>
    <row r="514" spans="13:14" x14ac:dyDescent="0.5">
      <c r="M514" s="2">
        <v>513</v>
      </c>
      <c r="N514" s="2" t="s">
        <v>3446</v>
      </c>
    </row>
    <row r="515" spans="13:14" x14ac:dyDescent="0.5">
      <c r="M515" s="2">
        <v>514</v>
      </c>
      <c r="N515" s="2" t="s">
        <v>3446</v>
      </c>
    </row>
    <row r="516" spans="13:14" x14ac:dyDescent="0.5">
      <c r="M516" s="2">
        <v>515</v>
      </c>
    </row>
    <row r="517" spans="13:14" x14ac:dyDescent="0.5">
      <c r="M517" s="2">
        <v>516</v>
      </c>
      <c r="N517" s="2" t="s">
        <v>3446</v>
      </c>
    </row>
    <row r="518" spans="13:14" x14ac:dyDescent="0.5">
      <c r="M518" s="2">
        <v>517</v>
      </c>
    </row>
    <row r="519" spans="13:14" x14ac:dyDescent="0.5">
      <c r="M519" s="2">
        <v>518</v>
      </c>
    </row>
    <row r="520" spans="13:14" x14ac:dyDescent="0.5">
      <c r="M520" s="2">
        <v>519</v>
      </c>
    </row>
    <row r="521" spans="13:14" x14ac:dyDescent="0.5">
      <c r="M521" s="2">
        <v>520</v>
      </c>
    </row>
    <row r="522" spans="13:14" x14ac:dyDescent="0.5">
      <c r="M522" s="2">
        <v>521</v>
      </c>
    </row>
    <row r="523" spans="13:14" x14ac:dyDescent="0.5">
      <c r="M523" s="2">
        <v>522</v>
      </c>
    </row>
    <row r="524" spans="13:14" x14ac:dyDescent="0.5">
      <c r="M524" s="2">
        <v>523</v>
      </c>
    </row>
    <row r="525" spans="13:14" x14ac:dyDescent="0.5">
      <c r="M525" s="2">
        <v>524</v>
      </c>
    </row>
    <row r="526" spans="13:14" x14ac:dyDescent="0.5">
      <c r="M526" s="2">
        <v>525</v>
      </c>
    </row>
    <row r="527" spans="13:14" x14ac:dyDescent="0.5">
      <c r="M527" s="2">
        <v>526</v>
      </c>
      <c r="N527" s="2" t="s">
        <v>3446</v>
      </c>
    </row>
    <row r="528" spans="13:14" x14ac:dyDescent="0.5">
      <c r="M528" s="2">
        <v>527</v>
      </c>
      <c r="N528" s="2" t="s">
        <v>3446</v>
      </c>
    </row>
    <row r="529" spans="13:14" x14ac:dyDescent="0.5">
      <c r="M529" s="2">
        <v>528</v>
      </c>
      <c r="N529" s="2" t="s">
        <v>3446</v>
      </c>
    </row>
    <row r="530" spans="13:14" x14ac:dyDescent="0.5">
      <c r="M530" s="2">
        <v>529</v>
      </c>
      <c r="N530" s="2" t="s">
        <v>3446</v>
      </c>
    </row>
    <row r="531" spans="13:14" x14ac:dyDescent="0.5">
      <c r="M531" s="2">
        <v>530</v>
      </c>
      <c r="N531" s="2" t="s">
        <v>3446</v>
      </c>
    </row>
    <row r="532" spans="13:14" x14ac:dyDescent="0.5">
      <c r="M532" s="2">
        <v>531</v>
      </c>
      <c r="N532" s="2" t="s">
        <v>3446</v>
      </c>
    </row>
    <row r="533" spans="13:14" x14ac:dyDescent="0.5">
      <c r="M533" s="2">
        <v>532</v>
      </c>
      <c r="N533" s="2" t="s">
        <v>3446</v>
      </c>
    </row>
    <row r="534" spans="13:14" x14ac:dyDescent="0.5">
      <c r="M534" s="2">
        <v>533</v>
      </c>
      <c r="N534" s="2" t="s">
        <v>3446</v>
      </c>
    </row>
    <row r="535" spans="13:14" x14ac:dyDescent="0.5">
      <c r="M535" s="2">
        <v>534</v>
      </c>
      <c r="N535" s="2" t="s">
        <v>3446</v>
      </c>
    </row>
    <row r="536" spans="13:14" x14ac:dyDescent="0.5">
      <c r="M536" s="2">
        <v>535</v>
      </c>
      <c r="N536" s="2" t="s">
        <v>3446</v>
      </c>
    </row>
    <row r="537" spans="13:14" x14ac:dyDescent="0.5">
      <c r="M537" s="2">
        <v>536</v>
      </c>
      <c r="N537" s="2" t="s">
        <v>3446</v>
      </c>
    </row>
    <row r="538" spans="13:14" x14ac:dyDescent="0.5">
      <c r="M538" s="2">
        <v>537</v>
      </c>
      <c r="N538" s="2" t="s">
        <v>3446</v>
      </c>
    </row>
    <row r="539" spans="13:14" x14ac:dyDescent="0.5">
      <c r="M539" s="2">
        <v>538</v>
      </c>
      <c r="N539" s="2" t="s">
        <v>3446</v>
      </c>
    </row>
    <row r="540" spans="13:14" x14ac:dyDescent="0.5">
      <c r="M540" s="2">
        <v>539</v>
      </c>
      <c r="N540" s="2" t="s">
        <v>3446</v>
      </c>
    </row>
    <row r="541" spans="13:14" x14ac:dyDescent="0.5">
      <c r="M541" s="2">
        <v>540</v>
      </c>
      <c r="N541" s="2" t="s">
        <v>3446</v>
      </c>
    </row>
    <row r="542" spans="13:14" x14ac:dyDescent="0.5">
      <c r="M542" s="2">
        <v>541</v>
      </c>
      <c r="N542" s="2" t="s">
        <v>3446</v>
      </c>
    </row>
    <row r="543" spans="13:14" x14ac:dyDescent="0.5">
      <c r="M543" s="2">
        <v>542</v>
      </c>
    </row>
    <row r="544" spans="13:14" x14ac:dyDescent="0.5">
      <c r="M544" s="2">
        <v>543</v>
      </c>
      <c r="N544" s="2" t="s">
        <v>3446</v>
      </c>
    </row>
    <row r="545" spans="13:14" x14ac:dyDescent="0.5">
      <c r="M545" s="2">
        <v>544</v>
      </c>
    </row>
    <row r="546" spans="13:14" x14ac:dyDescent="0.5">
      <c r="M546" s="2">
        <v>545</v>
      </c>
    </row>
    <row r="547" spans="13:14" x14ac:dyDescent="0.5">
      <c r="M547" s="2">
        <v>546</v>
      </c>
      <c r="N547" s="2" t="s">
        <v>3446</v>
      </c>
    </row>
    <row r="548" spans="13:14" x14ac:dyDescent="0.5">
      <c r="M548" s="2">
        <v>547</v>
      </c>
    </row>
    <row r="549" spans="13:14" x14ac:dyDescent="0.5">
      <c r="M549" s="2">
        <v>548</v>
      </c>
    </row>
    <row r="550" spans="13:14" x14ac:dyDescent="0.5">
      <c r="M550" s="2">
        <v>549</v>
      </c>
    </row>
    <row r="551" spans="13:14" x14ac:dyDescent="0.5">
      <c r="M551" s="2">
        <v>550</v>
      </c>
    </row>
    <row r="552" spans="13:14" x14ac:dyDescent="0.5">
      <c r="M552" s="2">
        <v>551</v>
      </c>
    </row>
    <row r="553" spans="13:14" x14ac:dyDescent="0.5">
      <c r="M553" s="2">
        <v>552</v>
      </c>
    </row>
    <row r="554" spans="13:14" x14ac:dyDescent="0.5">
      <c r="M554" s="2">
        <v>553</v>
      </c>
    </row>
    <row r="555" spans="13:14" x14ac:dyDescent="0.5">
      <c r="M555" s="2">
        <v>554</v>
      </c>
    </row>
    <row r="556" spans="13:14" x14ac:dyDescent="0.5">
      <c r="M556" s="2">
        <v>555</v>
      </c>
    </row>
    <row r="557" spans="13:14" x14ac:dyDescent="0.5">
      <c r="M557" s="2">
        <v>556</v>
      </c>
    </row>
    <row r="558" spans="13:14" x14ac:dyDescent="0.5">
      <c r="M558" s="2">
        <v>557</v>
      </c>
    </row>
    <row r="559" spans="13:14" x14ac:dyDescent="0.5">
      <c r="M559" s="2">
        <v>558</v>
      </c>
    </row>
    <row r="560" spans="13:14" x14ac:dyDescent="0.5">
      <c r="M560" s="2">
        <v>559</v>
      </c>
    </row>
    <row r="561" spans="13:14" x14ac:dyDescent="0.5">
      <c r="M561" s="2">
        <v>560</v>
      </c>
      <c r="N561" s="2" t="s">
        <v>3446</v>
      </c>
    </row>
    <row r="562" spans="13:14" x14ac:dyDescent="0.5">
      <c r="M562" s="2">
        <v>561</v>
      </c>
    </row>
    <row r="563" spans="13:14" x14ac:dyDescent="0.5">
      <c r="M563" s="2">
        <v>562</v>
      </c>
    </row>
    <row r="564" spans="13:14" x14ac:dyDescent="0.5">
      <c r="M564" s="2">
        <v>563</v>
      </c>
    </row>
    <row r="565" spans="13:14" x14ac:dyDescent="0.5">
      <c r="M565" s="2">
        <v>564</v>
      </c>
    </row>
    <row r="566" spans="13:14" x14ac:dyDescent="0.5">
      <c r="M566" s="2">
        <v>565</v>
      </c>
    </row>
    <row r="567" spans="13:14" x14ac:dyDescent="0.5">
      <c r="M567" s="2">
        <v>566</v>
      </c>
      <c r="N567" s="2" t="s">
        <v>3446</v>
      </c>
    </row>
    <row r="568" spans="13:14" x14ac:dyDescent="0.5">
      <c r="M568" s="2">
        <v>567</v>
      </c>
    </row>
    <row r="569" spans="13:14" x14ac:dyDescent="0.5">
      <c r="M569" s="2">
        <v>568</v>
      </c>
    </row>
    <row r="570" spans="13:14" x14ac:dyDescent="0.5">
      <c r="M570" s="2">
        <v>569</v>
      </c>
      <c r="N570" s="2" t="s">
        <v>3446</v>
      </c>
    </row>
    <row r="571" spans="13:14" x14ac:dyDescent="0.5">
      <c r="M571" s="2">
        <v>570</v>
      </c>
      <c r="N571" s="2" t="s">
        <v>3446</v>
      </c>
    </row>
    <row r="572" spans="13:14" x14ac:dyDescent="0.5">
      <c r="M572" s="2">
        <v>571</v>
      </c>
    </row>
    <row r="573" spans="13:14" x14ac:dyDescent="0.5">
      <c r="M573" s="2">
        <v>572</v>
      </c>
    </row>
    <row r="574" spans="13:14" x14ac:dyDescent="0.5">
      <c r="M574" s="2">
        <v>573</v>
      </c>
    </row>
    <row r="575" spans="13:14" x14ac:dyDescent="0.5">
      <c r="M575" s="2">
        <v>574</v>
      </c>
    </row>
    <row r="576" spans="13:14" x14ac:dyDescent="0.5">
      <c r="M576" s="2">
        <v>575</v>
      </c>
    </row>
    <row r="577" spans="13:13" x14ac:dyDescent="0.5">
      <c r="M577" s="2">
        <v>576</v>
      </c>
    </row>
    <row r="578" spans="13:13" x14ac:dyDescent="0.5">
      <c r="M578" s="2">
        <v>577</v>
      </c>
    </row>
    <row r="579" spans="13:13" x14ac:dyDescent="0.5">
      <c r="M579" s="2">
        <v>578</v>
      </c>
    </row>
    <row r="580" spans="13:13" x14ac:dyDescent="0.5">
      <c r="M580" s="2">
        <v>579</v>
      </c>
    </row>
    <row r="581" spans="13:13" x14ac:dyDescent="0.5">
      <c r="M581" s="2">
        <v>580</v>
      </c>
    </row>
    <row r="582" spans="13:13" x14ac:dyDescent="0.5">
      <c r="M582" s="2">
        <v>581</v>
      </c>
    </row>
    <row r="583" spans="13:13" x14ac:dyDescent="0.5">
      <c r="M583" s="2">
        <v>582</v>
      </c>
    </row>
    <row r="584" spans="13:13" x14ac:dyDescent="0.5">
      <c r="M584" s="2">
        <v>583</v>
      </c>
    </row>
    <row r="585" spans="13:13" x14ac:dyDescent="0.5">
      <c r="M585" s="2">
        <v>584</v>
      </c>
    </row>
    <row r="586" spans="13:13" x14ac:dyDescent="0.5">
      <c r="M586" s="2">
        <v>585</v>
      </c>
    </row>
    <row r="587" spans="13:13" x14ac:dyDescent="0.5">
      <c r="M587" s="2">
        <v>586</v>
      </c>
    </row>
    <row r="588" spans="13:13" x14ac:dyDescent="0.5">
      <c r="M588" s="2">
        <v>587</v>
      </c>
    </row>
    <row r="589" spans="13:13" x14ac:dyDescent="0.5">
      <c r="M589" s="2">
        <v>588</v>
      </c>
    </row>
    <row r="590" spans="13:13" x14ac:dyDescent="0.5">
      <c r="M590" s="2">
        <v>589</v>
      </c>
    </row>
    <row r="591" spans="13:13" x14ac:dyDescent="0.5">
      <c r="M591" s="2">
        <v>590</v>
      </c>
    </row>
    <row r="592" spans="13:13" x14ac:dyDescent="0.5">
      <c r="M592" s="2">
        <v>591</v>
      </c>
    </row>
    <row r="593" spans="13:13" x14ac:dyDescent="0.5">
      <c r="M593" s="2">
        <v>592</v>
      </c>
    </row>
    <row r="594" spans="13:13" x14ac:dyDescent="0.5">
      <c r="M594" s="2">
        <v>593</v>
      </c>
    </row>
    <row r="595" spans="13:13" x14ac:dyDescent="0.5">
      <c r="M595" s="2">
        <v>594</v>
      </c>
    </row>
    <row r="596" spans="13:13" x14ac:dyDescent="0.5">
      <c r="M596" s="2">
        <v>595</v>
      </c>
    </row>
    <row r="597" spans="13:13" x14ac:dyDescent="0.5">
      <c r="M597" s="2">
        <v>596</v>
      </c>
    </row>
    <row r="598" spans="13:13" x14ac:dyDescent="0.5">
      <c r="M598" s="2">
        <v>597</v>
      </c>
    </row>
    <row r="599" spans="13:13" x14ac:dyDescent="0.5">
      <c r="M599" s="2">
        <v>598</v>
      </c>
    </row>
    <row r="600" spans="13:13" x14ac:dyDescent="0.5">
      <c r="M600" s="2">
        <v>599</v>
      </c>
    </row>
    <row r="601" spans="13:13" x14ac:dyDescent="0.5">
      <c r="M601" s="2">
        <v>600</v>
      </c>
    </row>
    <row r="602" spans="13:13" x14ac:dyDescent="0.5">
      <c r="M602" s="2">
        <v>601</v>
      </c>
    </row>
    <row r="603" spans="13:13" x14ac:dyDescent="0.5">
      <c r="M603" s="2">
        <v>602</v>
      </c>
    </row>
    <row r="604" spans="13:13" x14ac:dyDescent="0.5">
      <c r="M604" s="2">
        <v>603</v>
      </c>
    </row>
    <row r="605" spans="13:13" x14ac:dyDescent="0.5">
      <c r="M605" s="2">
        <v>604</v>
      </c>
    </row>
    <row r="606" spans="13:13" x14ac:dyDescent="0.5">
      <c r="M606" s="2">
        <v>605</v>
      </c>
    </row>
    <row r="607" spans="13:13" x14ac:dyDescent="0.5">
      <c r="M607" s="2">
        <v>606</v>
      </c>
    </row>
    <row r="608" spans="13:13" x14ac:dyDescent="0.5">
      <c r="M608" s="2">
        <v>607</v>
      </c>
    </row>
    <row r="609" spans="13:14" x14ac:dyDescent="0.5">
      <c r="M609" s="2">
        <v>608</v>
      </c>
    </row>
    <row r="610" spans="13:14" x14ac:dyDescent="0.5">
      <c r="M610" s="2">
        <v>609</v>
      </c>
    </row>
    <row r="611" spans="13:14" x14ac:dyDescent="0.5">
      <c r="M611" s="2">
        <v>610</v>
      </c>
    </row>
    <row r="612" spans="13:14" x14ac:dyDescent="0.5">
      <c r="M612" s="2">
        <v>611</v>
      </c>
    </row>
    <row r="613" spans="13:14" x14ac:dyDescent="0.5">
      <c r="M613" s="2">
        <v>612</v>
      </c>
    </row>
    <row r="614" spans="13:14" x14ac:dyDescent="0.5">
      <c r="M614" s="2">
        <v>613</v>
      </c>
    </row>
    <row r="615" spans="13:14" x14ac:dyDescent="0.5">
      <c r="M615" s="2">
        <v>614</v>
      </c>
    </row>
    <row r="616" spans="13:14" x14ac:dyDescent="0.5">
      <c r="M616" s="2">
        <v>615</v>
      </c>
    </row>
    <row r="617" spans="13:14" x14ac:dyDescent="0.5">
      <c r="M617" s="2">
        <v>616</v>
      </c>
    </row>
    <row r="618" spans="13:14" x14ac:dyDescent="0.5">
      <c r="M618" s="2">
        <v>617</v>
      </c>
    </row>
    <row r="619" spans="13:14" x14ac:dyDescent="0.5">
      <c r="M619" s="2">
        <v>618</v>
      </c>
    </row>
    <row r="620" spans="13:14" x14ac:dyDescent="0.5">
      <c r="M620" s="2">
        <v>619</v>
      </c>
    </row>
    <row r="621" spans="13:14" x14ac:dyDescent="0.5">
      <c r="M621" s="2">
        <v>620</v>
      </c>
    </row>
    <row r="622" spans="13:14" x14ac:dyDescent="0.5">
      <c r="M622" s="2">
        <v>621</v>
      </c>
      <c r="N622" s="2" t="s">
        <v>3446</v>
      </c>
    </row>
    <row r="623" spans="13:14" x14ac:dyDescent="0.5">
      <c r="M623" s="2">
        <v>622</v>
      </c>
    </row>
    <row r="624" spans="13:14" x14ac:dyDescent="0.5">
      <c r="M624" s="2">
        <v>623</v>
      </c>
    </row>
    <row r="625" spans="13:14" x14ac:dyDescent="0.5">
      <c r="M625" s="2">
        <v>624</v>
      </c>
    </row>
    <row r="626" spans="13:14" x14ac:dyDescent="0.5">
      <c r="M626" s="2">
        <v>625</v>
      </c>
    </row>
    <row r="627" spans="13:14" x14ac:dyDescent="0.5">
      <c r="M627" s="2">
        <v>626</v>
      </c>
    </row>
    <row r="628" spans="13:14" x14ac:dyDescent="0.5">
      <c r="M628" s="2">
        <v>627</v>
      </c>
      <c r="N628" s="2" t="s">
        <v>3446</v>
      </c>
    </row>
    <row r="629" spans="13:14" x14ac:dyDescent="0.5">
      <c r="M629" s="2">
        <v>628</v>
      </c>
      <c r="N629" s="2" t="s">
        <v>3446</v>
      </c>
    </row>
    <row r="630" spans="13:14" x14ac:dyDescent="0.5">
      <c r="M630" s="2">
        <v>629</v>
      </c>
      <c r="N630" s="2" t="s">
        <v>3446</v>
      </c>
    </row>
    <row r="631" spans="13:14" x14ac:dyDescent="0.5">
      <c r="M631" s="2">
        <v>630</v>
      </c>
    </row>
    <row r="632" spans="13:14" x14ac:dyDescent="0.5">
      <c r="M632" s="2">
        <v>631</v>
      </c>
    </row>
    <row r="633" spans="13:14" x14ac:dyDescent="0.5">
      <c r="M633" s="2">
        <v>632</v>
      </c>
    </row>
    <row r="634" spans="13:14" x14ac:dyDescent="0.5">
      <c r="M634" s="2">
        <v>633</v>
      </c>
    </row>
    <row r="635" spans="13:14" x14ac:dyDescent="0.5">
      <c r="M635" s="2">
        <v>634</v>
      </c>
    </row>
    <row r="636" spans="13:14" x14ac:dyDescent="0.5">
      <c r="M636" s="2">
        <v>635</v>
      </c>
    </row>
    <row r="637" spans="13:14" x14ac:dyDescent="0.5">
      <c r="M637" s="2">
        <v>636</v>
      </c>
    </row>
    <row r="638" spans="13:14" x14ac:dyDescent="0.5">
      <c r="M638" s="2">
        <v>637</v>
      </c>
    </row>
    <row r="639" spans="13:14" x14ac:dyDescent="0.5">
      <c r="M639" s="2">
        <v>638</v>
      </c>
    </row>
    <row r="640" spans="13:14" x14ac:dyDescent="0.5">
      <c r="M640" s="2">
        <v>639</v>
      </c>
    </row>
    <row r="641" spans="13:14" x14ac:dyDescent="0.5">
      <c r="M641" s="2">
        <v>640</v>
      </c>
      <c r="N641" s="2" t="s">
        <v>3446</v>
      </c>
    </row>
    <row r="642" spans="13:14" x14ac:dyDescent="0.5">
      <c r="M642" s="2">
        <v>641</v>
      </c>
    </row>
    <row r="643" spans="13:14" x14ac:dyDescent="0.5">
      <c r="M643" s="2">
        <v>642</v>
      </c>
    </row>
    <row r="644" spans="13:14" x14ac:dyDescent="0.5">
      <c r="M644" s="2">
        <v>643</v>
      </c>
    </row>
    <row r="645" spans="13:14" x14ac:dyDescent="0.5">
      <c r="M645" s="2">
        <v>644</v>
      </c>
    </row>
    <row r="646" spans="13:14" x14ac:dyDescent="0.5">
      <c r="M646" s="2">
        <v>645</v>
      </c>
    </row>
    <row r="647" spans="13:14" x14ac:dyDescent="0.5">
      <c r="M647" s="2">
        <v>646</v>
      </c>
    </row>
    <row r="648" spans="13:14" x14ac:dyDescent="0.5">
      <c r="M648" s="2">
        <v>647</v>
      </c>
    </row>
    <row r="649" spans="13:14" x14ac:dyDescent="0.5">
      <c r="M649" s="2">
        <v>648</v>
      </c>
    </row>
    <row r="650" spans="13:14" x14ac:dyDescent="0.5">
      <c r="M650" s="2">
        <v>649</v>
      </c>
    </row>
    <row r="651" spans="13:14" x14ac:dyDescent="0.5">
      <c r="M651" s="2">
        <v>650</v>
      </c>
    </row>
    <row r="652" spans="13:14" x14ac:dyDescent="0.5">
      <c r="M652" s="2">
        <v>651</v>
      </c>
    </row>
    <row r="653" spans="13:14" x14ac:dyDescent="0.5">
      <c r="M653" s="2">
        <v>652</v>
      </c>
    </row>
    <row r="654" spans="13:14" x14ac:dyDescent="0.5">
      <c r="M654" s="2">
        <v>653</v>
      </c>
    </row>
    <row r="655" spans="13:14" x14ac:dyDescent="0.5">
      <c r="M655" s="2">
        <v>654</v>
      </c>
    </row>
    <row r="656" spans="13:14" x14ac:dyDescent="0.5">
      <c r="M656" s="2">
        <v>655</v>
      </c>
    </row>
    <row r="657" spans="13:14" x14ac:dyDescent="0.5">
      <c r="M657" s="2">
        <v>656</v>
      </c>
      <c r="N657" s="2" t="s">
        <v>3446</v>
      </c>
    </row>
    <row r="658" spans="13:14" x14ac:dyDescent="0.5">
      <c r="M658" s="2">
        <v>657</v>
      </c>
    </row>
    <row r="659" spans="13:14" x14ac:dyDescent="0.5">
      <c r="M659" s="2">
        <v>658</v>
      </c>
    </row>
    <row r="660" spans="13:14" x14ac:dyDescent="0.5">
      <c r="M660" s="2">
        <v>659</v>
      </c>
    </row>
    <row r="661" spans="13:14" x14ac:dyDescent="0.5">
      <c r="M661" s="2">
        <v>660</v>
      </c>
      <c r="N661" s="2" t="s">
        <v>3446</v>
      </c>
    </row>
    <row r="662" spans="13:14" x14ac:dyDescent="0.5">
      <c r="M662" s="2">
        <v>661</v>
      </c>
    </row>
    <row r="663" spans="13:14" x14ac:dyDescent="0.5">
      <c r="M663" s="2">
        <v>662</v>
      </c>
    </row>
    <row r="664" spans="13:14" x14ac:dyDescent="0.5">
      <c r="M664" s="2">
        <v>663</v>
      </c>
    </row>
    <row r="665" spans="13:14" x14ac:dyDescent="0.5">
      <c r="M665" s="2">
        <v>664</v>
      </c>
    </row>
    <row r="666" spans="13:14" x14ac:dyDescent="0.5">
      <c r="M666" s="2">
        <v>665</v>
      </c>
    </row>
    <row r="667" spans="13:14" x14ac:dyDescent="0.5">
      <c r="M667" s="2">
        <v>666</v>
      </c>
    </row>
    <row r="668" spans="13:14" x14ac:dyDescent="0.5">
      <c r="M668" s="2">
        <v>667</v>
      </c>
    </row>
    <row r="669" spans="13:14" x14ac:dyDescent="0.5">
      <c r="M669" s="2">
        <v>668</v>
      </c>
    </row>
    <row r="670" spans="13:14" x14ac:dyDescent="0.5">
      <c r="M670" s="2">
        <v>669</v>
      </c>
    </row>
    <row r="671" spans="13:14" x14ac:dyDescent="0.5">
      <c r="M671" s="2">
        <v>670</v>
      </c>
    </row>
    <row r="672" spans="13:14" x14ac:dyDescent="0.5">
      <c r="M672" s="2">
        <v>671</v>
      </c>
    </row>
    <row r="673" spans="13:14" x14ac:dyDescent="0.5">
      <c r="M673" s="2">
        <v>672</v>
      </c>
    </row>
    <row r="674" spans="13:14" x14ac:dyDescent="0.5">
      <c r="M674" s="2">
        <v>673</v>
      </c>
    </row>
    <row r="675" spans="13:14" x14ac:dyDescent="0.5">
      <c r="M675" s="2">
        <v>674</v>
      </c>
    </row>
    <row r="676" spans="13:14" x14ac:dyDescent="0.5">
      <c r="M676" s="2">
        <v>675</v>
      </c>
    </row>
    <row r="677" spans="13:14" x14ac:dyDescent="0.5">
      <c r="M677" s="2">
        <v>676</v>
      </c>
    </row>
    <row r="678" spans="13:14" x14ac:dyDescent="0.5">
      <c r="M678" s="2">
        <v>677</v>
      </c>
    </row>
    <row r="679" spans="13:14" x14ac:dyDescent="0.5">
      <c r="M679" s="2">
        <v>678</v>
      </c>
    </row>
    <row r="680" spans="13:14" x14ac:dyDescent="0.5">
      <c r="M680" s="2">
        <v>679</v>
      </c>
    </row>
    <row r="681" spans="13:14" x14ac:dyDescent="0.5">
      <c r="M681" s="2">
        <v>680</v>
      </c>
    </row>
    <row r="682" spans="13:14" x14ac:dyDescent="0.5">
      <c r="M682" s="2">
        <v>681</v>
      </c>
    </row>
    <row r="683" spans="13:14" x14ac:dyDescent="0.5">
      <c r="M683" s="2">
        <v>682</v>
      </c>
    </row>
    <row r="684" spans="13:14" x14ac:dyDescent="0.5">
      <c r="M684" s="2">
        <v>683</v>
      </c>
    </row>
    <row r="685" spans="13:14" x14ac:dyDescent="0.5">
      <c r="M685" s="2">
        <v>684</v>
      </c>
    </row>
    <row r="686" spans="13:14" x14ac:dyDescent="0.5">
      <c r="M686" s="2">
        <v>685</v>
      </c>
      <c r="N686" s="2" t="s">
        <v>3446</v>
      </c>
    </row>
    <row r="687" spans="13:14" x14ac:dyDescent="0.5">
      <c r="M687" s="2">
        <v>686</v>
      </c>
    </row>
    <row r="688" spans="13:14" x14ac:dyDescent="0.5">
      <c r="M688" s="2">
        <v>687</v>
      </c>
    </row>
    <row r="689" spans="13:14" x14ac:dyDescent="0.5">
      <c r="M689" s="2">
        <v>688</v>
      </c>
    </row>
    <row r="690" spans="13:14" x14ac:dyDescent="0.5">
      <c r="M690" s="2">
        <v>689</v>
      </c>
    </row>
    <row r="691" spans="13:14" x14ac:dyDescent="0.5">
      <c r="M691" s="2">
        <v>690</v>
      </c>
    </row>
    <row r="692" spans="13:14" x14ac:dyDescent="0.5">
      <c r="M692" s="2">
        <v>691</v>
      </c>
    </row>
    <row r="693" spans="13:14" x14ac:dyDescent="0.5">
      <c r="M693" s="2">
        <v>692</v>
      </c>
    </row>
    <row r="694" spans="13:14" x14ac:dyDescent="0.5">
      <c r="M694" s="2">
        <v>693</v>
      </c>
    </row>
    <row r="695" spans="13:14" x14ac:dyDescent="0.5">
      <c r="M695" s="2">
        <v>694</v>
      </c>
      <c r="N695" s="2" t="s">
        <v>3446</v>
      </c>
    </row>
    <row r="696" spans="13:14" x14ac:dyDescent="0.5">
      <c r="M696" s="2">
        <v>695</v>
      </c>
    </row>
    <row r="697" spans="13:14" x14ac:dyDescent="0.5">
      <c r="M697" s="2">
        <v>696</v>
      </c>
    </row>
    <row r="698" spans="13:14" x14ac:dyDescent="0.5">
      <c r="M698" s="2">
        <v>697</v>
      </c>
    </row>
    <row r="699" spans="13:14" x14ac:dyDescent="0.5">
      <c r="M699" s="2">
        <v>698</v>
      </c>
    </row>
    <row r="700" spans="13:14" x14ac:dyDescent="0.5">
      <c r="M700" s="2">
        <v>699</v>
      </c>
    </row>
    <row r="701" spans="13:14" x14ac:dyDescent="0.5">
      <c r="M701" s="2">
        <v>700</v>
      </c>
    </row>
    <row r="702" spans="13:14" x14ac:dyDescent="0.5">
      <c r="M702" s="2">
        <v>701</v>
      </c>
    </row>
    <row r="703" spans="13:14" x14ac:dyDescent="0.5">
      <c r="M703" s="2">
        <v>702</v>
      </c>
    </row>
    <row r="704" spans="13:14" x14ac:dyDescent="0.5">
      <c r="M704" s="2">
        <v>703</v>
      </c>
    </row>
    <row r="705" spans="13:13" x14ac:dyDescent="0.5">
      <c r="M705" s="2">
        <v>704</v>
      </c>
    </row>
    <row r="706" spans="13:13" x14ac:dyDescent="0.5">
      <c r="M706" s="2">
        <v>705</v>
      </c>
    </row>
    <row r="707" spans="13:13" x14ac:dyDescent="0.5">
      <c r="M707" s="2">
        <v>706</v>
      </c>
    </row>
    <row r="708" spans="13:13" x14ac:dyDescent="0.5">
      <c r="M708" s="2">
        <v>707</v>
      </c>
    </row>
    <row r="709" spans="13:13" x14ac:dyDescent="0.5">
      <c r="M709" s="2">
        <v>708</v>
      </c>
    </row>
    <row r="710" spans="13:13" x14ac:dyDescent="0.5">
      <c r="M710" s="2">
        <v>709</v>
      </c>
    </row>
    <row r="711" spans="13:13" x14ac:dyDescent="0.5">
      <c r="M711" s="2">
        <v>710</v>
      </c>
    </row>
    <row r="712" spans="13:13" x14ac:dyDescent="0.5">
      <c r="M712" s="2">
        <v>711</v>
      </c>
    </row>
    <row r="713" spans="13:13" x14ac:dyDescent="0.5">
      <c r="M713" s="2">
        <v>712</v>
      </c>
    </row>
    <row r="714" spans="13:13" x14ac:dyDescent="0.5">
      <c r="M714" s="2">
        <v>713</v>
      </c>
    </row>
    <row r="715" spans="13:13" x14ac:dyDescent="0.5">
      <c r="M715" s="2">
        <v>714</v>
      </c>
    </row>
    <row r="716" spans="13:13" x14ac:dyDescent="0.5">
      <c r="M716" s="2">
        <v>715</v>
      </c>
    </row>
    <row r="717" spans="13:13" x14ac:dyDescent="0.5">
      <c r="M717" s="2">
        <v>716</v>
      </c>
    </row>
    <row r="718" spans="13:13" x14ac:dyDescent="0.5">
      <c r="M718" s="2">
        <v>717</v>
      </c>
    </row>
    <row r="719" spans="13:13" x14ac:dyDescent="0.5">
      <c r="M719" s="2">
        <v>718</v>
      </c>
    </row>
    <row r="720" spans="13:13" x14ac:dyDescent="0.5">
      <c r="M720" s="2">
        <v>719</v>
      </c>
    </row>
    <row r="721" spans="13:13" x14ac:dyDescent="0.5">
      <c r="M721" s="2">
        <v>720</v>
      </c>
    </row>
    <row r="722" spans="13:13" x14ac:dyDescent="0.5">
      <c r="M722" s="2">
        <v>721</v>
      </c>
    </row>
    <row r="723" spans="13:13" x14ac:dyDescent="0.5">
      <c r="M723" s="2">
        <v>722</v>
      </c>
    </row>
    <row r="724" spans="13:13" x14ac:dyDescent="0.5">
      <c r="M724" s="2">
        <v>723</v>
      </c>
    </row>
    <row r="725" spans="13:13" x14ac:dyDescent="0.5">
      <c r="M725" s="2">
        <v>724</v>
      </c>
    </row>
    <row r="726" spans="13:13" x14ac:dyDescent="0.5">
      <c r="M726" s="2">
        <v>725</v>
      </c>
    </row>
    <row r="727" spans="13:13" x14ac:dyDescent="0.5">
      <c r="M727" s="2">
        <v>726</v>
      </c>
    </row>
    <row r="728" spans="13:13" x14ac:dyDescent="0.5">
      <c r="M728" s="2">
        <v>727</v>
      </c>
    </row>
    <row r="729" spans="13:13" x14ac:dyDescent="0.5">
      <c r="M729" s="2">
        <v>728</v>
      </c>
    </row>
    <row r="730" spans="13:13" x14ac:dyDescent="0.5">
      <c r="M730" s="2">
        <v>729</v>
      </c>
    </row>
    <row r="731" spans="13:13" x14ac:dyDescent="0.5">
      <c r="M731" s="2">
        <v>730</v>
      </c>
    </row>
    <row r="732" spans="13:13" x14ac:dyDescent="0.5">
      <c r="M732" s="2">
        <v>731</v>
      </c>
    </row>
    <row r="733" spans="13:13" x14ac:dyDescent="0.5">
      <c r="M733" s="2">
        <v>732</v>
      </c>
    </row>
    <row r="734" spans="13:13" x14ac:dyDescent="0.5">
      <c r="M734" s="2">
        <v>733</v>
      </c>
    </row>
    <row r="735" spans="13:13" x14ac:dyDescent="0.5">
      <c r="M735" s="2">
        <v>734</v>
      </c>
    </row>
    <row r="736" spans="13:13" x14ac:dyDescent="0.5">
      <c r="M736" s="2">
        <v>735</v>
      </c>
    </row>
    <row r="737" spans="13:13" x14ac:dyDescent="0.5">
      <c r="M737" s="2">
        <v>736</v>
      </c>
    </row>
    <row r="738" spans="13:13" x14ac:dyDescent="0.5">
      <c r="M738" s="2">
        <v>737</v>
      </c>
    </row>
    <row r="739" spans="13:13" x14ac:dyDescent="0.5">
      <c r="M739" s="2">
        <v>738</v>
      </c>
    </row>
    <row r="740" spans="13:13" x14ac:dyDescent="0.5">
      <c r="M740" s="2">
        <v>739</v>
      </c>
    </row>
    <row r="741" spans="13:13" x14ac:dyDescent="0.5">
      <c r="M741" s="2">
        <v>740</v>
      </c>
    </row>
    <row r="742" spans="13:13" x14ac:dyDescent="0.5">
      <c r="M742" s="2">
        <v>741</v>
      </c>
    </row>
    <row r="743" spans="13:13" x14ac:dyDescent="0.5">
      <c r="M743" s="2">
        <v>742</v>
      </c>
    </row>
    <row r="744" spans="13:13" x14ac:dyDescent="0.5">
      <c r="M744" s="2">
        <v>743</v>
      </c>
    </row>
    <row r="745" spans="13:13" x14ac:dyDescent="0.5">
      <c r="M745" s="2">
        <v>744</v>
      </c>
    </row>
    <row r="746" spans="13:13" x14ac:dyDescent="0.5">
      <c r="M746" s="2">
        <v>745</v>
      </c>
    </row>
    <row r="747" spans="13:13" x14ac:dyDescent="0.5">
      <c r="M747" s="2">
        <v>746</v>
      </c>
    </row>
    <row r="748" spans="13:13" x14ac:dyDescent="0.5">
      <c r="M748" s="2">
        <v>747</v>
      </c>
    </row>
    <row r="749" spans="13:13" x14ac:dyDescent="0.5">
      <c r="M749" s="2">
        <v>748</v>
      </c>
    </row>
    <row r="750" spans="13:13" x14ac:dyDescent="0.5">
      <c r="M750" s="2">
        <v>749</v>
      </c>
    </row>
    <row r="751" spans="13:13" x14ac:dyDescent="0.5">
      <c r="M751" s="2">
        <v>750</v>
      </c>
    </row>
    <row r="752" spans="13:13" x14ac:dyDescent="0.5">
      <c r="M752" s="2">
        <v>751</v>
      </c>
    </row>
    <row r="753" spans="13:13" x14ac:dyDescent="0.5">
      <c r="M753" s="2">
        <v>752</v>
      </c>
    </row>
    <row r="754" spans="13:13" x14ac:dyDescent="0.5">
      <c r="M754" s="2">
        <v>753</v>
      </c>
    </row>
    <row r="755" spans="13:13" x14ac:dyDescent="0.5">
      <c r="M755" s="2">
        <v>754</v>
      </c>
    </row>
    <row r="756" spans="13:13" x14ac:dyDescent="0.5">
      <c r="M756" s="2">
        <v>755</v>
      </c>
    </row>
    <row r="757" spans="13:13" x14ac:dyDescent="0.5">
      <c r="M757" s="2">
        <v>756</v>
      </c>
    </row>
    <row r="758" spans="13:13" x14ac:dyDescent="0.5">
      <c r="M758" s="2">
        <v>757</v>
      </c>
    </row>
    <row r="759" spans="13:13" x14ac:dyDescent="0.5">
      <c r="M759" s="2">
        <v>758</v>
      </c>
    </row>
    <row r="760" spans="13:13" x14ac:dyDescent="0.5">
      <c r="M760" s="2">
        <v>759</v>
      </c>
    </row>
    <row r="761" spans="13:13" x14ac:dyDescent="0.5">
      <c r="M761" s="2">
        <v>760</v>
      </c>
    </row>
    <row r="762" spans="13:13" x14ac:dyDescent="0.5">
      <c r="M762" s="2">
        <v>761</v>
      </c>
    </row>
    <row r="763" spans="13:13" x14ac:dyDescent="0.5">
      <c r="M763" s="2">
        <v>762</v>
      </c>
    </row>
    <row r="764" spans="13:13" x14ac:dyDescent="0.5">
      <c r="M764" s="2">
        <v>763</v>
      </c>
    </row>
    <row r="765" spans="13:13" x14ac:dyDescent="0.5">
      <c r="M765" s="2">
        <v>764</v>
      </c>
    </row>
    <row r="766" spans="13:13" x14ac:dyDescent="0.5">
      <c r="M766" s="2">
        <v>765</v>
      </c>
    </row>
    <row r="767" spans="13:13" x14ac:dyDescent="0.5">
      <c r="M767" s="2">
        <v>766</v>
      </c>
    </row>
    <row r="768" spans="13:13" x14ac:dyDescent="0.5">
      <c r="M768" s="2">
        <v>767</v>
      </c>
    </row>
    <row r="769" spans="13:14" x14ac:dyDescent="0.5">
      <c r="M769" s="2">
        <v>768</v>
      </c>
    </row>
    <row r="770" spans="13:14" x14ac:dyDescent="0.5">
      <c r="M770" s="2">
        <v>769</v>
      </c>
    </row>
    <row r="771" spans="13:14" x14ac:dyDescent="0.5">
      <c r="M771" s="2">
        <v>770</v>
      </c>
    </row>
    <row r="772" spans="13:14" x14ac:dyDescent="0.5">
      <c r="M772" s="2">
        <v>771</v>
      </c>
    </row>
    <row r="773" spans="13:14" x14ac:dyDescent="0.5">
      <c r="M773" s="2">
        <v>772</v>
      </c>
    </row>
    <row r="774" spans="13:14" x14ac:dyDescent="0.5">
      <c r="M774" s="2">
        <v>773</v>
      </c>
    </row>
    <row r="775" spans="13:14" x14ac:dyDescent="0.5">
      <c r="M775" s="2">
        <v>774</v>
      </c>
    </row>
    <row r="776" spans="13:14" x14ac:dyDescent="0.5">
      <c r="M776" s="2">
        <v>775</v>
      </c>
    </row>
    <row r="777" spans="13:14" x14ac:dyDescent="0.5">
      <c r="M777" s="2">
        <v>776</v>
      </c>
    </row>
    <row r="778" spans="13:14" x14ac:dyDescent="0.5">
      <c r="M778" s="2">
        <v>777</v>
      </c>
    </row>
    <row r="779" spans="13:14" x14ac:dyDescent="0.5">
      <c r="M779" s="2">
        <v>778</v>
      </c>
      <c r="N779" s="2" t="s">
        <v>3446</v>
      </c>
    </row>
    <row r="780" spans="13:14" x14ac:dyDescent="0.5">
      <c r="M780" s="2">
        <v>779</v>
      </c>
    </row>
    <row r="781" spans="13:14" x14ac:dyDescent="0.5">
      <c r="M781" s="2">
        <v>780</v>
      </c>
    </row>
    <row r="782" spans="13:14" x14ac:dyDescent="0.5">
      <c r="M782" s="2">
        <v>781</v>
      </c>
      <c r="N782" s="2" t="s">
        <v>3446</v>
      </c>
    </row>
    <row r="783" spans="13:14" x14ac:dyDescent="0.5">
      <c r="M783" s="2">
        <v>782</v>
      </c>
    </row>
    <row r="784" spans="13:14" x14ac:dyDescent="0.5">
      <c r="M784" s="2">
        <v>783</v>
      </c>
    </row>
    <row r="785" spans="13:14" x14ac:dyDescent="0.5">
      <c r="M785" s="2">
        <v>784</v>
      </c>
    </row>
    <row r="786" spans="13:14" x14ac:dyDescent="0.5">
      <c r="M786" s="2">
        <v>785</v>
      </c>
    </row>
    <row r="787" spans="13:14" x14ac:dyDescent="0.5">
      <c r="M787" s="2">
        <v>786</v>
      </c>
      <c r="N787" s="2" t="s">
        <v>3446</v>
      </c>
    </row>
    <row r="788" spans="13:14" x14ac:dyDescent="0.5">
      <c r="M788" s="2">
        <v>787</v>
      </c>
    </row>
    <row r="789" spans="13:14" x14ac:dyDescent="0.5">
      <c r="M789" s="2">
        <v>788</v>
      </c>
    </row>
    <row r="790" spans="13:14" x14ac:dyDescent="0.5">
      <c r="M790" s="2">
        <v>789</v>
      </c>
    </row>
    <row r="791" spans="13:14" x14ac:dyDescent="0.5">
      <c r="M791" s="2">
        <v>790</v>
      </c>
    </row>
    <row r="792" spans="13:14" x14ac:dyDescent="0.5">
      <c r="M792" s="2">
        <v>791</v>
      </c>
    </row>
    <row r="793" spans="13:14" x14ac:dyDescent="0.5">
      <c r="M793" s="2">
        <v>792</v>
      </c>
    </row>
    <row r="794" spans="13:14" x14ac:dyDescent="0.5">
      <c r="M794" s="2">
        <v>793</v>
      </c>
    </row>
    <row r="795" spans="13:14" x14ac:dyDescent="0.5">
      <c r="M795" s="2">
        <v>794</v>
      </c>
    </row>
    <row r="796" spans="13:14" x14ac:dyDescent="0.5">
      <c r="M796" s="2">
        <v>795</v>
      </c>
    </row>
    <row r="797" spans="13:14" x14ac:dyDescent="0.5">
      <c r="M797" s="2">
        <v>796</v>
      </c>
    </row>
    <row r="798" spans="13:14" x14ac:dyDescent="0.5">
      <c r="M798" s="2">
        <v>797</v>
      </c>
    </row>
    <row r="799" spans="13:14" x14ac:dyDescent="0.5">
      <c r="M799" s="2">
        <v>798</v>
      </c>
    </row>
    <row r="800" spans="13:14" x14ac:dyDescent="0.5">
      <c r="M800" s="2">
        <v>799</v>
      </c>
    </row>
    <row r="801" spans="13:13" x14ac:dyDescent="0.5">
      <c r="M801" s="2">
        <v>800</v>
      </c>
    </row>
    <row r="802" spans="13:13" x14ac:dyDescent="0.5">
      <c r="M802" s="2">
        <v>801</v>
      </c>
    </row>
    <row r="803" spans="13:13" x14ac:dyDescent="0.5">
      <c r="M803" s="2">
        <v>802</v>
      </c>
    </row>
    <row r="804" spans="13:13" x14ac:dyDescent="0.5">
      <c r="M804" s="2">
        <v>803</v>
      </c>
    </row>
    <row r="805" spans="13:13" x14ac:dyDescent="0.5">
      <c r="M805" s="2">
        <v>804</v>
      </c>
    </row>
    <row r="806" spans="13:13" x14ac:dyDescent="0.5">
      <c r="M806" s="2">
        <v>805</v>
      </c>
    </row>
    <row r="807" spans="13:13" x14ac:dyDescent="0.5">
      <c r="M807" s="2">
        <v>806</v>
      </c>
    </row>
    <row r="808" spans="13:13" x14ac:dyDescent="0.5">
      <c r="M808" s="2">
        <v>807</v>
      </c>
    </row>
    <row r="809" spans="13:13" x14ac:dyDescent="0.5">
      <c r="M809" s="2">
        <v>808</v>
      </c>
    </row>
    <row r="810" spans="13:13" x14ac:dyDescent="0.5">
      <c r="M810" s="2">
        <v>809</v>
      </c>
    </row>
    <row r="811" spans="13:13" x14ac:dyDescent="0.5">
      <c r="M811" s="2">
        <v>810</v>
      </c>
    </row>
    <row r="812" spans="13:13" x14ac:dyDescent="0.5">
      <c r="M812" s="2">
        <v>811</v>
      </c>
    </row>
    <row r="813" spans="13:13" x14ac:dyDescent="0.5">
      <c r="M813" s="2">
        <v>812</v>
      </c>
    </row>
    <row r="814" spans="13:13" x14ac:dyDescent="0.5">
      <c r="M814" s="2">
        <v>813</v>
      </c>
    </row>
    <row r="815" spans="13:13" x14ac:dyDescent="0.5">
      <c r="M815" s="2">
        <v>814</v>
      </c>
    </row>
    <row r="816" spans="13:13" x14ac:dyDescent="0.5">
      <c r="M816" s="2">
        <v>815</v>
      </c>
    </row>
    <row r="817" spans="13:14" x14ac:dyDescent="0.5">
      <c r="M817" s="2">
        <v>816</v>
      </c>
      <c r="N817" s="2" t="s">
        <v>3446</v>
      </c>
    </row>
    <row r="818" spans="13:14" x14ac:dyDescent="0.5">
      <c r="M818" s="2">
        <v>817</v>
      </c>
    </row>
    <row r="819" spans="13:14" x14ac:dyDescent="0.5">
      <c r="M819" s="2">
        <v>818</v>
      </c>
    </row>
    <row r="820" spans="13:14" x14ac:dyDescent="0.5">
      <c r="M820" s="2">
        <v>819</v>
      </c>
    </row>
    <row r="821" spans="13:14" x14ac:dyDescent="0.5">
      <c r="M821" s="2">
        <v>820</v>
      </c>
    </row>
    <row r="822" spans="13:14" x14ac:dyDescent="0.5">
      <c r="M822" s="2">
        <v>821</v>
      </c>
    </row>
    <row r="823" spans="13:14" x14ac:dyDescent="0.5">
      <c r="M823" s="2">
        <v>822</v>
      </c>
    </row>
    <row r="824" spans="13:14" x14ac:dyDescent="0.5">
      <c r="M824" s="2">
        <v>823</v>
      </c>
    </row>
    <row r="825" spans="13:14" x14ac:dyDescent="0.5">
      <c r="M825" s="2">
        <v>824</v>
      </c>
      <c r="N825" s="2" t="s">
        <v>3446</v>
      </c>
    </row>
    <row r="826" spans="13:14" x14ac:dyDescent="0.5">
      <c r="M826" s="2">
        <v>825</v>
      </c>
    </row>
    <row r="827" spans="13:14" x14ac:dyDescent="0.5">
      <c r="M827" s="2">
        <v>826</v>
      </c>
      <c r="N827" s="2" t="s">
        <v>3446</v>
      </c>
    </row>
    <row r="828" spans="13:14" x14ac:dyDescent="0.5">
      <c r="M828" s="2">
        <v>827</v>
      </c>
    </row>
    <row r="829" spans="13:14" x14ac:dyDescent="0.5">
      <c r="M829" s="2">
        <v>828</v>
      </c>
    </row>
    <row r="830" spans="13:14" x14ac:dyDescent="0.5">
      <c r="M830" s="2">
        <v>829</v>
      </c>
      <c r="N830" s="2" t="s">
        <v>3446</v>
      </c>
    </row>
    <row r="831" spans="13:14" x14ac:dyDescent="0.5">
      <c r="M831" s="2">
        <v>830</v>
      </c>
      <c r="N831" s="2" t="s">
        <v>3446</v>
      </c>
    </row>
    <row r="832" spans="13:14" x14ac:dyDescent="0.5">
      <c r="M832" s="2">
        <v>831</v>
      </c>
      <c r="N832" s="2" t="s">
        <v>3446</v>
      </c>
    </row>
    <row r="833" spans="13:14" x14ac:dyDescent="0.5">
      <c r="M833" s="2">
        <v>832</v>
      </c>
      <c r="N833" s="2" t="s">
        <v>3446</v>
      </c>
    </row>
    <row r="834" spans="13:14" x14ac:dyDescent="0.5">
      <c r="M834" s="2">
        <v>833</v>
      </c>
    </row>
    <row r="835" spans="13:14" x14ac:dyDescent="0.5">
      <c r="M835" s="2">
        <v>834</v>
      </c>
    </row>
    <row r="836" spans="13:14" x14ac:dyDescent="0.5">
      <c r="M836" s="2">
        <v>835</v>
      </c>
    </row>
    <row r="837" spans="13:14" x14ac:dyDescent="0.5">
      <c r="M837" s="2">
        <v>836</v>
      </c>
    </row>
    <row r="838" spans="13:14" x14ac:dyDescent="0.5">
      <c r="M838" s="2">
        <v>837</v>
      </c>
      <c r="N838" s="2" t="s">
        <v>3446</v>
      </c>
    </row>
    <row r="839" spans="13:14" x14ac:dyDescent="0.5">
      <c r="M839" s="2">
        <v>838</v>
      </c>
      <c r="N839" s="2" t="s">
        <v>3446</v>
      </c>
    </row>
    <row r="840" spans="13:14" x14ac:dyDescent="0.5">
      <c r="M840" s="2">
        <v>839</v>
      </c>
      <c r="N840" s="2" t="s">
        <v>3446</v>
      </c>
    </row>
    <row r="841" spans="13:14" x14ac:dyDescent="0.5">
      <c r="M841" s="2">
        <v>840</v>
      </c>
    </row>
    <row r="842" spans="13:14" x14ac:dyDescent="0.5">
      <c r="M842" s="2">
        <v>841</v>
      </c>
      <c r="N842" s="2" t="s">
        <v>3446</v>
      </c>
    </row>
    <row r="843" spans="13:14" x14ac:dyDescent="0.5">
      <c r="M843" s="2">
        <v>842</v>
      </c>
      <c r="N843" s="2" t="s">
        <v>3446</v>
      </c>
    </row>
    <row r="844" spans="13:14" x14ac:dyDescent="0.5">
      <c r="M844" s="2">
        <v>843</v>
      </c>
    </row>
    <row r="845" spans="13:14" x14ac:dyDescent="0.5">
      <c r="M845" s="2">
        <v>844</v>
      </c>
    </row>
    <row r="846" spans="13:14" x14ac:dyDescent="0.5">
      <c r="M846" s="2">
        <v>845</v>
      </c>
      <c r="N846" s="2" t="s">
        <v>3446</v>
      </c>
    </row>
    <row r="847" spans="13:14" x14ac:dyDescent="0.5">
      <c r="M847" s="2">
        <v>846</v>
      </c>
    </row>
    <row r="848" spans="13:14" x14ac:dyDescent="0.5">
      <c r="M848" s="2">
        <v>847</v>
      </c>
      <c r="N848" s="2" t="s">
        <v>3446</v>
      </c>
    </row>
    <row r="849" spans="13:14" x14ac:dyDescent="0.5">
      <c r="M849" s="2">
        <v>848</v>
      </c>
    </row>
    <row r="850" spans="13:14" x14ac:dyDescent="0.5">
      <c r="M850" s="2">
        <v>849</v>
      </c>
      <c r="N850" s="2" t="s">
        <v>3446</v>
      </c>
    </row>
    <row r="851" spans="13:14" x14ac:dyDescent="0.5">
      <c r="M851" s="2">
        <v>850</v>
      </c>
      <c r="N851" s="2" t="s">
        <v>3446</v>
      </c>
    </row>
    <row r="852" spans="13:14" x14ac:dyDescent="0.5">
      <c r="M852" s="2">
        <v>851</v>
      </c>
    </row>
    <row r="853" spans="13:14" x14ac:dyDescent="0.5">
      <c r="M853" s="2">
        <v>852</v>
      </c>
    </row>
    <row r="854" spans="13:14" x14ac:dyDescent="0.5">
      <c r="M854" s="2">
        <v>853</v>
      </c>
    </row>
    <row r="855" spans="13:14" x14ac:dyDescent="0.5">
      <c r="M855" s="2">
        <v>854</v>
      </c>
    </row>
    <row r="856" spans="13:14" x14ac:dyDescent="0.5">
      <c r="M856" s="2">
        <v>855</v>
      </c>
    </row>
    <row r="857" spans="13:14" x14ac:dyDescent="0.5">
      <c r="M857" s="2">
        <v>856</v>
      </c>
    </row>
    <row r="858" spans="13:14" x14ac:dyDescent="0.5">
      <c r="M858" s="2">
        <v>857</v>
      </c>
    </row>
    <row r="859" spans="13:14" x14ac:dyDescent="0.5">
      <c r="M859" s="2">
        <v>858</v>
      </c>
    </row>
    <row r="860" spans="13:14" x14ac:dyDescent="0.5">
      <c r="M860" s="2">
        <v>859</v>
      </c>
    </row>
    <row r="861" spans="13:14" x14ac:dyDescent="0.5">
      <c r="M861" s="2">
        <v>860</v>
      </c>
    </row>
    <row r="862" spans="13:14" x14ac:dyDescent="0.5">
      <c r="M862" s="2">
        <v>861</v>
      </c>
    </row>
    <row r="863" spans="13:14" x14ac:dyDescent="0.5">
      <c r="M863" s="2">
        <v>862</v>
      </c>
    </row>
    <row r="864" spans="13:14" x14ac:dyDescent="0.5">
      <c r="M864" s="2">
        <v>863</v>
      </c>
    </row>
    <row r="865" spans="13:13" x14ac:dyDescent="0.5">
      <c r="M865" s="2">
        <v>864</v>
      </c>
    </row>
    <row r="866" spans="13:13" x14ac:dyDescent="0.5">
      <c r="M866" s="2">
        <v>865</v>
      </c>
    </row>
    <row r="867" spans="13:13" x14ac:dyDescent="0.5">
      <c r="M867" s="2">
        <v>866</v>
      </c>
    </row>
    <row r="868" spans="13:13" x14ac:dyDescent="0.5">
      <c r="M868" s="2">
        <v>867</v>
      </c>
    </row>
    <row r="869" spans="13:13" x14ac:dyDescent="0.5">
      <c r="M869" s="2">
        <v>868</v>
      </c>
    </row>
    <row r="870" spans="13:13" x14ac:dyDescent="0.5">
      <c r="M870" s="2">
        <v>869</v>
      </c>
    </row>
    <row r="871" spans="13:13" x14ac:dyDescent="0.5">
      <c r="M871" s="2">
        <v>870</v>
      </c>
    </row>
    <row r="872" spans="13:13" x14ac:dyDescent="0.5">
      <c r="M872" s="2">
        <v>871</v>
      </c>
    </row>
    <row r="873" spans="13:13" x14ac:dyDescent="0.5">
      <c r="M873" s="2">
        <v>872</v>
      </c>
    </row>
    <row r="874" spans="13:13" x14ac:dyDescent="0.5">
      <c r="M874" s="2">
        <v>873</v>
      </c>
    </row>
    <row r="875" spans="13:13" x14ac:dyDescent="0.5">
      <c r="M875" s="2">
        <v>874</v>
      </c>
    </row>
    <row r="876" spans="13:13" x14ac:dyDescent="0.5">
      <c r="M876" s="2">
        <v>875</v>
      </c>
    </row>
    <row r="877" spans="13:13" x14ac:dyDescent="0.5">
      <c r="M877" s="2">
        <v>876</v>
      </c>
    </row>
    <row r="878" spans="13:13" x14ac:dyDescent="0.5">
      <c r="M878" s="2">
        <v>877</v>
      </c>
    </row>
    <row r="879" spans="13:13" x14ac:dyDescent="0.5">
      <c r="M879" s="2">
        <v>878</v>
      </c>
    </row>
    <row r="880" spans="13:13" x14ac:dyDescent="0.5">
      <c r="M880" s="2">
        <v>879</v>
      </c>
    </row>
    <row r="881" spans="13:14" x14ac:dyDescent="0.5">
      <c r="M881" s="2">
        <v>880</v>
      </c>
    </row>
    <row r="882" spans="13:14" x14ac:dyDescent="0.5">
      <c r="M882" s="2">
        <v>881</v>
      </c>
    </row>
    <row r="883" spans="13:14" x14ac:dyDescent="0.5">
      <c r="M883" s="2">
        <v>882</v>
      </c>
    </row>
    <row r="884" spans="13:14" x14ac:dyDescent="0.5">
      <c r="M884" s="2">
        <v>883</v>
      </c>
    </row>
    <row r="885" spans="13:14" x14ac:dyDescent="0.5">
      <c r="M885" s="2">
        <v>884</v>
      </c>
    </row>
    <row r="886" spans="13:14" x14ac:dyDescent="0.5">
      <c r="M886" s="2">
        <v>885</v>
      </c>
    </row>
    <row r="887" spans="13:14" x14ac:dyDescent="0.5">
      <c r="M887" s="2">
        <v>886</v>
      </c>
    </row>
    <row r="888" spans="13:14" x14ac:dyDescent="0.5">
      <c r="M888" s="2">
        <v>887</v>
      </c>
    </row>
    <row r="889" spans="13:14" x14ac:dyDescent="0.5">
      <c r="M889" s="2">
        <v>888</v>
      </c>
    </row>
    <row r="890" spans="13:14" x14ac:dyDescent="0.5">
      <c r="M890" s="2">
        <v>889</v>
      </c>
    </row>
    <row r="891" spans="13:14" x14ac:dyDescent="0.5">
      <c r="M891" s="2">
        <v>890</v>
      </c>
    </row>
    <row r="892" spans="13:14" x14ac:dyDescent="0.5">
      <c r="M892" s="2">
        <v>891</v>
      </c>
    </row>
    <row r="893" spans="13:14" x14ac:dyDescent="0.5">
      <c r="M893" s="2">
        <v>892</v>
      </c>
    </row>
    <row r="894" spans="13:14" x14ac:dyDescent="0.5">
      <c r="M894" s="2">
        <v>893</v>
      </c>
    </row>
    <row r="895" spans="13:14" x14ac:dyDescent="0.5">
      <c r="M895" s="2">
        <v>894</v>
      </c>
    </row>
    <row r="896" spans="13:14" x14ac:dyDescent="0.5">
      <c r="M896" s="2">
        <v>895</v>
      </c>
      <c r="N896" s="2" t="s">
        <v>3446</v>
      </c>
    </row>
    <row r="897" spans="13:13" x14ac:dyDescent="0.5">
      <c r="M897" s="2">
        <v>896</v>
      </c>
    </row>
    <row r="898" spans="13:13" x14ac:dyDescent="0.5">
      <c r="M898" s="2">
        <v>897</v>
      </c>
    </row>
    <row r="899" spans="13:13" x14ac:dyDescent="0.5">
      <c r="M899" s="2">
        <v>898</v>
      </c>
    </row>
    <row r="900" spans="13:13" x14ac:dyDescent="0.5">
      <c r="M900" s="2">
        <v>899</v>
      </c>
    </row>
    <row r="901" spans="13:13" x14ac:dyDescent="0.5">
      <c r="M901" s="2">
        <v>900</v>
      </c>
    </row>
    <row r="902" spans="13:13" x14ac:dyDescent="0.5">
      <c r="M902" s="2">
        <v>901</v>
      </c>
    </row>
    <row r="903" spans="13:13" x14ac:dyDescent="0.5">
      <c r="M903" s="2">
        <v>902</v>
      </c>
    </row>
    <row r="904" spans="13:13" x14ac:dyDescent="0.5">
      <c r="M904" s="2">
        <v>903</v>
      </c>
    </row>
    <row r="905" spans="13:13" x14ac:dyDescent="0.5">
      <c r="M905" s="2">
        <v>904</v>
      </c>
    </row>
    <row r="906" spans="13:13" x14ac:dyDescent="0.5">
      <c r="M906" s="2">
        <v>905</v>
      </c>
    </row>
    <row r="907" spans="13:13" x14ac:dyDescent="0.5">
      <c r="M907" s="2">
        <v>906</v>
      </c>
    </row>
    <row r="908" spans="13:13" x14ac:dyDescent="0.5">
      <c r="M908" s="2">
        <v>907</v>
      </c>
    </row>
    <row r="909" spans="13:13" x14ac:dyDescent="0.5">
      <c r="M909" s="2">
        <v>908</v>
      </c>
    </row>
    <row r="910" spans="13:13" x14ac:dyDescent="0.5">
      <c r="M910" s="2">
        <v>909</v>
      </c>
    </row>
    <row r="911" spans="13:13" x14ac:dyDescent="0.5">
      <c r="M911" s="2">
        <v>910</v>
      </c>
    </row>
    <row r="912" spans="13:13" x14ac:dyDescent="0.5">
      <c r="M912" s="2">
        <v>911</v>
      </c>
    </row>
    <row r="913" spans="13:14" x14ac:dyDescent="0.5">
      <c r="M913" s="2">
        <v>912</v>
      </c>
      <c r="N913" s="2" t="s">
        <v>3446</v>
      </c>
    </row>
    <row r="914" spans="13:14" x14ac:dyDescent="0.5">
      <c r="M914" s="2">
        <v>913</v>
      </c>
    </row>
    <row r="915" spans="13:14" x14ac:dyDescent="0.5">
      <c r="M915" s="2">
        <v>914</v>
      </c>
    </row>
    <row r="916" spans="13:14" x14ac:dyDescent="0.5">
      <c r="M916" s="2">
        <v>915</v>
      </c>
    </row>
    <row r="917" spans="13:14" x14ac:dyDescent="0.5">
      <c r="M917" s="2">
        <v>916</v>
      </c>
    </row>
    <row r="918" spans="13:14" x14ac:dyDescent="0.5">
      <c r="M918" s="2">
        <v>917</v>
      </c>
    </row>
    <row r="919" spans="13:14" x14ac:dyDescent="0.5">
      <c r="M919" s="2">
        <v>918</v>
      </c>
    </row>
    <row r="920" spans="13:14" x14ac:dyDescent="0.5">
      <c r="M920" s="2">
        <v>919</v>
      </c>
    </row>
    <row r="921" spans="13:14" x14ac:dyDescent="0.5">
      <c r="M921" s="2">
        <v>920</v>
      </c>
    </row>
    <row r="922" spans="13:14" x14ac:dyDescent="0.5">
      <c r="M922" s="2">
        <v>921</v>
      </c>
    </row>
    <row r="923" spans="13:14" x14ac:dyDescent="0.5">
      <c r="M923" s="2">
        <v>922</v>
      </c>
      <c r="N923" s="2" t="s">
        <v>3446</v>
      </c>
    </row>
    <row r="924" spans="13:14" x14ac:dyDescent="0.5">
      <c r="M924" s="2">
        <v>923</v>
      </c>
      <c r="N924" s="2" t="s">
        <v>3446</v>
      </c>
    </row>
    <row r="925" spans="13:14" x14ac:dyDescent="0.5">
      <c r="M925" s="2">
        <v>924</v>
      </c>
    </row>
    <row r="926" spans="13:14" x14ac:dyDescent="0.5">
      <c r="M926" s="2">
        <v>925</v>
      </c>
    </row>
    <row r="927" spans="13:14" x14ac:dyDescent="0.5">
      <c r="M927" s="2">
        <v>926</v>
      </c>
    </row>
    <row r="928" spans="13:14" x14ac:dyDescent="0.5">
      <c r="M928" s="2">
        <v>927</v>
      </c>
    </row>
    <row r="929" spans="13:13" x14ac:dyDescent="0.5">
      <c r="M929" s="2">
        <v>928</v>
      </c>
    </row>
    <row r="930" spans="13:13" x14ac:dyDescent="0.5">
      <c r="M930" s="2">
        <v>929</v>
      </c>
    </row>
    <row r="931" spans="13:13" x14ac:dyDescent="0.5">
      <c r="M931" s="2">
        <v>930</v>
      </c>
    </row>
    <row r="932" spans="13:13" x14ac:dyDescent="0.5">
      <c r="M932" s="2">
        <v>931</v>
      </c>
    </row>
    <row r="933" spans="13:13" x14ac:dyDescent="0.5">
      <c r="M933" s="2">
        <v>932</v>
      </c>
    </row>
    <row r="934" spans="13:13" x14ac:dyDescent="0.5">
      <c r="M934" s="2">
        <v>933</v>
      </c>
    </row>
    <row r="935" spans="13:13" x14ac:dyDescent="0.5">
      <c r="M935" s="2">
        <v>934</v>
      </c>
    </row>
    <row r="936" spans="13:13" x14ac:dyDescent="0.5">
      <c r="M936" s="2">
        <v>935</v>
      </c>
    </row>
    <row r="937" spans="13:13" x14ac:dyDescent="0.5">
      <c r="M937" s="2">
        <v>936</v>
      </c>
    </row>
    <row r="938" spans="13:13" x14ac:dyDescent="0.5">
      <c r="M938" s="2">
        <v>937</v>
      </c>
    </row>
    <row r="939" spans="13:13" x14ac:dyDescent="0.5">
      <c r="M939" s="2">
        <v>938</v>
      </c>
    </row>
    <row r="940" spans="13:13" x14ac:dyDescent="0.5">
      <c r="M940" s="2">
        <v>939</v>
      </c>
    </row>
    <row r="941" spans="13:13" x14ac:dyDescent="0.5">
      <c r="M941" s="2">
        <v>940</v>
      </c>
    </row>
    <row r="942" spans="13:13" x14ac:dyDescent="0.5">
      <c r="M942" s="2">
        <v>941</v>
      </c>
    </row>
    <row r="943" spans="13:13" x14ac:dyDescent="0.5">
      <c r="M943" s="2">
        <v>942</v>
      </c>
    </row>
    <row r="944" spans="13:13" x14ac:dyDescent="0.5">
      <c r="M944" s="2">
        <v>943</v>
      </c>
    </row>
    <row r="945" spans="13:14" x14ac:dyDescent="0.5">
      <c r="M945" s="2">
        <v>944</v>
      </c>
    </row>
    <row r="946" spans="13:14" x14ac:dyDescent="0.5">
      <c r="M946" s="2">
        <v>945</v>
      </c>
    </row>
    <row r="947" spans="13:14" x14ac:dyDescent="0.5">
      <c r="M947" s="2">
        <v>946</v>
      </c>
    </row>
    <row r="948" spans="13:14" x14ac:dyDescent="0.5">
      <c r="M948" s="2">
        <v>947</v>
      </c>
    </row>
    <row r="949" spans="13:14" x14ac:dyDescent="0.5">
      <c r="M949" s="2">
        <v>948</v>
      </c>
    </row>
    <row r="950" spans="13:14" x14ac:dyDescent="0.5">
      <c r="M950" s="2">
        <v>949</v>
      </c>
    </row>
    <row r="951" spans="13:14" x14ac:dyDescent="0.5">
      <c r="M951" s="2">
        <v>950</v>
      </c>
    </row>
    <row r="952" spans="13:14" x14ac:dyDescent="0.5">
      <c r="M952" s="2">
        <v>951</v>
      </c>
      <c r="N952" s="2" t="s">
        <v>3446</v>
      </c>
    </row>
    <row r="953" spans="13:14" x14ac:dyDescent="0.5">
      <c r="M953" s="2">
        <v>952</v>
      </c>
    </row>
    <row r="954" spans="13:14" x14ac:dyDescent="0.5">
      <c r="M954" s="2">
        <v>953</v>
      </c>
    </row>
    <row r="955" spans="13:14" x14ac:dyDescent="0.5">
      <c r="M955" s="2">
        <v>954</v>
      </c>
    </row>
    <row r="956" spans="13:14" x14ac:dyDescent="0.5">
      <c r="M956" s="2">
        <v>955</v>
      </c>
    </row>
    <row r="957" spans="13:14" x14ac:dyDescent="0.5">
      <c r="M957" s="2">
        <v>956</v>
      </c>
    </row>
    <row r="958" spans="13:14" x14ac:dyDescent="0.5">
      <c r="M958" s="2">
        <v>957</v>
      </c>
    </row>
    <row r="959" spans="13:14" x14ac:dyDescent="0.5">
      <c r="M959" s="2">
        <v>958</v>
      </c>
    </row>
    <row r="960" spans="13:14" x14ac:dyDescent="0.5">
      <c r="M960" s="2">
        <v>959</v>
      </c>
    </row>
    <row r="961" spans="13:13" x14ac:dyDescent="0.5">
      <c r="M961" s="2">
        <v>960</v>
      </c>
    </row>
    <row r="962" spans="13:13" x14ac:dyDescent="0.5">
      <c r="M962" s="2">
        <v>961</v>
      </c>
    </row>
    <row r="963" spans="13:13" x14ac:dyDescent="0.5">
      <c r="M963" s="2">
        <v>962</v>
      </c>
    </row>
    <row r="964" spans="13:13" x14ac:dyDescent="0.5">
      <c r="M964" s="2">
        <v>963</v>
      </c>
    </row>
    <row r="965" spans="13:13" x14ac:dyDescent="0.5">
      <c r="M965" s="2">
        <v>964</v>
      </c>
    </row>
    <row r="966" spans="13:13" x14ac:dyDescent="0.5">
      <c r="M966" s="2">
        <v>965</v>
      </c>
    </row>
    <row r="967" spans="13:13" x14ac:dyDescent="0.5">
      <c r="M967" s="2">
        <v>966</v>
      </c>
    </row>
    <row r="968" spans="13:13" x14ac:dyDescent="0.5">
      <c r="M968" s="2">
        <v>967</v>
      </c>
    </row>
    <row r="969" spans="13:13" x14ac:dyDescent="0.5">
      <c r="M969" s="2">
        <v>968</v>
      </c>
    </row>
    <row r="970" spans="13:13" x14ac:dyDescent="0.5">
      <c r="M970" s="2">
        <v>969</v>
      </c>
    </row>
    <row r="971" spans="13:13" x14ac:dyDescent="0.5">
      <c r="M971" s="2">
        <v>970</v>
      </c>
    </row>
    <row r="972" spans="13:13" x14ac:dyDescent="0.5">
      <c r="M972" s="2">
        <v>971</v>
      </c>
    </row>
    <row r="973" spans="13:13" x14ac:dyDescent="0.5">
      <c r="M973" s="2">
        <v>972</v>
      </c>
    </row>
    <row r="974" spans="13:13" x14ac:dyDescent="0.5">
      <c r="M974" s="2">
        <v>973</v>
      </c>
    </row>
    <row r="975" spans="13:13" x14ac:dyDescent="0.5">
      <c r="M975" s="2">
        <v>974</v>
      </c>
    </row>
    <row r="976" spans="13:13" x14ac:dyDescent="0.5">
      <c r="M976" s="2">
        <v>975</v>
      </c>
    </row>
    <row r="977" spans="13:14" x14ac:dyDescent="0.5">
      <c r="M977" s="2">
        <v>976</v>
      </c>
      <c r="N977" s="2" t="s">
        <v>3446</v>
      </c>
    </row>
    <row r="978" spans="13:14" x14ac:dyDescent="0.5">
      <c r="M978" s="2">
        <v>977</v>
      </c>
    </row>
    <row r="979" spans="13:14" x14ac:dyDescent="0.5">
      <c r="M979" s="2">
        <v>978</v>
      </c>
    </row>
    <row r="980" spans="13:14" x14ac:dyDescent="0.5">
      <c r="M980" s="2">
        <v>979</v>
      </c>
      <c r="N980" s="2" t="s">
        <v>3446</v>
      </c>
    </row>
    <row r="981" spans="13:14" x14ac:dyDescent="0.5">
      <c r="M981" s="2">
        <v>980</v>
      </c>
    </row>
    <row r="982" spans="13:14" x14ac:dyDescent="0.5">
      <c r="M982" s="2">
        <v>981</v>
      </c>
      <c r="N982" s="2" t="s">
        <v>3446</v>
      </c>
    </row>
    <row r="983" spans="13:14" x14ac:dyDescent="0.5">
      <c r="M983" s="2">
        <v>982</v>
      </c>
    </row>
    <row r="984" spans="13:14" x14ac:dyDescent="0.5">
      <c r="M984" s="2">
        <v>983</v>
      </c>
    </row>
    <row r="985" spans="13:14" x14ac:dyDescent="0.5">
      <c r="M985" s="2">
        <v>984</v>
      </c>
    </row>
    <row r="986" spans="13:14" x14ac:dyDescent="0.5">
      <c r="M986" s="2">
        <v>985</v>
      </c>
    </row>
    <row r="987" spans="13:14" x14ac:dyDescent="0.5">
      <c r="M987" s="2">
        <v>986</v>
      </c>
    </row>
    <row r="988" spans="13:14" x14ac:dyDescent="0.5">
      <c r="M988" s="2">
        <v>987</v>
      </c>
    </row>
    <row r="989" spans="13:14" x14ac:dyDescent="0.5">
      <c r="M989" s="2">
        <v>988</v>
      </c>
    </row>
    <row r="990" spans="13:14" x14ac:dyDescent="0.5">
      <c r="M990" s="2">
        <v>989</v>
      </c>
    </row>
    <row r="991" spans="13:14" x14ac:dyDescent="0.5">
      <c r="M991" s="2">
        <v>990</v>
      </c>
    </row>
    <row r="992" spans="13:14" x14ac:dyDescent="0.5">
      <c r="M992" s="2">
        <v>991</v>
      </c>
    </row>
    <row r="993" spans="13:14" x14ac:dyDescent="0.5">
      <c r="M993" s="2">
        <v>992</v>
      </c>
    </row>
    <row r="994" spans="13:14" x14ac:dyDescent="0.5">
      <c r="M994" s="2">
        <v>993</v>
      </c>
    </row>
    <row r="995" spans="13:14" x14ac:dyDescent="0.5">
      <c r="M995" s="2">
        <v>994</v>
      </c>
      <c r="N995" s="2" t="s">
        <v>3446</v>
      </c>
    </row>
    <row r="996" spans="13:14" x14ac:dyDescent="0.5">
      <c r="M996" s="2">
        <v>995</v>
      </c>
      <c r="N996" s="2" t="s">
        <v>3446</v>
      </c>
    </row>
    <row r="997" spans="13:14" x14ac:dyDescent="0.5">
      <c r="M997" s="2">
        <v>996</v>
      </c>
    </row>
    <row r="998" spans="13:14" x14ac:dyDescent="0.5">
      <c r="M998" s="2">
        <v>997</v>
      </c>
    </row>
    <row r="999" spans="13:14" x14ac:dyDescent="0.5">
      <c r="M999" s="2">
        <v>998</v>
      </c>
      <c r="N999" s="2" t="s">
        <v>3446</v>
      </c>
    </row>
    <row r="1000" spans="13:14" x14ac:dyDescent="0.5">
      <c r="M1000" s="2">
        <v>999</v>
      </c>
    </row>
    <row r="1001" spans="13:14" x14ac:dyDescent="0.5">
      <c r="M1001" s="2">
        <v>1000</v>
      </c>
    </row>
    <row r="1002" spans="13:14" x14ac:dyDescent="0.5">
      <c r="M1002" s="2">
        <v>1001</v>
      </c>
    </row>
    <row r="1003" spans="13:14" x14ac:dyDescent="0.5">
      <c r="M1003" s="2">
        <v>1002</v>
      </c>
    </row>
    <row r="1004" spans="13:14" x14ac:dyDescent="0.5">
      <c r="M1004" s="2">
        <v>1003</v>
      </c>
    </row>
    <row r="1005" spans="13:14" x14ac:dyDescent="0.5">
      <c r="M1005" s="2">
        <v>1004</v>
      </c>
    </row>
    <row r="1006" spans="13:14" x14ac:dyDescent="0.5">
      <c r="M1006" s="2">
        <v>1005</v>
      </c>
    </row>
    <row r="1007" spans="13:14" x14ac:dyDescent="0.5">
      <c r="M1007" s="2">
        <v>1006</v>
      </c>
    </row>
    <row r="1008" spans="13:14" x14ac:dyDescent="0.5">
      <c r="M1008" s="2">
        <v>1007</v>
      </c>
    </row>
    <row r="1009" spans="13:14" x14ac:dyDescent="0.5">
      <c r="M1009" s="2">
        <v>1008</v>
      </c>
      <c r="N1009" s="2" t="s">
        <v>3446</v>
      </c>
    </row>
    <row r="1010" spans="13:14" x14ac:dyDescent="0.5">
      <c r="M1010" s="2">
        <v>1009</v>
      </c>
    </row>
    <row r="1011" spans="13:14" x14ac:dyDescent="0.5">
      <c r="M1011" s="2">
        <v>1010</v>
      </c>
    </row>
    <row r="1012" spans="13:14" x14ac:dyDescent="0.5">
      <c r="M1012" s="2">
        <v>1011</v>
      </c>
      <c r="N1012" s="2" t="s">
        <v>3446</v>
      </c>
    </row>
    <row r="1013" spans="13:14" x14ac:dyDescent="0.5">
      <c r="M1013" s="2">
        <v>1012</v>
      </c>
    </row>
    <row r="1014" spans="13:14" x14ac:dyDescent="0.5">
      <c r="M1014" s="2">
        <v>1013</v>
      </c>
    </row>
    <row r="1015" spans="13:14" x14ac:dyDescent="0.5">
      <c r="M1015" s="2">
        <v>1014</v>
      </c>
      <c r="N1015" s="2" t="s">
        <v>3446</v>
      </c>
    </row>
    <row r="1016" spans="13:14" x14ac:dyDescent="0.5">
      <c r="M1016" s="2">
        <v>1015</v>
      </c>
      <c r="N1016" s="2" t="s">
        <v>3446</v>
      </c>
    </row>
    <row r="1017" spans="13:14" x14ac:dyDescent="0.5">
      <c r="M1017" s="2">
        <v>1016</v>
      </c>
      <c r="N1017" s="2" t="s">
        <v>3446</v>
      </c>
    </row>
    <row r="1018" spans="13:14" x14ac:dyDescent="0.5">
      <c r="M1018" s="2">
        <v>1017</v>
      </c>
    </row>
    <row r="1019" spans="13:14" x14ac:dyDescent="0.5">
      <c r="M1019" s="2">
        <v>1018</v>
      </c>
    </row>
    <row r="1020" spans="13:14" x14ac:dyDescent="0.5">
      <c r="M1020" s="2">
        <v>1019</v>
      </c>
    </row>
    <row r="1021" spans="13:14" x14ac:dyDescent="0.5">
      <c r="M1021" s="2">
        <v>1020</v>
      </c>
    </row>
    <row r="1022" spans="13:14" x14ac:dyDescent="0.5">
      <c r="M1022" s="2">
        <v>1021</v>
      </c>
    </row>
    <row r="1023" spans="13:14" x14ac:dyDescent="0.5">
      <c r="M1023" s="2">
        <v>1022</v>
      </c>
    </row>
    <row r="1024" spans="13:14" x14ac:dyDescent="0.5">
      <c r="M1024" s="2">
        <v>1023</v>
      </c>
    </row>
    <row r="1025" spans="13:13" x14ac:dyDescent="0.5">
      <c r="M1025" s="2">
        <v>1024</v>
      </c>
    </row>
    <row r="1026" spans="13:13" x14ac:dyDescent="0.5">
      <c r="M1026" s="2">
        <v>1025</v>
      </c>
    </row>
    <row r="1027" spans="13:13" x14ac:dyDescent="0.5">
      <c r="M1027" s="2">
        <v>1026</v>
      </c>
    </row>
    <row r="1028" spans="13:13" x14ac:dyDescent="0.5">
      <c r="M1028" s="2">
        <v>1027</v>
      </c>
    </row>
    <row r="1029" spans="13:13" x14ac:dyDescent="0.5">
      <c r="M1029" s="2">
        <v>1028</v>
      </c>
    </row>
    <row r="1030" spans="13:13" x14ac:dyDescent="0.5">
      <c r="M1030" s="2">
        <v>1029</v>
      </c>
    </row>
    <row r="1031" spans="13:13" x14ac:dyDescent="0.5">
      <c r="M1031" s="2">
        <v>1030</v>
      </c>
    </row>
    <row r="1032" spans="13:13" x14ac:dyDescent="0.5">
      <c r="M1032" s="2">
        <v>1031</v>
      </c>
    </row>
    <row r="1033" spans="13:13" x14ac:dyDescent="0.5">
      <c r="M1033" s="2">
        <v>1032</v>
      </c>
    </row>
    <row r="1034" spans="13:13" x14ac:dyDescent="0.5">
      <c r="M1034" s="2">
        <v>1033</v>
      </c>
    </row>
    <row r="1035" spans="13:13" x14ac:dyDescent="0.5">
      <c r="M1035" s="2">
        <v>1034</v>
      </c>
    </row>
    <row r="1036" spans="13:13" x14ac:dyDescent="0.5">
      <c r="M1036" s="2">
        <v>1035</v>
      </c>
    </row>
    <row r="1037" spans="13:13" x14ac:dyDescent="0.5">
      <c r="M1037" s="2">
        <v>1036</v>
      </c>
    </row>
    <row r="1038" spans="13:13" x14ac:dyDescent="0.5">
      <c r="M1038" s="2">
        <v>1037</v>
      </c>
    </row>
    <row r="1039" spans="13:13" x14ac:dyDescent="0.5">
      <c r="M1039" s="2">
        <v>1038</v>
      </c>
    </row>
    <row r="1040" spans="13:13" x14ac:dyDescent="0.5">
      <c r="M1040" s="2">
        <v>1039</v>
      </c>
    </row>
    <row r="1041" spans="13:14" x14ac:dyDescent="0.5">
      <c r="M1041" s="2">
        <v>1040</v>
      </c>
    </row>
    <row r="1042" spans="13:14" x14ac:dyDescent="0.5">
      <c r="M1042" s="2">
        <v>1041</v>
      </c>
    </row>
    <row r="1043" spans="13:14" x14ac:dyDescent="0.5">
      <c r="M1043" s="2">
        <v>1042</v>
      </c>
    </row>
    <row r="1044" spans="13:14" x14ac:dyDescent="0.5">
      <c r="M1044" s="2">
        <v>1043</v>
      </c>
    </row>
    <row r="1045" spans="13:14" x14ac:dyDescent="0.5">
      <c r="M1045" s="2">
        <v>1044</v>
      </c>
    </row>
    <row r="1046" spans="13:14" x14ac:dyDescent="0.5">
      <c r="M1046" s="2">
        <v>1045</v>
      </c>
    </row>
    <row r="1047" spans="13:14" x14ac:dyDescent="0.5">
      <c r="M1047" s="2">
        <v>1046</v>
      </c>
    </row>
    <row r="1048" spans="13:14" x14ac:dyDescent="0.5">
      <c r="M1048" s="2">
        <v>1047</v>
      </c>
    </row>
    <row r="1049" spans="13:14" x14ac:dyDescent="0.5">
      <c r="M1049" s="2">
        <v>1048</v>
      </c>
    </row>
    <row r="1050" spans="13:14" x14ac:dyDescent="0.5">
      <c r="M1050" s="2">
        <v>1049</v>
      </c>
      <c r="N1050" s="2" t="s">
        <v>3446</v>
      </c>
    </row>
    <row r="1051" spans="13:14" x14ac:dyDescent="0.5">
      <c r="M1051" s="2">
        <v>1050</v>
      </c>
    </row>
    <row r="1052" spans="13:14" x14ac:dyDescent="0.5">
      <c r="M1052" s="2">
        <v>1051</v>
      </c>
    </row>
    <row r="1053" spans="13:14" x14ac:dyDescent="0.5">
      <c r="M1053" s="2">
        <v>1052</v>
      </c>
    </row>
    <row r="1054" spans="13:14" x14ac:dyDescent="0.5">
      <c r="M1054" s="2">
        <v>1053</v>
      </c>
    </row>
    <row r="1055" spans="13:14" x14ac:dyDescent="0.5">
      <c r="M1055" s="2">
        <v>1054</v>
      </c>
    </row>
    <row r="1056" spans="13:14" x14ac:dyDescent="0.5">
      <c r="M1056" s="2">
        <v>1055</v>
      </c>
    </row>
    <row r="1057" spans="13:14" x14ac:dyDescent="0.5">
      <c r="M1057" s="2">
        <v>1056</v>
      </c>
      <c r="N1057" s="2" t="s">
        <v>3446</v>
      </c>
    </row>
    <row r="1058" spans="13:14" x14ac:dyDescent="0.5">
      <c r="M1058" s="2">
        <v>1057</v>
      </c>
    </row>
    <row r="1059" spans="13:14" x14ac:dyDescent="0.5">
      <c r="M1059" s="2">
        <v>1058</v>
      </c>
    </row>
    <row r="1060" spans="13:14" x14ac:dyDescent="0.5">
      <c r="M1060" s="2">
        <v>1059</v>
      </c>
    </row>
    <row r="1061" spans="13:14" x14ac:dyDescent="0.5">
      <c r="M1061" s="2">
        <v>1060</v>
      </c>
    </row>
    <row r="1062" spans="13:14" x14ac:dyDescent="0.5">
      <c r="M1062" s="2">
        <v>1061</v>
      </c>
    </row>
    <row r="1063" spans="13:14" x14ac:dyDescent="0.5">
      <c r="M1063" s="2">
        <v>1062</v>
      </c>
    </row>
    <row r="1064" spans="13:14" x14ac:dyDescent="0.5">
      <c r="M1064" s="2">
        <v>1063</v>
      </c>
    </row>
    <row r="1065" spans="13:14" x14ac:dyDescent="0.5">
      <c r="M1065" s="2">
        <v>1064</v>
      </c>
    </row>
    <row r="1066" spans="13:14" x14ac:dyDescent="0.5">
      <c r="M1066" s="2">
        <v>1065</v>
      </c>
      <c r="N1066" s="2" t="s">
        <v>3446</v>
      </c>
    </row>
    <row r="1067" spans="13:14" x14ac:dyDescent="0.5">
      <c r="M1067" s="2">
        <v>1066</v>
      </c>
    </row>
    <row r="1068" spans="13:14" x14ac:dyDescent="0.5">
      <c r="M1068" s="2">
        <v>1067</v>
      </c>
    </row>
    <row r="1069" spans="13:14" x14ac:dyDescent="0.5">
      <c r="M1069" s="2">
        <v>1068</v>
      </c>
      <c r="N1069" s="2" t="s">
        <v>3446</v>
      </c>
    </row>
    <row r="1070" spans="13:14" x14ac:dyDescent="0.5">
      <c r="M1070" s="2">
        <v>1069</v>
      </c>
    </row>
    <row r="1071" spans="13:14" x14ac:dyDescent="0.5">
      <c r="M1071" s="2">
        <v>1070</v>
      </c>
    </row>
    <row r="1072" spans="13:14" x14ac:dyDescent="0.5">
      <c r="M1072" s="2">
        <v>1071</v>
      </c>
    </row>
    <row r="1073" spans="13:14" x14ac:dyDescent="0.5">
      <c r="M1073" s="2">
        <v>1072</v>
      </c>
    </row>
    <row r="1074" spans="13:14" x14ac:dyDescent="0.5">
      <c r="M1074" s="2">
        <v>1073</v>
      </c>
    </row>
    <row r="1075" spans="13:14" x14ac:dyDescent="0.5">
      <c r="M1075" s="2">
        <v>1074</v>
      </c>
    </row>
    <row r="1076" spans="13:14" x14ac:dyDescent="0.5">
      <c r="M1076" s="2">
        <v>1075</v>
      </c>
      <c r="N1076" s="2" t="s">
        <v>3446</v>
      </c>
    </row>
    <row r="1077" spans="13:14" x14ac:dyDescent="0.5">
      <c r="M1077" s="2">
        <v>1076</v>
      </c>
      <c r="N1077" s="2" t="s">
        <v>3446</v>
      </c>
    </row>
    <row r="1078" spans="13:14" x14ac:dyDescent="0.5">
      <c r="M1078" s="2">
        <v>1077</v>
      </c>
      <c r="N1078" s="2" t="s">
        <v>3446</v>
      </c>
    </row>
    <row r="1079" spans="13:14" x14ac:dyDescent="0.5">
      <c r="M1079" s="2">
        <v>1078</v>
      </c>
    </row>
    <row r="1080" spans="13:14" x14ac:dyDescent="0.5">
      <c r="M1080" s="2">
        <v>1079</v>
      </c>
    </row>
    <row r="1081" spans="13:14" x14ac:dyDescent="0.5">
      <c r="M1081" s="2">
        <v>1080</v>
      </c>
      <c r="N1081" s="2" t="s">
        <v>3446</v>
      </c>
    </row>
    <row r="1082" spans="13:14" x14ac:dyDescent="0.5">
      <c r="M1082" s="2">
        <v>1081</v>
      </c>
    </row>
    <row r="1083" spans="13:14" x14ac:dyDescent="0.5">
      <c r="M1083" s="2">
        <v>1082</v>
      </c>
    </row>
    <row r="1084" spans="13:14" x14ac:dyDescent="0.5">
      <c r="M1084" s="2">
        <v>1083</v>
      </c>
    </row>
    <row r="1085" spans="13:14" x14ac:dyDescent="0.5">
      <c r="M1085" s="2">
        <v>1084</v>
      </c>
    </row>
    <row r="1086" spans="13:14" x14ac:dyDescent="0.5">
      <c r="M1086" s="2">
        <v>1085</v>
      </c>
    </row>
    <row r="1087" spans="13:14" x14ac:dyDescent="0.5">
      <c r="M1087" s="2">
        <v>1086</v>
      </c>
    </row>
    <row r="1088" spans="13:14" x14ac:dyDescent="0.5">
      <c r="M1088" s="2">
        <v>1087</v>
      </c>
    </row>
    <row r="1089" spans="13:14" x14ac:dyDescent="0.5">
      <c r="M1089" s="2">
        <v>1088</v>
      </c>
    </row>
    <row r="1090" spans="13:14" x14ac:dyDescent="0.5">
      <c r="M1090" s="2">
        <v>1089</v>
      </c>
    </row>
    <row r="1091" spans="13:14" x14ac:dyDescent="0.5">
      <c r="M1091" s="2">
        <v>1090</v>
      </c>
    </row>
    <row r="1092" spans="13:14" x14ac:dyDescent="0.5">
      <c r="M1092" s="2">
        <v>1091</v>
      </c>
    </row>
    <row r="1093" spans="13:14" x14ac:dyDescent="0.5">
      <c r="M1093" s="2">
        <v>1092</v>
      </c>
    </row>
    <row r="1094" spans="13:14" x14ac:dyDescent="0.5">
      <c r="M1094" s="2">
        <v>1093</v>
      </c>
    </row>
    <row r="1095" spans="13:14" x14ac:dyDescent="0.5">
      <c r="M1095" s="2">
        <v>1094</v>
      </c>
    </row>
    <row r="1096" spans="13:14" x14ac:dyDescent="0.5">
      <c r="M1096" s="2">
        <v>1095</v>
      </c>
      <c r="N1096" s="2" t="s">
        <v>3446</v>
      </c>
    </row>
    <row r="1097" spans="13:14" x14ac:dyDescent="0.5">
      <c r="M1097" s="2">
        <v>1096</v>
      </c>
      <c r="N1097" s="2" t="s">
        <v>3446</v>
      </c>
    </row>
    <row r="1098" spans="13:14" x14ac:dyDescent="0.5">
      <c r="M1098" s="2">
        <v>1097</v>
      </c>
    </row>
    <row r="1099" spans="13:14" x14ac:dyDescent="0.5">
      <c r="M1099" s="2">
        <v>1098</v>
      </c>
    </row>
    <row r="1100" spans="13:14" x14ac:dyDescent="0.5">
      <c r="M1100" s="2">
        <v>1099</v>
      </c>
    </row>
    <row r="1101" spans="13:14" x14ac:dyDescent="0.5">
      <c r="M1101" s="2">
        <v>1100</v>
      </c>
    </row>
    <row r="1102" spans="13:14" x14ac:dyDescent="0.5">
      <c r="M1102" s="2">
        <v>1101</v>
      </c>
    </row>
    <row r="1103" spans="13:14" x14ac:dyDescent="0.5">
      <c r="M1103" s="2">
        <v>1102</v>
      </c>
    </row>
    <row r="1104" spans="13:14" x14ac:dyDescent="0.5">
      <c r="M1104" s="2">
        <v>1103</v>
      </c>
    </row>
    <row r="1105" spans="13:14" x14ac:dyDescent="0.5">
      <c r="M1105" s="2">
        <v>1104</v>
      </c>
    </row>
    <row r="1106" spans="13:14" x14ac:dyDescent="0.5">
      <c r="M1106" s="2">
        <v>1105</v>
      </c>
    </row>
    <row r="1107" spans="13:14" x14ac:dyDescent="0.5">
      <c r="M1107" s="2">
        <v>1106</v>
      </c>
    </row>
    <row r="1108" spans="13:14" x14ac:dyDescent="0.5">
      <c r="M1108" s="2">
        <v>1107</v>
      </c>
      <c r="N1108" s="2" t="s">
        <v>3446</v>
      </c>
    </row>
    <row r="1109" spans="13:14" x14ac:dyDescent="0.5">
      <c r="M1109" s="2">
        <v>1108</v>
      </c>
      <c r="N1109" s="2" t="s">
        <v>3446</v>
      </c>
    </row>
    <row r="1110" spans="13:14" x14ac:dyDescent="0.5">
      <c r="M1110" s="2">
        <v>1109</v>
      </c>
    </row>
    <row r="1111" spans="13:14" x14ac:dyDescent="0.5">
      <c r="M1111" s="2">
        <v>1110</v>
      </c>
    </row>
    <row r="1112" spans="13:14" x14ac:dyDescent="0.5">
      <c r="M1112" s="2">
        <v>1111</v>
      </c>
      <c r="N1112" s="2" t="s">
        <v>3446</v>
      </c>
    </row>
    <row r="1113" spans="13:14" x14ac:dyDescent="0.5">
      <c r="M1113" s="2">
        <v>1112</v>
      </c>
    </row>
    <row r="1114" spans="13:14" x14ac:dyDescent="0.5">
      <c r="M1114" s="2">
        <v>1113</v>
      </c>
    </row>
    <row r="1115" spans="13:14" x14ac:dyDescent="0.5">
      <c r="M1115" s="2">
        <v>1114</v>
      </c>
    </row>
    <row r="1116" spans="13:14" x14ac:dyDescent="0.5">
      <c r="M1116" s="2">
        <v>1115</v>
      </c>
    </row>
    <row r="1117" spans="13:14" x14ac:dyDescent="0.5">
      <c r="M1117" s="2">
        <v>1116</v>
      </c>
    </row>
    <row r="1118" spans="13:14" x14ac:dyDescent="0.5">
      <c r="M1118" s="2">
        <v>1117</v>
      </c>
    </row>
    <row r="1119" spans="13:14" x14ac:dyDescent="0.5">
      <c r="M1119" s="2">
        <v>1118</v>
      </c>
      <c r="N1119" s="2" t="s">
        <v>3446</v>
      </c>
    </row>
    <row r="1120" spans="13:14" x14ac:dyDescent="0.5">
      <c r="M1120" s="2">
        <v>1119</v>
      </c>
    </row>
    <row r="1121" spans="13:14" x14ac:dyDescent="0.5">
      <c r="M1121" s="2">
        <v>1120</v>
      </c>
    </row>
    <row r="1122" spans="13:14" x14ac:dyDescent="0.5">
      <c r="M1122" s="2">
        <v>1121</v>
      </c>
      <c r="N1122" s="2" t="s">
        <v>3446</v>
      </c>
    </row>
    <row r="1123" spans="13:14" x14ac:dyDescent="0.5">
      <c r="M1123" s="2">
        <v>1122</v>
      </c>
    </row>
    <row r="1124" spans="13:14" x14ac:dyDescent="0.5">
      <c r="M1124" s="2">
        <v>1123</v>
      </c>
    </row>
    <row r="1125" spans="13:14" x14ac:dyDescent="0.5">
      <c r="M1125" s="2">
        <v>1124</v>
      </c>
    </row>
    <row r="1126" spans="13:14" x14ac:dyDescent="0.5">
      <c r="M1126" s="2">
        <v>1125</v>
      </c>
    </row>
    <row r="1127" spans="13:14" x14ac:dyDescent="0.5">
      <c r="M1127" s="2">
        <v>1126</v>
      </c>
    </row>
    <row r="1128" spans="13:14" x14ac:dyDescent="0.5">
      <c r="M1128" s="2">
        <v>1127</v>
      </c>
    </row>
    <row r="1129" spans="13:14" x14ac:dyDescent="0.5">
      <c r="M1129" s="2">
        <v>1128</v>
      </c>
    </row>
    <row r="1130" spans="13:14" x14ac:dyDescent="0.5">
      <c r="M1130" s="2">
        <v>1129</v>
      </c>
    </row>
    <row r="1131" spans="13:14" x14ac:dyDescent="0.5">
      <c r="M1131" s="2">
        <v>1130</v>
      </c>
    </row>
    <row r="1132" spans="13:14" x14ac:dyDescent="0.5">
      <c r="M1132" s="2">
        <v>1131</v>
      </c>
    </row>
    <row r="1133" spans="13:14" x14ac:dyDescent="0.5">
      <c r="M1133" s="2">
        <v>1132</v>
      </c>
    </row>
    <row r="1134" spans="13:14" x14ac:dyDescent="0.5">
      <c r="M1134" s="2">
        <v>1133</v>
      </c>
    </row>
    <row r="1135" spans="13:14" x14ac:dyDescent="0.5">
      <c r="M1135" s="2">
        <v>1134</v>
      </c>
    </row>
    <row r="1136" spans="13:14" x14ac:dyDescent="0.5">
      <c r="M1136" s="2">
        <v>1135</v>
      </c>
    </row>
    <row r="1137" spans="13:14" x14ac:dyDescent="0.5">
      <c r="M1137" s="2">
        <v>1136</v>
      </c>
    </row>
    <row r="1138" spans="13:14" x14ac:dyDescent="0.5">
      <c r="M1138" s="2">
        <v>1137</v>
      </c>
    </row>
    <row r="1139" spans="13:14" x14ac:dyDescent="0.5">
      <c r="M1139" s="2">
        <v>1138</v>
      </c>
      <c r="N1139" s="2" t="s">
        <v>3446</v>
      </c>
    </row>
    <row r="1140" spans="13:14" x14ac:dyDescent="0.5">
      <c r="M1140" s="2">
        <v>1139</v>
      </c>
    </row>
    <row r="1141" spans="13:14" x14ac:dyDescent="0.5">
      <c r="M1141" s="2">
        <v>1140</v>
      </c>
    </row>
    <row r="1142" spans="13:14" x14ac:dyDescent="0.5">
      <c r="M1142" s="2">
        <v>1141</v>
      </c>
    </row>
    <row r="1143" spans="13:14" x14ac:dyDescent="0.5">
      <c r="M1143" s="2">
        <v>1142</v>
      </c>
    </row>
    <row r="1144" spans="13:14" x14ac:dyDescent="0.5">
      <c r="M1144" s="2">
        <v>1143</v>
      </c>
    </row>
    <row r="1145" spans="13:14" x14ac:dyDescent="0.5">
      <c r="M1145" s="2">
        <v>1144</v>
      </c>
    </row>
    <row r="1146" spans="13:14" x14ac:dyDescent="0.5">
      <c r="M1146" s="2">
        <v>1145</v>
      </c>
    </row>
    <row r="1147" spans="13:14" x14ac:dyDescent="0.5">
      <c r="M1147" s="2">
        <v>1146</v>
      </c>
    </row>
    <row r="1148" spans="13:14" x14ac:dyDescent="0.5">
      <c r="M1148" s="2">
        <v>1147</v>
      </c>
    </row>
    <row r="1149" spans="13:14" x14ac:dyDescent="0.5">
      <c r="M1149" s="2">
        <v>1148</v>
      </c>
    </row>
    <row r="1150" spans="13:14" x14ac:dyDescent="0.5">
      <c r="M1150" s="2">
        <v>1149</v>
      </c>
    </row>
    <row r="1151" spans="13:14" x14ac:dyDescent="0.5">
      <c r="M1151" s="2">
        <v>1150</v>
      </c>
    </row>
    <row r="1152" spans="13:14" x14ac:dyDescent="0.5">
      <c r="M1152" s="2">
        <v>1151</v>
      </c>
    </row>
    <row r="1153" spans="13:14" x14ac:dyDescent="0.5">
      <c r="M1153" s="2">
        <v>1152</v>
      </c>
    </row>
    <row r="1154" spans="13:14" x14ac:dyDescent="0.5">
      <c r="M1154" s="2">
        <v>1153</v>
      </c>
      <c r="N1154" s="2" t="s">
        <v>3446</v>
      </c>
    </row>
    <row r="1155" spans="13:14" x14ac:dyDescent="0.5">
      <c r="M1155" s="2">
        <v>1154</v>
      </c>
    </row>
    <row r="1156" spans="13:14" x14ac:dyDescent="0.5">
      <c r="M1156" s="2">
        <v>1155</v>
      </c>
    </row>
    <row r="1157" spans="13:14" x14ac:dyDescent="0.5">
      <c r="M1157" s="2">
        <v>1156</v>
      </c>
    </row>
    <row r="1158" spans="13:14" x14ac:dyDescent="0.5">
      <c r="M1158" s="2">
        <v>1157</v>
      </c>
    </row>
    <row r="1159" spans="13:14" x14ac:dyDescent="0.5">
      <c r="M1159" s="2">
        <v>1158</v>
      </c>
    </row>
    <row r="1160" spans="13:14" x14ac:dyDescent="0.5">
      <c r="M1160" s="2">
        <v>1159</v>
      </c>
    </row>
    <row r="1161" spans="13:14" x14ac:dyDescent="0.5">
      <c r="M1161" s="2">
        <v>1160</v>
      </c>
    </row>
    <row r="1162" spans="13:14" x14ac:dyDescent="0.5">
      <c r="M1162" s="2">
        <v>1161</v>
      </c>
    </row>
    <row r="1163" spans="13:14" x14ac:dyDescent="0.5">
      <c r="M1163" s="2">
        <v>1162</v>
      </c>
    </row>
    <row r="1164" spans="13:14" x14ac:dyDescent="0.5">
      <c r="M1164" s="2">
        <v>1163</v>
      </c>
    </row>
    <row r="1165" spans="13:14" x14ac:dyDescent="0.5">
      <c r="M1165" s="2">
        <v>1164</v>
      </c>
    </row>
    <row r="1166" spans="13:14" x14ac:dyDescent="0.5">
      <c r="M1166" s="2">
        <v>1165</v>
      </c>
    </row>
    <row r="1167" spans="13:14" x14ac:dyDescent="0.5">
      <c r="M1167" s="2">
        <v>1166</v>
      </c>
    </row>
    <row r="1168" spans="13:14" x14ac:dyDescent="0.5">
      <c r="M1168" s="2">
        <v>1167</v>
      </c>
    </row>
    <row r="1169" spans="13:14" x14ac:dyDescent="0.5">
      <c r="M1169" s="2">
        <v>1168</v>
      </c>
    </row>
    <row r="1170" spans="13:14" x14ac:dyDescent="0.5">
      <c r="M1170" s="2">
        <v>1169</v>
      </c>
    </row>
    <row r="1171" spans="13:14" x14ac:dyDescent="0.5">
      <c r="M1171" s="2">
        <v>1170</v>
      </c>
    </row>
    <row r="1172" spans="13:14" x14ac:dyDescent="0.5">
      <c r="M1172" s="2">
        <v>1171</v>
      </c>
    </row>
    <row r="1173" spans="13:14" x14ac:dyDescent="0.5">
      <c r="M1173" s="2">
        <v>1172</v>
      </c>
    </row>
    <row r="1174" spans="13:14" x14ac:dyDescent="0.5">
      <c r="M1174" s="2">
        <v>1173</v>
      </c>
    </row>
    <row r="1175" spans="13:14" x14ac:dyDescent="0.5">
      <c r="M1175" s="2">
        <v>1174</v>
      </c>
    </row>
    <row r="1176" spans="13:14" x14ac:dyDescent="0.5">
      <c r="M1176" s="2">
        <v>1175</v>
      </c>
    </row>
    <row r="1177" spans="13:14" x14ac:dyDescent="0.5">
      <c r="M1177" s="2">
        <v>1176</v>
      </c>
    </row>
    <row r="1178" spans="13:14" x14ac:dyDescent="0.5">
      <c r="M1178" s="2">
        <v>1177</v>
      </c>
      <c r="N1178" s="2" t="s">
        <v>3446</v>
      </c>
    </row>
    <row r="1179" spans="13:14" x14ac:dyDescent="0.5">
      <c r="M1179" s="2">
        <v>1178</v>
      </c>
    </row>
    <row r="1180" spans="13:14" x14ac:dyDescent="0.5">
      <c r="M1180" s="2">
        <v>1179</v>
      </c>
    </row>
    <row r="1181" spans="13:14" x14ac:dyDescent="0.5">
      <c r="M1181" s="2">
        <v>1180</v>
      </c>
    </row>
    <row r="1182" spans="13:14" x14ac:dyDescent="0.5">
      <c r="M1182" s="2">
        <v>1181</v>
      </c>
    </row>
    <row r="1183" spans="13:14" x14ac:dyDescent="0.5">
      <c r="M1183" s="2">
        <v>1182</v>
      </c>
    </row>
    <row r="1184" spans="13:14" x14ac:dyDescent="0.5">
      <c r="M1184" s="2">
        <v>1183</v>
      </c>
    </row>
    <row r="1185" spans="13:14" x14ac:dyDescent="0.5">
      <c r="M1185" s="2">
        <v>1184</v>
      </c>
    </row>
    <row r="1186" spans="13:14" x14ac:dyDescent="0.5">
      <c r="M1186" s="2">
        <v>1185</v>
      </c>
    </row>
    <row r="1187" spans="13:14" x14ac:dyDescent="0.5">
      <c r="M1187" s="2">
        <v>1186</v>
      </c>
    </row>
    <row r="1188" spans="13:14" x14ac:dyDescent="0.5">
      <c r="M1188" s="2">
        <v>1187</v>
      </c>
    </row>
    <row r="1189" spans="13:14" x14ac:dyDescent="0.5">
      <c r="M1189" s="2">
        <v>1188</v>
      </c>
    </row>
    <row r="1190" spans="13:14" x14ac:dyDescent="0.5">
      <c r="M1190" s="2">
        <v>1189</v>
      </c>
    </row>
    <row r="1191" spans="13:14" x14ac:dyDescent="0.5">
      <c r="M1191" s="2">
        <v>1190</v>
      </c>
    </row>
    <row r="1192" spans="13:14" x14ac:dyDescent="0.5">
      <c r="M1192" s="2">
        <v>1191</v>
      </c>
    </row>
    <row r="1193" spans="13:14" x14ac:dyDescent="0.5">
      <c r="M1193" s="2">
        <v>1192</v>
      </c>
    </row>
    <row r="1194" spans="13:14" x14ac:dyDescent="0.5">
      <c r="M1194" s="2">
        <v>1193</v>
      </c>
      <c r="N1194" s="2" t="s">
        <v>3446</v>
      </c>
    </row>
    <row r="1195" spans="13:14" x14ac:dyDescent="0.5">
      <c r="M1195" s="2">
        <v>1194</v>
      </c>
    </row>
    <row r="1196" spans="13:14" x14ac:dyDescent="0.5">
      <c r="M1196" s="2">
        <v>1195</v>
      </c>
    </row>
    <row r="1197" spans="13:14" x14ac:dyDescent="0.5">
      <c r="M1197" s="2">
        <v>1196</v>
      </c>
    </row>
    <row r="1198" spans="13:14" x14ac:dyDescent="0.5">
      <c r="M1198" s="2">
        <v>1197</v>
      </c>
    </row>
    <row r="1199" spans="13:14" x14ac:dyDescent="0.5">
      <c r="M1199" s="2">
        <v>1198</v>
      </c>
    </row>
    <row r="1200" spans="13:14" x14ac:dyDescent="0.5">
      <c r="M1200" s="2">
        <v>1199</v>
      </c>
    </row>
    <row r="1201" spans="13:14" x14ac:dyDescent="0.5">
      <c r="M1201" s="2">
        <v>1200</v>
      </c>
    </row>
    <row r="1202" spans="13:14" x14ac:dyDescent="0.5">
      <c r="M1202" s="2">
        <v>1201</v>
      </c>
    </row>
    <row r="1203" spans="13:14" x14ac:dyDescent="0.5">
      <c r="M1203" s="2">
        <v>1202</v>
      </c>
    </row>
    <row r="1204" spans="13:14" x14ac:dyDescent="0.5">
      <c r="M1204" s="2">
        <v>1203</v>
      </c>
    </row>
    <row r="1205" spans="13:14" x14ac:dyDescent="0.5">
      <c r="M1205" s="2">
        <v>1204</v>
      </c>
    </row>
    <row r="1206" spans="13:14" x14ac:dyDescent="0.5">
      <c r="M1206" s="2">
        <v>1205</v>
      </c>
    </row>
    <row r="1207" spans="13:14" x14ac:dyDescent="0.5">
      <c r="M1207" s="2">
        <v>1206</v>
      </c>
    </row>
    <row r="1208" spans="13:14" x14ac:dyDescent="0.5">
      <c r="M1208" s="2">
        <v>1207</v>
      </c>
    </row>
    <row r="1209" spans="13:14" x14ac:dyDescent="0.5">
      <c r="M1209" s="2">
        <v>1208</v>
      </c>
      <c r="N1209" s="2" t="s">
        <v>3446</v>
      </c>
    </row>
    <row r="1210" spans="13:14" x14ac:dyDescent="0.5">
      <c r="M1210" s="2">
        <v>1209</v>
      </c>
      <c r="N1210" s="2" t="s">
        <v>3446</v>
      </c>
    </row>
    <row r="1211" spans="13:14" x14ac:dyDescent="0.5">
      <c r="M1211" s="2">
        <v>1210</v>
      </c>
    </row>
    <row r="1212" spans="13:14" x14ac:dyDescent="0.5">
      <c r="M1212" s="2">
        <v>1211</v>
      </c>
    </row>
    <row r="1213" spans="13:14" x14ac:dyDescent="0.5">
      <c r="M1213" s="2">
        <v>1212</v>
      </c>
    </row>
    <row r="1214" spans="13:14" x14ac:dyDescent="0.5">
      <c r="M1214" s="2">
        <v>1213</v>
      </c>
    </row>
    <row r="1215" spans="13:14" x14ac:dyDescent="0.5">
      <c r="M1215" s="2">
        <v>1214</v>
      </c>
    </row>
    <row r="1216" spans="13:14" x14ac:dyDescent="0.5">
      <c r="M1216" s="2">
        <v>1215</v>
      </c>
    </row>
    <row r="1217" spans="13:13" x14ac:dyDescent="0.5">
      <c r="M1217" s="2">
        <v>1216</v>
      </c>
    </row>
    <row r="1218" spans="13:13" x14ac:dyDescent="0.5">
      <c r="M1218" s="2">
        <v>1217</v>
      </c>
    </row>
    <row r="1219" spans="13:13" x14ac:dyDescent="0.5">
      <c r="M1219" s="2">
        <v>1218</v>
      </c>
    </row>
    <row r="1220" spans="13:13" x14ac:dyDescent="0.5">
      <c r="M1220" s="2">
        <v>1219</v>
      </c>
    </row>
    <row r="1221" spans="13:13" x14ac:dyDescent="0.5">
      <c r="M1221" s="2">
        <v>1220</v>
      </c>
    </row>
    <row r="1222" spans="13:13" x14ac:dyDescent="0.5">
      <c r="M1222" s="2">
        <v>1221</v>
      </c>
    </row>
    <row r="1223" spans="13:13" x14ac:dyDescent="0.5">
      <c r="M1223" s="2">
        <v>1222</v>
      </c>
    </row>
    <row r="1224" spans="13:13" x14ac:dyDescent="0.5">
      <c r="M1224" s="2">
        <v>1223</v>
      </c>
    </row>
    <row r="1225" spans="13:13" x14ac:dyDescent="0.5">
      <c r="M1225" s="2">
        <v>1224</v>
      </c>
    </row>
    <row r="1226" spans="13:13" x14ac:dyDescent="0.5">
      <c r="M1226" s="2">
        <v>1225</v>
      </c>
    </row>
    <row r="1227" spans="13:13" x14ac:dyDescent="0.5">
      <c r="M1227" s="2">
        <v>1226</v>
      </c>
    </row>
    <row r="1228" spans="13:13" x14ac:dyDescent="0.5">
      <c r="M1228" s="2">
        <v>1227</v>
      </c>
    </row>
    <row r="1229" spans="13:13" x14ac:dyDescent="0.5">
      <c r="M1229" s="2">
        <v>1228</v>
      </c>
    </row>
    <row r="1230" spans="13:13" x14ac:dyDescent="0.5">
      <c r="M1230" s="2">
        <v>1229</v>
      </c>
    </row>
    <row r="1231" spans="13:13" x14ac:dyDescent="0.5">
      <c r="M1231" s="2">
        <v>1230</v>
      </c>
    </row>
    <row r="1232" spans="13:13" x14ac:dyDescent="0.5">
      <c r="M1232" s="2">
        <v>1231</v>
      </c>
    </row>
    <row r="1233" spans="13:14" x14ac:dyDescent="0.5">
      <c r="M1233" s="2">
        <v>1232</v>
      </c>
    </row>
    <row r="1234" spans="13:14" x14ac:dyDescent="0.5">
      <c r="M1234" s="2">
        <v>1233</v>
      </c>
    </row>
    <row r="1235" spans="13:14" x14ac:dyDescent="0.5">
      <c r="M1235" s="2">
        <v>1234</v>
      </c>
    </row>
    <row r="1236" spans="13:14" x14ac:dyDescent="0.5">
      <c r="M1236" s="2">
        <v>1235</v>
      </c>
    </row>
    <row r="1237" spans="13:14" x14ac:dyDescent="0.5">
      <c r="M1237" s="2">
        <v>1236</v>
      </c>
    </row>
    <row r="1238" spans="13:14" x14ac:dyDescent="0.5">
      <c r="M1238" s="2">
        <v>1237</v>
      </c>
    </row>
    <row r="1239" spans="13:14" x14ac:dyDescent="0.5">
      <c r="M1239" s="2">
        <v>1238</v>
      </c>
    </row>
    <row r="1240" spans="13:14" x14ac:dyDescent="0.5">
      <c r="M1240" s="2">
        <v>1239</v>
      </c>
    </row>
    <row r="1241" spans="13:14" x14ac:dyDescent="0.5">
      <c r="M1241" s="2">
        <v>1240</v>
      </c>
    </row>
    <row r="1242" spans="13:14" x14ac:dyDescent="0.5">
      <c r="M1242" s="2">
        <v>1241</v>
      </c>
    </row>
    <row r="1243" spans="13:14" x14ac:dyDescent="0.5">
      <c r="M1243" s="2">
        <v>1242</v>
      </c>
    </row>
    <row r="1244" spans="13:14" x14ac:dyDescent="0.5">
      <c r="M1244" s="2">
        <v>1243</v>
      </c>
      <c r="N1244" s="2" t="s">
        <v>3446</v>
      </c>
    </row>
    <row r="1245" spans="13:14" x14ac:dyDescent="0.5">
      <c r="M1245" s="2">
        <v>1244</v>
      </c>
    </row>
    <row r="1246" spans="13:14" x14ac:dyDescent="0.5">
      <c r="M1246" s="2">
        <v>1245</v>
      </c>
    </row>
    <row r="1247" spans="13:14" x14ac:dyDescent="0.5">
      <c r="M1247" s="2">
        <v>1246</v>
      </c>
    </row>
    <row r="1248" spans="13:14" x14ac:dyDescent="0.5">
      <c r="M1248" s="2">
        <v>1247</v>
      </c>
      <c r="N1248" s="2" t="s">
        <v>3446</v>
      </c>
    </row>
    <row r="1249" spans="13:13" x14ac:dyDescent="0.5">
      <c r="M1249" s="2">
        <v>1248</v>
      </c>
    </row>
    <row r="1250" spans="13:13" x14ac:dyDescent="0.5">
      <c r="M1250" s="2">
        <v>1249</v>
      </c>
    </row>
    <row r="1251" spans="13:13" x14ac:dyDescent="0.5">
      <c r="M1251" s="2">
        <v>1250</v>
      </c>
    </row>
    <row r="1252" spans="13:13" x14ac:dyDescent="0.5">
      <c r="M1252" s="2">
        <v>1251</v>
      </c>
    </row>
    <row r="1253" spans="13:13" x14ac:dyDescent="0.5">
      <c r="M1253" s="2">
        <v>1252</v>
      </c>
    </row>
    <row r="1254" spans="13:13" x14ac:dyDescent="0.5">
      <c r="M1254" s="2">
        <v>1253</v>
      </c>
    </row>
    <row r="1255" spans="13:13" x14ac:dyDescent="0.5">
      <c r="M1255" s="2">
        <v>1254</v>
      </c>
    </row>
    <row r="1256" spans="13:13" x14ac:dyDescent="0.5">
      <c r="M1256" s="2">
        <v>1255</v>
      </c>
    </row>
    <row r="1257" spans="13:13" x14ac:dyDescent="0.5">
      <c r="M1257" s="2">
        <v>1256</v>
      </c>
    </row>
    <row r="1258" spans="13:13" x14ac:dyDescent="0.5">
      <c r="M1258" s="2">
        <v>1257</v>
      </c>
    </row>
    <row r="1259" spans="13:13" x14ac:dyDescent="0.5">
      <c r="M1259" s="2">
        <v>1258</v>
      </c>
    </row>
    <row r="1260" spans="13:13" x14ac:dyDescent="0.5">
      <c r="M1260" s="2">
        <v>1259</v>
      </c>
    </row>
    <row r="1261" spans="13:13" x14ac:dyDescent="0.5">
      <c r="M1261" s="2">
        <v>1260</v>
      </c>
    </row>
    <row r="1262" spans="13:13" x14ac:dyDescent="0.5">
      <c r="M1262" s="2">
        <v>1261</v>
      </c>
    </row>
    <row r="1263" spans="13:13" x14ac:dyDescent="0.5">
      <c r="M1263" s="2">
        <v>1262</v>
      </c>
    </row>
    <row r="1264" spans="13:13" x14ac:dyDescent="0.5">
      <c r="M1264" s="2">
        <v>1263</v>
      </c>
    </row>
    <row r="1265" spans="13:14" x14ac:dyDescent="0.5">
      <c r="M1265" s="2">
        <v>1264</v>
      </c>
    </row>
    <row r="1266" spans="13:14" x14ac:dyDescent="0.5">
      <c r="M1266" s="2">
        <v>1265</v>
      </c>
    </row>
    <row r="1267" spans="13:14" x14ac:dyDescent="0.5">
      <c r="M1267" s="2">
        <v>1266</v>
      </c>
    </row>
    <row r="1268" spans="13:14" x14ac:dyDescent="0.5">
      <c r="M1268" s="2">
        <v>1267</v>
      </c>
    </row>
    <row r="1269" spans="13:14" x14ac:dyDescent="0.5">
      <c r="M1269" s="2">
        <v>1268</v>
      </c>
    </row>
    <row r="1270" spans="13:14" x14ac:dyDescent="0.5">
      <c r="M1270" s="2">
        <v>1269</v>
      </c>
      <c r="N1270" s="2" t="s">
        <v>3446</v>
      </c>
    </row>
    <row r="1271" spans="13:14" x14ac:dyDescent="0.5">
      <c r="M1271" s="2">
        <v>1270</v>
      </c>
    </row>
    <row r="1272" spans="13:14" x14ac:dyDescent="0.5">
      <c r="M1272" s="2">
        <v>1271</v>
      </c>
    </row>
    <row r="1273" spans="13:14" x14ac:dyDescent="0.5">
      <c r="M1273" s="2">
        <v>1272</v>
      </c>
      <c r="N1273" s="2" t="s">
        <v>3446</v>
      </c>
    </row>
    <row r="1274" spans="13:14" x14ac:dyDescent="0.5">
      <c r="M1274" s="2">
        <v>1273</v>
      </c>
    </row>
    <row r="1275" spans="13:14" x14ac:dyDescent="0.5">
      <c r="M1275" s="2">
        <v>1274</v>
      </c>
    </row>
    <row r="1276" spans="13:14" x14ac:dyDescent="0.5">
      <c r="M1276" s="2">
        <v>1275</v>
      </c>
    </row>
    <row r="1277" spans="13:14" x14ac:dyDescent="0.5">
      <c r="M1277" s="2">
        <v>1276</v>
      </c>
    </row>
    <row r="1278" spans="13:14" x14ac:dyDescent="0.5">
      <c r="M1278" s="2">
        <v>1277</v>
      </c>
    </row>
    <row r="1279" spans="13:14" x14ac:dyDescent="0.5">
      <c r="M1279" s="2">
        <v>1278</v>
      </c>
    </row>
    <row r="1280" spans="13:14" x14ac:dyDescent="0.5">
      <c r="M1280" s="2">
        <v>1279</v>
      </c>
    </row>
    <row r="1281" spans="13:14" x14ac:dyDescent="0.5">
      <c r="M1281" s="2">
        <v>1280</v>
      </c>
    </row>
    <row r="1282" spans="13:14" x14ac:dyDescent="0.5">
      <c r="M1282" s="2">
        <v>1281</v>
      </c>
    </row>
    <row r="1283" spans="13:14" x14ac:dyDescent="0.5">
      <c r="M1283" s="2">
        <v>1282</v>
      </c>
    </row>
    <row r="1284" spans="13:14" x14ac:dyDescent="0.5">
      <c r="M1284" s="2">
        <v>1283</v>
      </c>
    </row>
    <row r="1285" spans="13:14" x14ac:dyDescent="0.5">
      <c r="M1285" s="2">
        <v>1284</v>
      </c>
    </row>
    <row r="1286" spans="13:14" x14ac:dyDescent="0.5">
      <c r="M1286" s="2">
        <v>1285</v>
      </c>
    </row>
    <row r="1287" spans="13:14" x14ac:dyDescent="0.5">
      <c r="M1287" s="2">
        <v>1286</v>
      </c>
    </row>
    <row r="1288" spans="13:14" x14ac:dyDescent="0.5">
      <c r="M1288" s="2">
        <v>1287</v>
      </c>
    </row>
    <row r="1289" spans="13:14" x14ac:dyDescent="0.5">
      <c r="M1289" s="2">
        <v>1288</v>
      </c>
    </row>
    <row r="1290" spans="13:14" x14ac:dyDescent="0.5">
      <c r="M1290" s="2">
        <v>1289</v>
      </c>
    </row>
    <row r="1291" spans="13:14" x14ac:dyDescent="0.5">
      <c r="M1291" s="2">
        <v>1290</v>
      </c>
    </row>
    <row r="1292" spans="13:14" x14ac:dyDescent="0.5">
      <c r="M1292" s="2">
        <v>1291</v>
      </c>
    </row>
    <row r="1293" spans="13:14" x14ac:dyDescent="0.5">
      <c r="M1293" s="2">
        <v>1292</v>
      </c>
      <c r="N1293" s="2" t="s">
        <v>3446</v>
      </c>
    </row>
    <row r="1294" spans="13:14" x14ac:dyDescent="0.5">
      <c r="M1294" s="2">
        <v>1293</v>
      </c>
    </row>
    <row r="1295" spans="13:14" x14ac:dyDescent="0.5">
      <c r="M1295" s="2">
        <v>1294</v>
      </c>
      <c r="N1295" s="2" t="s">
        <v>3446</v>
      </c>
    </row>
    <row r="1296" spans="13:14" x14ac:dyDescent="0.5">
      <c r="M1296" s="2">
        <v>1295</v>
      </c>
    </row>
    <row r="1297" spans="13:14" x14ac:dyDescent="0.5">
      <c r="M1297" s="2">
        <v>1296</v>
      </c>
    </row>
    <row r="1298" spans="13:14" x14ac:dyDescent="0.5">
      <c r="M1298" s="2">
        <v>1297</v>
      </c>
    </row>
    <row r="1299" spans="13:14" x14ac:dyDescent="0.5">
      <c r="M1299" s="2">
        <v>1298</v>
      </c>
    </row>
    <row r="1300" spans="13:14" x14ac:dyDescent="0.5">
      <c r="M1300" s="2">
        <v>1299</v>
      </c>
    </row>
    <row r="1301" spans="13:14" x14ac:dyDescent="0.5">
      <c r="M1301" s="2">
        <v>1300</v>
      </c>
    </row>
    <row r="1302" spans="13:14" x14ac:dyDescent="0.5">
      <c r="M1302" s="2">
        <v>1301</v>
      </c>
    </row>
    <row r="1303" spans="13:14" x14ac:dyDescent="0.5">
      <c r="M1303" s="2">
        <v>1302</v>
      </c>
      <c r="N1303" s="2" t="s">
        <v>3446</v>
      </c>
    </row>
    <row r="1304" spans="13:14" x14ac:dyDescent="0.5">
      <c r="M1304" s="2">
        <v>1303</v>
      </c>
    </row>
    <row r="1305" spans="13:14" x14ac:dyDescent="0.5">
      <c r="M1305" s="2">
        <v>1304</v>
      </c>
    </row>
    <row r="1306" spans="13:14" x14ac:dyDescent="0.5">
      <c r="M1306" s="2">
        <v>1305</v>
      </c>
    </row>
    <row r="1307" spans="13:14" x14ac:dyDescent="0.5">
      <c r="M1307" s="2">
        <v>1306</v>
      </c>
    </row>
    <row r="1308" spans="13:14" x14ac:dyDescent="0.5">
      <c r="M1308" s="2">
        <v>1307</v>
      </c>
    </row>
    <row r="1309" spans="13:14" x14ac:dyDescent="0.5">
      <c r="M1309" s="2">
        <v>1308</v>
      </c>
    </row>
    <row r="1310" spans="13:14" x14ac:dyDescent="0.5">
      <c r="M1310" s="2">
        <v>1309</v>
      </c>
    </row>
    <row r="1311" spans="13:14" x14ac:dyDescent="0.5">
      <c r="M1311" s="2">
        <v>1310</v>
      </c>
    </row>
    <row r="1312" spans="13:14" x14ac:dyDescent="0.5">
      <c r="M1312" s="2">
        <v>1311</v>
      </c>
    </row>
    <row r="1313" spans="13:13" x14ac:dyDescent="0.5">
      <c r="M1313" s="2">
        <v>1312</v>
      </c>
    </row>
    <row r="1314" spans="13:13" x14ac:dyDescent="0.5">
      <c r="M1314" s="2">
        <v>1313</v>
      </c>
    </row>
    <row r="1315" spans="13:13" x14ac:dyDescent="0.5">
      <c r="M1315" s="2">
        <v>1314</v>
      </c>
    </row>
    <row r="1316" spans="13:13" x14ac:dyDescent="0.5">
      <c r="M1316" s="2">
        <v>1315</v>
      </c>
    </row>
    <row r="1317" spans="13:13" x14ac:dyDescent="0.5">
      <c r="M1317" s="2">
        <v>1316</v>
      </c>
    </row>
    <row r="1318" spans="13:13" x14ac:dyDescent="0.5">
      <c r="M1318" s="2">
        <v>1317</v>
      </c>
    </row>
    <row r="1319" spans="13:13" x14ac:dyDescent="0.5">
      <c r="M1319" s="2">
        <v>1318</v>
      </c>
    </row>
    <row r="1320" spans="13:13" x14ac:dyDescent="0.5">
      <c r="M1320" s="2">
        <v>1319</v>
      </c>
    </row>
    <row r="1321" spans="13:13" x14ac:dyDescent="0.5">
      <c r="M1321" s="2">
        <v>1320</v>
      </c>
    </row>
    <row r="1322" spans="13:13" x14ac:dyDescent="0.5">
      <c r="M1322" s="2">
        <v>1321</v>
      </c>
    </row>
    <row r="1323" spans="13:13" x14ac:dyDescent="0.5">
      <c r="M1323" s="2">
        <v>1322</v>
      </c>
    </row>
    <row r="1324" spans="13:13" x14ac:dyDescent="0.5">
      <c r="M1324" s="2">
        <v>1323</v>
      </c>
    </row>
    <row r="1325" spans="13:13" x14ac:dyDescent="0.5">
      <c r="M1325" s="2">
        <v>1324</v>
      </c>
    </row>
    <row r="1326" spans="13:13" x14ac:dyDescent="0.5">
      <c r="M1326" s="2">
        <v>1325</v>
      </c>
    </row>
    <row r="1327" spans="13:13" x14ac:dyDescent="0.5">
      <c r="M1327" s="2">
        <v>1326</v>
      </c>
    </row>
    <row r="1328" spans="13:13" x14ac:dyDescent="0.5">
      <c r="M1328" s="2">
        <v>1327</v>
      </c>
    </row>
    <row r="1329" spans="13:13" x14ac:dyDescent="0.5">
      <c r="M1329" s="2">
        <v>1328</v>
      </c>
    </row>
    <row r="1330" spans="13:13" x14ac:dyDescent="0.5">
      <c r="M1330" s="2">
        <v>1329</v>
      </c>
    </row>
    <row r="1331" spans="13:13" x14ac:dyDescent="0.5">
      <c r="M1331" s="2">
        <v>1330</v>
      </c>
    </row>
    <row r="1332" spans="13:13" x14ac:dyDescent="0.5">
      <c r="M1332" s="2">
        <v>1331</v>
      </c>
    </row>
    <row r="1333" spans="13:13" x14ac:dyDescent="0.5">
      <c r="M1333" s="2">
        <v>1332</v>
      </c>
    </row>
    <row r="1334" spans="13:13" x14ac:dyDescent="0.5">
      <c r="M1334" s="2">
        <v>1333</v>
      </c>
    </row>
    <row r="1335" spans="13:13" x14ac:dyDescent="0.5">
      <c r="M1335" s="2">
        <v>1334</v>
      </c>
    </row>
    <row r="1336" spans="13:13" x14ac:dyDescent="0.5">
      <c r="M1336" s="2">
        <v>1335</v>
      </c>
    </row>
    <row r="1337" spans="13:13" x14ac:dyDescent="0.5">
      <c r="M1337" s="2">
        <v>1336</v>
      </c>
    </row>
    <row r="1338" spans="13:13" x14ac:dyDescent="0.5">
      <c r="M1338" s="2">
        <v>1337</v>
      </c>
    </row>
    <row r="1339" spans="13:13" x14ac:dyDescent="0.5">
      <c r="M1339" s="2">
        <v>1338</v>
      </c>
    </row>
    <row r="1340" spans="13:13" x14ac:dyDescent="0.5">
      <c r="M1340" s="2">
        <v>1339</v>
      </c>
    </row>
    <row r="1341" spans="13:13" x14ac:dyDescent="0.5">
      <c r="M1341" s="2">
        <v>1340</v>
      </c>
    </row>
    <row r="1342" spans="13:13" x14ac:dyDescent="0.5">
      <c r="M1342" s="2">
        <v>1341</v>
      </c>
    </row>
    <row r="1343" spans="13:13" x14ac:dyDescent="0.5">
      <c r="M1343" s="2">
        <v>1342</v>
      </c>
    </row>
    <row r="1344" spans="13:13" x14ac:dyDescent="0.5">
      <c r="M1344" s="2">
        <v>1343</v>
      </c>
    </row>
    <row r="1345" spans="13:13" x14ac:dyDescent="0.5">
      <c r="M1345" s="2">
        <v>1344</v>
      </c>
    </row>
    <row r="1346" spans="13:13" x14ac:dyDescent="0.5">
      <c r="M1346" s="2">
        <v>1345</v>
      </c>
    </row>
    <row r="1347" spans="13:13" x14ac:dyDescent="0.5">
      <c r="M1347" s="2">
        <v>1346</v>
      </c>
    </row>
    <row r="1348" spans="13:13" x14ac:dyDescent="0.5">
      <c r="M1348" s="2">
        <v>1347</v>
      </c>
    </row>
    <row r="1349" spans="13:13" x14ac:dyDescent="0.5">
      <c r="M1349" s="2">
        <v>1348</v>
      </c>
    </row>
    <row r="1350" spans="13:13" x14ac:dyDescent="0.5">
      <c r="M1350" s="2">
        <v>1349</v>
      </c>
    </row>
    <row r="1351" spans="13:13" x14ac:dyDescent="0.5">
      <c r="M1351" s="2">
        <v>1350</v>
      </c>
    </row>
    <row r="1352" spans="13:13" x14ac:dyDescent="0.5">
      <c r="M1352" s="2">
        <v>1351</v>
      </c>
    </row>
    <row r="1353" spans="13:13" x14ac:dyDescent="0.5">
      <c r="M1353" s="2">
        <v>1352</v>
      </c>
    </row>
    <row r="1354" spans="13:13" x14ac:dyDescent="0.5">
      <c r="M1354" s="2">
        <v>1353</v>
      </c>
    </row>
    <row r="1355" spans="13:13" x14ac:dyDescent="0.5">
      <c r="M1355" s="2">
        <v>1354</v>
      </c>
    </row>
    <row r="1356" spans="13:13" x14ac:dyDescent="0.5">
      <c r="M1356" s="2">
        <v>1355</v>
      </c>
    </row>
    <row r="1357" spans="13:13" x14ac:dyDescent="0.5">
      <c r="M1357" s="2">
        <v>1356</v>
      </c>
    </row>
    <row r="1358" spans="13:13" x14ac:dyDescent="0.5">
      <c r="M1358" s="2">
        <v>1357</v>
      </c>
    </row>
    <row r="1359" spans="13:13" x14ac:dyDescent="0.5">
      <c r="M1359" s="2">
        <v>1358</v>
      </c>
    </row>
    <row r="1360" spans="13:13" x14ac:dyDescent="0.5">
      <c r="M1360" s="2">
        <v>1359</v>
      </c>
    </row>
    <row r="1361" spans="13:13" x14ac:dyDescent="0.5">
      <c r="M1361" s="2">
        <v>1360</v>
      </c>
    </row>
    <row r="1362" spans="13:13" x14ac:dyDescent="0.5">
      <c r="M1362" s="2">
        <v>1361</v>
      </c>
    </row>
    <row r="1363" spans="13:13" x14ac:dyDescent="0.5">
      <c r="M1363" s="2">
        <v>1362</v>
      </c>
    </row>
    <row r="1364" spans="13:13" x14ac:dyDescent="0.5">
      <c r="M1364" s="2">
        <v>1363</v>
      </c>
    </row>
    <row r="1365" spans="13:13" x14ac:dyDescent="0.5">
      <c r="M1365" s="2">
        <v>1364</v>
      </c>
    </row>
    <row r="1366" spans="13:13" x14ac:dyDescent="0.5">
      <c r="M1366" s="2">
        <v>1365</v>
      </c>
    </row>
    <row r="1367" spans="13:13" x14ac:dyDescent="0.5">
      <c r="M1367" s="2">
        <v>1366</v>
      </c>
    </row>
    <row r="1368" spans="13:13" x14ac:dyDescent="0.5">
      <c r="M1368" s="2">
        <v>1367</v>
      </c>
    </row>
    <row r="1369" spans="13:13" x14ac:dyDescent="0.5">
      <c r="M1369" s="2">
        <v>1368</v>
      </c>
    </row>
    <row r="1370" spans="13:13" x14ac:dyDescent="0.5">
      <c r="M1370" s="2">
        <v>1369</v>
      </c>
    </row>
    <row r="1371" spans="13:13" x14ac:dyDescent="0.5">
      <c r="M1371" s="2">
        <v>1370</v>
      </c>
    </row>
    <row r="1372" spans="13:13" x14ac:dyDescent="0.5">
      <c r="M1372" s="2">
        <v>1371</v>
      </c>
    </row>
    <row r="1373" spans="13:13" x14ac:dyDescent="0.5">
      <c r="M1373" s="2">
        <v>1372</v>
      </c>
    </row>
    <row r="1374" spans="13:13" x14ac:dyDescent="0.5">
      <c r="M1374" s="2">
        <v>1373</v>
      </c>
    </row>
    <row r="1375" spans="13:13" x14ac:dyDescent="0.5">
      <c r="M1375" s="2">
        <v>1374</v>
      </c>
    </row>
    <row r="1376" spans="13:13" x14ac:dyDescent="0.5">
      <c r="M1376" s="2">
        <v>1375</v>
      </c>
    </row>
    <row r="1377" spans="13:13" x14ac:dyDescent="0.5">
      <c r="M1377" s="2">
        <v>1376</v>
      </c>
    </row>
    <row r="1378" spans="13:13" x14ac:dyDescent="0.5">
      <c r="M1378" s="2">
        <v>1377</v>
      </c>
    </row>
    <row r="1379" spans="13:13" x14ac:dyDescent="0.5">
      <c r="M1379" s="2">
        <v>1378</v>
      </c>
    </row>
    <row r="1380" spans="13:13" x14ac:dyDescent="0.5">
      <c r="M1380" s="2">
        <v>1379</v>
      </c>
    </row>
    <row r="1381" spans="13:13" x14ac:dyDescent="0.5">
      <c r="M1381" s="2">
        <v>1380</v>
      </c>
    </row>
    <row r="1382" spans="13:13" x14ac:dyDescent="0.5">
      <c r="M1382" s="2">
        <v>1381</v>
      </c>
    </row>
    <row r="1383" spans="13:13" x14ac:dyDescent="0.5">
      <c r="M1383" s="2">
        <v>1382</v>
      </c>
    </row>
    <row r="1384" spans="13:13" x14ac:dyDescent="0.5">
      <c r="M1384" s="2">
        <v>1383</v>
      </c>
    </row>
    <row r="1385" spans="13:13" x14ac:dyDescent="0.5">
      <c r="M1385" s="2">
        <v>1384</v>
      </c>
    </row>
    <row r="1386" spans="13:13" x14ac:dyDescent="0.5">
      <c r="M1386" s="2">
        <v>1385</v>
      </c>
    </row>
    <row r="1387" spans="13:13" x14ac:dyDescent="0.5">
      <c r="M1387" s="2">
        <v>1386</v>
      </c>
    </row>
    <row r="1388" spans="13:13" x14ac:dyDescent="0.5">
      <c r="M1388" s="2">
        <v>1387</v>
      </c>
    </row>
    <row r="1389" spans="13:13" x14ac:dyDescent="0.5">
      <c r="M1389" s="2">
        <v>1388</v>
      </c>
    </row>
    <row r="1390" spans="13:13" x14ac:dyDescent="0.5">
      <c r="M1390" s="2">
        <v>1389</v>
      </c>
    </row>
    <row r="1391" spans="13:13" x14ac:dyDescent="0.5">
      <c r="M1391" s="2">
        <v>1390</v>
      </c>
    </row>
    <row r="1392" spans="13:13" x14ac:dyDescent="0.5">
      <c r="M1392" s="2">
        <v>1391</v>
      </c>
    </row>
    <row r="1393" spans="13:13" x14ac:dyDescent="0.5">
      <c r="M1393" s="2">
        <v>1392</v>
      </c>
    </row>
    <row r="1394" spans="13:13" x14ac:dyDescent="0.5">
      <c r="M1394" s="2">
        <v>1393</v>
      </c>
    </row>
    <row r="1395" spans="13:13" x14ac:dyDescent="0.5">
      <c r="M1395" s="2">
        <v>1394</v>
      </c>
    </row>
    <row r="1396" spans="13:13" x14ac:dyDescent="0.5">
      <c r="M1396" s="2">
        <v>1395</v>
      </c>
    </row>
    <row r="1397" spans="13:13" x14ac:dyDescent="0.5">
      <c r="M1397" s="2">
        <v>1396</v>
      </c>
    </row>
    <row r="1398" spans="13:13" x14ac:dyDescent="0.5">
      <c r="M1398" s="2">
        <v>1397</v>
      </c>
    </row>
    <row r="1399" spans="13:13" x14ac:dyDescent="0.5">
      <c r="M1399" s="2">
        <v>1398</v>
      </c>
    </row>
    <row r="1400" spans="13:13" x14ac:dyDescent="0.5">
      <c r="M1400" s="2">
        <v>1399</v>
      </c>
    </row>
    <row r="1401" spans="13:13" x14ac:dyDescent="0.5">
      <c r="M1401" s="2">
        <v>1400</v>
      </c>
    </row>
    <row r="1402" spans="13:13" x14ac:dyDescent="0.5">
      <c r="M1402" s="2">
        <v>1401</v>
      </c>
    </row>
    <row r="1403" spans="13:13" x14ac:dyDescent="0.5">
      <c r="M1403" s="2">
        <v>1402</v>
      </c>
    </row>
    <row r="1404" spans="13:13" x14ac:dyDescent="0.5">
      <c r="M1404" s="2">
        <v>1403</v>
      </c>
    </row>
    <row r="1405" spans="13:13" x14ac:dyDescent="0.5">
      <c r="M1405" s="2">
        <v>1404</v>
      </c>
    </row>
    <row r="1406" spans="13:13" x14ac:dyDescent="0.5">
      <c r="M1406" s="2">
        <v>1405</v>
      </c>
    </row>
    <row r="1407" spans="13:13" x14ac:dyDescent="0.5">
      <c r="M1407" s="2">
        <v>1406</v>
      </c>
    </row>
    <row r="1408" spans="13:13" x14ac:dyDescent="0.5">
      <c r="M1408" s="2">
        <v>1407</v>
      </c>
    </row>
    <row r="1409" spans="13:13" x14ac:dyDescent="0.5">
      <c r="M1409" s="2">
        <v>1408</v>
      </c>
    </row>
    <row r="1410" spans="13:13" x14ac:dyDescent="0.5">
      <c r="M1410" s="2">
        <v>1409</v>
      </c>
    </row>
    <row r="1411" spans="13:13" x14ac:dyDescent="0.5">
      <c r="M1411" s="2">
        <v>1410</v>
      </c>
    </row>
    <row r="1412" spans="13:13" x14ac:dyDescent="0.5">
      <c r="M1412" s="2">
        <v>1411</v>
      </c>
    </row>
    <row r="1413" spans="13:13" x14ac:dyDescent="0.5">
      <c r="M1413" s="2">
        <v>1412</v>
      </c>
    </row>
    <row r="1414" spans="13:13" x14ac:dyDescent="0.5">
      <c r="M1414" s="2">
        <v>1413</v>
      </c>
    </row>
    <row r="1415" spans="13:13" x14ac:dyDescent="0.5">
      <c r="M1415" s="2">
        <v>1414</v>
      </c>
    </row>
    <row r="1416" spans="13:13" x14ac:dyDescent="0.5">
      <c r="M1416" s="2">
        <v>1415</v>
      </c>
    </row>
    <row r="1417" spans="13:13" x14ac:dyDescent="0.5">
      <c r="M1417" s="2">
        <v>1416</v>
      </c>
    </row>
    <row r="1418" spans="13:13" x14ac:dyDescent="0.5">
      <c r="M1418" s="2">
        <v>1417</v>
      </c>
    </row>
    <row r="1419" spans="13:13" x14ac:dyDescent="0.5">
      <c r="M1419" s="2">
        <v>1418</v>
      </c>
    </row>
    <row r="1420" spans="13:13" x14ac:dyDescent="0.5">
      <c r="M1420" s="2">
        <v>1419</v>
      </c>
    </row>
    <row r="1421" spans="13:13" x14ac:dyDescent="0.5">
      <c r="M1421" s="2">
        <v>1420</v>
      </c>
    </row>
    <row r="1422" spans="13:13" x14ac:dyDescent="0.5">
      <c r="M1422" s="2">
        <v>1421</v>
      </c>
    </row>
    <row r="1423" spans="13:13" x14ac:dyDescent="0.5">
      <c r="M1423" s="2">
        <v>1422</v>
      </c>
    </row>
    <row r="1424" spans="13:13" x14ac:dyDescent="0.5">
      <c r="M1424" s="2">
        <v>1423</v>
      </c>
    </row>
    <row r="1425" spans="13:13" x14ac:dyDescent="0.5">
      <c r="M1425" s="2">
        <v>1424</v>
      </c>
    </row>
    <row r="1426" spans="13:13" x14ac:dyDescent="0.5">
      <c r="M1426" s="2">
        <v>1425</v>
      </c>
    </row>
    <row r="1427" spans="13:13" x14ac:dyDescent="0.5">
      <c r="M1427" s="2">
        <v>1426</v>
      </c>
    </row>
    <row r="1428" spans="13:13" x14ac:dyDescent="0.5">
      <c r="M1428" s="2">
        <v>1427</v>
      </c>
    </row>
    <row r="1429" spans="13:13" x14ac:dyDescent="0.5">
      <c r="M1429" s="2">
        <v>1428</v>
      </c>
    </row>
    <row r="1430" spans="13:13" x14ac:dyDescent="0.5">
      <c r="M1430" s="2">
        <v>1429</v>
      </c>
    </row>
    <row r="1431" spans="13:13" x14ac:dyDescent="0.5">
      <c r="M1431" s="2">
        <v>1430</v>
      </c>
    </row>
    <row r="1432" spans="13:13" x14ac:dyDescent="0.5">
      <c r="M1432" s="2">
        <v>1431</v>
      </c>
    </row>
    <row r="1433" spans="13:13" x14ac:dyDescent="0.5">
      <c r="M1433" s="2">
        <v>1432</v>
      </c>
    </row>
    <row r="1434" spans="13:13" x14ac:dyDescent="0.5">
      <c r="M1434" s="2">
        <v>1433</v>
      </c>
    </row>
    <row r="1435" spans="13:13" x14ac:dyDescent="0.5">
      <c r="M1435" s="2">
        <v>1434</v>
      </c>
    </row>
    <row r="1436" spans="13:13" x14ac:dyDescent="0.5">
      <c r="M1436" s="2">
        <v>1435</v>
      </c>
    </row>
    <row r="1437" spans="13:13" x14ac:dyDescent="0.5">
      <c r="M1437" s="2">
        <v>1436</v>
      </c>
    </row>
    <row r="1438" spans="13:13" x14ac:dyDescent="0.5">
      <c r="M1438" s="2">
        <v>1437</v>
      </c>
    </row>
    <row r="1439" spans="13:13" x14ac:dyDescent="0.5">
      <c r="M1439" s="2">
        <v>1438</v>
      </c>
    </row>
    <row r="1440" spans="13:13" x14ac:dyDescent="0.5">
      <c r="M1440" s="2">
        <v>1439</v>
      </c>
    </row>
    <row r="1441" spans="13:13" x14ac:dyDescent="0.5">
      <c r="M1441" s="2">
        <v>1440</v>
      </c>
    </row>
    <row r="1442" spans="13:13" x14ac:dyDescent="0.5">
      <c r="M1442" s="2">
        <v>1441</v>
      </c>
    </row>
    <row r="1443" spans="13:13" x14ac:dyDescent="0.5">
      <c r="M1443" s="2">
        <v>1442</v>
      </c>
    </row>
    <row r="1444" spans="13:13" x14ac:dyDescent="0.5">
      <c r="M1444" s="2">
        <v>1443</v>
      </c>
    </row>
    <row r="1445" spans="13:13" x14ac:dyDescent="0.5">
      <c r="M1445" s="2">
        <v>1444</v>
      </c>
    </row>
    <row r="1446" spans="13:13" x14ac:dyDescent="0.5">
      <c r="M1446" s="2">
        <v>1445</v>
      </c>
    </row>
    <row r="1447" spans="13:13" x14ac:dyDescent="0.5">
      <c r="M1447" s="2">
        <v>1446</v>
      </c>
    </row>
    <row r="1448" spans="13:13" x14ac:dyDescent="0.5">
      <c r="M1448" s="2">
        <v>1447</v>
      </c>
    </row>
    <row r="1449" spans="13:13" x14ac:dyDescent="0.5">
      <c r="M1449" s="2">
        <v>1448</v>
      </c>
    </row>
    <row r="1450" spans="13:13" x14ac:dyDescent="0.5">
      <c r="M1450" s="2">
        <v>1449</v>
      </c>
    </row>
    <row r="1451" spans="13:13" x14ac:dyDescent="0.5">
      <c r="M1451" s="2">
        <v>1450</v>
      </c>
    </row>
    <row r="1452" spans="13:13" x14ac:dyDescent="0.5">
      <c r="M1452" s="2">
        <v>1451</v>
      </c>
    </row>
    <row r="1453" spans="13:13" x14ac:dyDescent="0.5">
      <c r="M1453" s="2">
        <v>1452</v>
      </c>
    </row>
    <row r="1454" spans="13:13" x14ac:dyDescent="0.5">
      <c r="M1454" s="2">
        <v>1453</v>
      </c>
    </row>
    <row r="1455" spans="13:13" x14ac:dyDescent="0.5">
      <c r="M1455" s="2">
        <v>1454</v>
      </c>
    </row>
    <row r="1456" spans="13:13" x14ac:dyDescent="0.5">
      <c r="M1456" s="2">
        <v>1455</v>
      </c>
    </row>
    <row r="1457" spans="13:13" x14ac:dyDescent="0.5">
      <c r="M1457" s="2">
        <v>1456</v>
      </c>
    </row>
    <row r="1458" spans="13:13" x14ac:dyDescent="0.5">
      <c r="M1458" s="2">
        <v>1457</v>
      </c>
    </row>
    <row r="1459" spans="13:13" x14ac:dyDescent="0.5">
      <c r="M1459" s="2">
        <v>1458</v>
      </c>
    </row>
    <row r="1460" spans="13:13" x14ac:dyDescent="0.5">
      <c r="M1460" s="2">
        <v>1459</v>
      </c>
    </row>
    <row r="1461" spans="13:13" x14ac:dyDescent="0.5">
      <c r="M1461" s="2">
        <v>1460</v>
      </c>
    </row>
    <row r="1462" spans="13:13" x14ac:dyDescent="0.5">
      <c r="M1462" s="2">
        <v>1461</v>
      </c>
    </row>
    <row r="1463" spans="13:13" x14ac:dyDescent="0.5">
      <c r="M1463" s="2">
        <v>1462</v>
      </c>
    </row>
    <row r="1464" spans="13:13" x14ac:dyDescent="0.5">
      <c r="M1464" s="2">
        <v>1463</v>
      </c>
    </row>
    <row r="1465" spans="13:13" x14ac:dyDescent="0.5">
      <c r="M1465" s="2">
        <v>1464</v>
      </c>
    </row>
    <row r="1466" spans="13:13" x14ac:dyDescent="0.5">
      <c r="M1466" s="2">
        <v>1465</v>
      </c>
    </row>
    <row r="1467" spans="13:13" x14ac:dyDescent="0.5">
      <c r="M1467" s="2">
        <v>1466</v>
      </c>
    </row>
    <row r="1468" spans="13:13" x14ac:dyDescent="0.5">
      <c r="M1468" s="2">
        <v>1467</v>
      </c>
    </row>
    <row r="1469" spans="13:13" x14ac:dyDescent="0.5">
      <c r="M1469" s="2">
        <v>1468</v>
      </c>
    </row>
    <row r="1470" spans="13:13" x14ac:dyDescent="0.5">
      <c r="M1470" s="2">
        <v>1469</v>
      </c>
    </row>
    <row r="1471" spans="13:13" x14ac:dyDescent="0.5">
      <c r="M1471" s="2">
        <v>1470</v>
      </c>
    </row>
    <row r="1472" spans="13:13" x14ac:dyDescent="0.5">
      <c r="M1472" s="2">
        <v>1471</v>
      </c>
    </row>
    <row r="1473" spans="13:13" x14ac:dyDescent="0.5">
      <c r="M1473" s="2">
        <v>1472</v>
      </c>
    </row>
    <row r="1474" spans="13:13" x14ac:dyDescent="0.5">
      <c r="M1474" s="2">
        <v>1473</v>
      </c>
    </row>
    <row r="1475" spans="13:13" x14ac:dyDescent="0.5">
      <c r="M1475" s="2">
        <v>1474</v>
      </c>
    </row>
    <row r="1476" spans="13:13" x14ac:dyDescent="0.5">
      <c r="M1476" s="2">
        <v>1475</v>
      </c>
    </row>
    <row r="1477" spans="13:13" x14ac:dyDescent="0.5">
      <c r="M1477" s="2">
        <v>1476</v>
      </c>
    </row>
    <row r="1478" spans="13:13" x14ac:dyDescent="0.5">
      <c r="M1478" s="2">
        <v>1477</v>
      </c>
    </row>
    <row r="1479" spans="13:13" x14ac:dyDescent="0.5">
      <c r="M1479" s="2">
        <v>1478</v>
      </c>
    </row>
    <row r="1480" spans="13:13" x14ac:dyDescent="0.5">
      <c r="M1480" s="2">
        <v>1479</v>
      </c>
    </row>
    <row r="1481" spans="13:13" x14ac:dyDescent="0.5">
      <c r="M1481" s="2">
        <v>1480</v>
      </c>
    </row>
    <row r="1482" spans="13:13" x14ac:dyDescent="0.5">
      <c r="M1482" s="2">
        <v>1481</v>
      </c>
    </row>
    <row r="1483" spans="13:13" x14ac:dyDescent="0.5">
      <c r="M1483" s="2">
        <v>1482</v>
      </c>
    </row>
    <row r="1484" spans="13:13" x14ac:dyDescent="0.5">
      <c r="M1484" s="2">
        <v>1483</v>
      </c>
    </row>
    <row r="1485" spans="13:13" x14ac:dyDescent="0.5">
      <c r="M1485" s="2">
        <v>1484</v>
      </c>
    </row>
    <row r="1486" spans="13:13" x14ac:dyDescent="0.5">
      <c r="M1486" s="2">
        <v>1485</v>
      </c>
    </row>
    <row r="1487" spans="13:13" x14ac:dyDescent="0.5">
      <c r="M1487" s="2">
        <v>1486</v>
      </c>
    </row>
    <row r="1488" spans="13:13" x14ac:dyDescent="0.5">
      <c r="M1488" s="2">
        <v>1487</v>
      </c>
    </row>
    <row r="1489" spans="13:14" x14ac:dyDescent="0.5">
      <c r="M1489" s="2">
        <v>1488</v>
      </c>
    </row>
    <row r="1490" spans="13:14" x14ac:dyDescent="0.5">
      <c r="M1490" s="2">
        <v>1489</v>
      </c>
    </row>
    <row r="1491" spans="13:14" x14ac:dyDescent="0.5">
      <c r="M1491" s="2">
        <v>1490</v>
      </c>
    </row>
    <row r="1492" spans="13:14" x14ac:dyDescent="0.5">
      <c r="M1492" s="2">
        <v>1491</v>
      </c>
    </row>
    <row r="1493" spans="13:14" x14ac:dyDescent="0.5">
      <c r="M1493" s="2">
        <v>1492</v>
      </c>
      <c r="N1493" s="2" t="s">
        <v>3446</v>
      </c>
    </row>
    <row r="1494" spans="13:14" x14ac:dyDescent="0.5">
      <c r="M1494" s="2">
        <v>1493</v>
      </c>
    </row>
    <row r="1495" spans="13:14" x14ac:dyDescent="0.5">
      <c r="M1495" s="2">
        <v>1494</v>
      </c>
    </row>
    <row r="1496" spans="13:14" x14ac:dyDescent="0.5">
      <c r="M1496" s="2">
        <v>1495</v>
      </c>
    </row>
    <row r="1497" spans="13:14" x14ac:dyDescent="0.5">
      <c r="M1497" s="2">
        <v>1496</v>
      </c>
    </row>
    <row r="1498" spans="13:14" x14ac:dyDescent="0.5">
      <c r="M1498" s="2">
        <v>1497</v>
      </c>
      <c r="N1498" s="2" t="s">
        <v>3446</v>
      </c>
    </row>
    <row r="1499" spans="13:14" x14ac:dyDescent="0.5">
      <c r="M1499" s="2">
        <v>1498</v>
      </c>
    </row>
    <row r="1500" spans="13:14" x14ac:dyDescent="0.5">
      <c r="M1500" s="2">
        <v>1499</v>
      </c>
    </row>
    <row r="1501" spans="13:14" x14ac:dyDescent="0.5">
      <c r="M1501" s="2">
        <v>1500</v>
      </c>
    </row>
    <row r="1502" spans="13:14" x14ac:dyDescent="0.5">
      <c r="M1502" s="2">
        <v>1501</v>
      </c>
    </row>
    <row r="1503" spans="13:14" x14ac:dyDescent="0.5">
      <c r="M1503" s="2">
        <v>1502</v>
      </c>
      <c r="N1503" s="2" t="s">
        <v>3446</v>
      </c>
    </row>
    <row r="1504" spans="13:14" x14ac:dyDescent="0.5">
      <c r="M1504" s="2">
        <v>1503</v>
      </c>
    </row>
    <row r="1505" spans="13:13" x14ac:dyDescent="0.5">
      <c r="M1505" s="2">
        <v>1504</v>
      </c>
    </row>
    <row r="1506" spans="13:13" x14ac:dyDescent="0.5">
      <c r="M1506" s="2">
        <v>1505</v>
      </c>
    </row>
    <row r="1507" spans="13:13" x14ac:dyDescent="0.5">
      <c r="M1507" s="2">
        <v>1506</v>
      </c>
    </row>
    <row r="1508" spans="13:13" x14ac:dyDescent="0.5">
      <c r="M1508" s="2">
        <v>1507</v>
      </c>
    </row>
    <row r="1509" spans="13:13" x14ac:dyDescent="0.5">
      <c r="M1509" s="2">
        <v>1508</v>
      </c>
    </row>
    <row r="1510" spans="13:13" x14ac:dyDescent="0.5">
      <c r="M1510" s="2">
        <v>1509</v>
      </c>
    </row>
    <row r="1511" spans="13:13" x14ac:dyDescent="0.5">
      <c r="M1511" s="2">
        <v>1510</v>
      </c>
    </row>
    <row r="1512" spans="13:13" x14ac:dyDescent="0.5">
      <c r="M1512" s="2">
        <v>1511</v>
      </c>
    </row>
    <row r="1513" spans="13:13" x14ac:dyDescent="0.5">
      <c r="M1513" s="2">
        <v>1512</v>
      </c>
    </row>
    <row r="1514" spans="13:13" x14ac:dyDescent="0.5">
      <c r="M1514" s="2">
        <v>1513</v>
      </c>
    </row>
    <row r="1515" spans="13:13" x14ac:dyDescent="0.5">
      <c r="M1515" s="2">
        <v>1514</v>
      </c>
    </row>
    <row r="1516" spans="13:13" x14ac:dyDescent="0.5">
      <c r="M1516" s="2">
        <v>1515</v>
      </c>
    </row>
    <row r="1517" spans="13:13" x14ac:dyDescent="0.5">
      <c r="M1517" s="2">
        <v>1516</v>
      </c>
    </row>
    <row r="1518" spans="13:13" x14ac:dyDescent="0.5">
      <c r="M1518" s="2">
        <v>1517</v>
      </c>
    </row>
    <row r="1519" spans="13:13" x14ac:dyDescent="0.5">
      <c r="M1519" s="2">
        <v>1518</v>
      </c>
    </row>
    <row r="1520" spans="13:13" x14ac:dyDescent="0.5">
      <c r="M1520" s="2">
        <v>1519</v>
      </c>
    </row>
    <row r="1521" spans="13:13" x14ac:dyDescent="0.5">
      <c r="M1521" s="2">
        <v>1520</v>
      </c>
    </row>
    <row r="1522" spans="13:13" x14ac:dyDescent="0.5">
      <c r="M1522" s="2">
        <v>1521</v>
      </c>
    </row>
    <row r="1523" spans="13:13" x14ac:dyDescent="0.5">
      <c r="M1523" s="2">
        <v>1522</v>
      </c>
    </row>
    <row r="1524" spans="13:13" x14ac:dyDescent="0.5">
      <c r="M1524" s="2">
        <v>1523</v>
      </c>
    </row>
    <row r="1525" spans="13:13" x14ac:dyDescent="0.5">
      <c r="M1525" s="2">
        <v>1524</v>
      </c>
    </row>
    <row r="1526" spans="13:13" x14ac:dyDescent="0.5">
      <c r="M1526" s="2">
        <v>1525</v>
      </c>
    </row>
    <row r="1527" spans="13:13" x14ac:dyDescent="0.5">
      <c r="M1527" s="2">
        <v>1526</v>
      </c>
    </row>
    <row r="1528" spans="13:13" x14ac:dyDescent="0.5">
      <c r="M1528" s="2">
        <v>1527</v>
      </c>
    </row>
    <row r="1529" spans="13:13" x14ac:dyDescent="0.5">
      <c r="M1529" s="2">
        <v>1528</v>
      </c>
    </row>
    <row r="1530" spans="13:13" x14ac:dyDescent="0.5">
      <c r="M1530" s="2">
        <v>1529</v>
      </c>
    </row>
    <row r="1531" spans="13:13" x14ac:dyDescent="0.5">
      <c r="M1531" s="2">
        <v>1530</v>
      </c>
    </row>
    <row r="1532" spans="13:13" x14ac:dyDescent="0.5">
      <c r="M1532" s="2">
        <v>1531</v>
      </c>
    </row>
    <row r="1533" spans="13:13" x14ac:dyDescent="0.5">
      <c r="M1533" s="2">
        <v>1532</v>
      </c>
    </row>
    <row r="1534" spans="13:13" x14ac:dyDescent="0.5">
      <c r="M1534" s="2">
        <v>1533</v>
      </c>
    </row>
    <row r="1535" spans="13:13" x14ac:dyDescent="0.5">
      <c r="M1535" s="2">
        <v>1534</v>
      </c>
    </row>
    <row r="1536" spans="13:13" x14ac:dyDescent="0.5">
      <c r="M1536" s="2">
        <v>1535</v>
      </c>
    </row>
    <row r="1537" spans="13:13" x14ac:dyDescent="0.5">
      <c r="M1537" s="2">
        <v>1536</v>
      </c>
    </row>
    <row r="1538" spans="13:13" x14ac:dyDescent="0.5">
      <c r="M1538" s="2">
        <v>1537</v>
      </c>
    </row>
    <row r="1539" spans="13:13" x14ac:dyDescent="0.5">
      <c r="M1539" s="2">
        <v>1538</v>
      </c>
    </row>
    <row r="1540" spans="13:13" x14ac:dyDescent="0.5">
      <c r="M1540" s="2">
        <v>1539</v>
      </c>
    </row>
    <row r="1541" spans="13:13" x14ac:dyDescent="0.5">
      <c r="M1541" s="2">
        <v>1540</v>
      </c>
    </row>
    <row r="1542" spans="13:13" x14ac:dyDescent="0.5">
      <c r="M1542" s="2">
        <v>1541</v>
      </c>
    </row>
    <row r="1543" spans="13:13" x14ac:dyDescent="0.5">
      <c r="M1543" s="2">
        <v>1542</v>
      </c>
    </row>
    <row r="1544" spans="13:13" x14ac:dyDescent="0.5">
      <c r="M1544" s="2">
        <v>1543</v>
      </c>
    </row>
    <row r="1545" spans="13:13" x14ac:dyDescent="0.5">
      <c r="M1545" s="2">
        <v>1544</v>
      </c>
    </row>
    <row r="1546" spans="13:13" x14ac:dyDescent="0.5">
      <c r="M1546" s="2">
        <v>1545</v>
      </c>
    </row>
    <row r="1547" spans="13:13" x14ac:dyDescent="0.5">
      <c r="M1547" s="2">
        <v>1546</v>
      </c>
    </row>
    <row r="1548" spans="13:13" x14ac:dyDescent="0.5">
      <c r="M1548" s="2">
        <v>1547</v>
      </c>
    </row>
    <row r="1549" spans="13:13" x14ac:dyDescent="0.5">
      <c r="M1549" s="2">
        <v>1548</v>
      </c>
    </row>
    <row r="1550" spans="13:13" x14ac:dyDescent="0.5">
      <c r="M1550" s="2">
        <v>1549</v>
      </c>
    </row>
    <row r="1551" spans="13:13" x14ac:dyDescent="0.5">
      <c r="M1551" s="2">
        <v>1550</v>
      </c>
    </row>
    <row r="1552" spans="13:13" x14ac:dyDescent="0.5">
      <c r="M1552" s="2">
        <v>1551</v>
      </c>
    </row>
    <row r="1553" spans="13:13" x14ac:dyDescent="0.5">
      <c r="M1553" s="2">
        <v>1552</v>
      </c>
    </row>
    <row r="1554" spans="13:13" x14ac:dyDescent="0.5">
      <c r="M1554" s="2">
        <v>1553</v>
      </c>
    </row>
    <row r="1555" spans="13:13" x14ac:dyDescent="0.5">
      <c r="M1555" s="2">
        <v>1554</v>
      </c>
    </row>
    <row r="1556" spans="13:13" x14ac:dyDescent="0.5">
      <c r="M1556" s="2">
        <v>1555</v>
      </c>
    </row>
    <row r="1557" spans="13:13" x14ac:dyDescent="0.5">
      <c r="M1557" s="2">
        <v>1556</v>
      </c>
    </row>
    <row r="1558" spans="13:13" x14ac:dyDescent="0.5">
      <c r="M1558" s="2">
        <v>1557</v>
      </c>
    </row>
    <row r="1559" spans="13:13" x14ac:dyDescent="0.5">
      <c r="M1559" s="2">
        <v>1558</v>
      </c>
    </row>
    <row r="1560" spans="13:13" x14ac:dyDescent="0.5">
      <c r="M1560" s="2">
        <v>1559</v>
      </c>
    </row>
    <row r="1561" spans="13:13" x14ac:dyDescent="0.5">
      <c r="M1561" s="2">
        <v>1560</v>
      </c>
    </row>
    <row r="1562" spans="13:13" x14ac:dyDescent="0.5">
      <c r="M1562" s="2">
        <v>1561</v>
      </c>
    </row>
    <row r="1563" spans="13:13" x14ac:dyDescent="0.5">
      <c r="M1563" s="2">
        <v>1562</v>
      </c>
    </row>
    <row r="1564" spans="13:13" x14ac:dyDescent="0.5">
      <c r="M1564" s="2">
        <v>1563</v>
      </c>
    </row>
    <row r="1565" spans="13:13" x14ac:dyDescent="0.5">
      <c r="M1565" s="2">
        <v>1564</v>
      </c>
    </row>
    <row r="1566" spans="13:13" x14ac:dyDescent="0.5">
      <c r="M1566" s="2">
        <v>1565</v>
      </c>
    </row>
    <row r="1567" spans="13:13" x14ac:dyDescent="0.5">
      <c r="M1567" s="2">
        <v>1566</v>
      </c>
    </row>
    <row r="1568" spans="13:13" x14ac:dyDescent="0.5">
      <c r="M1568" s="2">
        <v>1567</v>
      </c>
    </row>
    <row r="1569" spans="13:14" x14ac:dyDescent="0.5">
      <c r="M1569" s="2">
        <v>1568</v>
      </c>
    </row>
    <row r="1570" spans="13:14" x14ac:dyDescent="0.5">
      <c r="M1570" s="2">
        <v>1569</v>
      </c>
    </row>
    <row r="1571" spans="13:14" x14ac:dyDescent="0.5">
      <c r="M1571" s="2">
        <v>1570</v>
      </c>
      <c r="N1571" s="2" t="s">
        <v>3446</v>
      </c>
    </row>
    <row r="1572" spans="13:14" x14ac:dyDescent="0.5">
      <c r="M1572" s="2">
        <v>1571</v>
      </c>
    </row>
    <row r="1573" spans="13:14" x14ac:dyDescent="0.5">
      <c r="M1573" s="2">
        <v>1572</v>
      </c>
    </row>
    <row r="1574" spans="13:14" x14ac:dyDescent="0.5">
      <c r="M1574" s="2">
        <v>1573</v>
      </c>
    </row>
    <row r="1575" spans="13:14" x14ac:dyDescent="0.5">
      <c r="M1575" s="2">
        <v>1574</v>
      </c>
    </row>
    <row r="1576" spans="13:14" x14ac:dyDescent="0.5">
      <c r="M1576" s="2">
        <v>1575</v>
      </c>
    </row>
    <row r="1577" spans="13:14" x14ac:dyDescent="0.5">
      <c r="M1577" s="2">
        <v>1576</v>
      </c>
    </row>
    <row r="1578" spans="13:14" x14ac:dyDescent="0.5">
      <c r="M1578" s="2">
        <v>1577</v>
      </c>
    </row>
    <row r="1579" spans="13:14" x14ac:dyDescent="0.5">
      <c r="M1579" s="2">
        <v>1578</v>
      </c>
    </row>
    <row r="1580" spans="13:14" x14ac:dyDescent="0.5">
      <c r="M1580" s="2">
        <v>1579</v>
      </c>
    </row>
    <row r="1581" spans="13:14" x14ac:dyDescent="0.5">
      <c r="M1581" s="2">
        <v>1580</v>
      </c>
      <c r="N1581" s="2" t="s">
        <v>3446</v>
      </c>
    </row>
    <row r="1582" spans="13:14" x14ac:dyDescent="0.5">
      <c r="M1582" s="2">
        <v>1581</v>
      </c>
      <c r="N1582" s="2" t="s">
        <v>3446</v>
      </c>
    </row>
    <row r="1583" spans="13:14" x14ac:dyDescent="0.5">
      <c r="M1583" s="2">
        <v>1582</v>
      </c>
    </row>
    <row r="1584" spans="13:14" x14ac:dyDescent="0.5">
      <c r="M1584" s="2">
        <v>1583</v>
      </c>
    </row>
    <row r="1585" spans="13:13" x14ac:dyDescent="0.5">
      <c r="M1585" s="2">
        <v>1584</v>
      </c>
    </row>
    <row r="1586" spans="13:13" x14ac:dyDescent="0.5">
      <c r="M1586" s="2">
        <v>1585</v>
      </c>
    </row>
    <row r="1587" spans="13:13" x14ac:dyDescent="0.5">
      <c r="M1587" s="2">
        <v>1586</v>
      </c>
    </row>
    <row r="1588" spans="13:13" x14ac:dyDescent="0.5">
      <c r="M1588" s="2">
        <v>1587</v>
      </c>
    </row>
    <row r="1589" spans="13:13" x14ac:dyDescent="0.5">
      <c r="M1589" s="2">
        <v>1588</v>
      </c>
    </row>
    <row r="1590" spans="13:13" x14ac:dyDescent="0.5">
      <c r="M1590" s="2">
        <v>1589</v>
      </c>
    </row>
    <row r="1591" spans="13:13" x14ac:dyDescent="0.5">
      <c r="M1591" s="2">
        <v>1590</v>
      </c>
    </row>
    <row r="1592" spans="13:13" x14ac:dyDescent="0.5">
      <c r="M1592" s="2">
        <v>1591</v>
      </c>
    </row>
    <row r="1593" spans="13:13" x14ac:dyDescent="0.5">
      <c r="M1593" s="2">
        <v>1592</v>
      </c>
    </row>
    <row r="1594" spans="13:13" x14ac:dyDescent="0.5">
      <c r="M1594" s="2">
        <v>1593</v>
      </c>
    </row>
    <row r="1595" spans="13:13" x14ac:dyDescent="0.5">
      <c r="M1595" s="2">
        <v>1594</v>
      </c>
    </row>
    <row r="1596" spans="13:13" x14ac:dyDescent="0.5">
      <c r="M1596" s="2">
        <v>1595</v>
      </c>
    </row>
    <row r="1597" spans="13:13" x14ac:dyDescent="0.5">
      <c r="M1597" s="2">
        <v>1596</v>
      </c>
    </row>
    <row r="1598" spans="13:13" x14ac:dyDescent="0.5">
      <c r="M1598" s="2">
        <v>1597</v>
      </c>
    </row>
    <row r="1599" spans="13:13" x14ac:dyDescent="0.5">
      <c r="M1599" s="2">
        <v>1598</v>
      </c>
    </row>
    <row r="1600" spans="13:13" x14ac:dyDescent="0.5">
      <c r="M1600" s="2">
        <v>1599</v>
      </c>
    </row>
    <row r="1601" spans="13:13" x14ac:dyDescent="0.5">
      <c r="M1601" s="2">
        <v>1600</v>
      </c>
    </row>
    <row r="1602" spans="13:13" x14ac:dyDescent="0.5">
      <c r="M1602" s="2">
        <v>1601</v>
      </c>
    </row>
    <row r="1603" spans="13:13" x14ac:dyDescent="0.5">
      <c r="M1603" s="2">
        <v>1602</v>
      </c>
    </row>
    <row r="1604" spans="13:13" x14ac:dyDescent="0.5">
      <c r="M1604" s="2">
        <v>1603</v>
      </c>
    </row>
    <row r="1605" spans="13:13" x14ac:dyDescent="0.5">
      <c r="M1605" s="2">
        <v>1604</v>
      </c>
    </row>
    <row r="1606" spans="13:13" x14ac:dyDescent="0.5">
      <c r="M1606" s="2">
        <v>1605</v>
      </c>
    </row>
    <row r="1607" spans="13:13" x14ac:dyDescent="0.5">
      <c r="M1607" s="2">
        <v>1606</v>
      </c>
    </row>
    <row r="1608" spans="13:13" x14ac:dyDescent="0.5">
      <c r="M1608" s="2">
        <v>1607</v>
      </c>
    </row>
    <row r="1609" spans="13:13" x14ac:dyDescent="0.5">
      <c r="M1609" s="2">
        <v>1608</v>
      </c>
    </row>
    <row r="1610" spans="13:13" x14ac:dyDescent="0.5">
      <c r="M1610" s="2">
        <v>1609</v>
      </c>
    </row>
    <row r="1611" spans="13:13" x14ac:dyDescent="0.5">
      <c r="M1611" s="2">
        <v>1610</v>
      </c>
    </row>
    <row r="1612" spans="13:13" x14ac:dyDescent="0.5">
      <c r="M1612" s="2">
        <v>1611</v>
      </c>
    </row>
    <row r="1613" spans="13:13" x14ac:dyDescent="0.5">
      <c r="M1613" s="2">
        <v>1612</v>
      </c>
    </row>
    <row r="1614" spans="13:13" x14ac:dyDescent="0.5">
      <c r="M1614" s="2">
        <v>1613</v>
      </c>
    </row>
    <row r="1615" spans="13:13" x14ac:dyDescent="0.5">
      <c r="M1615" s="2">
        <v>1614</v>
      </c>
    </row>
    <row r="1616" spans="13:13" x14ac:dyDescent="0.5">
      <c r="M1616" s="2">
        <v>1615</v>
      </c>
    </row>
    <row r="1617" spans="13:13" x14ac:dyDescent="0.5">
      <c r="M1617" s="2">
        <v>1616</v>
      </c>
    </row>
    <row r="1618" spans="13:13" x14ac:dyDescent="0.5">
      <c r="M1618" s="2">
        <v>1617</v>
      </c>
    </row>
    <row r="1619" spans="13:13" x14ac:dyDescent="0.5">
      <c r="M1619" s="2">
        <v>1618</v>
      </c>
    </row>
    <row r="1620" spans="13:13" x14ac:dyDescent="0.5">
      <c r="M1620" s="2">
        <v>1619</v>
      </c>
    </row>
    <row r="1621" spans="13:13" x14ac:dyDescent="0.5">
      <c r="M1621" s="2">
        <v>1620</v>
      </c>
    </row>
    <row r="1622" spans="13:13" x14ac:dyDescent="0.5">
      <c r="M1622" s="2">
        <v>1621</v>
      </c>
    </row>
    <row r="1623" spans="13:13" x14ac:dyDescent="0.5">
      <c r="M1623" s="2">
        <v>1622</v>
      </c>
    </row>
    <row r="1624" spans="13:13" x14ac:dyDescent="0.5">
      <c r="M1624" s="2">
        <v>1623</v>
      </c>
    </row>
    <row r="1625" spans="13:13" x14ac:dyDescent="0.5">
      <c r="M1625" s="2">
        <v>1624</v>
      </c>
    </row>
    <row r="1626" spans="13:13" x14ac:dyDescent="0.5">
      <c r="M1626" s="2">
        <v>1625</v>
      </c>
    </row>
    <row r="1627" spans="13:13" x14ac:dyDescent="0.5">
      <c r="M1627" s="2">
        <v>1626</v>
      </c>
    </row>
    <row r="1628" spans="13:13" x14ac:dyDescent="0.5">
      <c r="M1628" s="2">
        <v>1627</v>
      </c>
    </row>
    <row r="1629" spans="13:13" x14ac:dyDescent="0.5">
      <c r="M1629" s="2">
        <v>1628</v>
      </c>
    </row>
    <row r="1630" spans="13:13" x14ac:dyDescent="0.5">
      <c r="M1630" s="2">
        <v>1629</v>
      </c>
    </row>
    <row r="1631" spans="13:13" x14ac:dyDescent="0.5">
      <c r="M1631" s="2">
        <v>1630</v>
      </c>
    </row>
    <row r="1632" spans="13:13" x14ac:dyDescent="0.5">
      <c r="M1632" s="2">
        <v>1631</v>
      </c>
    </row>
    <row r="1633" spans="13:13" x14ac:dyDescent="0.5">
      <c r="M1633" s="2">
        <v>1632</v>
      </c>
    </row>
    <row r="1634" spans="13:13" x14ac:dyDescent="0.5">
      <c r="M1634" s="2">
        <v>1633</v>
      </c>
    </row>
    <row r="1635" spans="13:13" x14ac:dyDescent="0.5">
      <c r="M1635" s="2">
        <v>1634</v>
      </c>
    </row>
    <row r="1636" spans="13:13" x14ac:dyDescent="0.5">
      <c r="M1636" s="2">
        <v>1635</v>
      </c>
    </row>
    <row r="1637" spans="13:13" x14ac:dyDescent="0.5">
      <c r="M1637" s="2">
        <v>1636</v>
      </c>
    </row>
    <row r="1638" spans="13:13" x14ac:dyDescent="0.5">
      <c r="M1638" s="2">
        <v>1637</v>
      </c>
    </row>
    <row r="1639" spans="13:13" x14ac:dyDescent="0.5">
      <c r="M1639" s="2">
        <v>1638</v>
      </c>
    </row>
    <row r="1640" spans="13:13" x14ac:dyDescent="0.5">
      <c r="M1640" s="2">
        <v>1639</v>
      </c>
    </row>
    <row r="1641" spans="13:13" x14ac:dyDescent="0.5">
      <c r="M1641" s="2">
        <v>1640</v>
      </c>
    </row>
    <row r="1642" spans="13:13" x14ac:dyDescent="0.5">
      <c r="M1642" s="2">
        <v>1641</v>
      </c>
    </row>
    <row r="1643" spans="13:13" x14ac:dyDescent="0.5">
      <c r="M1643" s="2">
        <v>1642</v>
      </c>
    </row>
    <row r="1644" spans="13:13" x14ac:dyDescent="0.5">
      <c r="M1644" s="2">
        <v>1643</v>
      </c>
    </row>
    <row r="1645" spans="13:13" x14ac:dyDescent="0.5">
      <c r="M1645" s="2">
        <v>1644</v>
      </c>
    </row>
    <row r="1646" spans="13:13" x14ac:dyDescent="0.5">
      <c r="M1646" s="2">
        <v>1645</v>
      </c>
    </row>
    <row r="1647" spans="13:13" x14ac:dyDescent="0.5">
      <c r="M1647" s="2">
        <v>1646</v>
      </c>
    </row>
    <row r="1648" spans="13:13" x14ac:dyDescent="0.5">
      <c r="M1648" s="2">
        <v>1647</v>
      </c>
    </row>
    <row r="1649" spans="13:13" x14ac:dyDescent="0.5">
      <c r="M1649" s="2">
        <v>1648</v>
      </c>
    </row>
    <row r="1650" spans="13:13" x14ac:dyDescent="0.5">
      <c r="M1650" s="2">
        <v>1649</v>
      </c>
    </row>
    <row r="1651" spans="13:13" x14ac:dyDescent="0.5">
      <c r="M1651" s="2">
        <v>1650</v>
      </c>
    </row>
    <row r="1652" spans="13:13" x14ac:dyDescent="0.5">
      <c r="M1652" s="2">
        <v>1651</v>
      </c>
    </row>
    <row r="1653" spans="13:13" x14ac:dyDescent="0.5">
      <c r="M1653" s="2">
        <v>1652</v>
      </c>
    </row>
    <row r="1654" spans="13:13" x14ac:dyDescent="0.5">
      <c r="M1654" s="2">
        <v>1653</v>
      </c>
    </row>
    <row r="1655" spans="13:13" x14ac:dyDescent="0.5">
      <c r="M1655" s="2">
        <v>1654</v>
      </c>
    </row>
    <row r="1656" spans="13:13" x14ac:dyDescent="0.5">
      <c r="M1656" s="2">
        <v>1655</v>
      </c>
    </row>
    <row r="1657" spans="13:13" x14ac:dyDescent="0.5">
      <c r="M1657" s="2">
        <v>1656</v>
      </c>
    </row>
    <row r="1658" spans="13:13" x14ac:dyDescent="0.5">
      <c r="M1658" s="2">
        <v>1657</v>
      </c>
    </row>
    <row r="1659" spans="13:13" x14ac:dyDescent="0.5">
      <c r="M1659" s="2">
        <v>1658</v>
      </c>
    </row>
    <row r="1660" spans="13:13" x14ac:dyDescent="0.5">
      <c r="M1660" s="2">
        <v>1659</v>
      </c>
    </row>
    <row r="1661" spans="13:13" x14ac:dyDescent="0.5">
      <c r="M1661" s="2">
        <v>1660</v>
      </c>
    </row>
    <row r="1662" spans="13:13" x14ac:dyDescent="0.5">
      <c r="M1662" s="2">
        <v>1661</v>
      </c>
    </row>
    <row r="1663" spans="13:13" x14ac:dyDescent="0.5">
      <c r="M1663" s="2">
        <v>1662</v>
      </c>
    </row>
    <row r="1664" spans="13:13" x14ac:dyDescent="0.5">
      <c r="M1664" s="2">
        <v>1663</v>
      </c>
    </row>
    <row r="1665" spans="13:13" x14ac:dyDescent="0.5">
      <c r="M1665" s="2">
        <v>1664</v>
      </c>
    </row>
    <row r="1666" spans="13:13" x14ac:dyDescent="0.5">
      <c r="M1666" s="2">
        <v>1665</v>
      </c>
    </row>
    <row r="1667" spans="13:13" x14ac:dyDescent="0.5">
      <c r="M1667" s="2">
        <v>1666</v>
      </c>
    </row>
    <row r="1668" spans="13:13" x14ac:dyDescent="0.5">
      <c r="M1668" s="2">
        <v>1667</v>
      </c>
    </row>
    <row r="1669" spans="13:13" x14ac:dyDescent="0.5">
      <c r="M1669" s="2">
        <v>1668</v>
      </c>
    </row>
    <row r="1670" spans="13:13" x14ac:dyDescent="0.5">
      <c r="M1670" s="2">
        <v>1669</v>
      </c>
    </row>
    <row r="1671" spans="13:13" x14ac:dyDescent="0.5">
      <c r="M1671" s="2">
        <v>1670</v>
      </c>
    </row>
    <row r="1672" spans="13:13" x14ac:dyDescent="0.5">
      <c r="M1672" s="2">
        <v>1671</v>
      </c>
    </row>
    <row r="1673" spans="13:13" x14ac:dyDescent="0.5">
      <c r="M1673" s="2">
        <v>1672</v>
      </c>
    </row>
    <row r="1674" spans="13:13" x14ac:dyDescent="0.5">
      <c r="M1674" s="2">
        <v>1673</v>
      </c>
    </row>
    <row r="1675" spans="13:13" x14ac:dyDescent="0.5">
      <c r="M1675" s="2">
        <v>1674</v>
      </c>
    </row>
    <row r="1676" spans="13:13" x14ac:dyDescent="0.5">
      <c r="M1676" s="2">
        <v>1675</v>
      </c>
    </row>
    <row r="1677" spans="13:13" x14ac:dyDescent="0.5">
      <c r="M1677" s="2">
        <v>1676</v>
      </c>
    </row>
    <row r="1678" spans="13:13" x14ac:dyDescent="0.5">
      <c r="M1678" s="2">
        <v>1677</v>
      </c>
    </row>
    <row r="1679" spans="13:13" x14ac:dyDescent="0.5">
      <c r="M1679" s="2">
        <v>1678</v>
      </c>
    </row>
    <row r="1680" spans="13:13" x14ac:dyDescent="0.5">
      <c r="M1680" s="2">
        <v>1679</v>
      </c>
    </row>
    <row r="1681" spans="13:13" x14ac:dyDescent="0.5">
      <c r="M1681" s="2">
        <v>1680</v>
      </c>
    </row>
    <row r="1682" spans="13:13" x14ac:dyDescent="0.5">
      <c r="M1682" s="2">
        <v>1681</v>
      </c>
    </row>
    <row r="1683" spans="13:13" x14ac:dyDescent="0.5">
      <c r="M1683" s="2">
        <v>1682</v>
      </c>
    </row>
    <row r="1684" spans="13:13" x14ac:dyDescent="0.5">
      <c r="M1684" s="2">
        <v>1683</v>
      </c>
    </row>
    <row r="1685" spans="13:13" x14ac:dyDescent="0.5">
      <c r="M1685" s="2">
        <v>1684</v>
      </c>
    </row>
    <row r="1686" spans="13:13" x14ac:dyDescent="0.5">
      <c r="M1686" s="2">
        <v>1685</v>
      </c>
    </row>
    <row r="1687" spans="13:13" x14ac:dyDescent="0.5">
      <c r="M1687" s="2">
        <v>1686</v>
      </c>
    </row>
    <row r="1688" spans="13:13" x14ac:dyDescent="0.5">
      <c r="M1688" s="2">
        <v>1687</v>
      </c>
    </row>
    <row r="1689" spans="13:13" x14ac:dyDescent="0.5">
      <c r="M1689" s="2">
        <v>1688</v>
      </c>
    </row>
    <row r="1690" spans="13:13" x14ac:dyDescent="0.5">
      <c r="M1690" s="2">
        <v>1689</v>
      </c>
    </row>
    <row r="1691" spans="13:13" x14ac:dyDescent="0.5">
      <c r="M1691" s="2">
        <v>1690</v>
      </c>
    </row>
    <row r="1692" spans="13:13" x14ac:dyDescent="0.5">
      <c r="M1692" s="2">
        <v>1691</v>
      </c>
    </row>
    <row r="1693" spans="13:13" x14ac:dyDescent="0.5">
      <c r="M1693" s="2">
        <v>1692</v>
      </c>
    </row>
    <row r="1694" spans="13:13" x14ac:dyDescent="0.5">
      <c r="M1694" s="2">
        <v>1693</v>
      </c>
    </row>
    <row r="1695" spans="13:13" x14ac:dyDescent="0.5">
      <c r="M1695" s="2">
        <v>1694</v>
      </c>
    </row>
    <row r="1696" spans="13:13" x14ac:dyDescent="0.5">
      <c r="M1696" s="2">
        <v>1695</v>
      </c>
    </row>
    <row r="1697" spans="13:13" x14ac:dyDescent="0.5">
      <c r="M1697" s="2">
        <v>1696</v>
      </c>
    </row>
    <row r="1698" spans="13:13" x14ac:dyDescent="0.5">
      <c r="M1698" s="2">
        <v>1697</v>
      </c>
    </row>
    <row r="1699" spans="13:13" x14ac:dyDescent="0.5">
      <c r="M1699" s="2">
        <v>1698</v>
      </c>
    </row>
    <row r="1700" spans="13:13" x14ac:dyDescent="0.5">
      <c r="M1700" s="2">
        <v>1699</v>
      </c>
    </row>
    <row r="1701" spans="13:13" x14ac:dyDescent="0.5">
      <c r="M1701" s="2">
        <v>1700</v>
      </c>
    </row>
    <row r="1702" spans="13:13" x14ac:dyDescent="0.5">
      <c r="M1702" s="2">
        <v>1701</v>
      </c>
    </row>
    <row r="1703" spans="13:13" x14ac:dyDescent="0.5">
      <c r="M1703" s="2">
        <v>1702</v>
      </c>
    </row>
    <row r="1704" spans="13:13" x14ac:dyDescent="0.5">
      <c r="M1704" s="2">
        <v>1703</v>
      </c>
    </row>
    <row r="1705" spans="13:13" x14ac:dyDescent="0.5">
      <c r="M1705" s="2">
        <v>1704</v>
      </c>
    </row>
    <row r="1706" spans="13:13" x14ac:dyDescent="0.5">
      <c r="M1706" s="2">
        <v>1705</v>
      </c>
    </row>
    <row r="1707" spans="13:13" x14ac:dyDescent="0.5">
      <c r="M1707" s="2">
        <v>1706</v>
      </c>
    </row>
    <row r="1708" spans="13:13" x14ac:dyDescent="0.5">
      <c r="M1708" s="2">
        <v>1707</v>
      </c>
    </row>
    <row r="1709" spans="13:13" x14ac:dyDescent="0.5">
      <c r="M1709" s="2">
        <v>1708</v>
      </c>
    </row>
    <row r="1710" spans="13:13" x14ac:dyDescent="0.5">
      <c r="M1710" s="2">
        <v>1709</v>
      </c>
    </row>
    <row r="1711" spans="13:13" x14ac:dyDescent="0.5">
      <c r="M1711" s="2">
        <v>1710</v>
      </c>
    </row>
    <row r="1712" spans="13:13" x14ac:dyDescent="0.5">
      <c r="M1712" s="2">
        <v>1711</v>
      </c>
    </row>
    <row r="1713" spans="13:13" x14ac:dyDescent="0.5">
      <c r="M1713" s="2">
        <v>1712</v>
      </c>
    </row>
    <row r="1714" spans="13:13" x14ac:dyDescent="0.5">
      <c r="M1714" s="2">
        <v>1713</v>
      </c>
    </row>
    <row r="1715" spans="13:13" x14ac:dyDescent="0.5">
      <c r="M1715" s="2">
        <v>1714</v>
      </c>
    </row>
    <row r="1716" spans="13:13" x14ac:dyDescent="0.5">
      <c r="M1716" s="2">
        <v>1715</v>
      </c>
    </row>
    <row r="1717" spans="13:13" x14ac:dyDescent="0.5">
      <c r="M1717" s="2">
        <v>1716</v>
      </c>
    </row>
    <row r="1718" spans="13:13" x14ac:dyDescent="0.5">
      <c r="M1718" s="2">
        <v>1717</v>
      </c>
    </row>
    <row r="1719" spans="13:13" x14ac:dyDescent="0.5">
      <c r="M1719" s="2">
        <v>1718</v>
      </c>
    </row>
    <row r="1720" spans="13:13" x14ac:dyDescent="0.5">
      <c r="M1720" s="2">
        <v>1719</v>
      </c>
    </row>
    <row r="1721" spans="13:13" x14ac:dyDescent="0.5">
      <c r="M1721" s="2">
        <v>1720</v>
      </c>
    </row>
    <row r="1722" spans="13:13" x14ac:dyDescent="0.5">
      <c r="M1722" s="2">
        <v>1721</v>
      </c>
    </row>
    <row r="1723" spans="13:13" x14ac:dyDescent="0.5">
      <c r="M1723" s="2">
        <v>1722</v>
      </c>
    </row>
    <row r="1724" spans="13:13" x14ac:dyDescent="0.5">
      <c r="M1724" s="2">
        <v>1723</v>
      </c>
    </row>
    <row r="1725" spans="13:13" x14ac:dyDescent="0.5">
      <c r="M1725" s="2">
        <v>1724</v>
      </c>
    </row>
    <row r="1726" spans="13:13" x14ac:dyDescent="0.5">
      <c r="M1726" s="2">
        <v>1725</v>
      </c>
    </row>
    <row r="1727" spans="13:13" x14ac:dyDescent="0.5">
      <c r="M1727" s="2">
        <v>1726</v>
      </c>
    </row>
    <row r="1728" spans="13:13" x14ac:dyDescent="0.5">
      <c r="M1728" s="2">
        <v>1727</v>
      </c>
    </row>
    <row r="1729" spans="13:13" x14ac:dyDescent="0.5">
      <c r="M1729" s="2">
        <v>1728</v>
      </c>
    </row>
    <row r="1730" spans="13:13" x14ac:dyDescent="0.5">
      <c r="M1730" s="2">
        <v>1729</v>
      </c>
    </row>
    <row r="1731" spans="13:13" x14ac:dyDescent="0.5">
      <c r="M1731" s="2">
        <v>1730</v>
      </c>
    </row>
    <row r="1732" spans="13:13" x14ac:dyDescent="0.5">
      <c r="M1732" s="2">
        <v>1731</v>
      </c>
    </row>
    <row r="1733" spans="13:13" x14ac:dyDescent="0.5">
      <c r="M1733" s="2">
        <v>1732</v>
      </c>
    </row>
    <row r="1734" spans="13:13" x14ac:dyDescent="0.5">
      <c r="M1734" s="2">
        <v>1733</v>
      </c>
    </row>
    <row r="1735" spans="13:13" x14ac:dyDescent="0.5">
      <c r="M1735" s="2">
        <v>1734</v>
      </c>
    </row>
    <row r="1736" spans="13:13" x14ac:dyDescent="0.5">
      <c r="M1736" s="2">
        <v>1735</v>
      </c>
    </row>
    <row r="1737" spans="13:13" x14ac:dyDescent="0.5">
      <c r="M1737" s="2">
        <v>1736</v>
      </c>
    </row>
    <row r="1738" spans="13:13" x14ac:dyDescent="0.5">
      <c r="M1738" s="2">
        <v>1737</v>
      </c>
    </row>
    <row r="1739" spans="13:13" x14ac:dyDescent="0.5">
      <c r="M1739" s="2">
        <v>1738</v>
      </c>
    </row>
    <row r="1740" spans="13:13" x14ac:dyDescent="0.5">
      <c r="M1740" s="2">
        <v>1739</v>
      </c>
    </row>
    <row r="1741" spans="13:13" x14ac:dyDescent="0.5">
      <c r="M1741" s="2">
        <v>1740</v>
      </c>
    </row>
    <row r="1742" spans="13:13" x14ac:dyDescent="0.5">
      <c r="M1742" s="2">
        <v>1741</v>
      </c>
    </row>
    <row r="1743" spans="13:13" x14ac:dyDescent="0.5">
      <c r="M1743" s="2">
        <v>1742</v>
      </c>
    </row>
    <row r="1744" spans="13:13" x14ac:dyDescent="0.5">
      <c r="M1744" s="2">
        <v>1743</v>
      </c>
    </row>
    <row r="1745" spans="13:13" x14ac:dyDescent="0.5">
      <c r="M1745" s="2">
        <v>1744</v>
      </c>
    </row>
    <row r="1746" spans="13:13" x14ac:dyDescent="0.5">
      <c r="M1746" s="2">
        <v>1745</v>
      </c>
    </row>
    <row r="1747" spans="13:13" x14ac:dyDescent="0.5">
      <c r="M1747" s="2">
        <v>1746</v>
      </c>
    </row>
    <row r="1748" spans="13:13" x14ac:dyDescent="0.5">
      <c r="M1748" s="2">
        <v>1747</v>
      </c>
    </row>
    <row r="1749" spans="13:13" x14ac:dyDescent="0.5">
      <c r="M1749" s="2">
        <v>1748</v>
      </c>
    </row>
    <row r="1750" spans="13:13" x14ac:dyDescent="0.5">
      <c r="M1750" s="2">
        <v>1749</v>
      </c>
    </row>
    <row r="1751" spans="13:13" x14ac:dyDescent="0.5">
      <c r="M1751" s="2">
        <v>1750</v>
      </c>
    </row>
    <row r="1752" spans="13:13" x14ac:dyDescent="0.5">
      <c r="M1752" s="2">
        <v>1751</v>
      </c>
    </row>
    <row r="1753" spans="13:13" x14ac:dyDescent="0.5">
      <c r="M1753" s="2">
        <v>1752</v>
      </c>
    </row>
    <row r="1754" spans="13:13" x14ac:dyDescent="0.5">
      <c r="M1754" s="2">
        <v>1753</v>
      </c>
    </row>
    <row r="1755" spans="13:13" x14ac:dyDescent="0.5">
      <c r="M1755" s="2">
        <v>1754</v>
      </c>
    </row>
    <row r="1756" spans="13:13" x14ac:dyDescent="0.5">
      <c r="M1756" s="2">
        <v>1755</v>
      </c>
    </row>
    <row r="1757" spans="13:13" x14ac:dyDescent="0.5">
      <c r="M1757" s="2">
        <v>1756</v>
      </c>
    </row>
    <row r="1758" spans="13:13" x14ac:dyDescent="0.5">
      <c r="M1758" s="2">
        <v>1757</v>
      </c>
    </row>
    <row r="1759" spans="13:13" x14ac:dyDescent="0.5">
      <c r="M1759" s="2">
        <v>1758</v>
      </c>
    </row>
    <row r="1760" spans="13:13" x14ac:dyDescent="0.5">
      <c r="M1760" s="2">
        <v>1759</v>
      </c>
    </row>
    <row r="1761" spans="13:13" x14ac:dyDescent="0.5">
      <c r="M1761" s="2">
        <v>1760</v>
      </c>
    </row>
    <row r="1762" spans="13:13" x14ac:dyDescent="0.5">
      <c r="M1762" s="2">
        <v>1761</v>
      </c>
    </row>
    <row r="1763" spans="13:13" x14ac:dyDescent="0.5">
      <c r="M1763" s="2">
        <v>1762</v>
      </c>
    </row>
    <row r="1764" spans="13:13" x14ac:dyDescent="0.5">
      <c r="M1764" s="2">
        <v>1763</v>
      </c>
    </row>
    <row r="1765" spans="13:13" x14ac:dyDescent="0.5">
      <c r="M1765" s="2">
        <v>1764</v>
      </c>
    </row>
    <row r="1766" spans="13:13" x14ac:dyDescent="0.5">
      <c r="M1766" s="2">
        <v>1765</v>
      </c>
    </row>
    <row r="1767" spans="13:13" x14ac:dyDescent="0.5">
      <c r="M1767" s="2">
        <v>1766</v>
      </c>
    </row>
    <row r="1768" spans="13:13" x14ac:dyDescent="0.5">
      <c r="M1768" s="2">
        <v>1767</v>
      </c>
    </row>
    <row r="1769" spans="13:13" x14ac:dyDescent="0.5">
      <c r="M1769" s="2">
        <v>1768</v>
      </c>
    </row>
    <row r="1770" spans="13:13" x14ac:dyDescent="0.5">
      <c r="M1770" s="2">
        <v>1769</v>
      </c>
    </row>
    <row r="1771" spans="13:13" x14ac:dyDescent="0.5">
      <c r="M1771" s="2">
        <v>1770</v>
      </c>
    </row>
    <row r="1772" spans="13:13" x14ac:dyDescent="0.5">
      <c r="M1772" s="2">
        <v>1771</v>
      </c>
    </row>
    <row r="1773" spans="13:13" x14ac:dyDescent="0.5">
      <c r="M1773" s="2">
        <v>1772</v>
      </c>
    </row>
    <row r="1774" spans="13:13" x14ac:dyDescent="0.5">
      <c r="M1774" s="2">
        <v>1773</v>
      </c>
    </row>
    <row r="1775" spans="13:13" x14ac:dyDescent="0.5">
      <c r="M1775" s="2">
        <v>1774</v>
      </c>
    </row>
    <row r="1776" spans="13:13" x14ac:dyDescent="0.5">
      <c r="M1776" s="2">
        <v>1775</v>
      </c>
    </row>
    <row r="1777" spans="13:14" x14ac:dyDescent="0.5">
      <c r="M1777" s="2">
        <v>1776</v>
      </c>
    </row>
    <row r="1778" spans="13:14" x14ac:dyDescent="0.5">
      <c r="M1778" s="2">
        <v>1777</v>
      </c>
    </row>
    <row r="1779" spans="13:14" x14ac:dyDescent="0.5">
      <c r="M1779" s="2">
        <v>1778</v>
      </c>
    </row>
    <row r="1780" spans="13:14" x14ac:dyDescent="0.5">
      <c r="M1780" s="2">
        <v>1779</v>
      </c>
    </row>
    <row r="1781" spans="13:14" x14ac:dyDescent="0.5">
      <c r="M1781" s="2">
        <v>1780</v>
      </c>
    </row>
    <row r="1782" spans="13:14" x14ac:dyDescent="0.5">
      <c r="M1782" s="2">
        <v>1781</v>
      </c>
    </row>
    <row r="1783" spans="13:14" x14ac:dyDescent="0.5">
      <c r="M1783" s="2">
        <v>1782</v>
      </c>
    </row>
    <row r="1784" spans="13:14" x14ac:dyDescent="0.5">
      <c r="M1784" s="2">
        <v>1783</v>
      </c>
    </row>
    <row r="1785" spans="13:14" x14ac:dyDescent="0.5">
      <c r="M1785" s="2">
        <v>1784</v>
      </c>
    </row>
    <row r="1786" spans="13:14" x14ac:dyDescent="0.5">
      <c r="M1786" s="2">
        <v>1785</v>
      </c>
    </row>
    <row r="1787" spans="13:14" x14ac:dyDescent="0.5">
      <c r="M1787" s="2">
        <v>1786</v>
      </c>
    </row>
    <row r="1788" spans="13:14" x14ac:dyDescent="0.5">
      <c r="M1788" s="2">
        <v>1787</v>
      </c>
    </row>
    <row r="1789" spans="13:14" x14ac:dyDescent="0.5">
      <c r="M1789" s="2">
        <v>1788</v>
      </c>
    </row>
    <row r="1790" spans="13:14" x14ac:dyDescent="0.5">
      <c r="M1790" s="2">
        <v>1789</v>
      </c>
    </row>
    <row r="1791" spans="13:14" x14ac:dyDescent="0.5">
      <c r="M1791" s="2">
        <v>1790</v>
      </c>
    </row>
    <row r="1792" spans="13:14" x14ac:dyDescent="0.5">
      <c r="M1792" s="2">
        <v>1791</v>
      </c>
      <c r="N1792" s="2" t="s">
        <v>3446</v>
      </c>
    </row>
    <row r="1793" spans="13:14" x14ac:dyDescent="0.5">
      <c r="M1793" s="2">
        <v>1792</v>
      </c>
    </row>
    <row r="1794" spans="13:14" x14ac:dyDescent="0.5">
      <c r="M1794" s="2">
        <v>1793</v>
      </c>
      <c r="N1794" s="2" t="s">
        <v>3446</v>
      </c>
    </row>
    <row r="1795" spans="13:14" x14ac:dyDescent="0.5">
      <c r="M1795" s="2">
        <v>1794</v>
      </c>
      <c r="N1795" s="2" t="s">
        <v>3446</v>
      </c>
    </row>
    <row r="1796" spans="13:14" x14ac:dyDescent="0.5">
      <c r="M1796" s="2">
        <v>1795</v>
      </c>
      <c r="N1796" s="2" t="s">
        <v>3446</v>
      </c>
    </row>
    <row r="1797" spans="13:14" x14ac:dyDescent="0.5">
      <c r="M1797" s="2">
        <v>1796</v>
      </c>
    </row>
    <row r="1798" spans="13:14" x14ac:dyDescent="0.5">
      <c r="M1798" s="2">
        <v>1797</v>
      </c>
      <c r="N1798" s="2" t="s">
        <v>3446</v>
      </c>
    </row>
    <row r="1799" spans="13:14" x14ac:dyDescent="0.5">
      <c r="M1799" s="2">
        <v>1798</v>
      </c>
    </row>
    <row r="1800" spans="13:14" x14ac:dyDescent="0.5">
      <c r="M1800" s="2">
        <v>1799</v>
      </c>
    </row>
    <row r="1801" spans="13:14" x14ac:dyDescent="0.5">
      <c r="M1801" s="2">
        <v>1800</v>
      </c>
    </row>
    <row r="1802" spans="13:14" x14ac:dyDescent="0.5">
      <c r="M1802" s="2">
        <v>1801</v>
      </c>
    </row>
    <row r="1803" spans="13:14" x14ac:dyDescent="0.5">
      <c r="M1803" s="2">
        <v>1802</v>
      </c>
    </row>
    <row r="1804" spans="13:14" x14ac:dyDescent="0.5">
      <c r="M1804" s="2">
        <v>1803</v>
      </c>
      <c r="N1804" s="2" t="s">
        <v>3446</v>
      </c>
    </row>
    <row r="1805" spans="13:14" x14ac:dyDescent="0.5">
      <c r="M1805" s="2">
        <v>1804</v>
      </c>
    </row>
    <row r="1806" spans="13:14" x14ac:dyDescent="0.5">
      <c r="M1806" s="2">
        <v>1805</v>
      </c>
    </row>
    <row r="1807" spans="13:14" x14ac:dyDescent="0.5">
      <c r="M1807" s="2">
        <v>1806</v>
      </c>
      <c r="N1807" s="2" t="s">
        <v>3446</v>
      </c>
    </row>
    <row r="1808" spans="13:14" x14ac:dyDescent="0.5">
      <c r="M1808" s="2">
        <v>1807</v>
      </c>
    </row>
    <row r="1809" spans="13:14" x14ac:dyDescent="0.5">
      <c r="M1809" s="2">
        <v>1808</v>
      </c>
    </row>
    <row r="1810" spans="13:14" x14ac:dyDescent="0.5">
      <c r="M1810" s="2">
        <v>1809</v>
      </c>
    </row>
    <row r="1811" spans="13:14" x14ac:dyDescent="0.5">
      <c r="M1811" s="2">
        <v>1810</v>
      </c>
    </row>
    <row r="1812" spans="13:14" x14ac:dyDescent="0.5">
      <c r="M1812" s="2">
        <v>1811</v>
      </c>
    </row>
    <row r="1813" spans="13:14" x14ac:dyDescent="0.5">
      <c r="M1813" s="2">
        <v>1812</v>
      </c>
    </row>
    <row r="1814" spans="13:14" x14ac:dyDescent="0.5">
      <c r="M1814" s="2">
        <v>1813</v>
      </c>
    </row>
    <row r="1815" spans="13:14" x14ac:dyDescent="0.5">
      <c r="M1815" s="2">
        <v>1814</v>
      </c>
      <c r="N1815" s="2" t="s">
        <v>3446</v>
      </c>
    </row>
    <row r="1816" spans="13:14" x14ac:dyDescent="0.5">
      <c r="M1816" s="2">
        <v>1815</v>
      </c>
      <c r="N1816" s="2" t="s">
        <v>3446</v>
      </c>
    </row>
    <row r="1817" spans="13:14" x14ac:dyDescent="0.5">
      <c r="M1817" s="2">
        <v>1816</v>
      </c>
    </row>
    <row r="1818" spans="13:14" x14ac:dyDescent="0.5">
      <c r="M1818" s="2">
        <v>1817</v>
      </c>
    </row>
    <row r="1819" spans="13:14" x14ac:dyDescent="0.5">
      <c r="M1819" s="2">
        <v>1818</v>
      </c>
    </row>
    <row r="1820" spans="13:14" x14ac:dyDescent="0.5">
      <c r="M1820" s="2">
        <v>1819</v>
      </c>
    </row>
    <row r="1821" spans="13:14" x14ac:dyDescent="0.5">
      <c r="M1821" s="2">
        <v>1820</v>
      </c>
    </row>
    <row r="1822" spans="13:14" x14ac:dyDescent="0.5">
      <c r="M1822" s="2">
        <v>1821</v>
      </c>
    </row>
    <row r="1823" spans="13:14" x14ac:dyDescent="0.5">
      <c r="M1823" s="2">
        <v>1822</v>
      </c>
    </row>
    <row r="1824" spans="13:14" x14ac:dyDescent="0.5">
      <c r="M1824" s="2">
        <v>1823</v>
      </c>
    </row>
    <row r="1825" spans="13:13" x14ac:dyDescent="0.5">
      <c r="M1825" s="2">
        <v>1824</v>
      </c>
    </row>
    <row r="1826" spans="13:13" x14ac:dyDescent="0.5">
      <c r="M1826" s="2">
        <v>1825</v>
      </c>
    </row>
    <row r="1827" spans="13:13" x14ac:dyDescent="0.5">
      <c r="M1827" s="2">
        <v>1826</v>
      </c>
    </row>
    <row r="1828" spans="13:13" x14ac:dyDescent="0.5">
      <c r="M1828" s="2">
        <v>1827</v>
      </c>
    </row>
    <row r="1829" spans="13:13" x14ac:dyDescent="0.5">
      <c r="M1829" s="2">
        <v>1828</v>
      </c>
    </row>
    <row r="1830" spans="13:13" x14ac:dyDescent="0.5">
      <c r="M1830" s="2">
        <v>1829</v>
      </c>
    </row>
    <row r="1831" spans="13:13" x14ac:dyDescent="0.5">
      <c r="M1831" s="2">
        <v>1830</v>
      </c>
    </row>
    <row r="1832" spans="13:13" x14ac:dyDescent="0.5">
      <c r="M1832" s="2">
        <v>1831</v>
      </c>
    </row>
    <row r="1833" spans="13:13" x14ac:dyDescent="0.5">
      <c r="M1833" s="2">
        <v>1832</v>
      </c>
    </row>
    <row r="1834" spans="13:13" x14ac:dyDescent="0.5">
      <c r="M1834" s="2">
        <v>1833</v>
      </c>
    </row>
    <row r="1835" spans="13:13" x14ac:dyDescent="0.5">
      <c r="M1835" s="2">
        <v>1834</v>
      </c>
    </row>
    <row r="1836" spans="13:13" x14ac:dyDescent="0.5">
      <c r="M1836" s="2">
        <v>1835</v>
      </c>
    </row>
    <row r="1837" spans="13:13" x14ac:dyDescent="0.5">
      <c r="M1837" s="2">
        <v>1836</v>
      </c>
    </row>
    <row r="1838" spans="13:13" x14ac:dyDescent="0.5">
      <c r="M1838" s="2">
        <v>1837</v>
      </c>
    </row>
    <row r="1839" spans="13:13" x14ac:dyDescent="0.5">
      <c r="M1839" s="2">
        <v>1838</v>
      </c>
    </row>
    <row r="1840" spans="13:13" x14ac:dyDescent="0.5">
      <c r="M1840" s="2">
        <v>1839</v>
      </c>
    </row>
    <row r="1841" spans="13:13" x14ac:dyDescent="0.5">
      <c r="M1841" s="2">
        <v>1840</v>
      </c>
    </row>
    <row r="1842" spans="13:13" x14ac:dyDescent="0.5">
      <c r="M1842" s="2">
        <v>1841</v>
      </c>
    </row>
    <row r="1843" spans="13:13" x14ac:dyDescent="0.5">
      <c r="M1843" s="2">
        <v>1842</v>
      </c>
    </row>
    <row r="1844" spans="13:13" x14ac:dyDescent="0.5">
      <c r="M1844" s="2">
        <v>1843</v>
      </c>
    </row>
    <row r="1845" spans="13:13" x14ac:dyDescent="0.5">
      <c r="M1845" s="2">
        <v>1844</v>
      </c>
    </row>
    <row r="1846" spans="13:13" x14ac:dyDescent="0.5">
      <c r="M1846" s="2">
        <v>1845</v>
      </c>
    </row>
    <row r="1847" spans="13:13" x14ac:dyDescent="0.5">
      <c r="M1847" s="2">
        <v>1846</v>
      </c>
    </row>
    <row r="1848" spans="13:13" x14ac:dyDescent="0.5">
      <c r="M1848" s="2">
        <v>1847</v>
      </c>
    </row>
    <row r="1849" spans="13:13" x14ac:dyDescent="0.5">
      <c r="M1849" s="2">
        <v>1848</v>
      </c>
    </row>
    <row r="1850" spans="13:13" x14ac:dyDescent="0.5">
      <c r="M1850" s="2">
        <v>1849</v>
      </c>
    </row>
    <row r="1851" spans="13:13" x14ac:dyDescent="0.5">
      <c r="M1851" s="2">
        <v>1850</v>
      </c>
    </row>
    <row r="1852" spans="13:13" x14ac:dyDescent="0.5">
      <c r="M1852" s="2">
        <v>1851</v>
      </c>
    </row>
    <row r="1853" spans="13:13" x14ac:dyDescent="0.5">
      <c r="M1853" s="2">
        <v>1852</v>
      </c>
    </row>
    <row r="1854" spans="13:13" x14ac:dyDescent="0.5">
      <c r="M1854" s="2">
        <v>1853</v>
      </c>
    </row>
    <row r="1855" spans="13:13" x14ac:dyDescent="0.5">
      <c r="M1855" s="2">
        <v>1854</v>
      </c>
    </row>
    <row r="1856" spans="13:13" x14ac:dyDescent="0.5">
      <c r="M1856" s="2">
        <v>1855</v>
      </c>
    </row>
    <row r="1857" spans="13:14" x14ac:dyDescent="0.5">
      <c r="M1857" s="2">
        <v>1856</v>
      </c>
    </row>
    <row r="1858" spans="13:14" x14ac:dyDescent="0.5">
      <c r="M1858" s="2">
        <v>1857</v>
      </c>
    </row>
    <row r="1859" spans="13:14" x14ac:dyDescent="0.5">
      <c r="M1859" s="2">
        <v>1858</v>
      </c>
    </row>
    <row r="1860" spans="13:14" x14ac:dyDescent="0.5">
      <c r="M1860" s="2">
        <v>1859</v>
      </c>
    </row>
    <row r="1861" spans="13:14" x14ac:dyDescent="0.5">
      <c r="M1861" s="2">
        <v>1860</v>
      </c>
      <c r="N1861" s="2" t="s">
        <v>3446</v>
      </c>
    </row>
    <row r="1862" spans="13:14" x14ac:dyDescent="0.5">
      <c r="M1862" s="2">
        <v>1861</v>
      </c>
    </row>
    <row r="1863" spans="13:14" x14ac:dyDescent="0.5">
      <c r="M1863" s="2">
        <v>1862</v>
      </c>
    </row>
    <row r="1864" spans="13:14" x14ac:dyDescent="0.5">
      <c r="M1864" s="2">
        <v>1863</v>
      </c>
    </row>
    <row r="1865" spans="13:14" x14ac:dyDescent="0.5">
      <c r="M1865" s="2">
        <v>1864</v>
      </c>
    </row>
    <row r="1866" spans="13:14" x14ac:dyDescent="0.5">
      <c r="M1866" s="2">
        <v>1865</v>
      </c>
      <c r="N1866" s="2" t="s">
        <v>3446</v>
      </c>
    </row>
    <row r="1867" spans="13:14" x14ac:dyDescent="0.5">
      <c r="M1867" s="2">
        <v>1866</v>
      </c>
    </row>
    <row r="1868" spans="13:14" x14ac:dyDescent="0.5">
      <c r="M1868" s="2">
        <v>1867</v>
      </c>
    </row>
    <row r="1869" spans="13:14" x14ac:dyDescent="0.5">
      <c r="M1869" s="2">
        <v>1868</v>
      </c>
    </row>
    <row r="1870" spans="13:14" x14ac:dyDescent="0.5">
      <c r="M1870" s="2">
        <v>1869</v>
      </c>
    </row>
    <row r="1871" spans="13:14" x14ac:dyDescent="0.5">
      <c r="M1871" s="2">
        <v>1870</v>
      </c>
    </row>
    <row r="1872" spans="13:14" x14ac:dyDescent="0.5">
      <c r="M1872" s="2">
        <v>1871</v>
      </c>
      <c r="N1872" s="2" t="s">
        <v>3446</v>
      </c>
    </row>
    <row r="1873" spans="13:13" x14ac:dyDescent="0.5">
      <c r="M1873" s="2">
        <v>1872</v>
      </c>
    </row>
    <row r="1874" spans="13:13" x14ac:dyDescent="0.5">
      <c r="M1874" s="2">
        <v>1873</v>
      </c>
    </row>
    <row r="1875" spans="13:13" x14ac:dyDescent="0.5">
      <c r="M1875" s="2">
        <v>1874</v>
      </c>
    </row>
    <row r="1876" spans="13:13" x14ac:dyDescent="0.5">
      <c r="M1876" s="2">
        <v>1875</v>
      </c>
    </row>
    <row r="1877" spans="13:13" x14ac:dyDescent="0.5">
      <c r="M1877" s="2">
        <v>1876</v>
      </c>
    </row>
    <row r="1878" spans="13:13" x14ac:dyDescent="0.5">
      <c r="M1878" s="2">
        <v>1877</v>
      </c>
    </row>
    <row r="1879" spans="13:13" x14ac:dyDescent="0.5">
      <c r="M1879" s="2">
        <v>1878</v>
      </c>
    </row>
    <row r="1880" spans="13:13" x14ac:dyDescent="0.5">
      <c r="M1880" s="2">
        <v>1879</v>
      </c>
    </row>
    <row r="1881" spans="13:13" x14ac:dyDescent="0.5">
      <c r="M1881" s="2">
        <v>1880</v>
      </c>
    </row>
    <row r="1882" spans="13:13" x14ac:dyDescent="0.5">
      <c r="M1882" s="2">
        <v>1881</v>
      </c>
    </row>
    <row r="1883" spans="13:13" x14ac:dyDescent="0.5">
      <c r="M1883" s="2">
        <v>1882</v>
      </c>
    </row>
    <row r="1884" spans="13:13" x14ac:dyDescent="0.5">
      <c r="M1884" s="2">
        <v>1883</v>
      </c>
    </row>
    <row r="1885" spans="13:13" x14ac:dyDescent="0.5">
      <c r="M1885" s="2">
        <v>1884</v>
      </c>
    </row>
    <row r="1886" spans="13:13" x14ac:dyDescent="0.5">
      <c r="M1886" s="2">
        <v>1885</v>
      </c>
    </row>
    <row r="1887" spans="13:13" x14ac:dyDescent="0.5">
      <c r="M1887" s="2">
        <v>1886</v>
      </c>
    </row>
    <row r="1888" spans="13:13" x14ac:dyDescent="0.5">
      <c r="M1888" s="2">
        <v>1887</v>
      </c>
    </row>
    <row r="1889" spans="13:14" x14ac:dyDescent="0.5">
      <c r="M1889" s="2">
        <v>1888</v>
      </c>
    </row>
    <row r="1890" spans="13:14" x14ac:dyDescent="0.5">
      <c r="M1890" s="2">
        <v>1889</v>
      </c>
    </row>
    <row r="1891" spans="13:14" x14ac:dyDescent="0.5">
      <c r="M1891" s="2">
        <v>1890</v>
      </c>
    </row>
    <row r="1892" spans="13:14" x14ac:dyDescent="0.5">
      <c r="M1892" s="2">
        <v>1891</v>
      </c>
    </row>
    <row r="1893" spans="13:14" x14ac:dyDescent="0.5">
      <c r="M1893" s="2">
        <v>1892</v>
      </c>
    </row>
    <row r="1894" spans="13:14" x14ac:dyDescent="0.5">
      <c r="M1894" s="2">
        <v>1893</v>
      </c>
    </row>
    <row r="1895" spans="13:14" x14ac:dyDescent="0.5">
      <c r="M1895" s="2">
        <v>1894</v>
      </c>
    </row>
    <row r="1896" spans="13:14" x14ac:dyDescent="0.5">
      <c r="M1896" s="2">
        <v>1895</v>
      </c>
    </row>
    <row r="1897" spans="13:14" x14ac:dyDescent="0.5">
      <c r="M1897" s="2">
        <v>1896</v>
      </c>
    </row>
    <row r="1898" spans="13:14" x14ac:dyDescent="0.5">
      <c r="M1898" s="2">
        <v>1897</v>
      </c>
    </row>
    <row r="1899" spans="13:14" x14ac:dyDescent="0.5">
      <c r="M1899" s="2">
        <v>1898</v>
      </c>
    </row>
    <row r="1900" spans="13:14" x14ac:dyDescent="0.5">
      <c r="M1900" s="2">
        <v>1899</v>
      </c>
    </row>
    <row r="1901" spans="13:14" x14ac:dyDescent="0.5">
      <c r="M1901" s="2">
        <v>1900</v>
      </c>
    </row>
    <row r="1902" spans="13:14" x14ac:dyDescent="0.5">
      <c r="M1902" s="2">
        <v>1901</v>
      </c>
    </row>
    <row r="1903" spans="13:14" x14ac:dyDescent="0.5">
      <c r="M1903" s="2">
        <v>1902</v>
      </c>
      <c r="N1903" s="2" t="s">
        <v>3446</v>
      </c>
    </row>
    <row r="1904" spans="13:14" x14ac:dyDescent="0.5">
      <c r="M1904" s="2">
        <v>1903</v>
      </c>
      <c r="N1904" s="2" t="s">
        <v>3446</v>
      </c>
    </row>
    <row r="1905" spans="13:14" x14ac:dyDescent="0.5">
      <c r="M1905" s="2">
        <v>1904</v>
      </c>
    </row>
    <row r="1906" spans="13:14" x14ac:dyDescent="0.5">
      <c r="M1906" s="2">
        <v>1905</v>
      </c>
    </row>
    <row r="1907" spans="13:14" x14ac:dyDescent="0.5">
      <c r="M1907" s="2">
        <v>1906</v>
      </c>
    </row>
    <row r="1908" spans="13:14" x14ac:dyDescent="0.5">
      <c r="M1908" s="2">
        <v>1907</v>
      </c>
    </row>
    <row r="1909" spans="13:14" x14ac:dyDescent="0.5">
      <c r="M1909" s="2">
        <v>1908</v>
      </c>
      <c r="N1909" s="2" t="s">
        <v>3446</v>
      </c>
    </row>
    <row r="1910" spans="13:14" x14ac:dyDescent="0.5">
      <c r="M1910" s="2">
        <v>1909</v>
      </c>
      <c r="N1910" s="2" t="s">
        <v>3446</v>
      </c>
    </row>
    <row r="1911" spans="13:14" x14ac:dyDescent="0.5">
      <c r="M1911" s="2">
        <v>1910</v>
      </c>
      <c r="N1911" s="2" t="s">
        <v>3446</v>
      </c>
    </row>
    <row r="1912" spans="13:14" x14ac:dyDescent="0.5">
      <c r="M1912" s="2">
        <v>1911</v>
      </c>
      <c r="N1912" s="2" t="s">
        <v>3446</v>
      </c>
    </row>
    <row r="1913" spans="13:14" x14ac:dyDescent="0.5">
      <c r="M1913" s="2">
        <v>1912</v>
      </c>
    </row>
    <row r="1914" spans="13:14" x14ac:dyDescent="0.5">
      <c r="M1914" s="2">
        <v>1913</v>
      </c>
      <c r="N1914" s="2" t="s">
        <v>3446</v>
      </c>
    </row>
    <row r="1915" spans="13:14" x14ac:dyDescent="0.5">
      <c r="M1915" s="2">
        <v>1914</v>
      </c>
    </row>
    <row r="1916" spans="13:14" x14ac:dyDescent="0.5">
      <c r="M1916" s="2">
        <v>1915</v>
      </c>
    </row>
    <row r="1917" spans="13:14" x14ac:dyDescent="0.5">
      <c r="M1917" s="2">
        <v>1916</v>
      </c>
      <c r="N1917" s="2" t="s">
        <v>3446</v>
      </c>
    </row>
    <row r="1918" spans="13:14" x14ac:dyDescent="0.5">
      <c r="M1918" s="2">
        <v>1917</v>
      </c>
    </row>
    <row r="1919" spans="13:14" x14ac:dyDescent="0.5">
      <c r="M1919" s="2">
        <v>1918</v>
      </c>
    </row>
    <row r="1920" spans="13:14" x14ac:dyDescent="0.5">
      <c r="M1920" s="2">
        <v>1919</v>
      </c>
    </row>
    <row r="1921" spans="13:14" x14ac:dyDescent="0.5">
      <c r="M1921" s="2">
        <v>1920</v>
      </c>
    </row>
    <row r="1922" spans="13:14" x14ac:dyDescent="0.5">
      <c r="M1922" s="2">
        <v>1921</v>
      </c>
    </row>
    <row r="1923" spans="13:14" x14ac:dyDescent="0.5">
      <c r="M1923" s="2">
        <v>1922</v>
      </c>
      <c r="N1923" s="2" t="s">
        <v>3446</v>
      </c>
    </row>
    <row r="1924" spans="13:14" x14ac:dyDescent="0.5">
      <c r="M1924" s="2">
        <v>1923</v>
      </c>
    </row>
    <row r="1925" spans="13:14" x14ac:dyDescent="0.5">
      <c r="M1925" s="2">
        <v>1924</v>
      </c>
    </row>
    <row r="1926" spans="13:14" x14ac:dyDescent="0.5">
      <c r="M1926" s="2">
        <v>1925</v>
      </c>
    </row>
    <row r="1927" spans="13:14" x14ac:dyDescent="0.5">
      <c r="M1927" s="2">
        <v>1926</v>
      </c>
    </row>
    <row r="1928" spans="13:14" x14ac:dyDescent="0.5">
      <c r="M1928" s="2">
        <v>1927</v>
      </c>
    </row>
    <row r="1929" spans="13:14" x14ac:dyDescent="0.5">
      <c r="M1929" s="2">
        <v>1928</v>
      </c>
    </row>
    <row r="1930" spans="13:14" x14ac:dyDescent="0.5">
      <c r="M1930" s="2">
        <v>1929</v>
      </c>
    </row>
    <row r="1931" spans="13:14" x14ac:dyDescent="0.5">
      <c r="M1931" s="2">
        <v>1930</v>
      </c>
    </row>
    <row r="1932" spans="13:14" x14ac:dyDescent="0.5">
      <c r="M1932" s="2">
        <v>1931</v>
      </c>
    </row>
    <row r="1933" spans="13:14" x14ac:dyDescent="0.5">
      <c r="M1933" s="2">
        <v>1932</v>
      </c>
    </row>
    <row r="1934" spans="13:14" x14ac:dyDescent="0.5">
      <c r="M1934" s="2">
        <v>1933</v>
      </c>
    </row>
    <row r="1935" spans="13:14" x14ac:dyDescent="0.5">
      <c r="M1935" s="2">
        <v>1934</v>
      </c>
    </row>
    <row r="1936" spans="13:14" x14ac:dyDescent="0.5">
      <c r="M1936" s="2">
        <v>1935</v>
      </c>
    </row>
    <row r="1937" spans="13:14" x14ac:dyDescent="0.5">
      <c r="M1937" s="2">
        <v>1936</v>
      </c>
    </row>
    <row r="1938" spans="13:14" x14ac:dyDescent="0.5">
      <c r="M1938" s="2">
        <v>1937</v>
      </c>
    </row>
    <row r="1939" spans="13:14" x14ac:dyDescent="0.5">
      <c r="M1939" s="2">
        <v>1938</v>
      </c>
    </row>
    <row r="1940" spans="13:14" x14ac:dyDescent="0.5">
      <c r="M1940" s="2">
        <v>1939</v>
      </c>
      <c r="N1940" s="2" t="s">
        <v>3446</v>
      </c>
    </row>
    <row r="1941" spans="13:14" x14ac:dyDescent="0.5">
      <c r="M1941" s="2">
        <v>1940</v>
      </c>
      <c r="N1941" s="2" t="s">
        <v>3446</v>
      </c>
    </row>
    <row r="1942" spans="13:14" x14ac:dyDescent="0.5">
      <c r="M1942" s="2">
        <v>1941</v>
      </c>
    </row>
    <row r="1943" spans="13:14" x14ac:dyDescent="0.5">
      <c r="M1943" s="2">
        <v>1942</v>
      </c>
    </row>
    <row r="1944" spans="13:14" x14ac:dyDescent="0.5">
      <c r="M1944" s="2">
        <v>1943</v>
      </c>
      <c r="N1944" s="2" t="s">
        <v>3446</v>
      </c>
    </row>
    <row r="1945" spans="13:14" x14ac:dyDescent="0.5">
      <c r="M1945" s="2">
        <v>1944</v>
      </c>
    </row>
    <row r="1946" spans="13:14" x14ac:dyDescent="0.5">
      <c r="M1946" s="2">
        <v>1945</v>
      </c>
      <c r="N1946" s="2" t="s">
        <v>3446</v>
      </c>
    </row>
    <row r="1947" spans="13:14" x14ac:dyDescent="0.5">
      <c r="M1947" s="2">
        <v>1946</v>
      </c>
    </row>
    <row r="1948" spans="13:14" x14ac:dyDescent="0.5">
      <c r="M1948" s="2">
        <v>1947</v>
      </c>
    </row>
    <row r="1949" spans="13:14" x14ac:dyDescent="0.5">
      <c r="M1949" s="2">
        <v>1948</v>
      </c>
    </row>
    <row r="1950" spans="13:14" x14ac:dyDescent="0.5">
      <c r="M1950" s="2">
        <v>1949</v>
      </c>
      <c r="N1950" s="2" t="s">
        <v>3446</v>
      </c>
    </row>
    <row r="1951" spans="13:14" x14ac:dyDescent="0.5">
      <c r="M1951" s="2">
        <v>1950</v>
      </c>
    </row>
    <row r="1952" spans="13:14" x14ac:dyDescent="0.5">
      <c r="M1952" s="2">
        <v>1951</v>
      </c>
    </row>
    <row r="1953" spans="13:13" x14ac:dyDescent="0.5">
      <c r="M1953" s="2">
        <v>1952</v>
      </c>
    </row>
    <row r="1954" spans="13:13" x14ac:dyDescent="0.5">
      <c r="M1954" s="2">
        <v>1953</v>
      </c>
    </row>
    <row r="1955" spans="13:13" x14ac:dyDescent="0.5">
      <c r="M1955" s="2">
        <v>1954</v>
      </c>
    </row>
    <row r="1956" spans="13:13" x14ac:dyDescent="0.5">
      <c r="M1956" s="2">
        <v>1955</v>
      </c>
    </row>
    <row r="1957" spans="13:13" x14ac:dyDescent="0.5">
      <c r="M1957" s="2">
        <v>1956</v>
      </c>
    </row>
    <row r="1958" spans="13:13" x14ac:dyDescent="0.5">
      <c r="M1958" s="2">
        <v>1957</v>
      </c>
    </row>
    <row r="1959" spans="13:13" x14ac:dyDescent="0.5">
      <c r="M1959" s="2">
        <v>1958</v>
      </c>
    </row>
    <row r="1960" spans="13:13" x14ac:dyDescent="0.5">
      <c r="M1960" s="2">
        <v>1959</v>
      </c>
    </row>
    <row r="1961" spans="13:13" x14ac:dyDescent="0.5">
      <c r="M1961" s="2">
        <v>1960</v>
      </c>
    </row>
    <row r="1962" spans="13:13" x14ac:dyDescent="0.5">
      <c r="M1962" s="2">
        <v>1961</v>
      </c>
    </row>
    <row r="1963" spans="13:13" x14ac:dyDescent="0.5">
      <c r="M1963" s="2">
        <v>1962</v>
      </c>
    </row>
    <row r="1964" spans="13:13" x14ac:dyDescent="0.5">
      <c r="M1964" s="2">
        <v>1963</v>
      </c>
    </row>
    <row r="1965" spans="13:13" x14ac:dyDescent="0.5">
      <c r="M1965" s="2">
        <v>1964</v>
      </c>
    </row>
    <row r="1966" spans="13:13" x14ac:dyDescent="0.5">
      <c r="M1966" s="2">
        <v>1965</v>
      </c>
    </row>
    <row r="1967" spans="13:13" x14ac:dyDescent="0.5">
      <c r="M1967" s="2">
        <v>1966</v>
      </c>
    </row>
    <row r="1968" spans="13:13" x14ac:dyDescent="0.5">
      <c r="M1968" s="2">
        <v>1967</v>
      </c>
    </row>
    <row r="1969" spans="13:14" x14ac:dyDescent="0.5">
      <c r="M1969" s="2">
        <v>1968</v>
      </c>
    </row>
    <row r="1970" spans="13:14" x14ac:dyDescent="0.5">
      <c r="M1970" s="2">
        <v>1969</v>
      </c>
    </row>
    <row r="1971" spans="13:14" x14ac:dyDescent="0.5">
      <c r="M1971" s="2">
        <v>1970</v>
      </c>
    </row>
    <row r="1972" spans="13:14" x14ac:dyDescent="0.5">
      <c r="M1972" s="2">
        <v>1971</v>
      </c>
    </row>
    <row r="1973" spans="13:14" x14ac:dyDescent="0.5">
      <c r="M1973" s="2">
        <v>1972</v>
      </c>
    </row>
    <row r="1974" spans="13:14" x14ac:dyDescent="0.5">
      <c r="M1974" s="2">
        <v>1973</v>
      </c>
    </row>
    <row r="1975" spans="13:14" x14ac:dyDescent="0.5">
      <c r="M1975" s="2">
        <v>1974</v>
      </c>
      <c r="N1975" s="2" t="s">
        <v>3446</v>
      </c>
    </row>
    <row r="1976" spans="13:14" x14ac:dyDescent="0.5">
      <c r="M1976" s="2">
        <v>1975</v>
      </c>
      <c r="N1976" s="2" t="s">
        <v>3446</v>
      </c>
    </row>
    <row r="1977" spans="13:14" x14ac:dyDescent="0.5">
      <c r="M1977" s="2">
        <v>1976</v>
      </c>
    </row>
    <row r="1978" spans="13:14" x14ac:dyDescent="0.5">
      <c r="M1978" s="2">
        <v>1977</v>
      </c>
      <c r="N1978" s="2" t="s">
        <v>3446</v>
      </c>
    </row>
    <row r="1979" spans="13:14" x14ac:dyDescent="0.5">
      <c r="M1979" s="2">
        <v>1978</v>
      </c>
      <c r="N1979" s="2" t="s">
        <v>3446</v>
      </c>
    </row>
    <row r="1980" spans="13:14" x14ac:dyDescent="0.5">
      <c r="M1980" s="2">
        <v>1979</v>
      </c>
      <c r="N1980" s="2" t="s">
        <v>3446</v>
      </c>
    </row>
    <row r="1981" spans="13:14" x14ac:dyDescent="0.5">
      <c r="M1981" s="2">
        <v>1980</v>
      </c>
      <c r="N1981" s="2" t="s">
        <v>3446</v>
      </c>
    </row>
    <row r="1982" spans="13:14" x14ac:dyDescent="0.5">
      <c r="M1982" s="2">
        <v>1981</v>
      </c>
      <c r="N1982" s="2" t="s">
        <v>3446</v>
      </c>
    </row>
    <row r="1983" spans="13:14" x14ac:dyDescent="0.5">
      <c r="M1983" s="2">
        <v>1982</v>
      </c>
    </row>
    <row r="1984" spans="13:14" x14ac:dyDescent="0.5">
      <c r="M1984" s="2">
        <v>1983</v>
      </c>
    </row>
    <row r="1985" spans="13:13" x14ac:dyDescent="0.5">
      <c r="M1985" s="2">
        <v>1984</v>
      </c>
    </row>
    <row r="1986" spans="13:13" x14ac:dyDescent="0.5">
      <c r="M1986" s="2">
        <v>1985</v>
      </c>
    </row>
    <row r="1987" spans="13:13" x14ac:dyDescent="0.5">
      <c r="M1987" s="2">
        <v>1986</v>
      </c>
    </row>
    <row r="1988" spans="13:13" x14ac:dyDescent="0.5">
      <c r="M1988" s="2">
        <v>1987</v>
      </c>
    </row>
    <row r="1989" spans="13:13" x14ac:dyDescent="0.5">
      <c r="M1989" s="2">
        <v>1988</v>
      </c>
    </row>
    <row r="1990" spans="13:13" x14ac:dyDescent="0.5">
      <c r="M1990" s="2">
        <v>1989</v>
      </c>
    </row>
    <row r="1991" spans="13:13" x14ac:dyDescent="0.5">
      <c r="M1991" s="2">
        <v>1990</v>
      </c>
    </row>
    <row r="1992" spans="13:13" x14ac:dyDescent="0.5">
      <c r="M1992" s="2">
        <v>1991</v>
      </c>
    </row>
    <row r="1993" spans="13:13" x14ac:dyDescent="0.5">
      <c r="M1993" s="2">
        <v>1992</v>
      </c>
    </row>
    <row r="1994" spans="13:13" x14ac:dyDescent="0.5">
      <c r="M1994" s="2">
        <v>1993</v>
      </c>
    </row>
    <row r="1995" spans="13:13" x14ac:dyDescent="0.5">
      <c r="M1995" s="2">
        <v>1994</v>
      </c>
    </row>
    <row r="1996" spans="13:13" x14ac:dyDescent="0.5">
      <c r="M1996" s="2">
        <v>1995</v>
      </c>
    </row>
    <row r="1997" spans="13:13" x14ac:dyDescent="0.5">
      <c r="M1997" s="2">
        <v>1996</v>
      </c>
    </row>
    <row r="1998" spans="13:13" x14ac:dyDescent="0.5">
      <c r="M1998" s="2">
        <v>1997</v>
      </c>
    </row>
    <row r="1999" spans="13:13" x14ac:dyDescent="0.5">
      <c r="M1999" s="2">
        <v>1998</v>
      </c>
    </row>
    <row r="2000" spans="13:13" x14ac:dyDescent="0.5">
      <c r="M2000" s="2">
        <v>1999</v>
      </c>
    </row>
    <row r="2001" spans="13:14" x14ac:dyDescent="0.5">
      <c r="M2001" s="2">
        <v>2000</v>
      </c>
    </row>
    <row r="2002" spans="13:14" x14ac:dyDescent="0.5">
      <c r="M2002" s="2">
        <v>2001</v>
      </c>
    </row>
    <row r="2003" spans="13:14" x14ac:dyDescent="0.5">
      <c r="M2003" s="2">
        <v>2002</v>
      </c>
    </row>
    <row r="2004" spans="13:14" x14ac:dyDescent="0.5">
      <c r="M2004" s="2">
        <v>2003</v>
      </c>
    </row>
    <row r="2005" spans="13:14" x14ac:dyDescent="0.5">
      <c r="M2005" s="2">
        <v>2004</v>
      </c>
    </row>
    <row r="2006" spans="13:14" x14ac:dyDescent="0.5">
      <c r="M2006" s="2">
        <v>2005</v>
      </c>
    </row>
    <row r="2007" spans="13:14" x14ac:dyDescent="0.5">
      <c r="M2007" s="2">
        <v>2006</v>
      </c>
      <c r="N2007" s="2" t="s">
        <v>3446</v>
      </c>
    </row>
    <row r="2008" spans="13:14" x14ac:dyDescent="0.5">
      <c r="M2008" s="2">
        <v>2007</v>
      </c>
      <c r="N2008" s="2" t="s">
        <v>3446</v>
      </c>
    </row>
    <row r="2009" spans="13:14" x14ac:dyDescent="0.5">
      <c r="M2009" s="2">
        <v>2008</v>
      </c>
      <c r="N2009" s="2" t="s">
        <v>3446</v>
      </c>
    </row>
    <row r="2010" spans="13:14" x14ac:dyDescent="0.5">
      <c r="M2010" s="2">
        <v>2009</v>
      </c>
    </row>
    <row r="2011" spans="13:14" x14ac:dyDescent="0.5">
      <c r="M2011" s="2">
        <v>2010</v>
      </c>
    </row>
    <row r="2012" spans="13:14" x14ac:dyDescent="0.5">
      <c r="M2012" s="2">
        <v>2011</v>
      </c>
    </row>
    <row r="2013" spans="13:14" x14ac:dyDescent="0.5">
      <c r="M2013" s="2">
        <v>2012</v>
      </c>
    </row>
    <row r="2014" spans="13:14" x14ac:dyDescent="0.5">
      <c r="M2014" s="2">
        <v>2013</v>
      </c>
    </row>
    <row r="2015" spans="13:14" x14ac:dyDescent="0.5">
      <c r="M2015" s="2">
        <v>2014</v>
      </c>
    </row>
    <row r="2016" spans="13:14" x14ac:dyDescent="0.5">
      <c r="M2016" s="2">
        <v>2015</v>
      </c>
    </row>
    <row r="2017" spans="13:14" x14ac:dyDescent="0.5">
      <c r="M2017" s="2">
        <v>2016</v>
      </c>
    </row>
    <row r="2018" spans="13:14" x14ac:dyDescent="0.5">
      <c r="M2018" s="2">
        <v>2017</v>
      </c>
    </row>
    <row r="2019" spans="13:14" x14ac:dyDescent="0.5">
      <c r="M2019" s="2">
        <v>2018</v>
      </c>
    </row>
    <row r="2020" spans="13:14" x14ac:dyDescent="0.5">
      <c r="M2020" s="2">
        <v>2019</v>
      </c>
    </row>
    <row r="2021" spans="13:14" x14ac:dyDescent="0.5">
      <c r="M2021" s="2">
        <v>2020</v>
      </c>
      <c r="N2021" s="2" t="s">
        <v>3446</v>
      </c>
    </row>
    <row r="2022" spans="13:14" x14ac:dyDescent="0.5">
      <c r="M2022" s="2">
        <v>2021</v>
      </c>
    </row>
    <row r="2023" spans="13:14" x14ac:dyDescent="0.5">
      <c r="M2023" s="2">
        <v>2022</v>
      </c>
    </row>
    <row r="2024" spans="13:14" x14ac:dyDescent="0.5">
      <c r="M2024" s="2">
        <v>2023</v>
      </c>
    </row>
    <row r="2025" spans="13:14" x14ac:dyDescent="0.5">
      <c r="M2025" s="2">
        <v>2024</v>
      </c>
    </row>
    <row r="2026" spans="13:14" x14ac:dyDescent="0.5">
      <c r="M2026" s="2">
        <v>2025</v>
      </c>
    </row>
    <row r="2027" spans="13:14" x14ac:dyDescent="0.5">
      <c r="M2027" s="2">
        <v>2026</v>
      </c>
    </row>
    <row r="2028" spans="13:14" x14ac:dyDescent="0.5">
      <c r="M2028" s="2">
        <v>2027</v>
      </c>
      <c r="N2028" s="2" t="s">
        <v>3446</v>
      </c>
    </row>
    <row r="2029" spans="13:14" x14ac:dyDescent="0.5">
      <c r="M2029" s="2">
        <v>2028</v>
      </c>
    </row>
    <row r="2030" spans="13:14" x14ac:dyDescent="0.5">
      <c r="M2030" s="2">
        <v>2029</v>
      </c>
    </row>
    <row r="2031" spans="13:14" x14ac:dyDescent="0.5">
      <c r="M2031" s="2">
        <v>2030</v>
      </c>
    </row>
    <row r="2032" spans="13:14" x14ac:dyDescent="0.5">
      <c r="M2032" s="2">
        <v>2031</v>
      </c>
    </row>
    <row r="2033" spans="13:13" x14ac:dyDescent="0.5">
      <c r="M2033" s="2">
        <v>2032</v>
      </c>
    </row>
    <row r="2034" spans="13:13" x14ac:dyDescent="0.5">
      <c r="M2034" s="2">
        <v>2033</v>
      </c>
    </row>
    <row r="2035" spans="13:13" x14ac:dyDescent="0.5">
      <c r="M2035" s="2">
        <v>2034</v>
      </c>
    </row>
    <row r="2036" spans="13:13" x14ac:dyDescent="0.5">
      <c r="M2036" s="2">
        <v>2035</v>
      </c>
    </row>
    <row r="2037" spans="13:13" x14ac:dyDescent="0.5">
      <c r="M2037" s="2">
        <v>2036</v>
      </c>
    </row>
    <row r="2038" spans="13:13" x14ac:dyDescent="0.5">
      <c r="M2038" s="2">
        <v>2037</v>
      </c>
    </row>
    <row r="2039" spans="13:13" x14ac:dyDescent="0.5">
      <c r="M2039" s="2">
        <v>2038</v>
      </c>
    </row>
    <row r="2040" spans="13:13" x14ac:dyDescent="0.5">
      <c r="M2040" s="2">
        <v>2039</v>
      </c>
    </row>
    <row r="2041" spans="13:13" x14ac:dyDescent="0.5">
      <c r="M2041" s="2">
        <v>2040</v>
      </c>
    </row>
    <row r="2042" spans="13:13" x14ac:dyDescent="0.5">
      <c r="M2042" s="2">
        <v>2041</v>
      </c>
    </row>
    <row r="2043" spans="13:13" x14ac:dyDescent="0.5">
      <c r="M2043" s="2">
        <v>2042</v>
      </c>
    </row>
    <row r="2044" spans="13:13" x14ac:dyDescent="0.5">
      <c r="M2044" s="2">
        <v>2043</v>
      </c>
    </row>
    <row r="2045" spans="13:13" x14ac:dyDescent="0.5">
      <c r="M2045" s="2">
        <v>2044</v>
      </c>
    </row>
    <row r="2046" spans="13:13" x14ac:dyDescent="0.5">
      <c r="M2046" s="2">
        <v>2045</v>
      </c>
    </row>
    <row r="2047" spans="13:13" x14ac:dyDescent="0.5">
      <c r="M2047" s="2">
        <v>2046</v>
      </c>
    </row>
    <row r="2048" spans="13:13" x14ac:dyDescent="0.5">
      <c r="M2048" s="2">
        <v>2047</v>
      </c>
    </row>
    <row r="2049" spans="13:14" x14ac:dyDescent="0.5">
      <c r="M2049" s="2">
        <v>2048</v>
      </c>
    </row>
    <row r="2050" spans="13:14" x14ac:dyDescent="0.5">
      <c r="M2050" s="2">
        <v>2049</v>
      </c>
    </row>
    <row r="2051" spans="13:14" x14ac:dyDescent="0.5">
      <c r="M2051" s="2">
        <v>2050</v>
      </c>
    </row>
    <row r="2052" spans="13:14" x14ac:dyDescent="0.5">
      <c r="M2052" s="2">
        <v>2051</v>
      </c>
    </row>
    <row r="2053" spans="13:14" x14ac:dyDescent="0.5">
      <c r="M2053" s="2">
        <v>2052</v>
      </c>
    </row>
    <row r="2054" spans="13:14" x14ac:dyDescent="0.5">
      <c r="M2054" s="2">
        <v>2053</v>
      </c>
    </row>
    <row r="2055" spans="13:14" x14ac:dyDescent="0.5">
      <c r="M2055" s="2">
        <v>2054</v>
      </c>
    </row>
    <row r="2056" spans="13:14" x14ac:dyDescent="0.5">
      <c r="M2056" s="2">
        <v>2055</v>
      </c>
    </row>
    <row r="2057" spans="13:14" x14ac:dyDescent="0.5">
      <c r="M2057" s="2">
        <v>2056</v>
      </c>
    </row>
    <row r="2058" spans="13:14" x14ac:dyDescent="0.5">
      <c r="M2058" s="2">
        <v>2057</v>
      </c>
    </row>
    <row r="2059" spans="13:14" x14ac:dyDescent="0.5">
      <c r="M2059" s="2">
        <v>2058</v>
      </c>
      <c r="N2059" s="2" t="s">
        <v>3446</v>
      </c>
    </row>
    <row r="2060" spans="13:14" x14ac:dyDescent="0.5">
      <c r="M2060" s="2">
        <v>2059</v>
      </c>
      <c r="N2060" s="2" t="s">
        <v>3446</v>
      </c>
    </row>
    <row r="2061" spans="13:14" x14ac:dyDescent="0.5">
      <c r="M2061" s="2">
        <v>2060</v>
      </c>
    </row>
    <row r="2062" spans="13:14" x14ac:dyDescent="0.5">
      <c r="M2062" s="2">
        <v>2061</v>
      </c>
    </row>
    <row r="2063" spans="13:14" x14ac:dyDescent="0.5">
      <c r="M2063" s="2">
        <v>2062</v>
      </c>
    </row>
    <row r="2064" spans="13:14" x14ac:dyDescent="0.5">
      <c r="M2064" s="2">
        <v>2063</v>
      </c>
    </row>
    <row r="2065" spans="13:14" x14ac:dyDescent="0.5">
      <c r="M2065" s="2">
        <v>2064</v>
      </c>
    </row>
    <row r="2066" spans="13:14" x14ac:dyDescent="0.5">
      <c r="M2066" s="2">
        <v>2065</v>
      </c>
    </row>
    <row r="2067" spans="13:14" x14ac:dyDescent="0.5">
      <c r="M2067" s="2">
        <v>2066</v>
      </c>
    </row>
    <row r="2068" spans="13:14" x14ac:dyDescent="0.5">
      <c r="M2068" s="2">
        <v>2067</v>
      </c>
    </row>
    <row r="2069" spans="13:14" x14ac:dyDescent="0.5">
      <c r="M2069" s="2">
        <v>2068</v>
      </c>
    </row>
    <row r="2070" spans="13:14" x14ac:dyDescent="0.5">
      <c r="M2070" s="2">
        <v>2069</v>
      </c>
    </row>
    <row r="2071" spans="13:14" x14ac:dyDescent="0.5">
      <c r="M2071" s="2">
        <v>2070</v>
      </c>
      <c r="N2071" s="2" t="s">
        <v>3446</v>
      </c>
    </row>
    <row r="2072" spans="13:14" x14ac:dyDescent="0.5">
      <c r="M2072" s="2">
        <v>2071</v>
      </c>
    </row>
    <row r="2073" spans="13:14" x14ac:dyDescent="0.5">
      <c r="M2073" s="2">
        <v>2072</v>
      </c>
    </row>
    <row r="2074" spans="13:14" x14ac:dyDescent="0.5">
      <c r="M2074" s="2">
        <v>2073</v>
      </c>
    </row>
    <row r="2075" spans="13:14" x14ac:dyDescent="0.5">
      <c r="M2075" s="2">
        <v>2074</v>
      </c>
    </row>
    <row r="2076" spans="13:14" x14ac:dyDescent="0.5">
      <c r="M2076" s="2">
        <v>2075</v>
      </c>
    </row>
    <row r="2077" spans="13:14" x14ac:dyDescent="0.5">
      <c r="M2077" s="2">
        <v>2076</v>
      </c>
      <c r="N2077" s="2" t="s">
        <v>3446</v>
      </c>
    </row>
    <row r="2078" spans="13:14" x14ac:dyDescent="0.5">
      <c r="M2078" s="2">
        <v>2077</v>
      </c>
    </row>
    <row r="2079" spans="13:14" x14ac:dyDescent="0.5">
      <c r="M2079" s="2">
        <v>2078</v>
      </c>
    </row>
    <row r="2080" spans="13:14" x14ac:dyDescent="0.5">
      <c r="M2080" s="2">
        <v>2079</v>
      </c>
    </row>
    <row r="2081" spans="13:14" x14ac:dyDescent="0.5">
      <c r="M2081" s="2">
        <v>2080</v>
      </c>
    </row>
    <row r="2082" spans="13:14" x14ac:dyDescent="0.5">
      <c r="M2082" s="2">
        <v>2081</v>
      </c>
      <c r="N2082" s="2" t="s">
        <v>3446</v>
      </c>
    </row>
    <row r="2083" spans="13:14" x14ac:dyDescent="0.5">
      <c r="M2083" s="2">
        <v>2082</v>
      </c>
    </row>
    <row r="2084" spans="13:14" x14ac:dyDescent="0.5">
      <c r="M2084" s="2">
        <v>2083</v>
      </c>
    </row>
    <row r="2085" spans="13:14" x14ac:dyDescent="0.5">
      <c r="M2085" s="2">
        <v>2084</v>
      </c>
    </row>
    <row r="2086" spans="13:14" x14ac:dyDescent="0.5">
      <c r="M2086" s="2">
        <v>2085</v>
      </c>
    </row>
    <row r="2087" spans="13:14" x14ac:dyDescent="0.5">
      <c r="M2087" s="2">
        <v>2086</v>
      </c>
    </row>
    <row r="2088" spans="13:14" x14ac:dyDescent="0.5">
      <c r="M2088" s="2">
        <v>2087</v>
      </c>
    </row>
    <row r="2089" spans="13:14" x14ac:dyDescent="0.5">
      <c r="M2089" s="2">
        <v>2088</v>
      </c>
    </row>
    <row r="2090" spans="13:14" x14ac:dyDescent="0.5">
      <c r="M2090" s="2">
        <v>2089</v>
      </c>
    </row>
    <row r="2091" spans="13:14" x14ac:dyDescent="0.5">
      <c r="M2091" s="2">
        <v>2090</v>
      </c>
    </row>
    <row r="2092" spans="13:14" x14ac:dyDescent="0.5">
      <c r="M2092" s="2">
        <v>2091</v>
      </c>
    </row>
    <row r="2093" spans="13:14" x14ac:dyDescent="0.5">
      <c r="M2093" s="2">
        <v>2092</v>
      </c>
    </row>
    <row r="2094" spans="13:14" x14ac:dyDescent="0.5">
      <c r="M2094" s="2">
        <v>2093</v>
      </c>
    </row>
    <row r="2095" spans="13:14" x14ac:dyDescent="0.5">
      <c r="M2095" s="2">
        <v>2094</v>
      </c>
    </row>
    <row r="2096" spans="13:14" x14ac:dyDescent="0.5">
      <c r="M2096" s="2">
        <v>2095</v>
      </c>
    </row>
    <row r="2097" spans="13:14" x14ac:dyDescent="0.5">
      <c r="M2097" s="2">
        <v>2096</v>
      </c>
    </row>
    <row r="2098" spans="13:14" x14ac:dyDescent="0.5">
      <c r="M2098" s="2">
        <v>2097</v>
      </c>
    </row>
    <row r="2099" spans="13:14" x14ac:dyDescent="0.5">
      <c r="M2099" s="2">
        <v>2098</v>
      </c>
    </row>
    <row r="2100" spans="13:14" x14ac:dyDescent="0.5">
      <c r="M2100" s="2">
        <v>2099</v>
      </c>
    </row>
    <row r="2101" spans="13:14" x14ac:dyDescent="0.5">
      <c r="M2101" s="2">
        <v>2100</v>
      </c>
    </row>
    <row r="2102" spans="13:14" x14ac:dyDescent="0.5">
      <c r="M2102" s="2">
        <v>2101</v>
      </c>
    </row>
    <row r="2103" spans="13:14" x14ac:dyDescent="0.5">
      <c r="M2103" s="2">
        <v>2102</v>
      </c>
    </row>
    <row r="2104" spans="13:14" x14ac:dyDescent="0.5">
      <c r="M2104" s="2">
        <v>2103</v>
      </c>
    </row>
    <row r="2105" spans="13:14" x14ac:dyDescent="0.5">
      <c r="M2105" s="2">
        <v>2104</v>
      </c>
    </row>
    <row r="2106" spans="13:14" x14ac:dyDescent="0.5">
      <c r="M2106" s="2">
        <v>2105</v>
      </c>
    </row>
    <row r="2107" spans="13:14" x14ac:dyDescent="0.5">
      <c r="M2107" s="2">
        <v>2106</v>
      </c>
    </row>
    <row r="2108" spans="13:14" x14ac:dyDescent="0.5">
      <c r="M2108" s="2">
        <v>2107</v>
      </c>
    </row>
    <row r="2109" spans="13:14" x14ac:dyDescent="0.5">
      <c r="M2109" s="2">
        <v>2108</v>
      </c>
    </row>
    <row r="2110" spans="13:14" x14ac:dyDescent="0.5">
      <c r="M2110" s="2">
        <v>2109</v>
      </c>
      <c r="N2110" s="2" t="s">
        <v>3446</v>
      </c>
    </row>
    <row r="2111" spans="13:14" x14ac:dyDescent="0.5">
      <c r="M2111" s="2">
        <v>2110</v>
      </c>
      <c r="N2111" s="2" t="s">
        <v>3446</v>
      </c>
    </row>
    <row r="2112" spans="13:14" x14ac:dyDescent="0.5">
      <c r="M2112" s="2">
        <v>2111</v>
      </c>
      <c r="N2112" s="2" t="s">
        <v>3446</v>
      </c>
    </row>
    <row r="2113" spans="13:14" x14ac:dyDescent="0.5">
      <c r="M2113" s="2">
        <v>2112</v>
      </c>
    </row>
    <row r="2114" spans="13:14" x14ac:dyDescent="0.5">
      <c r="M2114" s="2">
        <v>2113</v>
      </c>
    </row>
    <row r="2115" spans="13:14" x14ac:dyDescent="0.5">
      <c r="M2115" s="2">
        <v>2114</v>
      </c>
    </row>
    <row r="2116" spans="13:14" x14ac:dyDescent="0.5">
      <c r="M2116" s="2">
        <v>2115</v>
      </c>
    </row>
    <row r="2117" spans="13:14" x14ac:dyDescent="0.5">
      <c r="M2117" s="2">
        <v>2116</v>
      </c>
    </row>
    <row r="2118" spans="13:14" x14ac:dyDescent="0.5">
      <c r="M2118" s="2">
        <v>2117</v>
      </c>
    </row>
    <row r="2119" spans="13:14" x14ac:dyDescent="0.5">
      <c r="M2119" s="2">
        <v>2118</v>
      </c>
    </row>
    <row r="2120" spans="13:14" x14ac:dyDescent="0.5">
      <c r="M2120" s="2">
        <v>2119</v>
      </c>
    </row>
    <row r="2121" spans="13:14" x14ac:dyDescent="0.5">
      <c r="M2121" s="2">
        <v>2120</v>
      </c>
    </row>
    <row r="2122" spans="13:14" x14ac:dyDescent="0.5">
      <c r="M2122" s="2">
        <v>2121</v>
      </c>
    </row>
    <row r="2123" spans="13:14" x14ac:dyDescent="0.5">
      <c r="M2123" s="2">
        <v>2122</v>
      </c>
    </row>
    <row r="2124" spans="13:14" x14ac:dyDescent="0.5">
      <c r="M2124" s="2">
        <v>2123</v>
      </c>
    </row>
    <row r="2125" spans="13:14" x14ac:dyDescent="0.5">
      <c r="M2125" s="2">
        <v>2124</v>
      </c>
    </row>
    <row r="2126" spans="13:14" x14ac:dyDescent="0.5">
      <c r="M2126" s="2">
        <v>2125</v>
      </c>
      <c r="N2126" s="2" t="s">
        <v>3446</v>
      </c>
    </row>
    <row r="2127" spans="13:14" x14ac:dyDescent="0.5">
      <c r="M2127" s="2">
        <v>2126</v>
      </c>
      <c r="N2127" s="2" t="s">
        <v>3446</v>
      </c>
    </row>
    <row r="2128" spans="13:14" x14ac:dyDescent="0.5">
      <c r="M2128" s="2">
        <v>2127</v>
      </c>
    </row>
    <row r="2129" spans="13:14" x14ac:dyDescent="0.5">
      <c r="M2129" s="2">
        <v>2128</v>
      </c>
    </row>
    <row r="2130" spans="13:14" x14ac:dyDescent="0.5">
      <c r="M2130" s="2">
        <v>2129</v>
      </c>
      <c r="N2130" s="2" t="s">
        <v>3446</v>
      </c>
    </row>
    <row r="2131" spans="13:14" x14ac:dyDescent="0.5">
      <c r="M2131" s="2">
        <v>2130</v>
      </c>
    </row>
    <row r="2132" spans="13:14" x14ac:dyDescent="0.5">
      <c r="M2132" s="2">
        <v>2131</v>
      </c>
    </row>
    <row r="2133" spans="13:14" x14ac:dyDescent="0.5">
      <c r="M2133" s="2">
        <v>2132</v>
      </c>
    </row>
    <row r="2134" spans="13:14" x14ac:dyDescent="0.5">
      <c r="M2134" s="2">
        <v>2133</v>
      </c>
    </row>
    <row r="2135" spans="13:14" x14ac:dyDescent="0.5">
      <c r="M2135" s="2">
        <v>2134</v>
      </c>
    </row>
    <row r="2136" spans="13:14" x14ac:dyDescent="0.5">
      <c r="M2136" s="2">
        <v>2135</v>
      </c>
    </row>
    <row r="2137" spans="13:14" x14ac:dyDescent="0.5">
      <c r="M2137" s="2">
        <v>2136</v>
      </c>
    </row>
    <row r="2138" spans="13:14" x14ac:dyDescent="0.5">
      <c r="M2138" s="2">
        <v>2137</v>
      </c>
    </row>
    <row r="2139" spans="13:14" x14ac:dyDescent="0.5">
      <c r="M2139" s="2">
        <v>2138</v>
      </c>
    </row>
    <row r="2140" spans="13:14" x14ac:dyDescent="0.5">
      <c r="M2140" s="2">
        <v>2139</v>
      </c>
    </row>
    <row r="2141" spans="13:14" x14ac:dyDescent="0.5">
      <c r="M2141" s="2">
        <v>2140</v>
      </c>
    </row>
    <row r="2142" spans="13:14" x14ac:dyDescent="0.5">
      <c r="M2142" s="2">
        <v>2141</v>
      </c>
    </row>
    <row r="2143" spans="13:14" x14ac:dyDescent="0.5">
      <c r="M2143" s="2">
        <v>2142</v>
      </c>
    </row>
    <row r="2144" spans="13:14" x14ac:dyDescent="0.5">
      <c r="M2144" s="2">
        <v>2143</v>
      </c>
    </row>
    <row r="2145" spans="13:14" x14ac:dyDescent="0.5">
      <c r="M2145" s="2">
        <v>2144</v>
      </c>
      <c r="N2145" s="2" t="s">
        <v>3446</v>
      </c>
    </row>
    <row r="2146" spans="13:14" x14ac:dyDescent="0.5">
      <c r="M2146" s="2">
        <v>2145</v>
      </c>
    </row>
    <row r="2147" spans="13:14" x14ac:dyDescent="0.5">
      <c r="M2147" s="2">
        <v>2146</v>
      </c>
    </row>
    <row r="2148" spans="13:14" x14ac:dyDescent="0.5">
      <c r="M2148" s="2">
        <v>2147</v>
      </c>
    </row>
    <row r="2149" spans="13:14" x14ac:dyDescent="0.5">
      <c r="M2149" s="2">
        <v>2148</v>
      </c>
    </row>
    <row r="2150" spans="13:14" x14ac:dyDescent="0.5">
      <c r="M2150" s="2">
        <v>2149</v>
      </c>
    </row>
    <row r="2151" spans="13:14" x14ac:dyDescent="0.5">
      <c r="M2151" s="2">
        <v>2150</v>
      </c>
    </row>
    <row r="2152" spans="13:14" x14ac:dyDescent="0.5">
      <c r="M2152" s="2">
        <v>2151</v>
      </c>
    </row>
    <row r="2153" spans="13:14" x14ac:dyDescent="0.5">
      <c r="M2153" s="2">
        <v>2152</v>
      </c>
    </row>
    <row r="2154" spans="13:14" x14ac:dyDescent="0.5">
      <c r="M2154" s="2">
        <v>2153</v>
      </c>
    </row>
    <row r="2155" spans="13:14" x14ac:dyDescent="0.5">
      <c r="M2155" s="2">
        <v>2154</v>
      </c>
    </row>
    <row r="2156" spans="13:14" x14ac:dyDescent="0.5">
      <c r="M2156" s="2">
        <v>2155</v>
      </c>
    </row>
    <row r="2157" spans="13:14" x14ac:dyDescent="0.5">
      <c r="M2157" s="2">
        <v>2156</v>
      </c>
    </row>
    <row r="2158" spans="13:14" x14ac:dyDescent="0.5">
      <c r="M2158" s="2">
        <v>2157</v>
      </c>
    </row>
    <row r="2159" spans="13:14" x14ac:dyDescent="0.5">
      <c r="M2159" s="2">
        <v>2158</v>
      </c>
    </row>
    <row r="2160" spans="13:14" x14ac:dyDescent="0.5">
      <c r="M2160" s="2">
        <v>2159</v>
      </c>
    </row>
    <row r="2161" spans="13:14" x14ac:dyDescent="0.5">
      <c r="M2161" s="2">
        <v>2160</v>
      </c>
    </row>
    <row r="2162" spans="13:14" x14ac:dyDescent="0.5">
      <c r="M2162" s="2">
        <v>2161</v>
      </c>
    </row>
    <row r="2163" spans="13:14" x14ac:dyDescent="0.5">
      <c r="M2163" s="2">
        <v>2162</v>
      </c>
    </row>
    <row r="2164" spans="13:14" x14ac:dyDescent="0.5">
      <c r="M2164" s="2">
        <v>2163</v>
      </c>
    </row>
    <row r="2165" spans="13:14" x14ac:dyDescent="0.5">
      <c r="M2165" s="2">
        <v>2164</v>
      </c>
      <c r="N2165" s="2" t="s">
        <v>3446</v>
      </c>
    </row>
    <row r="2166" spans="13:14" x14ac:dyDescent="0.5">
      <c r="M2166" s="2">
        <v>2165</v>
      </c>
    </row>
    <row r="2167" spans="13:14" x14ac:dyDescent="0.5">
      <c r="M2167" s="2">
        <v>2166</v>
      </c>
    </row>
    <row r="2168" spans="13:14" x14ac:dyDescent="0.5">
      <c r="M2168" s="2">
        <v>2167</v>
      </c>
    </row>
    <row r="2169" spans="13:14" x14ac:dyDescent="0.5">
      <c r="M2169" s="2">
        <v>2168</v>
      </c>
    </row>
    <row r="2170" spans="13:14" x14ac:dyDescent="0.5">
      <c r="M2170" s="2">
        <v>2169</v>
      </c>
      <c r="N2170" s="2" t="s">
        <v>3446</v>
      </c>
    </row>
    <row r="2171" spans="13:14" x14ac:dyDescent="0.5">
      <c r="M2171" s="2">
        <v>2170</v>
      </c>
      <c r="N2171" s="2" t="s">
        <v>3446</v>
      </c>
    </row>
    <row r="2172" spans="13:14" x14ac:dyDescent="0.5">
      <c r="M2172" s="2">
        <v>2171</v>
      </c>
      <c r="N2172" s="2" t="s">
        <v>3446</v>
      </c>
    </row>
    <row r="2173" spans="13:14" x14ac:dyDescent="0.5">
      <c r="M2173" s="2">
        <v>2172</v>
      </c>
    </row>
    <row r="2174" spans="13:14" x14ac:dyDescent="0.5">
      <c r="M2174" s="2">
        <v>2173</v>
      </c>
    </row>
    <row r="2175" spans="13:14" x14ac:dyDescent="0.5">
      <c r="M2175" s="2">
        <v>2174</v>
      </c>
    </row>
    <row r="2176" spans="13:14" x14ac:dyDescent="0.5">
      <c r="M2176" s="2">
        <v>2175</v>
      </c>
    </row>
    <row r="2177" spans="13:14" x14ac:dyDescent="0.5">
      <c r="M2177" s="2">
        <v>2176</v>
      </c>
    </row>
    <row r="2178" spans="13:14" x14ac:dyDescent="0.5">
      <c r="M2178" s="2">
        <v>2177</v>
      </c>
    </row>
    <row r="2179" spans="13:14" x14ac:dyDescent="0.5">
      <c r="M2179" s="2">
        <v>2178</v>
      </c>
    </row>
    <row r="2180" spans="13:14" x14ac:dyDescent="0.5">
      <c r="M2180" s="2">
        <v>2179</v>
      </c>
    </row>
    <row r="2181" spans="13:14" x14ac:dyDescent="0.5">
      <c r="M2181" s="2">
        <v>2180</v>
      </c>
      <c r="N2181" s="2" t="s">
        <v>3446</v>
      </c>
    </row>
    <row r="2182" spans="13:14" x14ac:dyDescent="0.5">
      <c r="M2182" s="2">
        <v>2181</v>
      </c>
    </row>
    <row r="2183" spans="13:14" x14ac:dyDescent="0.5">
      <c r="M2183" s="2">
        <v>2182</v>
      </c>
      <c r="N2183" s="2" t="s">
        <v>3446</v>
      </c>
    </row>
    <row r="2184" spans="13:14" x14ac:dyDescent="0.5">
      <c r="M2184" s="2">
        <v>2183</v>
      </c>
    </row>
    <row r="2185" spans="13:14" x14ac:dyDescent="0.5">
      <c r="M2185" s="2">
        <v>2184</v>
      </c>
    </row>
    <row r="2186" spans="13:14" x14ac:dyDescent="0.5">
      <c r="M2186" s="2">
        <v>2185</v>
      </c>
    </row>
    <row r="2187" spans="13:14" x14ac:dyDescent="0.5">
      <c r="M2187" s="2">
        <v>2186</v>
      </c>
    </row>
    <row r="2188" spans="13:14" x14ac:dyDescent="0.5">
      <c r="M2188" s="2">
        <v>2187</v>
      </c>
    </row>
    <row r="2189" spans="13:14" x14ac:dyDescent="0.5">
      <c r="M2189" s="2">
        <v>2188</v>
      </c>
    </row>
    <row r="2190" spans="13:14" x14ac:dyDescent="0.5">
      <c r="M2190" s="2">
        <v>2189</v>
      </c>
    </row>
    <row r="2191" spans="13:14" x14ac:dyDescent="0.5">
      <c r="M2191" s="2">
        <v>2190</v>
      </c>
    </row>
    <row r="2192" spans="13:14" x14ac:dyDescent="0.5">
      <c r="M2192" s="2">
        <v>2191</v>
      </c>
    </row>
    <row r="2193" spans="13:14" x14ac:dyDescent="0.5">
      <c r="M2193" s="2">
        <v>2192</v>
      </c>
    </row>
    <row r="2194" spans="13:14" x14ac:dyDescent="0.5">
      <c r="M2194" s="2">
        <v>2193</v>
      </c>
    </row>
    <row r="2195" spans="13:14" x14ac:dyDescent="0.5">
      <c r="M2195" s="2">
        <v>2194</v>
      </c>
    </row>
    <row r="2196" spans="13:14" x14ac:dyDescent="0.5">
      <c r="M2196" s="2">
        <v>2195</v>
      </c>
    </row>
    <row r="2197" spans="13:14" x14ac:dyDescent="0.5">
      <c r="M2197" s="2">
        <v>2196</v>
      </c>
    </row>
    <row r="2198" spans="13:14" x14ac:dyDescent="0.5">
      <c r="M2198" s="2">
        <v>2197</v>
      </c>
    </row>
    <row r="2199" spans="13:14" x14ac:dyDescent="0.5">
      <c r="M2199" s="2">
        <v>2198</v>
      </c>
      <c r="N2199" s="2" t="s">
        <v>3446</v>
      </c>
    </row>
    <row r="2200" spans="13:14" x14ac:dyDescent="0.5">
      <c r="M2200" s="2">
        <v>2199</v>
      </c>
    </row>
    <row r="2201" spans="13:14" x14ac:dyDescent="0.5">
      <c r="M2201" s="2">
        <v>2200</v>
      </c>
    </row>
    <row r="2202" spans="13:14" x14ac:dyDescent="0.5">
      <c r="M2202" s="2">
        <v>2201</v>
      </c>
    </row>
    <row r="2203" spans="13:14" x14ac:dyDescent="0.5">
      <c r="M2203" s="2">
        <v>2202</v>
      </c>
    </row>
    <row r="2204" spans="13:14" x14ac:dyDescent="0.5">
      <c r="M2204" s="2">
        <v>2203</v>
      </c>
    </row>
    <row r="2205" spans="13:14" x14ac:dyDescent="0.5">
      <c r="M2205" s="2">
        <v>2204</v>
      </c>
      <c r="N2205" s="2" t="s">
        <v>3446</v>
      </c>
    </row>
    <row r="2206" spans="13:14" x14ac:dyDescent="0.5">
      <c r="M2206" s="2">
        <v>2205</v>
      </c>
    </row>
    <row r="2207" spans="13:14" x14ac:dyDescent="0.5">
      <c r="M2207" s="2">
        <v>2206</v>
      </c>
      <c r="N2207" s="2" t="s">
        <v>3446</v>
      </c>
    </row>
    <row r="2208" spans="13:14" x14ac:dyDescent="0.5">
      <c r="M2208" s="2">
        <v>2207</v>
      </c>
      <c r="N2208" s="2" t="s">
        <v>3446</v>
      </c>
    </row>
    <row r="2209" spans="13:14" x14ac:dyDescent="0.5">
      <c r="M2209" s="2">
        <v>2208</v>
      </c>
      <c r="N2209" s="2" t="s">
        <v>3446</v>
      </c>
    </row>
    <row r="2210" spans="13:14" x14ac:dyDescent="0.5">
      <c r="M2210" s="2">
        <v>2209</v>
      </c>
      <c r="N2210" s="2" t="s">
        <v>3446</v>
      </c>
    </row>
    <row r="2211" spans="13:14" x14ac:dyDescent="0.5">
      <c r="M2211" s="2">
        <v>2210</v>
      </c>
      <c r="N2211" s="2" t="s">
        <v>3446</v>
      </c>
    </row>
    <row r="2212" spans="13:14" x14ac:dyDescent="0.5">
      <c r="M2212" s="2">
        <v>2211</v>
      </c>
    </row>
    <row r="2213" spans="13:14" x14ac:dyDescent="0.5">
      <c r="M2213" s="2">
        <v>2212</v>
      </c>
      <c r="N2213" s="2" t="s">
        <v>3446</v>
      </c>
    </row>
    <row r="2214" spans="13:14" x14ac:dyDescent="0.5">
      <c r="M2214" s="2">
        <v>2213</v>
      </c>
      <c r="N2214" s="2" t="s">
        <v>3446</v>
      </c>
    </row>
    <row r="2215" spans="13:14" x14ac:dyDescent="0.5">
      <c r="M2215" s="2">
        <v>2214</v>
      </c>
    </row>
    <row r="2216" spans="13:14" x14ac:dyDescent="0.5">
      <c r="M2216" s="2">
        <v>2215</v>
      </c>
      <c r="N2216" s="2" t="s">
        <v>3446</v>
      </c>
    </row>
    <row r="2217" spans="13:14" x14ac:dyDescent="0.5">
      <c r="M2217" s="2">
        <v>2216</v>
      </c>
      <c r="N2217" s="2" t="s">
        <v>3446</v>
      </c>
    </row>
    <row r="2218" spans="13:14" x14ac:dyDescent="0.5">
      <c r="M2218" s="2">
        <v>2217</v>
      </c>
      <c r="N2218" s="2" t="s">
        <v>3446</v>
      </c>
    </row>
    <row r="2219" spans="13:14" x14ac:dyDescent="0.5">
      <c r="M2219" s="2">
        <v>2218</v>
      </c>
    </row>
    <row r="2220" spans="13:14" x14ac:dyDescent="0.5">
      <c r="M2220" s="2">
        <v>2219</v>
      </c>
    </row>
    <row r="2221" spans="13:14" x14ac:dyDescent="0.5">
      <c r="M2221" s="2">
        <v>2220</v>
      </c>
    </row>
    <row r="2222" spans="13:14" x14ac:dyDescent="0.5">
      <c r="M2222" s="2">
        <v>2221</v>
      </c>
    </row>
    <row r="2223" spans="13:14" x14ac:dyDescent="0.5">
      <c r="M2223" s="2">
        <v>2222</v>
      </c>
    </row>
    <row r="2224" spans="13:14" x14ac:dyDescent="0.5">
      <c r="M2224" s="2">
        <v>2223</v>
      </c>
    </row>
    <row r="2225" spans="13:14" x14ac:dyDescent="0.5">
      <c r="M2225" s="2">
        <v>2224</v>
      </c>
    </row>
    <row r="2226" spans="13:14" x14ac:dyDescent="0.5">
      <c r="M2226" s="2">
        <v>2225</v>
      </c>
    </row>
    <row r="2227" spans="13:14" x14ac:dyDescent="0.5">
      <c r="M2227" s="2">
        <v>2226</v>
      </c>
    </row>
    <row r="2228" spans="13:14" x14ac:dyDescent="0.5">
      <c r="M2228" s="2">
        <v>2227</v>
      </c>
    </row>
    <row r="2229" spans="13:14" x14ac:dyDescent="0.5">
      <c r="M2229" s="2">
        <v>2228</v>
      </c>
    </row>
    <row r="2230" spans="13:14" x14ac:dyDescent="0.5">
      <c r="M2230" s="2">
        <v>2229</v>
      </c>
    </row>
    <row r="2231" spans="13:14" x14ac:dyDescent="0.5">
      <c r="M2231" s="2">
        <v>2230</v>
      </c>
      <c r="N2231" s="2" t="s">
        <v>3446</v>
      </c>
    </row>
    <row r="2232" spans="13:14" x14ac:dyDescent="0.5">
      <c r="M2232" s="2">
        <v>2231</v>
      </c>
    </row>
    <row r="2233" spans="13:14" x14ac:dyDescent="0.5">
      <c r="M2233" s="2">
        <v>2232</v>
      </c>
    </row>
    <row r="2234" spans="13:14" x14ac:dyDescent="0.5">
      <c r="M2234" s="2">
        <v>2233</v>
      </c>
      <c r="N2234" s="2" t="s">
        <v>3446</v>
      </c>
    </row>
    <row r="2235" spans="13:14" x14ac:dyDescent="0.5">
      <c r="M2235" s="2">
        <v>2234</v>
      </c>
    </row>
    <row r="2236" spans="13:14" x14ac:dyDescent="0.5">
      <c r="M2236" s="2">
        <v>2235</v>
      </c>
    </row>
    <row r="2237" spans="13:14" x14ac:dyDescent="0.5">
      <c r="M2237" s="2">
        <v>2236</v>
      </c>
    </row>
    <row r="2238" spans="13:14" x14ac:dyDescent="0.5">
      <c r="M2238" s="2">
        <v>2237</v>
      </c>
    </row>
    <row r="2239" spans="13:14" x14ac:dyDescent="0.5">
      <c r="M2239" s="2">
        <v>2238</v>
      </c>
    </row>
    <row r="2240" spans="13:14" x14ac:dyDescent="0.5">
      <c r="M2240" s="2">
        <v>2239</v>
      </c>
    </row>
    <row r="2241" spans="13:14" x14ac:dyDescent="0.5">
      <c r="M2241" s="2">
        <v>2240</v>
      </c>
    </row>
    <row r="2242" spans="13:14" x14ac:dyDescent="0.5">
      <c r="M2242" s="2">
        <v>2241</v>
      </c>
      <c r="N2242" s="2" t="s">
        <v>3446</v>
      </c>
    </row>
    <row r="2243" spans="13:14" x14ac:dyDescent="0.5">
      <c r="M2243" s="2">
        <v>2242</v>
      </c>
    </row>
    <row r="2244" spans="13:14" x14ac:dyDescent="0.5">
      <c r="M2244" s="2">
        <v>2243</v>
      </c>
    </row>
    <row r="2245" spans="13:14" x14ac:dyDescent="0.5">
      <c r="M2245" s="2">
        <v>2244</v>
      </c>
    </row>
    <row r="2246" spans="13:14" x14ac:dyDescent="0.5">
      <c r="M2246" s="2">
        <v>2245</v>
      </c>
    </row>
    <row r="2247" spans="13:14" x14ac:dyDescent="0.5">
      <c r="M2247" s="2">
        <v>2246</v>
      </c>
      <c r="N2247" s="2" t="s">
        <v>3446</v>
      </c>
    </row>
    <row r="2248" spans="13:14" x14ac:dyDescent="0.5">
      <c r="M2248" s="2">
        <v>2247</v>
      </c>
    </row>
    <row r="2249" spans="13:14" x14ac:dyDescent="0.5">
      <c r="M2249" s="2">
        <v>2248</v>
      </c>
    </row>
    <row r="2250" spans="13:14" x14ac:dyDescent="0.5">
      <c r="M2250" s="2">
        <v>2249</v>
      </c>
    </row>
    <row r="2251" spans="13:14" x14ac:dyDescent="0.5">
      <c r="M2251" s="2">
        <v>2250</v>
      </c>
      <c r="N2251" s="2" t="s">
        <v>3446</v>
      </c>
    </row>
    <row r="2252" spans="13:14" x14ac:dyDescent="0.5">
      <c r="M2252" s="2">
        <v>2251</v>
      </c>
      <c r="N2252" s="2" t="s">
        <v>3446</v>
      </c>
    </row>
    <row r="2253" spans="13:14" x14ac:dyDescent="0.5">
      <c r="M2253" s="2">
        <v>2252</v>
      </c>
    </row>
    <row r="2254" spans="13:14" x14ac:dyDescent="0.5">
      <c r="M2254" s="2">
        <v>2253</v>
      </c>
      <c r="N2254" s="2" t="s">
        <v>3446</v>
      </c>
    </row>
    <row r="2255" spans="13:14" x14ac:dyDescent="0.5">
      <c r="M2255" s="2">
        <v>2254</v>
      </c>
      <c r="N2255" s="2" t="s">
        <v>3446</v>
      </c>
    </row>
    <row r="2256" spans="13:14" x14ac:dyDescent="0.5">
      <c r="M2256" s="2">
        <v>2255</v>
      </c>
      <c r="N2256" s="2" t="s">
        <v>3446</v>
      </c>
    </row>
    <row r="2257" spans="13:14" x14ac:dyDescent="0.5">
      <c r="M2257" s="2">
        <v>2256</v>
      </c>
      <c r="N2257" s="2" t="s">
        <v>3446</v>
      </c>
    </row>
    <row r="2258" spans="13:14" x14ac:dyDescent="0.5">
      <c r="M2258" s="2">
        <v>2257</v>
      </c>
      <c r="N2258" s="2" t="s">
        <v>3446</v>
      </c>
    </row>
    <row r="2259" spans="13:14" x14ac:dyDescent="0.5">
      <c r="M2259" s="2">
        <v>2258</v>
      </c>
    </row>
    <row r="2260" spans="13:14" x14ac:dyDescent="0.5">
      <c r="M2260" s="2">
        <v>2259</v>
      </c>
      <c r="N2260" s="2" t="s">
        <v>3446</v>
      </c>
    </row>
    <row r="2261" spans="13:14" x14ac:dyDescent="0.5">
      <c r="M2261" s="2">
        <v>2260</v>
      </c>
      <c r="N2261" s="2" t="s">
        <v>3446</v>
      </c>
    </row>
    <row r="2262" spans="13:14" x14ac:dyDescent="0.5">
      <c r="M2262" s="2">
        <v>2261</v>
      </c>
      <c r="N2262" s="2" t="s">
        <v>3446</v>
      </c>
    </row>
    <row r="2263" spans="13:14" x14ac:dyDescent="0.5">
      <c r="M2263" s="2">
        <v>2262</v>
      </c>
      <c r="N2263" s="2" t="s">
        <v>3446</v>
      </c>
    </row>
    <row r="2264" spans="13:14" x14ac:dyDescent="0.5">
      <c r="M2264" s="2">
        <v>2263</v>
      </c>
    </row>
    <row r="2265" spans="13:14" x14ac:dyDescent="0.5">
      <c r="M2265" s="2">
        <v>2264</v>
      </c>
    </row>
    <row r="2266" spans="13:14" x14ac:dyDescent="0.5">
      <c r="M2266" s="2">
        <v>2265</v>
      </c>
      <c r="N2266" s="2" t="s">
        <v>3446</v>
      </c>
    </row>
    <row r="2267" spans="13:14" x14ac:dyDescent="0.5">
      <c r="M2267" s="2">
        <v>2266</v>
      </c>
      <c r="N2267" s="2" t="s">
        <v>3446</v>
      </c>
    </row>
    <row r="2268" spans="13:14" x14ac:dyDescent="0.5">
      <c r="M2268" s="2">
        <v>2267</v>
      </c>
      <c r="N2268" s="2" t="s">
        <v>3446</v>
      </c>
    </row>
    <row r="2269" spans="13:14" x14ac:dyDescent="0.5">
      <c r="M2269" s="2">
        <v>2268</v>
      </c>
    </row>
    <row r="2270" spans="13:14" x14ac:dyDescent="0.5">
      <c r="M2270" s="2">
        <v>2269</v>
      </c>
    </row>
    <row r="2271" spans="13:14" x14ac:dyDescent="0.5">
      <c r="M2271" s="2">
        <v>2270</v>
      </c>
    </row>
    <row r="2272" spans="13:14" x14ac:dyDescent="0.5">
      <c r="M2272" s="2">
        <v>2271</v>
      </c>
    </row>
    <row r="2273" spans="13:14" x14ac:dyDescent="0.5">
      <c r="M2273" s="2">
        <v>2272</v>
      </c>
      <c r="N2273" s="2" t="s">
        <v>3446</v>
      </c>
    </row>
    <row r="2274" spans="13:14" x14ac:dyDescent="0.5">
      <c r="M2274" s="2">
        <v>2273</v>
      </c>
      <c r="N2274" s="2" t="s">
        <v>3446</v>
      </c>
    </row>
    <row r="2275" spans="13:14" x14ac:dyDescent="0.5">
      <c r="M2275" s="2">
        <v>2274</v>
      </c>
    </row>
    <row r="2276" spans="13:14" x14ac:dyDescent="0.5">
      <c r="M2276" s="2">
        <v>2275</v>
      </c>
      <c r="N2276" s="2" t="s">
        <v>3446</v>
      </c>
    </row>
    <row r="2277" spans="13:14" x14ac:dyDescent="0.5">
      <c r="M2277" s="2">
        <v>2276</v>
      </c>
      <c r="N2277" s="2" t="s">
        <v>3446</v>
      </c>
    </row>
    <row r="2278" spans="13:14" x14ac:dyDescent="0.5">
      <c r="M2278" s="2">
        <v>2277</v>
      </c>
    </row>
    <row r="2279" spans="13:14" x14ac:dyDescent="0.5">
      <c r="M2279" s="2">
        <v>2278</v>
      </c>
    </row>
    <row r="2280" spans="13:14" x14ac:dyDescent="0.5">
      <c r="M2280" s="2">
        <v>2279</v>
      </c>
    </row>
    <row r="2281" spans="13:14" x14ac:dyDescent="0.5">
      <c r="M2281" s="2">
        <v>2280</v>
      </c>
      <c r="N2281" s="2" t="s">
        <v>3446</v>
      </c>
    </row>
    <row r="2282" spans="13:14" x14ac:dyDescent="0.5">
      <c r="M2282" s="2">
        <v>2281</v>
      </c>
    </row>
    <row r="2283" spans="13:14" x14ac:dyDescent="0.5">
      <c r="M2283" s="2">
        <v>2282</v>
      </c>
    </row>
    <row r="2284" spans="13:14" x14ac:dyDescent="0.5">
      <c r="M2284" s="2">
        <v>2283</v>
      </c>
    </row>
    <row r="2285" spans="13:14" x14ac:dyDescent="0.5">
      <c r="M2285" s="2">
        <v>2284</v>
      </c>
    </row>
    <row r="2286" spans="13:14" x14ac:dyDescent="0.5">
      <c r="M2286" s="2">
        <v>2285</v>
      </c>
    </row>
    <row r="2287" spans="13:14" x14ac:dyDescent="0.5">
      <c r="M2287" s="2">
        <v>2286</v>
      </c>
      <c r="N2287" s="2" t="s">
        <v>3446</v>
      </c>
    </row>
    <row r="2288" spans="13:14" x14ac:dyDescent="0.5">
      <c r="M2288" s="2">
        <v>2287</v>
      </c>
    </row>
    <row r="2289" spans="13:14" x14ac:dyDescent="0.5">
      <c r="M2289" s="2">
        <v>2288</v>
      </c>
    </row>
    <row r="2290" spans="13:14" x14ac:dyDescent="0.5">
      <c r="M2290" s="2">
        <v>2289</v>
      </c>
      <c r="N2290" s="2" t="s">
        <v>3446</v>
      </c>
    </row>
    <row r="2291" spans="13:14" x14ac:dyDescent="0.5">
      <c r="M2291" s="2">
        <v>2290</v>
      </c>
    </row>
    <row r="2292" spans="13:14" x14ac:dyDescent="0.5">
      <c r="M2292" s="2">
        <v>2291</v>
      </c>
    </row>
    <row r="2293" spans="13:14" x14ac:dyDescent="0.5">
      <c r="M2293" s="2">
        <v>2292</v>
      </c>
    </row>
    <row r="2294" spans="13:14" x14ac:dyDescent="0.5">
      <c r="M2294" s="2">
        <v>2293</v>
      </c>
    </row>
    <row r="2295" spans="13:14" x14ac:dyDescent="0.5">
      <c r="M2295" s="2">
        <v>2294</v>
      </c>
      <c r="N2295" s="2" t="s">
        <v>3446</v>
      </c>
    </row>
    <row r="2296" spans="13:14" x14ac:dyDescent="0.5">
      <c r="M2296" s="2">
        <v>2295</v>
      </c>
      <c r="N2296" s="2" t="s">
        <v>3446</v>
      </c>
    </row>
    <row r="2297" spans="13:14" x14ac:dyDescent="0.5">
      <c r="M2297" s="2">
        <v>2296</v>
      </c>
    </row>
    <row r="2298" spans="13:14" x14ac:dyDescent="0.5">
      <c r="M2298" s="2">
        <v>2297</v>
      </c>
    </row>
    <row r="2299" spans="13:14" x14ac:dyDescent="0.5">
      <c r="M2299" s="2">
        <v>2298</v>
      </c>
    </row>
    <row r="2300" spans="13:14" x14ac:dyDescent="0.5">
      <c r="M2300" s="2">
        <v>2299</v>
      </c>
      <c r="N2300" s="2" t="s">
        <v>3446</v>
      </c>
    </row>
    <row r="2301" spans="13:14" x14ac:dyDescent="0.5">
      <c r="M2301" s="2">
        <v>2300</v>
      </c>
      <c r="N2301" s="2" t="s">
        <v>3446</v>
      </c>
    </row>
    <row r="2302" spans="13:14" x14ac:dyDescent="0.5">
      <c r="M2302" s="2">
        <v>2301</v>
      </c>
    </row>
    <row r="2303" spans="13:14" x14ac:dyDescent="0.5">
      <c r="M2303" s="2">
        <v>2302</v>
      </c>
    </row>
    <row r="2304" spans="13:14" x14ac:dyDescent="0.5">
      <c r="M2304" s="2">
        <v>2303</v>
      </c>
      <c r="N2304" s="2" t="s">
        <v>3446</v>
      </c>
    </row>
    <row r="2305" spans="13:14" x14ac:dyDescent="0.5">
      <c r="M2305" s="2">
        <v>2304</v>
      </c>
    </row>
    <row r="2306" spans="13:14" x14ac:dyDescent="0.5">
      <c r="M2306" s="2">
        <v>2305</v>
      </c>
      <c r="N2306" s="2" t="s">
        <v>3446</v>
      </c>
    </row>
    <row r="2307" spans="13:14" x14ac:dyDescent="0.5">
      <c r="M2307" s="2">
        <v>2306</v>
      </c>
    </row>
    <row r="2308" spans="13:14" x14ac:dyDescent="0.5">
      <c r="M2308" s="2">
        <v>2307</v>
      </c>
    </row>
    <row r="2309" spans="13:14" x14ac:dyDescent="0.5">
      <c r="M2309" s="2">
        <v>2308</v>
      </c>
      <c r="N2309" s="2" t="s">
        <v>3446</v>
      </c>
    </row>
    <row r="2310" spans="13:14" x14ac:dyDescent="0.5">
      <c r="M2310" s="2">
        <v>2309</v>
      </c>
    </row>
    <row r="2311" spans="13:14" x14ac:dyDescent="0.5">
      <c r="M2311" s="2">
        <v>2310</v>
      </c>
    </row>
    <row r="2312" spans="13:14" x14ac:dyDescent="0.5">
      <c r="M2312" s="2">
        <v>2311</v>
      </c>
    </row>
    <row r="2313" spans="13:14" x14ac:dyDescent="0.5">
      <c r="M2313" s="2">
        <v>2312</v>
      </c>
    </row>
    <row r="2314" spans="13:14" x14ac:dyDescent="0.5">
      <c r="M2314" s="2">
        <v>2313</v>
      </c>
    </row>
    <row r="2315" spans="13:14" x14ac:dyDescent="0.5">
      <c r="M2315" s="2">
        <v>2314</v>
      </c>
    </row>
    <row r="2316" spans="13:14" x14ac:dyDescent="0.5">
      <c r="M2316" s="2">
        <v>2315</v>
      </c>
    </row>
    <row r="2317" spans="13:14" x14ac:dyDescent="0.5">
      <c r="M2317" s="2">
        <v>2316</v>
      </c>
    </row>
    <row r="2318" spans="13:14" x14ac:dyDescent="0.5">
      <c r="M2318" s="2">
        <v>2317</v>
      </c>
    </row>
    <row r="2319" spans="13:14" x14ac:dyDescent="0.5">
      <c r="M2319" s="2">
        <v>2318</v>
      </c>
    </row>
    <row r="2320" spans="13:14" x14ac:dyDescent="0.5">
      <c r="M2320" s="2">
        <v>2319</v>
      </c>
    </row>
    <row r="2321" spans="13:14" x14ac:dyDescent="0.5">
      <c r="M2321" s="2">
        <v>2320</v>
      </c>
    </row>
    <row r="2322" spans="13:14" x14ac:dyDescent="0.5">
      <c r="M2322" s="2">
        <v>2321</v>
      </c>
    </row>
    <row r="2323" spans="13:14" x14ac:dyDescent="0.5">
      <c r="M2323" s="2">
        <v>2322</v>
      </c>
    </row>
    <row r="2324" spans="13:14" x14ac:dyDescent="0.5">
      <c r="M2324" s="2">
        <v>2323</v>
      </c>
    </row>
    <row r="2325" spans="13:14" x14ac:dyDescent="0.5">
      <c r="M2325" s="2">
        <v>2324</v>
      </c>
    </row>
    <row r="2326" spans="13:14" x14ac:dyDescent="0.5">
      <c r="M2326" s="2">
        <v>2325</v>
      </c>
      <c r="N2326" s="2" t="s">
        <v>3446</v>
      </c>
    </row>
    <row r="2327" spans="13:14" x14ac:dyDescent="0.5">
      <c r="M2327" s="2">
        <v>2326</v>
      </c>
      <c r="N2327" s="2" t="s">
        <v>3446</v>
      </c>
    </row>
    <row r="2328" spans="13:14" x14ac:dyDescent="0.5">
      <c r="M2328" s="2">
        <v>2327</v>
      </c>
    </row>
    <row r="2329" spans="13:14" x14ac:dyDescent="0.5">
      <c r="M2329" s="2">
        <v>2328</v>
      </c>
    </row>
    <row r="2330" spans="13:14" x14ac:dyDescent="0.5">
      <c r="M2330" s="2">
        <v>2329</v>
      </c>
      <c r="N2330" s="2" t="s">
        <v>3446</v>
      </c>
    </row>
    <row r="2331" spans="13:14" x14ac:dyDescent="0.5">
      <c r="M2331" s="2">
        <v>2330</v>
      </c>
    </row>
    <row r="2332" spans="13:14" x14ac:dyDescent="0.5">
      <c r="M2332" s="2">
        <v>2331</v>
      </c>
    </row>
    <row r="2333" spans="13:14" x14ac:dyDescent="0.5">
      <c r="M2333" s="2">
        <v>2332</v>
      </c>
    </row>
    <row r="2334" spans="13:14" x14ac:dyDescent="0.5">
      <c r="M2334" s="2">
        <v>2333</v>
      </c>
    </row>
    <row r="2335" spans="13:14" x14ac:dyDescent="0.5">
      <c r="M2335" s="2">
        <v>2334</v>
      </c>
      <c r="N2335" s="2" t="s">
        <v>3446</v>
      </c>
    </row>
    <row r="2336" spans="13:14" x14ac:dyDescent="0.5">
      <c r="M2336" s="2">
        <v>2335</v>
      </c>
      <c r="N2336" s="2" t="s">
        <v>3446</v>
      </c>
    </row>
    <row r="2337" spans="13:14" x14ac:dyDescent="0.5">
      <c r="M2337" s="2">
        <v>2336</v>
      </c>
    </row>
    <row r="2338" spans="13:14" x14ac:dyDescent="0.5">
      <c r="M2338" s="2">
        <v>2337</v>
      </c>
      <c r="N2338" s="2" t="s">
        <v>3446</v>
      </c>
    </row>
    <row r="2339" spans="13:14" x14ac:dyDescent="0.5">
      <c r="M2339" s="2">
        <v>2338</v>
      </c>
      <c r="N2339" s="2" t="s">
        <v>3446</v>
      </c>
    </row>
    <row r="2340" spans="13:14" x14ac:dyDescent="0.5">
      <c r="M2340" s="2">
        <v>2339</v>
      </c>
    </row>
    <row r="2341" spans="13:14" x14ac:dyDescent="0.5">
      <c r="M2341" s="2">
        <v>2340</v>
      </c>
    </row>
    <row r="2342" spans="13:14" x14ac:dyDescent="0.5">
      <c r="M2342" s="2">
        <v>2341</v>
      </c>
      <c r="N2342" s="2" t="s">
        <v>3446</v>
      </c>
    </row>
    <row r="2343" spans="13:14" x14ac:dyDescent="0.5">
      <c r="M2343" s="2">
        <v>2342</v>
      </c>
      <c r="N2343" s="2" t="s">
        <v>3446</v>
      </c>
    </row>
    <row r="2344" spans="13:14" x14ac:dyDescent="0.5">
      <c r="M2344" s="2">
        <v>2343</v>
      </c>
      <c r="N2344" s="2" t="s">
        <v>3446</v>
      </c>
    </row>
    <row r="2345" spans="13:14" x14ac:dyDescent="0.5">
      <c r="M2345" s="2">
        <v>2344</v>
      </c>
    </row>
    <row r="2346" spans="13:14" x14ac:dyDescent="0.5">
      <c r="M2346" s="2">
        <v>2345</v>
      </c>
    </row>
    <row r="2347" spans="13:14" x14ac:dyDescent="0.5">
      <c r="M2347" s="2">
        <v>2346</v>
      </c>
      <c r="N2347" s="2" t="s">
        <v>3446</v>
      </c>
    </row>
    <row r="2348" spans="13:14" x14ac:dyDescent="0.5">
      <c r="M2348" s="2">
        <v>2347</v>
      </c>
    </row>
    <row r="2349" spans="13:14" x14ac:dyDescent="0.5">
      <c r="M2349" s="2">
        <v>2348</v>
      </c>
    </row>
    <row r="2350" spans="13:14" x14ac:dyDescent="0.5">
      <c r="M2350" s="2">
        <v>2349</v>
      </c>
    </row>
    <row r="2351" spans="13:14" x14ac:dyDescent="0.5">
      <c r="M2351" s="2">
        <v>2350</v>
      </c>
    </row>
    <row r="2352" spans="13:14" x14ac:dyDescent="0.5">
      <c r="M2352" s="2">
        <v>2351</v>
      </c>
      <c r="N2352" s="2" t="s">
        <v>3446</v>
      </c>
    </row>
    <row r="2353" spans="13:14" x14ac:dyDescent="0.5">
      <c r="M2353" s="2">
        <v>2352</v>
      </c>
      <c r="N2353" s="2" t="s">
        <v>3446</v>
      </c>
    </row>
    <row r="2354" spans="13:14" x14ac:dyDescent="0.5">
      <c r="M2354" s="2">
        <v>2353</v>
      </c>
    </row>
    <row r="2355" spans="13:14" x14ac:dyDescent="0.5">
      <c r="M2355" s="2">
        <v>2354</v>
      </c>
      <c r="N2355" s="2" t="s">
        <v>3446</v>
      </c>
    </row>
    <row r="2356" spans="13:14" x14ac:dyDescent="0.5">
      <c r="M2356" s="2">
        <v>2355</v>
      </c>
      <c r="N2356" s="2" t="s">
        <v>3446</v>
      </c>
    </row>
    <row r="2357" spans="13:14" x14ac:dyDescent="0.5">
      <c r="M2357" s="2">
        <v>2356</v>
      </c>
    </row>
    <row r="2358" spans="13:14" x14ac:dyDescent="0.5">
      <c r="M2358" s="2">
        <v>2357</v>
      </c>
      <c r="N2358" s="2" t="s">
        <v>3446</v>
      </c>
    </row>
    <row r="2359" spans="13:14" x14ac:dyDescent="0.5">
      <c r="M2359" s="2">
        <v>2358</v>
      </c>
    </row>
    <row r="2360" spans="13:14" x14ac:dyDescent="0.5">
      <c r="M2360" s="2">
        <v>2359</v>
      </c>
    </row>
    <row r="2361" spans="13:14" x14ac:dyDescent="0.5">
      <c r="M2361" s="2">
        <v>2360</v>
      </c>
    </row>
    <row r="2362" spans="13:14" x14ac:dyDescent="0.5">
      <c r="M2362" s="2">
        <v>2361</v>
      </c>
    </row>
    <row r="2363" spans="13:14" x14ac:dyDescent="0.5">
      <c r="M2363" s="2">
        <v>2362</v>
      </c>
    </row>
    <row r="2364" spans="13:14" x14ac:dyDescent="0.5">
      <c r="M2364" s="2">
        <v>2363</v>
      </c>
    </row>
    <row r="2365" spans="13:14" x14ac:dyDescent="0.5">
      <c r="M2365" s="2">
        <v>2364</v>
      </c>
    </row>
    <row r="2366" spans="13:14" x14ac:dyDescent="0.5">
      <c r="M2366" s="2">
        <v>2365</v>
      </c>
    </row>
    <row r="2367" spans="13:14" x14ac:dyDescent="0.5">
      <c r="M2367" s="2">
        <v>2366</v>
      </c>
    </row>
    <row r="2368" spans="13:14" x14ac:dyDescent="0.5">
      <c r="M2368" s="2">
        <v>2367</v>
      </c>
    </row>
    <row r="2369" spans="13:14" x14ac:dyDescent="0.5">
      <c r="M2369" s="2">
        <v>2368</v>
      </c>
    </row>
    <row r="2370" spans="13:14" x14ac:dyDescent="0.5">
      <c r="M2370" s="2">
        <v>2369</v>
      </c>
    </row>
    <row r="2371" spans="13:14" x14ac:dyDescent="0.5">
      <c r="M2371" s="2">
        <v>2370</v>
      </c>
    </row>
    <row r="2372" spans="13:14" x14ac:dyDescent="0.5">
      <c r="M2372" s="2">
        <v>2371</v>
      </c>
    </row>
    <row r="2373" spans="13:14" x14ac:dyDescent="0.5">
      <c r="M2373" s="2">
        <v>2372</v>
      </c>
    </row>
    <row r="2374" spans="13:14" x14ac:dyDescent="0.5">
      <c r="M2374" s="2">
        <v>2373</v>
      </c>
    </row>
    <row r="2375" spans="13:14" x14ac:dyDescent="0.5">
      <c r="M2375" s="2">
        <v>2374</v>
      </c>
    </row>
    <row r="2376" spans="13:14" x14ac:dyDescent="0.5">
      <c r="M2376" s="2">
        <v>2375</v>
      </c>
    </row>
    <row r="2377" spans="13:14" x14ac:dyDescent="0.5">
      <c r="M2377" s="2">
        <v>2376</v>
      </c>
      <c r="N2377" s="2" t="s">
        <v>3446</v>
      </c>
    </row>
    <row r="2378" spans="13:14" x14ac:dyDescent="0.5">
      <c r="M2378" s="2">
        <v>2377</v>
      </c>
    </row>
    <row r="2379" spans="13:14" x14ac:dyDescent="0.5">
      <c r="M2379" s="2">
        <v>2378</v>
      </c>
    </row>
    <row r="2380" spans="13:14" x14ac:dyDescent="0.5">
      <c r="M2380" s="2">
        <v>2379</v>
      </c>
    </row>
    <row r="2381" spans="13:14" x14ac:dyDescent="0.5">
      <c r="M2381" s="2">
        <v>2380</v>
      </c>
    </row>
    <row r="2382" spans="13:14" x14ac:dyDescent="0.5">
      <c r="M2382" s="2">
        <v>2381</v>
      </c>
    </row>
    <row r="2383" spans="13:14" x14ac:dyDescent="0.5">
      <c r="M2383" s="2">
        <v>2382</v>
      </c>
    </row>
    <row r="2384" spans="13:14" x14ac:dyDescent="0.5">
      <c r="M2384" s="2">
        <v>2383</v>
      </c>
    </row>
    <row r="2385" spans="13:13" x14ac:dyDescent="0.5">
      <c r="M2385" s="2">
        <v>2384</v>
      </c>
    </row>
    <row r="2386" spans="13:13" x14ac:dyDescent="0.5">
      <c r="M2386" s="2">
        <v>2385</v>
      </c>
    </row>
    <row r="2387" spans="13:13" x14ac:dyDescent="0.5">
      <c r="M2387" s="2">
        <v>2386</v>
      </c>
    </row>
    <row r="2388" spans="13:13" x14ac:dyDescent="0.5">
      <c r="M2388" s="2">
        <v>2387</v>
      </c>
    </row>
    <row r="2389" spans="13:13" x14ac:dyDescent="0.5">
      <c r="M2389" s="2">
        <v>2388</v>
      </c>
    </row>
    <row r="2390" spans="13:13" x14ac:dyDescent="0.5">
      <c r="M2390" s="2">
        <v>2389</v>
      </c>
    </row>
    <row r="2391" spans="13:13" x14ac:dyDescent="0.5">
      <c r="M2391" s="2">
        <v>2390</v>
      </c>
    </row>
    <row r="2392" spans="13:13" x14ac:dyDescent="0.5">
      <c r="M2392" s="2">
        <v>2391</v>
      </c>
    </row>
    <row r="2393" spans="13:13" x14ac:dyDescent="0.5">
      <c r="M2393" s="2">
        <v>2392</v>
      </c>
    </row>
    <row r="2394" spans="13:13" x14ac:dyDescent="0.5">
      <c r="M2394" s="2">
        <v>2393</v>
      </c>
    </row>
    <row r="2395" spans="13:13" x14ac:dyDescent="0.5">
      <c r="M2395" s="2">
        <v>2394</v>
      </c>
    </row>
    <row r="2396" spans="13:13" x14ac:dyDescent="0.5">
      <c r="M2396" s="2">
        <v>2395</v>
      </c>
    </row>
    <row r="2397" spans="13:13" x14ac:dyDescent="0.5">
      <c r="M2397" s="2">
        <v>2396</v>
      </c>
    </row>
    <row r="2398" spans="13:13" x14ac:dyDescent="0.5">
      <c r="M2398" s="2">
        <v>2397</v>
      </c>
    </row>
    <row r="2399" spans="13:13" x14ac:dyDescent="0.5">
      <c r="M2399" s="2">
        <v>2398</v>
      </c>
    </row>
    <row r="2400" spans="13:13" x14ac:dyDescent="0.5">
      <c r="M2400" s="2">
        <v>2399</v>
      </c>
    </row>
    <row r="2401" spans="13:14" x14ac:dyDescent="0.5">
      <c r="M2401" s="2">
        <v>2400</v>
      </c>
    </row>
    <row r="2402" spans="13:14" x14ac:dyDescent="0.5">
      <c r="M2402" s="2">
        <v>2401</v>
      </c>
    </row>
    <row r="2403" spans="13:14" x14ac:dyDescent="0.5">
      <c r="M2403" s="2">
        <v>2402</v>
      </c>
    </row>
    <row r="2404" spans="13:14" x14ac:dyDescent="0.5">
      <c r="M2404" s="2">
        <v>2403</v>
      </c>
    </row>
    <row r="2405" spans="13:14" x14ac:dyDescent="0.5">
      <c r="M2405" s="2">
        <v>2404</v>
      </c>
    </row>
    <row r="2406" spans="13:14" x14ac:dyDescent="0.5">
      <c r="M2406" s="2">
        <v>2405</v>
      </c>
    </row>
    <row r="2407" spans="13:14" x14ac:dyDescent="0.5">
      <c r="M2407" s="2">
        <v>2406</v>
      </c>
    </row>
    <row r="2408" spans="13:14" x14ac:dyDescent="0.5">
      <c r="M2408" s="2">
        <v>2407</v>
      </c>
    </row>
    <row r="2409" spans="13:14" x14ac:dyDescent="0.5">
      <c r="M2409" s="2">
        <v>2408</v>
      </c>
    </row>
    <row r="2410" spans="13:14" x14ac:dyDescent="0.5">
      <c r="M2410" s="2">
        <v>2409</v>
      </c>
      <c r="N2410" s="2" t="s">
        <v>3446</v>
      </c>
    </row>
    <row r="2411" spans="13:14" x14ac:dyDescent="0.5">
      <c r="M2411" s="2">
        <v>2410</v>
      </c>
    </row>
    <row r="2412" spans="13:14" x14ac:dyDescent="0.5">
      <c r="M2412" s="2">
        <v>2411</v>
      </c>
    </row>
    <row r="2413" spans="13:14" x14ac:dyDescent="0.5">
      <c r="M2413" s="2">
        <v>2412</v>
      </c>
    </row>
    <row r="2414" spans="13:14" x14ac:dyDescent="0.5">
      <c r="M2414" s="2">
        <v>2413</v>
      </c>
    </row>
    <row r="2415" spans="13:14" x14ac:dyDescent="0.5">
      <c r="M2415" s="2">
        <v>2414</v>
      </c>
    </row>
    <row r="2416" spans="13:14" x14ac:dyDescent="0.5">
      <c r="M2416" s="2">
        <v>2415</v>
      </c>
    </row>
    <row r="2417" spans="13:14" x14ac:dyDescent="0.5">
      <c r="M2417" s="2">
        <v>2416</v>
      </c>
    </row>
    <row r="2418" spans="13:14" x14ac:dyDescent="0.5">
      <c r="M2418" s="2">
        <v>2417</v>
      </c>
    </row>
    <row r="2419" spans="13:14" x14ac:dyDescent="0.5">
      <c r="M2419" s="2">
        <v>2418</v>
      </c>
    </row>
    <row r="2420" spans="13:14" x14ac:dyDescent="0.5">
      <c r="M2420" s="2">
        <v>2419</v>
      </c>
    </row>
    <row r="2421" spans="13:14" x14ac:dyDescent="0.5">
      <c r="M2421" s="2">
        <v>2420</v>
      </c>
      <c r="N2421" s="2" t="s">
        <v>3446</v>
      </c>
    </row>
    <row r="2422" spans="13:14" x14ac:dyDescent="0.5">
      <c r="M2422" s="2">
        <v>2421</v>
      </c>
    </row>
    <row r="2423" spans="13:14" x14ac:dyDescent="0.5">
      <c r="M2423" s="2">
        <v>2422</v>
      </c>
    </row>
    <row r="2424" spans="13:14" x14ac:dyDescent="0.5">
      <c r="M2424" s="2">
        <v>2423</v>
      </c>
    </row>
    <row r="2425" spans="13:14" x14ac:dyDescent="0.5">
      <c r="M2425" s="2">
        <v>2424</v>
      </c>
    </row>
    <row r="2426" spans="13:14" x14ac:dyDescent="0.5">
      <c r="M2426" s="2">
        <v>2425</v>
      </c>
      <c r="N2426" s="2" t="s">
        <v>3446</v>
      </c>
    </row>
    <row r="2427" spans="13:14" x14ac:dyDescent="0.5">
      <c r="M2427" s="2">
        <v>2426</v>
      </c>
    </row>
    <row r="2428" spans="13:14" x14ac:dyDescent="0.5">
      <c r="M2428" s="2">
        <v>2427</v>
      </c>
      <c r="N2428" s="2" t="s">
        <v>3446</v>
      </c>
    </row>
    <row r="2429" spans="13:14" x14ac:dyDescent="0.5">
      <c r="M2429" s="2">
        <v>2428</v>
      </c>
    </row>
    <row r="2430" spans="13:14" x14ac:dyDescent="0.5">
      <c r="M2430" s="2">
        <v>2429</v>
      </c>
      <c r="N2430" s="2" t="s">
        <v>3446</v>
      </c>
    </row>
    <row r="2431" spans="13:14" x14ac:dyDescent="0.5">
      <c r="M2431" s="2">
        <v>2430</v>
      </c>
    </row>
    <row r="2432" spans="13:14" x14ac:dyDescent="0.5">
      <c r="M2432" s="2">
        <v>2431</v>
      </c>
      <c r="N2432" s="2" t="s">
        <v>3446</v>
      </c>
    </row>
    <row r="2433" spans="13:13" x14ac:dyDescent="0.5">
      <c r="M2433" s="2">
        <v>2432</v>
      </c>
    </row>
    <row r="2434" spans="13:13" x14ac:dyDescent="0.5">
      <c r="M2434" s="2">
        <v>2433</v>
      </c>
    </row>
    <row r="2435" spans="13:13" x14ac:dyDescent="0.5">
      <c r="M2435" s="2">
        <v>2434</v>
      </c>
    </row>
    <row r="2436" spans="13:13" x14ac:dyDescent="0.5">
      <c r="M2436" s="2">
        <v>2435</v>
      </c>
    </row>
    <row r="2437" spans="13:13" x14ac:dyDescent="0.5">
      <c r="M2437" s="2">
        <v>2436</v>
      </c>
    </row>
    <row r="2438" spans="13:13" x14ac:dyDescent="0.5">
      <c r="M2438" s="2">
        <v>2437</v>
      </c>
    </row>
    <row r="2439" spans="13:13" x14ac:dyDescent="0.5">
      <c r="M2439" s="2">
        <v>2438</v>
      </c>
    </row>
    <row r="2440" spans="13:13" x14ac:dyDescent="0.5">
      <c r="M2440" s="2">
        <v>2439</v>
      </c>
    </row>
    <row r="2441" spans="13:13" x14ac:dyDescent="0.5">
      <c r="M2441" s="2">
        <v>2440</v>
      </c>
    </row>
    <row r="2442" spans="13:13" x14ac:dyDescent="0.5">
      <c r="M2442" s="2">
        <v>2441</v>
      </c>
    </row>
    <row r="2443" spans="13:13" x14ac:dyDescent="0.5">
      <c r="M2443" s="2">
        <v>2442</v>
      </c>
    </row>
    <row r="2444" spans="13:13" x14ac:dyDescent="0.5">
      <c r="M2444" s="2">
        <v>2443</v>
      </c>
    </row>
    <row r="2445" spans="13:13" x14ac:dyDescent="0.5">
      <c r="M2445" s="2">
        <v>2444</v>
      </c>
    </row>
    <row r="2446" spans="13:13" x14ac:dyDescent="0.5">
      <c r="M2446" s="2">
        <v>2445</v>
      </c>
    </row>
    <row r="2447" spans="13:13" x14ac:dyDescent="0.5">
      <c r="M2447" s="2">
        <v>2446</v>
      </c>
    </row>
    <row r="2448" spans="13:13" x14ac:dyDescent="0.5">
      <c r="M2448" s="2">
        <v>2447</v>
      </c>
    </row>
    <row r="2449" spans="13:13" x14ac:dyDescent="0.5">
      <c r="M2449" s="2">
        <v>2448</v>
      </c>
    </row>
    <row r="2450" spans="13:13" x14ac:dyDescent="0.5">
      <c r="M2450" s="2">
        <v>2449</v>
      </c>
    </row>
    <row r="2451" spans="13:13" x14ac:dyDescent="0.5">
      <c r="M2451" s="2">
        <v>2450</v>
      </c>
    </row>
    <row r="2452" spans="13:13" x14ac:dyDescent="0.5">
      <c r="M2452" s="2">
        <v>2451</v>
      </c>
    </row>
    <row r="2453" spans="13:13" x14ac:dyDescent="0.5">
      <c r="M2453" s="2">
        <v>2452</v>
      </c>
    </row>
    <row r="2454" spans="13:13" x14ac:dyDescent="0.5">
      <c r="M2454" s="2">
        <v>2453</v>
      </c>
    </row>
    <row r="2455" spans="13:13" x14ac:dyDescent="0.5">
      <c r="M2455" s="2">
        <v>2454</v>
      </c>
    </row>
    <row r="2456" spans="13:13" x14ac:dyDescent="0.5">
      <c r="M2456" s="2">
        <v>2455</v>
      </c>
    </row>
    <row r="2457" spans="13:13" x14ac:dyDescent="0.5">
      <c r="M2457" s="2">
        <v>2456</v>
      </c>
    </row>
    <row r="2458" spans="13:13" x14ac:dyDescent="0.5">
      <c r="M2458" s="2">
        <v>2457</v>
      </c>
    </row>
    <row r="2459" spans="13:13" x14ac:dyDescent="0.5">
      <c r="M2459" s="2">
        <v>2458</v>
      </c>
    </row>
    <row r="2460" spans="13:13" x14ac:dyDescent="0.5">
      <c r="M2460" s="2">
        <v>2459</v>
      </c>
    </row>
    <row r="2461" spans="13:13" x14ac:dyDescent="0.5">
      <c r="M2461" s="2">
        <v>2460</v>
      </c>
    </row>
    <row r="2462" spans="13:13" x14ac:dyDescent="0.5">
      <c r="M2462" s="2">
        <v>2461</v>
      </c>
    </row>
    <row r="2463" spans="13:13" x14ac:dyDescent="0.5">
      <c r="M2463" s="2">
        <v>2462</v>
      </c>
    </row>
    <row r="2464" spans="13:13" x14ac:dyDescent="0.5">
      <c r="M2464" s="2">
        <v>2463</v>
      </c>
    </row>
    <row r="2465" spans="13:14" x14ac:dyDescent="0.5">
      <c r="M2465" s="2">
        <v>2464</v>
      </c>
    </row>
    <row r="2466" spans="13:14" x14ac:dyDescent="0.5">
      <c r="M2466" s="2">
        <v>2465</v>
      </c>
    </row>
    <row r="2467" spans="13:14" x14ac:dyDescent="0.5">
      <c r="M2467" s="2">
        <v>2466</v>
      </c>
    </row>
    <row r="2468" spans="13:14" x14ac:dyDescent="0.5">
      <c r="M2468" s="2">
        <v>2467</v>
      </c>
    </row>
    <row r="2469" spans="13:14" x14ac:dyDescent="0.5">
      <c r="M2469" s="2">
        <v>2468</v>
      </c>
    </row>
    <row r="2470" spans="13:14" x14ac:dyDescent="0.5">
      <c r="M2470" s="2">
        <v>2469</v>
      </c>
    </row>
    <row r="2471" spans="13:14" x14ac:dyDescent="0.5">
      <c r="M2471" s="2">
        <v>2470</v>
      </c>
    </row>
    <row r="2472" spans="13:14" x14ac:dyDescent="0.5">
      <c r="M2472" s="2">
        <v>2471</v>
      </c>
      <c r="N2472" s="2" t="s">
        <v>3446</v>
      </c>
    </row>
    <row r="2473" spans="13:14" x14ac:dyDescent="0.5">
      <c r="M2473" s="2">
        <v>2472</v>
      </c>
    </row>
    <row r="2474" spans="13:14" x14ac:dyDescent="0.5">
      <c r="M2474" s="2">
        <v>2473</v>
      </c>
    </row>
    <row r="2475" spans="13:14" x14ac:dyDescent="0.5">
      <c r="M2475" s="2">
        <v>2474</v>
      </c>
    </row>
    <row r="2476" spans="13:14" x14ac:dyDescent="0.5">
      <c r="M2476" s="2">
        <v>2475</v>
      </c>
    </row>
    <row r="2477" spans="13:14" x14ac:dyDescent="0.5">
      <c r="M2477" s="2">
        <v>2476</v>
      </c>
    </row>
    <row r="2478" spans="13:14" x14ac:dyDescent="0.5">
      <c r="M2478" s="2">
        <v>2477</v>
      </c>
    </row>
    <row r="2479" spans="13:14" x14ac:dyDescent="0.5">
      <c r="M2479" s="2">
        <v>2478</v>
      </c>
    </row>
    <row r="2480" spans="13:14" x14ac:dyDescent="0.5">
      <c r="M2480" s="2">
        <v>2479</v>
      </c>
    </row>
    <row r="2481" spans="13:14" x14ac:dyDescent="0.5">
      <c r="M2481" s="2">
        <v>2480</v>
      </c>
    </row>
    <row r="2482" spans="13:14" x14ac:dyDescent="0.5">
      <c r="M2482" s="2">
        <v>2481</v>
      </c>
    </row>
    <row r="2483" spans="13:14" x14ac:dyDescent="0.5">
      <c r="M2483" s="2">
        <v>2482</v>
      </c>
      <c r="N2483" s="2" t="s">
        <v>3446</v>
      </c>
    </row>
    <row r="2484" spans="13:14" x14ac:dyDescent="0.5">
      <c r="M2484" s="2">
        <v>2483</v>
      </c>
    </row>
    <row r="2485" spans="13:14" x14ac:dyDescent="0.5">
      <c r="M2485" s="2">
        <v>2484</v>
      </c>
    </row>
    <row r="2486" spans="13:14" x14ac:dyDescent="0.5">
      <c r="M2486" s="2">
        <v>2485</v>
      </c>
    </row>
    <row r="2487" spans="13:14" x14ac:dyDescent="0.5">
      <c r="M2487" s="2">
        <v>2486</v>
      </c>
    </row>
    <row r="2488" spans="13:14" x14ac:dyDescent="0.5">
      <c r="M2488" s="2">
        <v>2487</v>
      </c>
    </row>
    <row r="2489" spans="13:14" x14ac:dyDescent="0.5">
      <c r="M2489" s="2">
        <v>2488</v>
      </c>
    </row>
    <row r="2490" spans="13:14" x14ac:dyDescent="0.5">
      <c r="M2490" s="2">
        <v>2489</v>
      </c>
    </row>
    <row r="2491" spans="13:14" x14ac:dyDescent="0.5">
      <c r="M2491" s="2">
        <v>2490</v>
      </c>
    </row>
    <row r="2492" spans="13:14" x14ac:dyDescent="0.5">
      <c r="M2492" s="2">
        <v>2491</v>
      </c>
    </row>
    <row r="2493" spans="13:14" x14ac:dyDescent="0.5">
      <c r="M2493" s="2">
        <v>2492</v>
      </c>
    </row>
    <row r="2494" spans="13:14" x14ac:dyDescent="0.5">
      <c r="M2494" s="2">
        <v>2493</v>
      </c>
    </row>
    <row r="2495" spans="13:14" x14ac:dyDescent="0.5">
      <c r="M2495" s="2">
        <v>2494</v>
      </c>
    </row>
    <row r="2496" spans="13:14" x14ac:dyDescent="0.5">
      <c r="M2496" s="2">
        <v>2495</v>
      </c>
    </row>
    <row r="2497" spans="13:14" x14ac:dyDescent="0.5">
      <c r="M2497" s="2">
        <v>2496</v>
      </c>
    </row>
    <row r="2498" spans="13:14" x14ac:dyDescent="0.5">
      <c r="M2498" s="2">
        <v>2497</v>
      </c>
    </row>
    <row r="2499" spans="13:14" x14ac:dyDescent="0.5">
      <c r="M2499" s="2">
        <v>2498</v>
      </c>
    </row>
    <row r="2500" spans="13:14" x14ac:dyDescent="0.5">
      <c r="M2500" s="2">
        <v>2499</v>
      </c>
    </row>
    <row r="2501" spans="13:14" x14ac:dyDescent="0.5">
      <c r="M2501" s="2">
        <v>2500</v>
      </c>
      <c r="N2501" s="2" t="s">
        <v>3446</v>
      </c>
    </row>
    <row r="2502" spans="13:14" x14ac:dyDescent="0.5">
      <c r="M2502" s="2">
        <v>2501</v>
      </c>
    </row>
    <row r="2503" spans="13:14" x14ac:dyDescent="0.5">
      <c r="M2503" s="2">
        <v>2502</v>
      </c>
    </row>
    <row r="2504" spans="13:14" x14ac:dyDescent="0.5">
      <c r="M2504" s="2">
        <v>2503</v>
      </c>
    </row>
    <row r="2505" spans="13:14" x14ac:dyDescent="0.5">
      <c r="M2505" s="2">
        <v>2504</v>
      </c>
    </row>
    <row r="2506" spans="13:14" x14ac:dyDescent="0.5">
      <c r="M2506" s="2">
        <v>2505</v>
      </c>
    </row>
    <row r="2507" spans="13:14" x14ac:dyDescent="0.5">
      <c r="M2507" s="2">
        <v>2506</v>
      </c>
      <c r="N2507" s="2" t="s">
        <v>3446</v>
      </c>
    </row>
    <row r="2508" spans="13:14" x14ac:dyDescent="0.5">
      <c r="M2508" s="2">
        <v>2507</v>
      </c>
    </row>
    <row r="2509" spans="13:14" x14ac:dyDescent="0.5">
      <c r="M2509" s="2">
        <v>2508</v>
      </c>
    </row>
    <row r="2510" spans="13:14" x14ac:dyDescent="0.5">
      <c r="M2510" s="2">
        <v>2509</v>
      </c>
    </row>
    <row r="2511" spans="13:14" x14ac:dyDescent="0.5">
      <c r="M2511" s="2">
        <v>2510</v>
      </c>
    </row>
    <row r="2512" spans="13:14" x14ac:dyDescent="0.5">
      <c r="M2512" s="2">
        <v>2511</v>
      </c>
    </row>
    <row r="2513" spans="13:14" x14ac:dyDescent="0.5">
      <c r="M2513" s="2">
        <v>2512</v>
      </c>
    </row>
    <row r="2514" spans="13:14" x14ac:dyDescent="0.5">
      <c r="M2514" s="2">
        <v>2513</v>
      </c>
    </row>
    <row r="2515" spans="13:14" x14ac:dyDescent="0.5">
      <c r="M2515" s="2">
        <v>2514</v>
      </c>
      <c r="N2515" s="2" t="s">
        <v>3446</v>
      </c>
    </row>
    <row r="2516" spans="13:14" x14ac:dyDescent="0.5">
      <c r="M2516" s="2">
        <v>2515</v>
      </c>
    </row>
    <row r="2517" spans="13:14" x14ac:dyDescent="0.5">
      <c r="M2517" s="2">
        <v>2516</v>
      </c>
    </row>
    <row r="2518" spans="13:14" x14ac:dyDescent="0.5">
      <c r="M2518" s="2">
        <v>2517</v>
      </c>
    </row>
    <row r="2519" spans="13:14" x14ac:dyDescent="0.5">
      <c r="M2519" s="2">
        <v>2518</v>
      </c>
    </row>
    <row r="2520" spans="13:14" x14ac:dyDescent="0.5">
      <c r="M2520" s="2">
        <v>2519</v>
      </c>
    </row>
    <row r="2521" spans="13:14" x14ac:dyDescent="0.5">
      <c r="M2521" s="2">
        <v>2520</v>
      </c>
    </row>
    <row r="2522" spans="13:14" x14ac:dyDescent="0.5">
      <c r="M2522" s="2">
        <v>2521</v>
      </c>
    </row>
    <row r="2523" spans="13:14" x14ac:dyDescent="0.5">
      <c r="M2523" s="2">
        <v>2522</v>
      </c>
    </row>
    <row r="2524" spans="13:14" x14ac:dyDescent="0.5">
      <c r="M2524" s="2">
        <v>2523</v>
      </c>
    </row>
    <row r="2525" spans="13:14" x14ac:dyDescent="0.5">
      <c r="M2525" s="2">
        <v>2524</v>
      </c>
      <c r="N2525" s="2" t="s">
        <v>3446</v>
      </c>
    </row>
    <row r="2526" spans="13:14" x14ac:dyDescent="0.5">
      <c r="M2526" s="2">
        <v>2525</v>
      </c>
    </row>
    <row r="2527" spans="13:14" x14ac:dyDescent="0.5">
      <c r="M2527" s="2">
        <v>2526</v>
      </c>
    </row>
    <row r="2528" spans="13:14" x14ac:dyDescent="0.5">
      <c r="M2528" s="2">
        <v>2527</v>
      </c>
    </row>
    <row r="2529" spans="13:14" x14ac:dyDescent="0.5">
      <c r="M2529" s="2">
        <v>2528</v>
      </c>
    </row>
    <row r="2530" spans="13:14" x14ac:dyDescent="0.5">
      <c r="M2530" s="2">
        <v>2529</v>
      </c>
    </row>
    <row r="2531" spans="13:14" x14ac:dyDescent="0.5">
      <c r="M2531" s="2">
        <v>2530</v>
      </c>
    </row>
    <row r="2532" spans="13:14" x14ac:dyDescent="0.5">
      <c r="M2532" s="2">
        <v>2531</v>
      </c>
    </row>
    <row r="2533" spans="13:14" x14ac:dyDescent="0.5">
      <c r="M2533" s="2">
        <v>2532</v>
      </c>
      <c r="N2533" s="2" t="s">
        <v>3446</v>
      </c>
    </row>
    <row r="2534" spans="13:14" x14ac:dyDescent="0.5">
      <c r="M2534" s="2">
        <v>2533</v>
      </c>
    </row>
    <row r="2535" spans="13:14" x14ac:dyDescent="0.5">
      <c r="M2535" s="2">
        <v>2534</v>
      </c>
    </row>
    <row r="2536" spans="13:14" x14ac:dyDescent="0.5">
      <c r="M2536" s="2">
        <v>2535</v>
      </c>
    </row>
    <row r="2537" spans="13:14" x14ac:dyDescent="0.5">
      <c r="M2537" s="2">
        <v>2536</v>
      </c>
      <c r="N2537" s="2" t="s">
        <v>3446</v>
      </c>
    </row>
    <row r="2538" spans="13:14" x14ac:dyDescent="0.5">
      <c r="M2538" s="2">
        <v>2537</v>
      </c>
    </row>
    <row r="2539" spans="13:14" x14ac:dyDescent="0.5">
      <c r="M2539" s="2">
        <v>2538</v>
      </c>
      <c r="N2539" s="2" t="s">
        <v>3446</v>
      </c>
    </row>
    <row r="2540" spans="13:14" x14ac:dyDescent="0.5">
      <c r="M2540" s="2">
        <v>2539</v>
      </c>
      <c r="N2540" s="2" t="s">
        <v>3446</v>
      </c>
    </row>
    <row r="2541" spans="13:14" x14ac:dyDescent="0.5">
      <c r="M2541" s="2">
        <v>2540</v>
      </c>
    </row>
    <row r="2542" spans="13:14" x14ac:dyDescent="0.5">
      <c r="M2542" s="2">
        <v>2541</v>
      </c>
    </row>
    <row r="2543" spans="13:14" x14ac:dyDescent="0.5">
      <c r="M2543" s="2">
        <v>2542</v>
      </c>
    </row>
    <row r="2544" spans="13:14" x14ac:dyDescent="0.5">
      <c r="M2544" s="2">
        <v>2543</v>
      </c>
    </row>
    <row r="2545" spans="13:14" x14ac:dyDescent="0.5">
      <c r="M2545" s="2">
        <v>2544</v>
      </c>
    </row>
    <row r="2546" spans="13:14" x14ac:dyDescent="0.5">
      <c r="M2546" s="2">
        <v>2545</v>
      </c>
    </row>
    <row r="2547" spans="13:14" x14ac:dyDescent="0.5">
      <c r="M2547" s="2">
        <v>2546</v>
      </c>
    </row>
    <row r="2548" spans="13:14" x14ac:dyDescent="0.5">
      <c r="M2548" s="2">
        <v>2547</v>
      </c>
    </row>
    <row r="2549" spans="13:14" x14ac:dyDescent="0.5">
      <c r="M2549" s="2">
        <v>2548</v>
      </c>
    </row>
    <row r="2550" spans="13:14" x14ac:dyDescent="0.5">
      <c r="M2550" s="2">
        <v>2549</v>
      </c>
    </row>
    <row r="2551" spans="13:14" x14ac:dyDescent="0.5">
      <c r="M2551" s="2">
        <v>2550</v>
      </c>
    </row>
    <row r="2552" spans="13:14" x14ac:dyDescent="0.5">
      <c r="M2552" s="2">
        <v>2551</v>
      </c>
    </row>
    <row r="2553" spans="13:14" x14ac:dyDescent="0.5">
      <c r="M2553" s="2">
        <v>2552</v>
      </c>
    </row>
    <row r="2554" spans="13:14" x14ac:dyDescent="0.5">
      <c r="M2554" s="2">
        <v>2553</v>
      </c>
    </row>
    <row r="2555" spans="13:14" x14ac:dyDescent="0.5">
      <c r="M2555" s="2">
        <v>2554</v>
      </c>
    </row>
    <row r="2556" spans="13:14" x14ac:dyDescent="0.5">
      <c r="M2556" s="2">
        <v>2555</v>
      </c>
    </row>
    <row r="2557" spans="13:14" x14ac:dyDescent="0.5">
      <c r="M2557" s="2">
        <v>2556</v>
      </c>
    </row>
    <row r="2558" spans="13:14" x14ac:dyDescent="0.5">
      <c r="M2558" s="2">
        <v>2557</v>
      </c>
      <c r="N2558" s="2" t="s">
        <v>3446</v>
      </c>
    </row>
    <row r="2559" spans="13:14" x14ac:dyDescent="0.5">
      <c r="M2559" s="2">
        <v>2558</v>
      </c>
    </row>
    <row r="2560" spans="13:14" x14ac:dyDescent="0.5">
      <c r="M2560" s="2">
        <v>2559</v>
      </c>
    </row>
    <row r="2561" spans="13:13" x14ac:dyDescent="0.5">
      <c r="M2561" s="2">
        <v>2560</v>
      </c>
    </row>
    <row r="2562" spans="13:13" x14ac:dyDescent="0.5">
      <c r="M2562" s="2">
        <v>2561</v>
      </c>
    </row>
    <row r="2563" spans="13:13" x14ac:dyDescent="0.5">
      <c r="M2563" s="2">
        <v>2562</v>
      </c>
    </row>
    <row r="2564" spans="13:13" x14ac:dyDescent="0.5">
      <c r="M2564" s="2">
        <v>2563</v>
      </c>
    </row>
    <row r="2565" spans="13:13" x14ac:dyDescent="0.5">
      <c r="M2565" s="2">
        <v>2564</v>
      </c>
    </row>
    <row r="2566" spans="13:13" x14ac:dyDescent="0.5">
      <c r="M2566" s="2">
        <v>2565</v>
      </c>
    </row>
    <row r="2567" spans="13:13" x14ac:dyDescent="0.5">
      <c r="M2567" s="2">
        <v>2566</v>
      </c>
    </row>
    <row r="2568" spans="13:13" x14ac:dyDescent="0.5">
      <c r="M2568" s="2">
        <v>2567</v>
      </c>
    </row>
    <row r="2569" spans="13:13" x14ac:dyDescent="0.5">
      <c r="M2569" s="2">
        <v>2568</v>
      </c>
    </row>
    <row r="2570" spans="13:13" x14ac:dyDescent="0.5">
      <c r="M2570" s="2">
        <v>2569</v>
      </c>
    </row>
    <row r="2571" spans="13:13" x14ac:dyDescent="0.5">
      <c r="M2571" s="2">
        <v>2570</v>
      </c>
    </row>
    <row r="2572" spans="13:13" x14ac:dyDescent="0.5">
      <c r="M2572" s="2">
        <v>2571</v>
      </c>
    </row>
    <row r="2573" spans="13:13" x14ac:dyDescent="0.5">
      <c r="M2573" s="2">
        <v>2572</v>
      </c>
    </row>
    <row r="2574" spans="13:13" x14ac:dyDescent="0.5">
      <c r="M2574" s="2">
        <v>2573</v>
      </c>
    </row>
    <row r="2575" spans="13:13" x14ac:dyDescent="0.5">
      <c r="M2575" s="2">
        <v>2574</v>
      </c>
    </row>
    <row r="2576" spans="13:13" x14ac:dyDescent="0.5">
      <c r="M2576" s="2">
        <v>2575</v>
      </c>
    </row>
    <row r="2577" spans="13:14" x14ac:dyDescent="0.5">
      <c r="M2577" s="2">
        <v>2576</v>
      </c>
    </row>
    <row r="2578" spans="13:14" x14ac:dyDescent="0.5">
      <c r="M2578" s="2">
        <v>2577</v>
      </c>
    </row>
    <row r="2579" spans="13:14" x14ac:dyDescent="0.5">
      <c r="M2579" s="2">
        <v>2578</v>
      </c>
    </row>
    <row r="2580" spans="13:14" x14ac:dyDescent="0.5">
      <c r="M2580" s="2">
        <v>2579</v>
      </c>
    </row>
    <row r="2581" spans="13:14" x14ac:dyDescent="0.5">
      <c r="M2581" s="2">
        <v>2580</v>
      </c>
    </row>
    <row r="2582" spans="13:14" x14ac:dyDescent="0.5">
      <c r="M2582" s="2">
        <v>2581</v>
      </c>
    </row>
    <row r="2583" spans="13:14" x14ac:dyDescent="0.5">
      <c r="M2583" s="2">
        <v>2582</v>
      </c>
      <c r="N2583" s="2" t="s">
        <v>3446</v>
      </c>
    </row>
    <row r="2584" spans="13:14" x14ac:dyDescent="0.5">
      <c r="M2584" s="2">
        <v>2583</v>
      </c>
      <c r="N2584" s="2" t="s">
        <v>3446</v>
      </c>
    </row>
    <row r="2585" spans="13:14" x14ac:dyDescent="0.5">
      <c r="M2585" s="2">
        <v>2584</v>
      </c>
    </row>
    <row r="2586" spans="13:14" x14ac:dyDescent="0.5">
      <c r="M2586" s="2">
        <v>2585</v>
      </c>
    </row>
    <row r="2587" spans="13:14" x14ac:dyDescent="0.5">
      <c r="M2587" s="2">
        <v>2586</v>
      </c>
    </row>
    <row r="2588" spans="13:14" x14ac:dyDescent="0.5">
      <c r="M2588" s="2">
        <v>2587</v>
      </c>
    </row>
    <row r="2589" spans="13:14" x14ac:dyDescent="0.5">
      <c r="M2589" s="2">
        <v>2588</v>
      </c>
    </row>
    <row r="2590" spans="13:14" x14ac:dyDescent="0.5">
      <c r="M2590" s="2">
        <v>2589</v>
      </c>
    </row>
    <row r="2591" spans="13:14" x14ac:dyDescent="0.5">
      <c r="M2591" s="2">
        <v>2590</v>
      </c>
    </row>
    <row r="2592" spans="13:14" x14ac:dyDescent="0.5">
      <c r="M2592" s="2">
        <v>2591</v>
      </c>
    </row>
    <row r="2593" spans="13:14" x14ac:dyDescent="0.5">
      <c r="M2593" s="2">
        <v>2592</v>
      </c>
    </row>
    <row r="2594" spans="13:14" x14ac:dyDescent="0.5">
      <c r="M2594" s="2">
        <v>2593</v>
      </c>
      <c r="N2594" s="2" t="s">
        <v>3446</v>
      </c>
    </row>
    <row r="2595" spans="13:14" x14ac:dyDescent="0.5">
      <c r="M2595" s="2">
        <v>2594</v>
      </c>
    </row>
    <row r="2596" spans="13:14" x14ac:dyDescent="0.5">
      <c r="M2596" s="2">
        <v>2595</v>
      </c>
      <c r="N2596" s="2" t="s">
        <v>3446</v>
      </c>
    </row>
    <row r="2597" spans="13:14" x14ac:dyDescent="0.5">
      <c r="M2597" s="2">
        <v>2596</v>
      </c>
    </row>
    <row r="2598" spans="13:14" x14ac:dyDescent="0.5">
      <c r="M2598" s="2">
        <v>2597</v>
      </c>
    </row>
    <row r="2599" spans="13:14" x14ac:dyDescent="0.5">
      <c r="M2599" s="2">
        <v>2598</v>
      </c>
    </row>
    <row r="2600" spans="13:14" x14ac:dyDescent="0.5">
      <c r="M2600" s="2">
        <v>2599</v>
      </c>
    </row>
    <row r="2601" spans="13:14" x14ac:dyDescent="0.5">
      <c r="M2601" s="2">
        <v>2600</v>
      </c>
    </row>
    <row r="2602" spans="13:14" x14ac:dyDescent="0.5">
      <c r="M2602" s="2">
        <v>2601</v>
      </c>
    </row>
    <row r="2603" spans="13:14" x14ac:dyDescent="0.5">
      <c r="M2603" s="2">
        <v>2602</v>
      </c>
      <c r="N2603" s="2" t="s">
        <v>3446</v>
      </c>
    </row>
    <row r="2604" spans="13:14" x14ac:dyDescent="0.5">
      <c r="M2604" s="2">
        <v>2603</v>
      </c>
    </row>
    <row r="2605" spans="13:14" x14ac:dyDescent="0.5">
      <c r="M2605" s="2">
        <v>2604</v>
      </c>
    </row>
    <row r="2606" spans="13:14" x14ac:dyDescent="0.5">
      <c r="M2606" s="2">
        <v>2605</v>
      </c>
    </row>
    <row r="2607" spans="13:14" x14ac:dyDescent="0.5">
      <c r="M2607" s="2">
        <v>2606</v>
      </c>
    </row>
    <row r="2608" spans="13:14" x14ac:dyDescent="0.5">
      <c r="M2608" s="2">
        <v>2607</v>
      </c>
    </row>
    <row r="2609" spans="13:14" x14ac:dyDescent="0.5">
      <c r="M2609" s="2">
        <v>2608</v>
      </c>
    </row>
    <row r="2610" spans="13:14" x14ac:dyDescent="0.5">
      <c r="M2610" s="2">
        <v>2609</v>
      </c>
    </row>
    <row r="2611" spans="13:14" x14ac:dyDescent="0.5">
      <c r="M2611" s="2">
        <v>2610</v>
      </c>
    </row>
    <row r="2612" spans="13:14" x14ac:dyDescent="0.5">
      <c r="M2612" s="2">
        <v>2611</v>
      </c>
    </row>
    <row r="2613" spans="13:14" x14ac:dyDescent="0.5">
      <c r="M2613" s="2">
        <v>2612</v>
      </c>
      <c r="N2613" s="2" t="s">
        <v>3446</v>
      </c>
    </row>
    <row r="2614" spans="13:14" x14ac:dyDescent="0.5">
      <c r="M2614" s="2">
        <v>2613</v>
      </c>
    </row>
    <row r="2615" spans="13:14" x14ac:dyDescent="0.5">
      <c r="M2615" s="2">
        <v>2614</v>
      </c>
      <c r="N2615" s="2" t="s">
        <v>3446</v>
      </c>
    </row>
    <row r="2616" spans="13:14" x14ac:dyDescent="0.5">
      <c r="M2616" s="2">
        <v>2615</v>
      </c>
    </row>
    <row r="2617" spans="13:14" x14ac:dyDescent="0.5">
      <c r="M2617" s="2">
        <v>2616</v>
      </c>
    </row>
    <row r="2618" spans="13:14" x14ac:dyDescent="0.5">
      <c r="M2618" s="2">
        <v>2617</v>
      </c>
    </row>
    <row r="2619" spans="13:14" x14ac:dyDescent="0.5">
      <c r="M2619" s="2">
        <v>2618</v>
      </c>
    </row>
    <row r="2620" spans="13:14" x14ac:dyDescent="0.5">
      <c r="M2620" s="2">
        <v>2619</v>
      </c>
    </row>
    <row r="2621" spans="13:14" x14ac:dyDescent="0.5">
      <c r="M2621" s="2">
        <v>2620</v>
      </c>
    </row>
    <row r="2622" spans="13:14" x14ac:dyDescent="0.5">
      <c r="M2622" s="2">
        <v>2621</v>
      </c>
    </row>
    <row r="2623" spans="13:14" x14ac:dyDescent="0.5">
      <c r="M2623" s="2">
        <v>2622</v>
      </c>
    </row>
    <row r="2624" spans="13:14" x14ac:dyDescent="0.5">
      <c r="M2624" s="2">
        <v>2623</v>
      </c>
    </row>
    <row r="2625" spans="13:14" x14ac:dyDescent="0.5">
      <c r="M2625" s="2">
        <v>2624</v>
      </c>
      <c r="N2625" s="2" t="s">
        <v>3446</v>
      </c>
    </row>
    <row r="2626" spans="13:14" x14ac:dyDescent="0.5">
      <c r="M2626" s="2">
        <v>2625</v>
      </c>
    </row>
    <row r="2627" spans="13:14" x14ac:dyDescent="0.5">
      <c r="M2627" s="2">
        <v>2626</v>
      </c>
    </row>
    <row r="2628" spans="13:14" x14ac:dyDescent="0.5">
      <c r="M2628" s="2">
        <v>2627</v>
      </c>
    </row>
    <row r="2629" spans="13:14" x14ac:dyDescent="0.5">
      <c r="M2629" s="2">
        <v>2628</v>
      </c>
    </row>
    <row r="2630" spans="13:14" x14ac:dyDescent="0.5">
      <c r="M2630" s="2">
        <v>2629</v>
      </c>
      <c r="N2630" s="2" t="s">
        <v>3446</v>
      </c>
    </row>
    <row r="2631" spans="13:14" x14ac:dyDescent="0.5">
      <c r="M2631" s="2">
        <v>2630</v>
      </c>
    </row>
    <row r="2632" spans="13:14" x14ac:dyDescent="0.5">
      <c r="M2632" s="2">
        <v>2631</v>
      </c>
    </row>
    <row r="2633" spans="13:14" x14ac:dyDescent="0.5">
      <c r="M2633" s="2">
        <v>2632</v>
      </c>
    </row>
    <row r="2634" spans="13:14" x14ac:dyDescent="0.5">
      <c r="M2634" s="2">
        <v>2633</v>
      </c>
    </row>
    <row r="2635" spans="13:14" x14ac:dyDescent="0.5">
      <c r="M2635" s="2">
        <v>2634</v>
      </c>
      <c r="N2635" s="2" t="s">
        <v>3446</v>
      </c>
    </row>
    <row r="2636" spans="13:14" x14ac:dyDescent="0.5">
      <c r="M2636" s="2">
        <v>2635</v>
      </c>
      <c r="N2636" s="2" t="s">
        <v>3446</v>
      </c>
    </row>
    <row r="2637" spans="13:14" x14ac:dyDescent="0.5">
      <c r="M2637" s="2">
        <v>2636</v>
      </c>
    </row>
    <row r="2638" spans="13:14" x14ac:dyDescent="0.5">
      <c r="M2638" s="2">
        <v>2637</v>
      </c>
    </row>
    <row r="2639" spans="13:14" x14ac:dyDescent="0.5">
      <c r="M2639" s="2">
        <v>2638</v>
      </c>
    </row>
    <row r="2640" spans="13:14" x14ac:dyDescent="0.5">
      <c r="M2640" s="2">
        <v>2639</v>
      </c>
    </row>
    <row r="2641" spans="13:14" x14ac:dyDescent="0.5">
      <c r="M2641" s="2">
        <v>2640</v>
      </c>
    </row>
    <row r="2642" spans="13:14" x14ac:dyDescent="0.5">
      <c r="M2642" s="2">
        <v>2641</v>
      </c>
    </row>
    <row r="2643" spans="13:14" x14ac:dyDescent="0.5">
      <c r="M2643" s="2">
        <v>2642</v>
      </c>
    </row>
    <row r="2644" spans="13:14" x14ac:dyDescent="0.5">
      <c r="M2644" s="2">
        <v>2643</v>
      </c>
    </row>
    <row r="2645" spans="13:14" x14ac:dyDescent="0.5">
      <c r="M2645" s="2">
        <v>2644</v>
      </c>
    </row>
    <row r="2646" spans="13:14" x14ac:dyDescent="0.5">
      <c r="M2646" s="2">
        <v>2645</v>
      </c>
    </row>
    <row r="2647" spans="13:14" x14ac:dyDescent="0.5">
      <c r="M2647" s="2">
        <v>2646</v>
      </c>
    </row>
    <row r="2648" spans="13:14" x14ac:dyDescent="0.5">
      <c r="M2648" s="2">
        <v>2647</v>
      </c>
    </row>
    <row r="2649" spans="13:14" x14ac:dyDescent="0.5">
      <c r="M2649" s="2">
        <v>2648</v>
      </c>
    </row>
    <row r="2650" spans="13:14" x14ac:dyDescent="0.5">
      <c r="M2650" s="2">
        <v>2649</v>
      </c>
      <c r="N2650" s="2" t="s">
        <v>3446</v>
      </c>
    </row>
    <row r="2651" spans="13:14" x14ac:dyDescent="0.5">
      <c r="M2651" s="2">
        <v>2650</v>
      </c>
    </row>
    <row r="2652" spans="13:14" x14ac:dyDescent="0.5">
      <c r="M2652" s="2">
        <v>2651</v>
      </c>
    </row>
    <row r="2653" spans="13:14" x14ac:dyDescent="0.5">
      <c r="M2653" s="2">
        <v>2652</v>
      </c>
      <c r="N2653" s="2" t="s">
        <v>3446</v>
      </c>
    </row>
    <row r="2654" spans="13:14" x14ac:dyDescent="0.5">
      <c r="M2654" s="2">
        <v>2653</v>
      </c>
      <c r="N2654" s="2" t="s">
        <v>3446</v>
      </c>
    </row>
    <row r="2655" spans="13:14" x14ac:dyDescent="0.5">
      <c r="M2655" s="2">
        <v>2654</v>
      </c>
      <c r="N2655" s="2" t="s">
        <v>3446</v>
      </c>
    </row>
    <row r="2656" spans="13:14" x14ac:dyDescent="0.5">
      <c r="M2656" s="2">
        <v>2655</v>
      </c>
    </row>
    <row r="2657" spans="13:14" x14ac:dyDescent="0.5">
      <c r="M2657" s="2">
        <v>2656</v>
      </c>
    </row>
    <row r="2658" spans="13:14" x14ac:dyDescent="0.5">
      <c r="M2658" s="2">
        <v>2657</v>
      </c>
      <c r="N2658" s="2" t="s">
        <v>3446</v>
      </c>
    </row>
    <row r="2659" spans="13:14" x14ac:dyDescent="0.5">
      <c r="M2659" s="2">
        <v>2658</v>
      </c>
    </row>
    <row r="2660" spans="13:14" x14ac:dyDescent="0.5">
      <c r="M2660" s="2">
        <v>2659</v>
      </c>
      <c r="N2660" s="2" t="s">
        <v>3446</v>
      </c>
    </row>
    <row r="2661" spans="13:14" x14ac:dyDescent="0.5">
      <c r="M2661" s="2">
        <v>2660</v>
      </c>
    </row>
    <row r="2662" spans="13:14" x14ac:dyDescent="0.5">
      <c r="M2662" s="2">
        <v>2661</v>
      </c>
      <c r="N2662" s="2" t="s">
        <v>3446</v>
      </c>
    </row>
    <row r="2663" spans="13:14" x14ac:dyDescent="0.5">
      <c r="M2663" s="2">
        <v>2662</v>
      </c>
      <c r="N2663" s="2" t="s">
        <v>3446</v>
      </c>
    </row>
    <row r="2664" spans="13:14" x14ac:dyDescent="0.5">
      <c r="M2664" s="2">
        <v>2663</v>
      </c>
    </row>
    <row r="2665" spans="13:14" x14ac:dyDescent="0.5">
      <c r="M2665" s="2">
        <v>2664</v>
      </c>
      <c r="N2665" s="2" t="s">
        <v>3446</v>
      </c>
    </row>
    <row r="2666" spans="13:14" x14ac:dyDescent="0.5">
      <c r="M2666" s="2">
        <v>2665</v>
      </c>
    </row>
    <row r="2667" spans="13:14" x14ac:dyDescent="0.5">
      <c r="M2667" s="2">
        <v>2666</v>
      </c>
      <c r="N2667" s="2" t="s">
        <v>3446</v>
      </c>
    </row>
    <row r="2668" spans="13:14" x14ac:dyDescent="0.5">
      <c r="M2668" s="2">
        <v>2667</v>
      </c>
    </row>
    <row r="2669" spans="13:14" x14ac:dyDescent="0.5">
      <c r="M2669" s="2">
        <v>2668</v>
      </c>
      <c r="N2669" s="2" t="s">
        <v>3446</v>
      </c>
    </row>
    <row r="2670" spans="13:14" x14ac:dyDescent="0.5">
      <c r="M2670" s="2">
        <v>2669</v>
      </c>
      <c r="N2670" s="2" t="s">
        <v>3446</v>
      </c>
    </row>
    <row r="2671" spans="13:14" x14ac:dyDescent="0.5">
      <c r="M2671" s="2">
        <v>2670</v>
      </c>
      <c r="N2671" s="2" t="s">
        <v>3446</v>
      </c>
    </row>
    <row r="2672" spans="13:14" x14ac:dyDescent="0.5">
      <c r="M2672" s="2">
        <v>2671</v>
      </c>
    </row>
    <row r="2673" spans="13:14" x14ac:dyDescent="0.5">
      <c r="M2673" s="2">
        <v>2672</v>
      </c>
      <c r="N2673" s="2" t="s">
        <v>3446</v>
      </c>
    </row>
    <row r="2674" spans="13:14" x14ac:dyDescent="0.5">
      <c r="M2674" s="2">
        <v>2673</v>
      </c>
      <c r="N2674" s="2" t="s">
        <v>3446</v>
      </c>
    </row>
    <row r="2675" spans="13:14" x14ac:dyDescent="0.5">
      <c r="M2675" s="2">
        <v>2674</v>
      </c>
      <c r="N2675" s="2" t="s">
        <v>3446</v>
      </c>
    </row>
    <row r="2676" spans="13:14" x14ac:dyDescent="0.5">
      <c r="M2676" s="2">
        <v>2675</v>
      </c>
    </row>
    <row r="2677" spans="13:14" x14ac:dyDescent="0.5">
      <c r="M2677" s="2">
        <v>2676</v>
      </c>
      <c r="N2677" s="2" t="s">
        <v>3446</v>
      </c>
    </row>
    <row r="2678" spans="13:14" x14ac:dyDescent="0.5">
      <c r="M2678" s="2">
        <v>2677</v>
      </c>
      <c r="N2678" s="2" t="s">
        <v>3446</v>
      </c>
    </row>
    <row r="2679" spans="13:14" x14ac:dyDescent="0.5">
      <c r="M2679" s="2">
        <v>2678</v>
      </c>
      <c r="N2679" s="2" t="s">
        <v>3446</v>
      </c>
    </row>
    <row r="2680" spans="13:14" x14ac:dyDescent="0.5">
      <c r="M2680" s="2">
        <v>2679</v>
      </c>
      <c r="N2680" s="2" t="s">
        <v>3446</v>
      </c>
    </row>
    <row r="2681" spans="13:14" x14ac:dyDescent="0.5">
      <c r="M2681" s="2">
        <v>2680</v>
      </c>
      <c r="N2681" s="2" t="s">
        <v>3446</v>
      </c>
    </row>
    <row r="2682" spans="13:14" x14ac:dyDescent="0.5">
      <c r="M2682" s="2">
        <v>2681</v>
      </c>
      <c r="N2682" s="2" t="s">
        <v>3446</v>
      </c>
    </row>
    <row r="2683" spans="13:14" x14ac:dyDescent="0.5">
      <c r="M2683" s="2">
        <v>2682</v>
      </c>
      <c r="N2683" s="2" t="s">
        <v>3446</v>
      </c>
    </row>
    <row r="2684" spans="13:14" x14ac:dyDescent="0.5">
      <c r="M2684" s="2">
        <v>2683</v>
      </c>
      <c r="N2684" s="2" t="s">
        <v>3446</v>
      </c>
    </row>
    <row r="2685" spans="13:14" x14ac:dyDescent="0.5">
      <c r="M2685" s="2">
        <v>2684</v>
      </c>
      <c r="N2685" s="2" t="s">
        <v>3446</v>
      </c>
    </row>
    <row r="2686" spans="13:14" x14ac:dyDescent="0.5">
      <c r="M2686" s="2">
        <v>2685</v>
      </c>
    </row>
    <row r="2687" spans="13:14" x14ac:dyDescent="0.5">
      <c r="M2687" s="2">
        <v>2686</v>
      </c>
      <c r="N2687" s="2" t="s">
        <v>3446</v>
      </c>
    </row>
    <row r="2688" spans="13:14" x14ac:dyDescent="0.5">
      <c r="M2688" s="2">
        <v>2687</v>
      </c>
      <c r="N2688" s="2" t="s">
        <v>3446</v>
      </c>
    </row>
    <row r="2689" spans="13:14" x14ac:dyDescent="0.5">
      <c r="M2689" s="2">
        <v>2688</v>
      </c>
    </row>
    <row r="2690" spans="13:14" x14ac:dyDescent="0.5">
      <c r="M2690" s="2">
        <v>2689</v>
      </c>
    </row>
    <row r="2691" spans="13:14" x14ac:dyDescent="0.5">
      <c r="M2691" s="2">
        <v>2690</v>
      </c>
    </row>
    <row r="2692" spans="13:14" x14ac:dyDescent="0.5">
      <c r="M2692" s="2">
        <v>2691</v>
      </c>
    </row>
    <row r="2693" spans="13:14" x14ac:dyDescent="0.5">
      <c r="M2693" s="2">
        <v>2692</v>
      </c>
    </row>
    <row r="2694" spans="13:14" x14ac:dyDescent="0.5">
      <c r="M2694" s="2">
        <v>2693</v>
      </c>
    </row>
    <row r="2695" spans="13:14" x14ac:dyDescent="0.5">
      <c r="M2695" s="2">
        <v>2694</v>
      </c>
    </row>
    <row r="2696" spans="13:14" x14ac:dyDescent="0.5">
      <c r="M2696" s="2">
        <v>2695</v>
      </c>
    </row>
    <row r="2697" spans="13:14" x14ac:dyDescent="0.5">
      <c r="M2697" s="2">
        <v>2696</v>
      </c>
    </row>
    <row r="2698" spans="13:14" x14ac:dyDescent="0.5">
      <c r="M2698" s="2">
        <v>2697</v>
      </c>
    </row>
    <row r="2699" spans="13:14" x14ac:dyDescent="0.5">
      <c r="M2699" s="2">
        <v>2698</v>
      </c>
    </row>
    <row r="2700" spans="13:14" x14ac:dyDescent="0.5">
      <c r="M2700" s="2">
        <v>2699</v>
      </c>
      <c r="N2700" s="2" t="s">
        <v>3446</v>
      </c>
    </row>
    <row r="2701" spans="13:14" x14ac:dyDescent="0.5">
      <c r="M2701" s="2">
        <v>2700</v>
      </c>
    </row>
    <row r="2702" spans="13:14" x14ac:dyDescent="0.5">
      <c r="M2702" s="2">
        <v>2701</v>
      </c>
    </row>
    <row r="2703" spans="13:14" x14ac:dyDescent="0.5">
      <c r="M2703" s="2">
        <v>2702</v>
      </c>
      <c r="N2703" s="2" t="s">
        <v>3446</v>
      </c>
    </row>
    <row r="2704" spans="13:14" x14ac:dyDescent="0.5">
      <c r="M2704" s="2">
        <v>2703</v>
      </c>
      <c r="N2704" s="2" t="s">
        <v>3446</v>
      </c>
    </row>
    <row r="2705" spans="13:14" x14ac:dyDescent="0.5">
      <c r="M2705" s="2">
        <v>2704</v>
      </c>
      <c r="N2705" s="2" t="s">
        <v>3446</v>
      </c>
    </row>
    <row r="2706" spans="13:14" x14ac:dyDescent="0.5">
      <c r="M2706" s="2">
        <v>2705</v>
      </c>
      <c r="N2706" s="2" t="s">
        <v>3446</v>
      </c>
    </row>
    <row r="2707" spans="13:14" x14ac:dyDescent="0.5">
      <c r="M2707" s="2">
        <v>2706</v>
      </c>
    </row>
    <row r="2708" spans="13:14" x14ac:dyDescent="0.5">
      <c r="M2708" s="2">
        <v>2707</v>
      </c>
      <c r="N2708" s="2" t="s">
        <v>3446</v>
      </c>
    </row>
    <row r="2709" spans="13:14" x14ac:dyDescent="0.5">
      <c r="M2709" s="2">
        <v>2708</v>
      </c>
      <c r="N2709" s="2" t="s">
        <v>3446</v>
      </c>
    </row>
    <row r="2710" spans="13:14" x14ac:dyDescent="0.5">
      <c r="M2710" s="2">
        <v>2709</v>
      </c>
      <c r="N2710" s="2" t="s">
        <v>3446</v>
      </c>
    </row>
    <row r="2711" spans="13:14" x14ac:dyDescent="0.5">
      <c r="M2711" s="2">
        <v>2710</v>
      </c>
      <c r="N2711" s="2" t="s">
        <v>3446</v>
      </c>
    </row>
    <row r="2712" spans="13:14" x14ac:dyDescent="0.5">
      <c r="M2712" s="2">
        <v>2711</v>
      </c>
      <c r="N2712" s="2" t="s">
        <v>3446</v>
      </c>
    </row>
    <row r="2713" spans="13:14" x14ac:dyDescent="0.5">
      <c r="M2713" s="2">
        <v>2712</v>
      </c>
      <c r="N2713" s="2" t="s">
        <v>3446</v>
      </c>
    </row>
    <row r="2714" spans="13:14" x14ac:dyDescent="0.5">
      <c r="M2714" s="2">
        <v>2713</v>
      </c>
      <c r="N2714" s="2" t="s">
        <v>3446</v>
      </c>
    </row>
    <row r="2715" spans="13:14" x14ac:dyDescent="0.5">
      <c r="M2715" s="2">
        <v>2714</v>
      </c>
      <c r="N2715" s="2" t="s">
        <v>3446</v>
      </c>
    </row>
    <row r="2716" spans="13:14" x14ac:dyDescent="0.5">
      <c r="M2716" s="2">
        <v>2715</v>
      </c>
      <c r="N2716" s="2" t="s">
        <v>3446</v>
      </c>
    </row>
    <row r="2717" spans="13:14" x14ac:dyDescent="0.5">
      <c r="M2717" s="2">
        <v>2716</v>
      </c>
      <c r="N2717" s="2" t="s">
        <v>3446</v>
      </c>
    </row>
    <row r="2718" spans="13:14" x14ac:dyDescent="0.5">
      <c r="M2718" s="2">
        <v>2717</v>
      </c>
    </row>
    <row r="2719" spans="13:14" x14ac:dyDescent="0.5">
      <c r="M2719" s="2">
        <v>2718</v>
      </c>
    </row>
    <row r="2720" spans="13:14" x14ac:dyDescent="0.5">
      <c r="M2720" s="2">
        <v>2719</v>
      </c>
      <c r="N2720" s="2" t="s">
        <v>3446</v>
      </c>
    </row>
    <row r="2721" spans="13:14" x14ac:dyDescent="0.5">
      <c r="M2721" s="2">
        <v>2720</v>
      </c>
    </row>
    <row r="2722" spans="13:14" x14ac:dyDescent="0.5">
      <c r="M2722" s="2">
        <v>2721</v>
      </c>
    </row>
    <row r="2723" spans="13:14" x14ac:dyDescent="0.5">
      <c r="M2723" s="2">
        <v>2722</v>
      </c>
    </row>
    <row r="2724" spans="13:14" x14ac:dyDescent="0.5">
      <c r="M2724" s="2">
        <v>2723</v>
      </c>
    </row>
    <row r="2725" spans="13:14" x14ac:dyDescent="0.5">
      <c r="M2725" s="2">
        <v>2724</v>
      </c>
    </row>
    <row r="2726" spans="13:14" x14ac:dyDescent="0.5">
      <c r="M2726" s="2">
        <v>2725</v>
      </c>
    </row>
    <row r="2727" spans="13:14" x14ac:dyDescent="0.5">
      <c r="M2727" s="2">
        <v>2726</v>
      </c>
    </row>
    <row r="2728" spans="13:14" x14ac:dyDescent="0.5">
      <c r="M2728" s="2">
        <v>2727</v>
      </c>
    </row>
    <row r="2729" spans="13:14" x14ac:dyDescent="0.5">
      <c r="M2729" s="2">
        <v>2728</v>
      </c>
      <c r="N2729" s="2" t="s">
        <v>3446</v>
      </c>
    </row>
    <row r="2730" spans="13:14" x14ac:dyDescent="0.5">
      <c r="M2730" s="2">
        <v>2729</v>
      </c>
      <c r="N2730" s="2" t="s">
        <v>3446</v>
      </c>
    </row>
    <row r="2731" spans="13:14" x14ac:dyDescent="0.5">
      <c r="M2731" s="2">
        <v>2730</v>
      </c>
      <c r="N2731" s="2" t="s">
        <v>3446</v>
      </c>
    </row>
    <row r="2732" spans="13:14" x14ac:dyDescent="0.5">
      <c r="M2732" s="2">
        <v>2731</v>
      </c>
      <c r="N2732" s="2" t="s">
        <v>3446</v>
      </c>
    </row>
    <row r="2733" spans="13:14" x14ac:dyDescent="0.5">
      <c r="M2733" s="2">
        <v>2732</v>
      </c>
    </row>
    <row r="2734" spans="13:14" x14ac:dyDescent="0.5">
      <c r="M2734" s="2">
        <v>2733</v>
      </c>
    </row>
    <row r="2735" spans="13:14" x14ac:dyDescent="0.5">
      <c r="M2735" s="2">
        <v>2734</v>
      </c>
    </row>
    <row r="2736" spans="13:14" x14ac:dyDescent="0.5">
      <c r="M2736" s="2">
        <v>2735</v>
      </c>
    </row>
    <row r="2737" spans="13:13" x14ac:dyDescent="0.5">
      <c r="M2737" s="2">
        <v>2736</v>
      </c>
    </row>
    <row r="2738" spans="13:13" x14ac:dyDescent="0.5">
      <c r="M2738" s="2">
        <v>2737</v>
      </c>
    </row>
    <row r="2739" spans="13:13" x14ac:dyDescent="0.5">
      <c r="M2739" s="2">
        <v>2738</v>
      </c>
    </row>
    <row r="2740" spans="13:13" x14ac:dyDescent="0.5">
      <c r="M2740" s="2">
        <v>2739</v>
      </c>
    </row>
    <row r="2741" spans="13:13" x14ac:dyDescent="0.5">
      <c r="M2741" s="2">
        <v>2740</v>
      </c>
    </row>
    <row r="2742" spans="13:13" x14ac:dyDescent="0.5">
      <c r="M2742" s="2">
        <v>2741</v>
      </c>
    </row>
    <row r="2743" spans="13:13" x14ac:dyDescent="0.5">
      <c r="M2743" s="2">
        <v>2742</v>
      </c>
    </row>
    <row r="2744" spans="13:13" x14ac:dyDescent="0.5">
      <c r="M2744" s="2">
        <v>2743</v>
      </c>
    </row>
    <row r="2745" spans="13:13" x14ac:dyDescent="0.5">
      <c r="M2745" s="2">
        <v>2744</v>
      </c>
    </row>
    <row r="2746" spans="13:13" x14ac:dyDescent="0.5">
      <c r="M2746" s="2">
        <v>2745</v>
      </c>
    </row>
    <row r="2747" spans="13:13" x14ac:dyDescent="0.5">
      <c r="M2747" s="2">
        <v>2746</v>
      </c>
    </row>
    <row r="2748" spans="13:13" x14ac:dyDescent="0.5">
      <c r="M2748" s="2">
        <v>2747</v>
      </c>
    </row>
    <row r="2749" spans="13:13" x14ac:dyDescent="0.5">
      <c r="M2749" s="2">
        <v>2748</v>
      </c>
    </row>
    <row r="2750" spans="13:13" x14ac:dyDescent="0.5">
      <c r="M2750" s="2">
        <v>2749</v>
      </c>
    </row>
    <row r="2751" spans="13:13" x14ac:dyDescent="0.5">
      <c r="M2751" s="2">
        <v>2750</v>
      </c>
    </row>
    <row r="2752" spans="13:13" x14ac:dyDescent="0.5">
      <c r="M2752" s="2">
        <v>2751</v>
      </c>
    </row>
    <row r="2753" spans="13:14" x14ac:dyDescent="0.5">
      <c r="M2753" s="2">
        <v>2752</v>
      </c>
    </row>
    <row r="2754" spans="13:14" x14ac:dyDescent="0.5">
      <c r="M2754" s="2">
        <v>2753</v>
      </c>
    </row>
    <row r="2755" spans="13:14" x14ac:dyDescent="0.5">
      <c r="M2755" s="2">
        <v>2754</v>
      </c>
    </row>
    <row r="2756" spans="13:14" x14ac:dyDescent="0.5">
      <c r="M2756" s="2">
        <v>2755</v>
      </c>
    </row>
    <row r="2757" spans="13:14" x14ac:dyDescent="0.5">
      <c r="M2757" s="2">
        <v>2756</v>
      </c>
    </row>
    <row r="2758" spans="13:14" x14ac:dyDescent="0.5">
      <c r="M2758" s="2">
        <v>2757</v>
      </c>
    </row>
    <row r="2759" spans="13:14" x14ac:dyDescent="0.5">
      <c r="M2759" s="2">
        <v>2758</v>
      </c>
    </row>
    <row r="2760" spans="13:14" x14ac:dyDescent="0.5">
      <c r="M2760" s="2">
        <v>2759</v>
      </c>
    </row>
    <row r="2761" spans="13:14" x14ac:dyDescent="0.5">
      <c r="M2761" s="2">
        <v>2760</v>
      </c>
      <c r="N2761" s="2" t="s">
        <v>3446</v>
      </c>
    </row>
    <row r="2762" spans="13:14" x14ac:dyDescent="0.5">
      <c r="M2762" s="2">
        <v>2761</v>
      </c>
    </row>
    <row r="2763" spans="13:14" x14ac:dyDescent="0.5">
      <c r="M2763" s="2">
        <v>2762</v>
      </c>
      <c r="N2763" s="2" t="s">
        <v>3446</v>
      </c>
    </row>
    <row r="2764" spans="13:14" x14ac:dyDescent="0.5">
      <c r="M2764" s="2">
        <v>2763</v>
      </c>
      <c r="N2764" s="2" t="s">
        <v>3446</v>
      </c>
    </row>
    <row r="2765" spans="13:14" x14ac:dyDescent="0.5">
      <c r="M2765" s="2">
        <v>2764</v>
      </c>
      <c r="N2765" s="2" t="s">
        <v>3446</v>
      </c>
    </row>
    <row r="2766" spans="13:14" x14ac:dyDescent="0.5">
      <c r="M2766" s="2">
        <v>2765</v>
      </c>
      <c r="N2766" s="2" t="s">
        <v>3446</v>
      </c>
    </row>
    <row r="2767" spans="13:14" x14ac:dyDescent="0.5">
      <c r="M2767" s="2">
        <v>2766</v>
      </c>
    </row>
    <row r="2768" spans="13:14" x14ac:dyDescent="0.5">
      <c r="M2768" s="2">
        <v>2767</v>
      </c>
    </row>
    <row r="2769" spans="13:14" x14ac:dyDescent="0.5">
      <c r="M2769" s="2">
        <v>2768</v>
      </c>
    </row>
    <row r="2770" spans="13:14" x14ac:dyDescent="0.5">
      <c r="M2770" s="2">
        <v>2769</v>
      </c>
    </row>
    <row r="2771" spans="13:14" x14ac:dyDescent="0.5">
      <c r="M2771" s="2">
        <v>2770</v>
      </c>
    </row>
    <row r="2772" spans="13:14" x14ac:dyDescent="0.5">
      <c r="M2772" s="2">
        <v>2771</v>
      </c>
    </row>
    <row r="2773" spans="13:14" x14ac:dyDescent="0.5">
      <c r="M2773" s="2">
        <v>2772</v>
      </c>
    </row>
    <row r="2774" spans="13:14" x14ac:dyDescent="0.5">
      <c r="M2774" s="2">
        <v>2773</v>
      </c>
    </row>
    <row r="2775" spans="13:14" x14ac:dyDescent="0.5">
      <c r="M2775" s="2">
        <v>2774</v>
      </c>
    </row>
    <row r="2776" spans="13:14" x14ac:dyDescent="0.5">
      <c r="M2776" s="2">
        <v>2775</v>
      </c>
    </row>
    <row r="2777" spans="13:14" x14ac:dyDescent="0.5">
      <c r="M2777" s="2">
        <v>2776</v>
      </c>
    </row>
    <row r="2778" spans="13:14" x14ac:dyDescent="0.5">
      <c r="M2778" s="2">
        <v>2777</v>
      </c>
    </row>
    <row r="2779" spans="13:14" x14ac:dyDescent="0.5">
      <c r="M2779" s="2">
        <v>2778</v>
      </c>
    </row>
    <row r="2780" spans="13:14" x14ac:dyDescent="0.5">
      <c r="M2780" s="2">
        <v>2779</v>
      </c>
      <c r="N2780" s="2" t="s">
        <v>3446</v>
      </c>
    </row>
    <row r="2781" spans="13:14" x14ac:dyDescent="0.5">
      <c r="M2781" s="2">
        <v>2780</v>
      </c>
    </row>
    <row r="2782" spans="13:14" x14ac:dyDescent="0.5">
      <c r="M2782" s="2">
        <v>2781</v>
      </c>
    </row>
    <row r="2783" spans="13:14" x14ac:dyDescent="0.5">
      <c r="M2783" s="2">
        <v>2782</v>
      </c>
    </row>
    <row r="2784" spans="13:14" x14ac:dyDescent="0.5">
      <c r="M2784" s="2">
        <v>2783</v>
      </c>
    </row>
    <row r="2785" spans="13:13" x14ac:dyDescent="0.5">
      <c r="M2785" s="2">
        <v>2784</v>
      </c>
    </row>
    <row r="2786" spans="13:13" x14ac:dyDescent="0.5">
      <c r="M2786" s="2">
        <v>2785</v>
      </c>
    </row>
    <row r="2787" spans="13:13" x14ac:dyDescent="0.5">
      <c r="M2787" s="2">
        <v>2786</v>
      </c>
    </row>
    <row r="2788" spans="13:13" x14ac:dyDescent="0.5">
      <c r="M2788" s="2">
        <v>2787</v>
      </c>
    </row>
    <row r="2789" spans="13:13" x14ac:dyDescent="0.5">
      <c r="M2789" s="2">
        <v>2788</v>
      </c>
    </row>
    <row r="2790" spans="13:13" x14ac:dyDescent="0.5">
      <c r="M2790" s="2">
        <v>2789</v>
      </c>
    </row>
    <row r="2791" spans="13:13" x14ac:dyDescent="0.5">
      <c r="M2791" s="2">
        <v>2790</v>
      </c>
    </row>
    <row r="2792" spans="13:13" x14ac:dyDescent="0.5">
      <c r="M2792" s="2">
        <v>2791</v>
      </c>
    </row>
    <row r="2793" spans="13:13" x14ac:dyDescent="0.5">
      <c r="M2793" s="2">
        <v>2792</v>
      </c>
    </row>
    <row r="2794" spans="13:13" x14ac:dyDescent="0.5">
      <c r="M2794" s="2">
        <v>2793</v>
      </c>
    </row>
    <row r="2795" spans="13:13" x14ac:dyDescent="0.5">
      <c r="M2795" s="2">
        <v>2794</v>
      </c>
    </row>
    <row r="2796" spans="13:13" x14ac:dyDescent="0.5">
      <c r="M2796" s="2">
        <v>2795</v>
      </c>
    </row>
    <row r="2797" spans="13:13" x14ac:dyDescent="0.5">
      <c r="M2797" s="2">
        <v>2796</v>
      </c>
    </row>
    <row r="2798" spans="13:13" x14ac:dyDescent="0.5">
      <c r="M2798" s="2">
        <v>2797</v>
      </c>
    </row>
    <row r="2799" spans="13:13" x14ac:dyDescent="0.5">
      <c r="M2799" s="2">
        <v>2798</v>
      </c>
    </row>
    <row r="2800" spans="13:13" x14ac:dyDescent="0.5">
      <c r="M2800" s="2">
        <v>2799</v>
      </c>
    </row>
    <row r="2801" spans="13:13" x14ac:dyDescent="0.5">
      <c r="M2801" s="2">
        <v>2800</v>
      </c>
    </row>
    <row r="2802" spans="13:13" x14ac:dyDescent="0.5">
      <c r="M2802" s="2">
        <v>2801</v>
      </c>
    </row>
    <row r="2803" spans="13:13" x14ac:dyDescent="0.5">
      <c r="M2803" s="2">
        <v>2802</v>
      </c>
    </row>
    <row r="2804" spans="13:13" x14ac:dyDescent="0.5">
      <c r="M2804" s="2">
        <v>2803</v>
      </c>
    </row>
    <row r="2805" spans="13:13" x14ac:dyDescent="0.5">
      <c r="M2805" s="2">
        <v>2804</v>
      </c>
    </row>
    <row r="2806" spans="13:13" x14ac:dyDescent="0.5">
      <c r="M2806" s="2">
        <v>2805</v>
      </c>
    </row>
    <row r="2807" spans="13:13" x14ac:dyDescent="0.5">
      <c r="M2807" s="2">
        <v>2806</v>
      </c>
    </row>
    <row r="2808" spans="13:13" x14ac:dyDescent="0.5">
      <c r="M2808" s="2">
        <v>2807</v>
      </c>
    </row>
    <row r="2809" spans="13:13" x14ac:dyDescent="0.5">
      <c r="M2809" s="2">
        <v>2808</v>
      </c>
    </row>
    <row r="2810" spans="13:13" x14ac:dyDescent="0.5">
      <c r="M2810" s="2">
        <v>2809</v>
      </c>
    </row>
    <row r="2811" spans="13:13" x14ac:dyDescent="0.5">
      <c r="M2811" s="2">
        <v>2810</v>
      </c>
    </row>
    <row r="2812" spans="13:13" x14ac:dyDescent="0.5">
      <c r="M2812" s="2">
        <v>2811</v>
      </c>
    </row>
    <row r="2813" spans="13:13" x14ac:dyDescent="0.5">
      <c r="M2813" s="2">
        <v>2812</v>
      </c>
    </row>
    <row r="2814" spans="13:13" x14ac:dyDescent="0.5">
      <c r="M2814" s="2">
        <v>2813</v>
      </c>
    </row>
    <row r="2815" spans="13:13" x14ac:dyDescent="0.5">
      <c r="M2815" s="2">
        <v>2814</v>
      </c>
    </row>
    <row r="2816" spans="13:13" x14ac:dyDescent="0.5">
      <c r="M2816" s="2">
        <v>2815</v>
      </c>
    </row>
    <row r="2817" spans="13:14" x14ac:dyDescent="0.5">
      <c r="M2817" s="2">
        <v>2816</v>
      </c>
    </row>
    <row r="2818" spans="13:14" x14ac:dyDescent="0.5">
      <c r="M2818" s="2">
        <v>2817</v>
      </c>
    </row>
    <row r="2819" spans="13:14" x14ac:dyDescent="0.5">
      <c r="M2819" s="2">
        <v>2818</v>
      </c>
    </row>
    <row r="2820" spans="13:14" x14ac:dyDescent="0.5">
      <c r="M2820" s="2">
        <v>2819</v>
      </c>
    </row>
    <row r="2821" spans="13:14" x14ac:dyDescent="0.5">
      <c r="M2821" s="2">
        <v>2820</v>
      </c>
    </row>
    <row r="2822" spans="13:14" x14ac:dyDescent="0.5">
      <c r="M2822" s="2">
        <v>2821</v>
      </c>
    </row>
    <row r="2823" spans="13:14" x14ac:dyDescent="0.5">
      <c r="M2823" s="2">
        <v>2822</v>
      </c>
    </row>
    <row r="2824" spans="13:14" x14ac:dyDescent="0.5">
      <c r="M2824" s="2">
        <v>2823</v>
      </c>
    </row>
    <row r="2825" spans="13:14" x14ac:dyDescent="0.5">
      <c r="M2825" s="2">
        <v>2824</v>
      </c>
    </row>
    <row r="2826" spans="13:14" x14ac:dyDescent="0.5">
      <c r="M2826" s="2">
        <v>2825</v>
      </c>
    </row>
    <row r="2827" spans="13:14" x14ac:dyDescent="0.5">
      <c r="M2827" s="2">
        <v>2826</v>
      </c>
      <c r="N2827" s="2" t="s">
        <v>3446</v>
      </c>
    </row>
    <row r="2828" spans="13:14" x14ac:dyDescent="0.5">
      <c r="M2828" s="2">
        <v>2827</v>
      </c>
    </row>
    <row r="2829" spans="13:14" x14ac:dyDescent="0.5">
      <c r="M2829" s="2">
        <v>2828</v>
      </c>
    </row>
    <row r="2830" spans="13:14" x14ac:dyDescent="0.5">
      <c r="M2830" s="2">
        <v>2829</v>
      </c>
    </row>
    <row r="2831" spans="13:14" x14ac:dyDescent="0.5">
      <c r="M2831" s="2">
        <v>2830</v>
      </c>
    </row>
    <row r="2832" spans="13:14" x14ac:dyDescent="0.5">
      <c r="M2832" s="2">
        <v>2831</v>
      </c>
    </row>
    <row r="2833" spans="13:14" x14ac:dyDescent="0.5">
      <c r="M2833" s="2">
        <v>2832</v>
      </c>
    </row>
    <row r="2834" spans="13:14" x14ac:dyDescent="0.5">
      <c r="M2834" s="2">
        <v>2833</v>
      </c>
    </row>
    <row r="2835" spans="13:14" x14ac:dyDescent="0.5">
      <c r="M2835" s="2">
        <v>2834</v>
      </c>
    </row>
    <row r="2836" spans="13:14" x14ac:dyDescent="0.5">
      <c r="M2836" s="2">
        <v>2835</v>
      </c>
    </row>
    <row r="2837" spans="13:14" x14ac:dyDescent="0.5">
      <c r="M2837" s="2">
        <v>2836</v>
      </c>
    </row>
    <row r="2838" spans="13:14" x14ac:dyDescent="0.5">
      <c r="M2838" s="2">
        <v>2837</v>
      </c>
      <c r="N2838" s="2" t="s">
        <v>3446</v>
      </c>
    </row>
    <row r="2839" spans="13:14" x14ac:dyDescent="0.5">
      <c r="M2839" s="2">
        <v>2838</v>
      </c>
    </row>
    <row r="2840" spans="13:14" x14ac:dyDescent="0.5">
      <c r="M2840" s="2">
        <v>2839</v>
      </c>
    </row>
    <row r="2841" spans="13:14" x14ac:dyDescent="0.5">
      <c r="M2841" s="2">
        <v>2840</v>
      </c>
    </row>
    <row r="2842" spans="13:14" x14ac:dyDescent="0.5">
      <c r="M2842" s="2">
        <v>2841</v>
      </c>
    </row>
    <row r="2843" spans="13:14" x14ac:dyDescent="0.5">
      <c r="M2843" s="2">
        <v>2842</v>
      </c>
    </row>
    <row r="2844" spans="13:14" x14ac:dyDescent="0.5">
      <c r="M2844" s="2">
        <v>2843</v>
      </c>
    </row>
    <row r="2845" spans="13:14" x14ac:dyDescent="0.5">
      <c r="M2845" s="2">
        <v>2844</v>
      </c>
    </row>
    <row r="2846" spans="13:14" x14ac:dyDescent="0.5">
      <c r="M2846" s="2">
        <v>2845</v>
      </c>
    </row>
    <row r="2847" spans="13:14" x14ac:dyDescent="0.5">
      <c r="M2847" s="2">
        <v>2846</v>
      </c>
    </row>
    <row r="2848" spans="13:14" x14ac:dyDescent="0.5">
      <c r="M2848" s="2">
        <v>2847</v>
      </c>
    </row>
    <row r="2849" spans="13:13" x14ac:dyDescent="0.5">
      <c r="M2849" s="2">
        <v>2848</v>
      </c>
    </row>
    <row r="2850" spans="13:13" x14ac:dyDescent="0.5">
      <c r="M2850" s="2">
        <v>2849</v>
      </c>
    </row>
    <row r="2851" spans="13:13" x14ac:dyDescent="0.5">
      <c r="M2851" s="2">
        <v>2850</v>
      </c>
    </row>
    <row r="2852" spans="13:13" x14ac:dyDescent="0.5">
      <c r="M2852" s="2">
        <v>2851</v>
      </c>
    </row>
    <row r="2853" spans="13:13" x14ac:dyDescent="0.5">
      <c r="M2853" s="2">
        <v>2852</v>
      </c>
    </row>
    <row r="2854" spans="13:13" x14ac:dyDescent="0.5">
      <c r="M2854" s="2">
        <v>2853</v>
      </c>
    </row>
    <row r="2855" spans="13:13" x14ac:dyDescent="0.5">
      <c r="M2855" s="2">
        <v>2854</v>
      </c>
    </row>
    <row r="2856" spans="13:13" x14ac:dyDescent="0.5">
      <c r="M2856" s="2">
        <v>2855</v>
      </c>
    </row>
    <row r="2857" spans="13:13" x14ac:dyDescent="0.5">
      <c r="M2857" s="2">
        <v>2856</v>
      </c>
    </row>
    <row r="2858" spans="13:13" x14ac:dyDescent="0.5">
      <c r="M2858" s="2">
        <v>2857</v>
      </c>
    </row>
    <row r="2859" spans="13:13" x14ac:dyDescent="0.5">
      <c r="M2859" s="2">
        <v>2858</v>
      </c>
    </row>
    <row r="2860" spans="13:13" x14ac:dyDescent="0.5">
      <c r="M2860" s="2">
        <v>2859</v>
      </c>
    </row>
    <row r="2861" spans="13:13" x14ac:dyDescent="0.5">
      <c r="M2861" s="2">
        <v>2860</v>
      </c>
    </row>
    <row r="2862" spans="13:13" x14ac:dyDescent="0.5">
      <c r="M2862" s="2">
        <v>2861</v>
      </c>
    </row>
    <row r="2863" spans="13:13" x14ac:dyDescent="0.5">
      <c r="M2863" s="2">
        <v>2862</v>
      </c>
    </row>
    <row r="2864" spans="13:13" x14ac:dyDescent="0.5">
      <c r="M2864" s="2">
        <v>2863</v>
      </c>
    </row>
    <row r="2865" spans="13:14" x14ac:dyDescent="0.5">
      <c r="M2865" s="2">
        <v>2864</v>
      </c>
    </row>
    <row r="2866" spans="13:14" x14ac:dyDescent="0.5">
      <c r="M2866" s="2">
        <v>2865</v>
      </c>
    </row>
    <row r="2867" spans="13:14" x14ac:dyDescent="0.5">
      <c r="M2867" s="2">
        <v>2866</v>
      </c>
    </row>
    <row r="2868" spans="13:14" x14ac:dyDescent="0.5">
      <c r="M2868" s="2">
        <v>2867</v>
      </c>
    </row>
    <row r="2869" spans="13:14" x14ac:dyDescent="0.5">
      <c r="M2869" s="2">
        <v>2868</v>
      </c>
    </row>
    <row r="2870" spans="13:14" x14ac:dyDescent="0.5">
      <c r="M2870" s="2">
        <v>2869</v>
      </c>
    </row>
    <row r="2871" spans="13:14" x14ac:dyDescent="0.5">
      <c r="M2871" s="2">
        <v>2870</v>
      </c>
    </row>
    <row r="2872" spans="13:14" x14ac:dyDescent="0.5">
      <c r="M2872" s="2">
        <v>2871</v>
      </c>
    </row>
    <row r="2873" spans="13:14" x14ac:dyDescent="0.5">
      <c r="M2873" s="2">
        <v>2872</v>
      </c>
    </row>
    <row r="2874" spans="13:14" x14ac:dyDescent="0.5">
      <c r="M2874" s="2">
        <v>2873</v>
      </c>
    </row>
    <row r="2875" spans="13:14" x14ac:dyDescent="0.5">
      <c r="M2875" s="2">
        <v>2874</v>
      </c>
      <c r="N2875" s="2" t="s">
        <v>3446</v>
      </c>
    </row>
    <row r="2876" spans="13:14" x14ac:dyDescent="0.5">
      <c r="M2876" s="2">
        <v>2875</v>
      </c>
      <c r="N2876" s="2" t="s">
        <v>3446</v>
      </c>
    </row>
    <row r="2877" spans="13:14" x14ac:dyDescent="0.5">
      <c r="M2877" s="2">
        <v>2876</v>
      </c>
      <c r="N2877" s="2" t="s">
        <v>3446</v>
      </c>
    </row>
    <row r="2878" spans="13:14" x14ac:dyDescent="0.5">
      <c r="M2878" s="2">
        <v>2877</v>
      </c>
    </row>
    <row r="2879" spans="13:14" x14ac:dyDescent="0.5">
      <c r="M2879" s="2">
        <v>2878</v>
      </c>
      <c r="N2879" s="2" t="s">
        <v>3446</v>
      </c>
    </row>
    <row r="2880" spans="13:14" x14ac:dyDescent="0.5">
      <c r="M2880" s="2">
        <v>2879</v>
      </c>
      <c r="N2880" s="2" t="s">
        <v>3446</v>
      </c>
    </row>
    <row r="2881" spans="13:14" x14ac:dyDescent="0.5">
      <c r="M2881" s="2">
        <v>2880</v>
      </c>
      <c r="N2881" s="2" t="s">
        <v>3446</v>
      </c>
    </row>
    <row r="2882" spans="13:14" x14ac:dyDescent="0.5">
      <c r="M2882" s="2">
        <v>2881</v>
      </c>
    </row>
    <row r="2883" spans="13:14" x14ac:dyDescent="0.5">
      <c r="M2883" s="2">
        <v>2882</v>
      </c>
    </row>
    <row r="2884" spans="13:14" x14ac:dyDescent="0.5">
      <c r="M2884" s="2">
        <v>2883</v>
      </c>
    </row>
    <row r="2885" spans="13:14" x14ac:dyDescent="0.5">
      <c r="M2885" s="2">
        <v>2884</v>
      </c>
    </row>
    <row r="2886" spans="13:14" x14ac:dyDescent="0.5">
      <c r="M2886" s="2">
        <v>2885</v>
      </c>
    </row>
    <row r="2887" spans="13:14" x14ac:dyDescent="0.5">
      <c r="M2887" s="2">
        <v>2886</v>
      </c>
    </row>
    <row r="2888" spans="13:14" x14ac:dyDescent="0.5">
      <c r="M2888" s="2">
        <v>2887</v>
      </c>
    </row>
    <row r="2889" spans="13:14" x14ac:dyDescent="0.5">
      <c r="M2889" s="2">
        <v>2888</v>
      </c>
    </row>
    <row r="2890" spans="13:14" x14ac:dyDescent="0.5">
      <c r="M2890" s="2">
        <v>2889</v>
      </c>
    </row>
    <row r="2891" spans="13:14" x14ac:dyDescent="0.5">
      <c r="M2891" s="2">
        <v>2890</v>
      </c>
    </row>
    <row r="2892" spans="13:14" x14ac:dyDescent="0.5">
      <c r="M2892" s="2">
        <v>2891</v>
      </c>
    </row>
    <row r="2893" spans="13:14" x14ac:dyDescent="0.5">
      <c r="M2893" s="2">
        <v>2892</v>
      </c>
    </row>
    <row r="2894" spans="13:14" x14ac:dyDescent="0.5">
      <c r="M2894" s="2">
        <v>2893</v>
      </c>
    </row>
    <row r="2895" spans="13:14" x14ac:dyDescent="0.5">
      <c r="M2895" s="2">
        <v>2894</v>
      </c>
    </row>
    <row r="2896" spans="13:14" x14ac:dyDescent="0.5">
      <c r="M2896" s="2">
        <v>2895</v>
      </c>
    </row>
    <row r="2897" spans="13:13" x14ac:dyDescent="0.5">
      <c r="M2897" s="2">
        <v>2896</v>
      </c>
    </row>
    <row r="2898" spans="13:13" x14ac:dyDescent="0.5">
      <c r="M2898" s="2">
        <v>2897</v>
      </c>
    </row>
    <row r="2899" spans="13:13" x14ac:dyDescent="0.5">
      <c r="M2899" s="2">
        <v>2898</v>
      </c>
    </row>
    <row r="2900" spans="13:13" x14ac:dyDescent="0.5">
      <c r="M2900" s="2">
        <v>2899</v>
      </c>
    </row>
    <row r="2901" spans="13:13" x14ac:dyDescent="0.5">
      <c r="M2901" s="2">
        <v>2900</v>
      </c>
    </row>
    <row r="2902" spans="13:13" x14ac:dyDescent="0.5">
      <c r="M2902" s="2">
        <v>2901</v>
      </c>
    </row>
    <row r="2903" spans="13:13" x14ac:dyDescent="0.5">
      <c r="M2903" s="2">
        <v>2902</v>
      </c>
    </row>
    <row r="2904" spans="13:13" x14ac:dyDescent="0.5">
      <c r="M2904" s="2">
        <v>2903</v>
      </c>
    </row>
    <row r="2905" spans="13:13" x14ac:dyDescent="0.5">
      <c r="M2905" s="2">
        <v>2904</v>
      </c>
    </row>
    <row r="2906" spans="13:13" x14ac:dyDescent="0.5">
      <c r="M2906" s="2">
        <v>2905</v>
      </c>
    </row>
    <row r="2907" spans="13:13" x14ac:dyDescent="0.5">
      <c r="M2907" s="2">
        <v>2906</v>
      </c>
    </row>
    <row r="2908" spans="13:13" x14ac:dyDescent="0.5">
      <c r="M2908" s="2">
        <v>2907</v>
      </c>
    </row>
    <row r="2909" spans="13:13" x14ac:dyDescent="0.5">
      <c r="M2909" s="2">
        <v>2908</v>
      </c>
    </row>
    <row r="2910" spans="13:13" x14ac:dyDescent="0.5">
      <c r="M2910" s="2">
        <v>2909</v>
      </c>
    </row>
    <row r="2911" spans="13:13" x14ac:dyDescent="0.5">
      <c r="M2911" s="2">
        <v>2910</v>
      </c>
    </row>
    <row r="2912" spans="13:13" x14ac:dyDescent="0.5">
      <c r="M2912" s="2">
        <v>2911</v>
      </c>
    </row>
    <row r="2913" spans="13:13" x14ac:dyDescent="0.5">
      <c r="M2913" s="2">
        <v>2912</v>
      </c>
    </row>
    <row r="2914" spans="13:13" x14ac:dyDescent="0.5">
      <c r="M2914" s="2">
        <v>2913</v>
      </c>
    </row>
    <row r="2915" spans="13:13" x14ac:dyDescent="0.5">
      <c r="M2915" s="2">
        <v>2914</v>
      </c>
    </row>
    <row r="2916" spans="13:13" x14ac:dyDescent="0.5">
      <c r="M2916" s="2">
        <v>2915</v>
      </c>
    </row>
    <row r="2917" spans="13:13" x14ac:dyDescent="0.5">
      <c r="M2917" s="2">
        <v>2916</v>
      </c>
    </row>
    <row r="2918" spans="13:13" x14ac:dyDescent="0.5">
      <c r="M2918" s="2">
        <v>2917</v>
      </c>
    </row>
    <row r="2919" spans="13:13" x14ac:dyDescent="0.5">
      <c r="M2919" s="2">
        <v>2918</v>
      </c>
    </row>
    <row r="2920" spans="13:13" x14ac:dyDescent="0.5">
      <c r="M2920" s="2">
        <v>2919</v>
      </c>
    </row>
    <row r="2921" spans="13:13" x14ac:dyDescent="0.5">
      <c r="M2921" s="2">
        <v>2920</v>
      </c>
    </row>
    <row r="2922" spans="13:13" x14ac:dyDescent="0.5">
      <c r="M2922" s="2">
        <v>2921</v>
      </c>
    </row>
    <row r="2923" spans="13:13" x14ac:dyDescent="0.5">
      <c r="M2923" s="2">
        <v>2922</v>
      </c>
    </row>
    <row r="2924" spans="13:13" x14ac:dyDescent="0.5">
      <c r="M2924" s="2">
        <v>2923</v>
      </c>
    </row>
    <row r="2925" spans="13:13" x14ac:dyDescent="0.5">
      <c r="M2925" s="2">
        <v>2924</v>
      </c>
    </row>
    <row r="2926" spans="13:13" x14ac:dyDescent="0.5">
      <c r="M2926" s="2">
        <v>2925</v>
      </c>
    </row>
    <row r="2927" spans="13:13" x14ac:dyDescent="0.5">
      <c r="M2927" s="2">
        <v>2926</v>
      </c>
    </row>
    <row r="2928" spans="13:13" x14ac:dyDescent="0.5">
      <c r="M2928" s="2">
        <v>2927</v>
      </c>
    </row>
    <row r="2929" spans="13:13" x14ac:dyDescent="0.5">
      <c r="M2929" s="2">
        <v>2928</v>
      </c>
    </row>
    <row r="2930" spans="13:13" x14ac:dyDescent="0.5">
      <c r="M2930" s="2">
        <v>2929</v>
      </c>
    </row>
    <row r="2931" spans="13:13" x14ac:dyDescent="0.5">
      <c r="M2931" s="2">
        <v>2930</v>
      </c>
    </row>
    <row r="2932" spans="13:13" x14ac:dyDescent="0.5">
      <c r="M2932" s="2">
        <v>2931</v>
      </c>
    </row>
    <row r="2933" spans="13:13" x14ac:dyDescent="0.5">
      <c r="M2933" s="2">
        <v>2932</v>
      </c>
    </row>
    <row r="2934" spans="13:13" x14ac:dyDescent="0.5">
      <c r="M2934" s="2">
        <v>2933</v>
      </c>
    </row>
    <row r="2935" spans="13:13" x14ac:dyDescent="0.5">
      <c r="M2935" s="2">
        <v>2934</v>
      </c>
    </row>
    <row r="2936" spans="13:13" x14ac:dyDescent="0.5">
      <c r="M2936" s="2">
        <v>2935</v>
      </c>
    </row>
    <row r="2937" spans="13:13" x14ac:dyDescent="0.5">
      <c r="M2937" s="2">
        <v>2936</v>
      </c>
    </row>
    <row r="2938" spans="13:13" x14ac:dyDescent="0.5">
      <c r="M2938" s="2">
        <v>2937</v>
      </c>
    </row>
    <row r="2939" spans="13:13" x14ac:dyDescent="0.5">
      <c r="M2939" s="2">
        <v>2938</v>
      </c>
    </row>
    <row r="2940" spans="13:13" x14ac:dyDescent="0.5">
      <c r="M2940" s="2">
        <v>2939</v>
      </c>
    </row>
    <row r="2941" spans="13:13" x14ac:dyDescent="0.5">
      <c r="M2941" s="2">
        <v>2940</v>
      </c>
    </row>
    <row r="2942" spans="13:13" x14ac:dyDescent="0.5">
      <c r="M2942" s="2">
        <v>2941</v>
      </c>
    </row>
    <row r="2943" spans="13:13" x14ac:dyDescent="0.5">
      <c r="M2943" s="2">
        <v>2942</v>
      </c>
    </row>
    <row r="2944" spans="13:13" x14ac:dyDescent="0.5">
      <c r="M2944" s="2">
        <v>2943</v>
      </c>
    </row>
    <row r="2945" spans="13:14" x14ac:dyDescent="0.5">
      <c r="M2945" s="2">
        <v>2944</v>
      </c>
      <c r="N2945" s="2" t="s">
        <v>3446</v>
      </c>
    </row>
    <row r="2946" spans="13:14" x14ac:dyDescent="0.5">
      <c r="M2946" s="2">
        <v>2945</v>
      </c>
    </row>
    <row r="2947" spans="13:14" x14ac:dyDescent="0.5">
      <c r="M2947" s="2">
        <v>2946</v>
      </c>
    </row>
    <row r="2948" spans="13:14" x14ac:dyDescent="0.5">
      <c r="M2948" s="2">
        <v>2947</v>
      </c>
    </row>
    <row r="2949" spans="13:14" x14ac:dyDescent="0.5">
      <c r="M2949" s="2">
        <v>2948</v>
      </c>
    </row>
    <row r="2950" spans="13:14" x14ac:dyDescent="0.5">
      <c r="M2950" s="2">
        <v>2949</v>
      </c>
    </row>
    <row r="2951" spans="13:14" x14ac:dyDescent="0.5">
      <c r="M2951" s="2">
        <v>2950</v>
      </c>
    </row>
    <row r="2952" spans="13:14" x14ac:dyDescent="0.5">
      <c r="M2952" s="2">
        <v>2951</v>
      </c>
    </row>
    <row r="2953" spans="13:14" x14ac:dyDescent="0.5">
      <c r="M2953" s="2">
        <v>2952</v>
      </c>
    </row>
    <row r="2954" spans="13:14" x14ac:dyDescent="0.5">
      <c r="M2954" s="2">
        <v>2953</v>
      </c>
    </row>
    <row r="2955" spans="13:14" x14ac:dyDescent="0.5">
      <c r="M2955" s="2">
        <v>2954</v>
      </c>
    </row>
    <row r="2956" spans="13:14" x14ac:dyDescent="0.5">
      <c r="M2956" s="2">
        <v>2955</v>
      </c>
    </row>
    <row r="2957" spans="13:14" x14ac:dyDescent="0.5">
      <c r="M2957" s="2">
        <v>2956</v>
      </c>
    </row>
    <row r="2958" spans="13:14" x14ac:dyDescent="0.5">
      <c r="M2958" s="2">
        <v>2957</v>
      </c>
    </row>
    <row r="2959" spans="13:14" x14ac:dyDescent="0.5">
      <c r="M2959" s="2">
        <v>2958</v>
      </c>
    </row>
    <row r="2960" spans="13:14" x14ac:dyDescent="0.5">
      <c r="M2960" s="2">
        <v>2959</v>
      </c>
    </row>
    <row r="2961" spans="13:14" x14ac:dyDescent="0.5">
      <c r="M2961" s="2">
        <v>2960</v>
      </c>
    </row>
    <row r="2962" spans="13:14" x14ac:dyDescent="0.5">
      <c r="M2962" s="2">
        <v>2961</v>
      </c>
    </row>
    <row r="2963" spans="13:14" x14ac:dyDescent="0.5">
      <c r="M2963" s="2">
        <v>2962</v>
      </c>
    </row>
    <row r="2964" spans="13:14" x14ac:dyDescent="0.5">
      <c r="M2964" s="2">
        <v>2963</v>
      </c>
    </row>
    <row r="2965" spans="13:14" x14ac:dyDescent="0.5">
      <c r="M2965" s="2">
        <v>2964</v>
      </c>
    </row>
    <row r="2966" spans="13:14" x14ac:dyDescent="0.5">
      <c r="M2966" s="2">
        <v>2965</v>
      </c>
    </row>
    <row r="2967" spans="13:14" x14ac:dyDescent="0.5">
      <c r="M2967" s="2">
        <v>2966</v>
      </c>
    </row>
    <row r="2968" spans="13:14" x14ac:dyDescent="0.5">
      <c r="M2968" s="2">
        <v>2967</v>
      </c>
    </row>
    <row r="2969" spans="13:14" x14ac:dyDescent="0.5">
      <c r="M2969" s="2">
        <v>2968</v>
      </c>
    </row>
    <row r="2970" spans="13:14" x14ac:dyDescent="0.5">
      <c r="M2970" s="2">
        <v>2969</v>
      </c>
    </row>
    <row r="2971" spans="13:14" x14ac:dyDescent="0.5">
      <c r="M2971" s="2">
        <v>2970</v>
      </c>
      <c r="N2971" s="2" t="s">
        <v>3446</v>
      </c>
    </row>
    <row r="2972" spans="13:14" x14ac:dyDescent="0.5">
      <c r="M2972" s="2">
        <v>2971</v>
      </c>
      <c r="N2972" s="2" t="s">
        <v>3446</v>
      </c>
    </row>
    <row r="2973" spans="13:14" x14ac:dyDescent="0.5">
      <c r="M2973" s="2">
        <v>2972</v>
      </c>
      <c r="N2973" s="2" t="s">
        <v>3446</v>
      </c>
    </row>
    <row r="2974" spans="13:14" x14ac:dyDescent="0.5">
      <c r="M2974" s="2">
        <v>2973</v>
      </c>
    </row>
    <row r="2975" spans="13:14" x14ac:dyDescent="0.5">
      <c r="M2975" s="2">
        <v>2974</v>
      </c>
    </row>
    <row r="2976" spans="13:14" x14ac:dyDescent="0.5">
      <c r="M2976" s="2">
        <v>2975</v>
      </c>
    </row>
    <row r="2977" spans="13:13" x14ac:dyDescent="0.5">
      <c r="M2977" s="2">
        <v>2976</v>
      </c>
    </row>
    <row r="2978" spans="13:13" x14ac:dyDescent="0.5">
      <c r="M2978" s="2">
        <v>2977</v>
      </c>
    </row>
    <row r="2979" spans="13:13" x14ac:dyDescent="0.5">
      <c r="M2979" s="2">
        <v>2978</v>
      </c>
    </row>
    <row r="2980" spans="13:13" x14ac:dyDescent="0.5">
      <c r="M2980" s="2">
        <v>2979</v>
      </c>
    </row>
    <row r="2981" spans="13:13" x14ac:dyDescent="0.5">
      <c r="M2981" s="2">
        <v>2980</v>
      </c>
    </row>
    <row r="2982" spans="13:13" x14ac:dyDescent="0.5">
      <c r="M2982" s="2">
        <v>2981</v>
      </c>
    </row>
    <row r="2983" spans="13:13" x14ac:dyDescent="0.5">
      <c r="M2983" s="2">
        <v>2982</v>
      </c>
    </row>
    <row r="2984" spans="13:13" x14ac:dyDescent="0.5">
      <c r="M2984" s="2">
        <v>2983</v>
      </c>
    </row>
    <row r="2985" spans="13:13" x14ac:dyDescent="0.5">
      <c r="M2985" s="2">
        <v>2984</v>
      </c>
    </row>
    <row r="2986" spans="13:13" x14ac:dyDescent="0.5">
      <c r="M2986" s="2">
        <v>2985</v>
      </c>
    </row>
    <row r="2987" spans="13:13" x14ac:dyDescent="0.5">
      <c r="M2987" s="2">
        <v>2986</v>
      </c>
    </row>
    <row r="2988" spans="13:13" x14ac:dyDescent="0.5">
      <c r="M2988" s="2">
        <v>2987</v>
      </c>
    </row>
    <row r="2989" spans="13:13" x14ac:dyDescent="0.5">
      <c r="M2989" s="2">
        <v>2988</v>
      </c>
    </row>
    <row r="2990" spans="13:13" x14ac:dyDescent="0.5">
      <c r="M2990" s="2">
        <v>2989</v>
      </c>
    </row>
    <row r="2991" spans="13:13" x14ac:dyDescent="0.5">
      <c r="M2991" s="2">
        <v>2990</v>
      </c>
    </row>
    <row r="2992" spans="13:13" x14ac:dyDescent="0.5">
      <c r="M2992" s="2">
        <v>2991</v>
      </c>
    </row>
    <row r="2993" spans="13:13" x14ac:dyDescent="0.5">
      <c r="M2993" s="2">
        <v>2992</v>
      </c>
    </row>
    <row r="2994" spans="13:13" x14ac:dyDescent="0.5">
      <c r="M2994" s="2">
        <v>2993</v>
      </c>
    </row>
    <row r="2995" spans="13:13" x14ac:dyDescent="0.5">
      <c r="M2995" s="2">
        <v>2994</v>
      </c>
    </row>
    <row r="2996" spans="13:13" x14ac:dyDescent="0.5">
      <c r="M2996" s="2">
        <v>2995</v>
      </c>
    </row>
    <row r="2997" spans="13:13" x14ac:dyDescent="0.5">
      <c r="M2997" s="2">
        <v>2996</v>
      </c>
    </row>
    <row r="2998" spans="13:13" x14ac:dyDescent="0.5">
      <c r="M2998" s="2">
        <v>2997</v>
      </c>
    </row>
    <row r="2999" spans="13:13" x14ac:dyDescent="0.5">
      <c r="M2999" s="2">
        <v>2998</v>
      </c>
    </row>
    <row r="3000" spans="13:13" x14ac:dyDescent="0.5">
      <c r="M3000" s="2">
        <v>2999</v>
      </c>
    </row>
    <row r="3001" spans="13:13" x14ac:dyDescent="0.5">
      <c r="M3001" s="2">
        <v>3000</v>
      </c>
    </row>
    <row r="3002" spans="13:13" x14ac:dyDescent="0.5">
      <c r="M3002" s="2">
        <v>3001</v>
      </c>
    </row>
    <row r="3003" spans="13:13" x14ac:dyDescent="0.5">
      <c r="M3003" s="2">
        <v>3002</v>
      </c>
    </row>
    <row r="3004" spans="13:13" x14ac:dyDescent="0.5">
      <c r="M3004" s="2">
        <v>3003</v>
      </c>
    </row>
    <row r="3005" spans="13:13" x14ac:dyDescent="0.5">
      <c r="M3005" s="2">
        <v>3004</v>
      </c>
    </row>
    <row r="3006" spans="13:13" x14ac:dyDescent="0.5">
      <c r="M3006" s="2">
        <v>3005</v>
      </c>
    </row>
    <row r="3007" spans="13:13" x14ac:dyDescent="0.5">
      <c r="M3007" s="2">
        <v>3006</v>
      </c>
    </row>
    <row r="3008" spans="13:13" x14ac:dyDescent="0.5">
      <c r="M3008" s="2">
        <v>3007</v>
      </c>
    </row>
    <row r="3009" spans="13:13" x14ac:dyDescent="0.5">
      <c r="M3009" s="2">
        <v>3008</v>
      </c>
    </row>
    <row r="3010" spans="13:13" x14ac:dyDescent="0.5">
      <c r="M3010" s="2">
        <v>3009</v>
      </c>
    </row>
    <row r="3011" spans="13:13" x14ac:dyDescent="0.5">
      <c r="M3011" s="2">
        <v>3010</v>
      </c>
    </row>
    <row r="3012" spans="13:13" x14ac:dyDescent="0.5">
      <c r="M3012" s="2">
        <v>3011</v>
      </c>
    </row>
    <row r="3013" spans="13:13" x14ac:dyDescent="0.5">
      <c r="M3013" s="2">
        <v>3012</v>
      </c>
    </row>
    <row r="3014" spans="13:13" x14ac:dyDescent="0.5">
      <c r="M3014" s="2">
        <v>3013</v>
      </c>
    </row>
    <row r="3015" spans="13:13" x14ac:dyDescent="0.5">
      <c r="M3015" s="2">
        <v>3014</v>
      </c>
    </row>
    <row r="3016" spans="13:13" x14ac:dyDescent="0.5">
      <c r="M3016" s="2">
        <v>3015</v>
      </c>
    </row>
    <row r="3017" spans="13:13" x14ac:dyDescent="0.5">
      <c r="M3017" s="2">
        <v>3016</v>
      </c>
    </row>
    <row r="3018" spans="13:13" x14ac:dyDescent="0.5">
      <c r="M3018" s="2">
        <v>3017</v>
      </c>
    </row>
    <row r="3019" spans="13:13" x14ac:dyDescent="0.5">
      <c r="M3019" s="2">
        <v>3018</v>
      </c>
    </row>
    <row r="3020" spans="13:13" x14ac:dyDescent="0.5">
      <c r="M3020" s="2">
        <v>3019</v>
      </c>
    </row>
    <row r="3021" spans="13:13" x14ac:dyDescent="0.5">
      <c r="M3021" s="2">
        <v>3020</v>
      </c>
    </row>
    <row r="3022" spans="13:13" x14ac:dyDescent="0.5">
      <c r="M3022" s="2">
        <v>3021</v>
      </c>
    </row>
    <row r="3023" spans="13:13" x14ac:dyDescent="0.5">
      <c r="M3023" s="2">
        <v>3022</v>
      </c>
    </row>
    <row r="3024" spans="13:13" x14ac:dyDescent="0.5">
      <c r="M3024" s="2">
        <v>3023</v>
      </c>
    </row>
    <row r="3025" spans="13:13" x14ac:dyDescent="0.5">
      <c r="M3025" s="2">
        <v>3024</v>
      </c>
    </row>
    <row r="3026" spans="13:13" x14ac:dyDescent="0.5">
      <c r="M3026" s="2">
        <v>3025</v>
      </c>
    </row>
    <row r="3027" spans="13:13" x14ac:dyDescent="0.5">
      <c r="M3027" s="2">
        <v>3026</v>
      </c>
    </row>
    <row r="3028" spans="13:13" x14ac:dyDescent="0.5">
      <c r="M3028" s="2">
        <v>3027</v>
      </c>
    </row>
    <row r="3029" spans="13:13" x14ac:dyDescent="0.5">
      <c r="M3029" s="2">
        <v>3028</v>
      </c>
    </row>
    <row r="3030" spans="13:13" x14ac:dyDescent="0.5">
      <c r="M3030" s="2">
        <v>3029</v>
      </c>
    </row>
    <row r="3031" spans="13:13" x14ac:dyDescent="0.5">
      <c r="M3031" s="2">
        <v>3030</v>
      </c>
    </row>
    <row r="3032" spans="13:13" x14ac:dyDescent="0.5">
      <c r="M3032" s="2">
        <v>3031</v>
      </c>
    </row>
    <row r="3033" spans="13:13" x14ac:dyDescent="0.5">
      <c r="M3033" s="2">
        <v>3032</v>
      </c>
    </row>
    <row r="3034" spans="13:13" x14ac:dyDescent="0.5">
      <c r="M3034" s="2">
        <v>3033</v>
      </c>
    </row>
    <row r="3035" spans="13:13" x14ac:dyDescent="0.5">
      <c r="M3035" s="2">
        <v>3034</v>
      </c>
    </row>
    <row r="3036" spans="13:13" x14ac:dyDescent="0.5">
      <c r="M3036" s="2">
        <v>3035</v>
      </c>
    </row>
    <row r="3037" spans="13:13" x14ac:dyDescent="0.5">
      <c r="M3037" s="2">
        <v>3036</v>
      </c>
    </row>
    <row r="3038" spans="13:13" x14ac:dyDescent="0.5">
      <c r="M3038" s="2">
        <v>3037</v>
      </c>
    </row>
    <row r="3039" spans="13:13" x14ac:dyDescent="0.5">
      <c r="M3039" s="2">
        <v>3038</v>
      </c>
    </row>
    <row r="3040" spans="13:13" x14ac:dyDescent="0.5">
      <c r="M3040" s="2">
        <v>3039</v>
      </c>
    </row>
    <row r="3041" spans="13:14" x14ac:dyDescent="0.5">
      <c r="M3041" s="2">
        <v>3040</v>
      </c>
    </row>
    <row r="3042" spans="13:14" x14ac:dyDescent="0.5">
      <c r="M3042" s="2">
        <v>3041</v>
      </c>
    </row>
    <row r="3043" spans="13:14" x14ac:dyDescent="0.5">
      <c r="M3043" s="2">
        <v>3042</v>
      </c>
    </row>
    <row r="3044" spans="13:14" x14ac:dyDescent="0.5">
      <c r="M3044" s="2">
        <v>3043</v>
      </c>
    </row>
    <row r="3045" spans="13:14" x14ac:dyDescent="0.5">
      <c r="M3045" s="2">
        <v>3044</v>
      </c>
    </row>
    <row r="3046" spans="13:14" x14ac:dyDescent="0.5">
      <c r="M3046" s="2">
        <v>3045</v>
      </c>
    </row>
    <row r="3047" spans="13:14" x14ac:dyDescent="0.5">
      <c r="M3047" s="2">
        <v>3046</v>
      </c>
      <c r="N3047" s="2" t="s">
        <v>3446</v>
      </c>
    </row>
    <row r="3048" spans="13:14" x14ac:dyDescent="0.5">
      <c r="M3048" s="2">
        <v>3047</v>
      </c>
    </row>
    <row r="3049" spans="13:14" x14ac:dyDescent="0.5">
      <c r="M3049" s="2">
        <v>3048</v>
      </c>
    </row>
    <row r="3050" spans="13:14" x14ac:dyDescent="0.5">
      <c r="M3050" s="2">
        <v>3049</v>
      </c>
    </row>
    <row r="3051" spans="13:14" x14ac:dyDescent="0.5">
      <c r="M3051" s="2">
        <v>3050</v>
      </c>
    </row>
    <row r="3052" spans="13:14" x14ac:dyDescent="0.5">
      <c r="M3052" s="2">
        <v>3051</v>
      </c>
    </row>
    <row r="3053" spans="13:14" x14ac:dyDescent="0.5">
      <c r="M3053" s="2">
        <v>3052</v>
      </c>
    </row>
    <row r="3054" spans="13:14" x14ac:dyDescent="0.5">
      <c r="M3054" s="2">
        <v>3053</v>
      </c>
    </row>
    <row r="3055" spans="13:14" x14ac:dyDescent="0.5">
      <c r="M3055" s="2">
        <v>3054</v>
      </c>
    </row>
    <row r="3056" spans="13:14" x14ac:dyDescent="0.5">
      <c r="M3056" s="2">
        <v>3055</v>
      </c>
    </row>
    <row r="3057" spans="13:13" x14ac:dyDescent="0.5">
      <c r="M3057" s="2">
        <v>3056</v>
      </c>
    </row>
    <row r="3058" spans="13:13" x14ac:dyDescent="0.5">
      <c r="M3058" s="2">
        <v>3057</v>
      </c>
    </row>
    <row r="3059" spans="13:13" x14ac:dyDescent="0.5">
      <c r="M3059" s="2">
        <v>3058</v>
      </c>
    </row>
    <row r="3060" spans="13:13" x14ac:dyDescent="0.5">
      <c r="M3060" s="2">
        <v>3059</v>
      </c>
    </row>
    <row r="3061" spans="13:13" x14ac:dyDescent="0.5">
      <c r="M3061" s="2">
        <v>3060</v>
      </c>
    </row>
    <row r="3062" spans="13:13" x14ac:dyDescent="0.5">
      <c r="M3062" s="2">
        <v>3061</v>
      </c>
    </row>
    <row r="3063" spans="13:13" x14ac:dyDescent="0.5">
      <c r="M3063" s="2">
        <v>3062</v>
      </c>
    </row>
    <row r="3064" spans="13:13" x14ac:dyDescent="0.5">
      <c r="M3064" s="2">
        <v>3063</v>
      </c>
    </row>
    <row r="3065" spans="13:13" x14ac:dyDescent="0.5">
      <c r="M3065" s="2">
        <v>3064</v>
      </c>
    </row>
    <row r="3066" spans="13:13" x14ac:dyDescent="0.5">
      <c r="M3066" s="2">
        <v>3065</v>
      </c>
    </row>
    <row r="3067" spans="13:13" x14ac:dyDescent="0.5">
      <c r="M3067" s="2">
        <v>3066</v>
      </c>
    </row>
    <row r="3068" spans="13:13" x14ac:dyDescent="0.5">
      <c r="M3068" s="2">
        <v>3067</v>
      </c>
    </row>
    <row r="3069" spans="13:13" x14ac:dyDescent="0.5">
      <c r="M3069" s="2">
        <v>3068</v>
      </c>
    </row>
    <row r="3070" spans="13:13" x14ac:dyDescent="0.5">
      <c r="M3070" s="2">
        <v>3069</v>
      </c>
    </row>
    <row r="3071" spans="13:13" x14ac:dyDescent="0.5">
      <c r="M3071" s="2">
        <v>3070</v>
      </c>
    </row>
    <row r="3072" spans="13:13" x14ac:dyDescent="0.5">
      <c r="M3072" s="2">
        <v>3071</v>
      </c>
    </row>
    <row r="3073" spans="13:13" x14ac:dyDescent="0.5">
      <c r="M3073" s="2">
        <v>3072</v>
      </c>
    </row>
    <row r="3074" spans="13:13" x14ac:dyDescent="0.5">
      <c r="M3074" s="2">
        <v>3073</v>
      </c>
    </row>
    <row r="3075" spans="13:13" x14ac:dyDescent="0.5">
      <c r="M3075" s="2">
        <v>3074</v>
      </c>
    </row>
    <row r="3076" spans="13:13" x14ac:dyDescent="0.5">
      <c r="M3076" s="2">
        <v>3075</v>
      </c>
    </row>
    <row r="3077" spans="13:13" x14ac:dyDescent="0.5">
      <c r="M3077" s="2">
        <v>3076</v>
      </c>
    </row>
    <row r="3078" spans="13:13" x14ac:dyDescent="0.5">
      <c r="M3078" s="2">
        <v>3077</v>
      </c>
    </row>
    <row r="3079" spans="13:13" x14ac:dyDescent="0.5">
      <c r="M3079" s="2">
        <v>3078</v>
      </c>
    </row>
    <row r="3080" spans="13:13" x14ac:dyDescent="0.5">
      <c r="M3080" s="2">
        <v>3079</v>
      </c>
    </row>
    <row r="3081" spans="13:13" x14ac:dyDescent="0.5">
      <c r="M3081" s="2">
        <v>3080</v>
      </c>
    </row>
    <row r="3082" spans="13:13" x14ac:dyDescent="0.5">
      <c r="M3082" s="2">
        <v>3081</v>
      </c>
    </row>
    <row r="3083" spans="13:13" x14ac:dyDescent="0.5">
      <c r="M3083" s="2">
        <v>3082</v>
      </c>
    </row>
    <row r="3084" spans="13:13" x14ac:dyDescent="0.5">
      <c r="M3084" s="2">
        <v>3083</v>
      </c>
    </row>
    <row r="3085" spans="13:13" x14ac:dyDescent="0.5">
      <c r="M3085" s="2">
        <v>3084</v>
      </c>
    </row>
    <row r="3086" spans="13:13" x14ac:dyDescent="0.5">
      <c r="M3086" s="2">
        <v>3085</v>
      </c>
    </row>
    <row r="3087" spans="13:13" x14ac:dyDescent="0.5">
      <c r="M3087" s="2">
        <v>3086</v>
      </c>
    </row>
    <row r="3088" spans="13:13" x14ac:dyDescent="0.5">
      <c r="M3088" s="2">
        <v>3087</v>
      </c>
    </row>
    <row r="3089" spans="13:13" x14ac:dyDescent="0.5">
      <c r="M3089" s="2">
        <v>3088</v>
      </c>
    </row>
    <row r="3090" spans="13:13" x14ac:dyDescent="0.5">
      <c r="M3090" s="2">
        <v>3089</v>
      </c>
    </row>
    <row r="3091" spans="13:13" x14ac:dyDescent="0.5">
      <c r="M3091" s="2">
        <v>3090</v>
      </c>
    </row>
    <row r="3092" spans="13:13" x14ac:dyDescent="0.5">
      <c r="M3092" s="2">
        <v>3091</v>
      </c>
    </row>
    <row r="3093" spans="13:13" x14ac:dyDescent="0.5">
      <c r="M3093" s="2">
        <v>3092</v>
      </c>
    </row>
    <row r="3094" spans="13:13" x14ac:dyDescent="0.5">
      <c r="M3094" s="2">
        <v>3093</v>
      </c>
    </row>
    <row r="3095" spans="13:13" x14ac:dyDescent="0.5">
      <c r="M3095" s="2">
        <v>3094</v>
      </c>
    </row>
    <row r="3096" spans="13:13" x14ac:dyDescent="0.5">
      <c r="M3096" s="2">
        <v>3095</v>
      </c>
    </row>
    <row r="3097" spans="13:13" x14ac:dyDescent="0.5">
      <c r="M3097" s="2">
        <v>3096</v>
      </c>
    </row>
    <row r="3098" spans="13:13" x14ac:dyDescent="0.5">
      <c r="M3098" s="2">
        <v>3097</v>
      </c>
    </row>
    <row r="3099" spans="13:13" x14ac:dyDescent="0.5">
      <c r="M3099" s="2">
        <v>3098</v>
      </c>
    </row>
    <row r="3100" spans="13:13" x14ac:dyDescent="0.5">
      <c r="M3100" s="2">
        <v>3099</v>
      </c>
    </row>
    <row r="3101" spans="13:13" x14ac:dyDescent="0.5">
      <c r="M3101" s="2">
        <v>3100</v>
      </c>
    </row>
    <row r="3102" spans="13:13" x14ac:dyDescent="0.5">
      <c r="M3102" s="2">
        <v>3101</v>
      </c>
    </row>
    <row r="3103" spans="13:13" x14ac:dyDescent="0.5">
      <c r="M3103" s="2">
        <v>3102</v>
      </c>
    </row>
    <row r="3104" spans="13:13" x14ac:dyDescent="0.5">
      <c r="M3104" s="2">
        <v>3103</v>
      </c>
    </row>
    <row r="3105" spans="13:13" x14ac:dyDescent="0.5">
      <c r="M3105" s="2">
        <v>3104</v>
      </c>
    </row>
    <row r="3106" spans="13:13" x14ac:dyDescent="0.5">
      <c r="M3106" s="2">
        <v>3105</v>
      </c>
    </row>
    <row r="3107" spans="13:13" x14ac:dyDescent="0.5">
      <c r="M3107" s="2">
        <v>3106</v>
      </c>
    </row>
    <row r="3108" spans="13:13" x14ac:dyDescent="0.5">
      <c r="M3108" s="2">
        <v>3107</v>
      </c>
    </row>
    <row r="3109" spans="13:13" x14ac:dyDescent="0.5">
      <c r="M3109" s="2">
        <v>3108</v>
      </c>
    </row>
    <row r="3110" spans="13:13" x14ac:dyDescent="0.5">
      <c r="M3110" s="2">
        <v>3109</v>
      </c>
    </row>
    <row r="3111" spans="13:13" x14ac:dyDescent="0.5">
      <c r="M3111" s="2">
        <v>3110</v>
      </c>
    </row>
    <row r="3112" spans="13:13" x14ac:dyDescent="0.5">
      <c r="M3112" s="2">
        <v>3111</v>
      </c>
    </row>
    <row r="3113" spans="13:13" x14ac:dyDescent="0.5">
      <c r="M3113" s="2">
        <v>3112</v>
      </c>
    </row>
    <row r="3114" spans="13:13" x14ac:dyDescent="0.5">
      <c r="M3114" s="2">
        <v>3113</v>
      </c>
    </row>
    <row r="3115" spans="13:13" x14ac:dyDescent="0.5">
      <c r="M3115" s="2">
        <v>3114</v>
      </c>
    </row>
    <row r="3116" spans="13:13" x14ac:dyDescent="0.5">
      <c r="M3116" s="2">
        <v>3115</v>
      </c>
    </row>
    <row r="3117" spans="13:13" x14ac:dyDescent="0.5">
      <c r="M3117" s="2">
        <v>3116</v>
      </c>
    </row>
    <row r="3118" spans="13:13" x14ac:dyDescent="0.5">
      <c r="M3118" s="2">
        <v>3117</v>
      </c>
    </row>
    <row r="3119" spans="13:13" x14ac:dyDescent="0.5">
      <c r="M3119" s="2">
        <v>3118</v>
      </c>
    </row>
    <row r="3120" spans="13:13" x14ac:dyDescent="0.5">
      <c r="M3120" s="2">
        <v>3119</v>
      </c>
    </row>
    <row r="3121" spans="13:13" x14ac:dyDescent="0.5">
      <c r="M3121" s="2">
        <v>3120</v>
      </c>
    </row>
    <row r="3122" spans="13:13" x14ac:dyDescent="0.5">
      <c r="M3122" s="2">
        <v>3121</v>
      </c>
    </row>
    <row r="3123" spans="13:13" x14ac:dyDescent="0.5">
      <c r="M3123" s="2">
        <v>3122</v>
      </c>
    </row>
    <row r="3124" spans="13:13" x14ac:dyDescent="0.5">
      <c r="M3124" s="2">
        <v>3123</v>
      </c>
    </row>
    <row r="3125" spans="13:13" x14ac:dyDescent="0.5">
      <c r="M3125" s="2">
        <v>3124</v>
      </c>
    </row>
    <row r="3126" spans="13:13" x14ac:dyDescent="0.5">
      <c r="M3126" s="2">
        <v>3125</v>
      </c>
    </row>
    <row r="3127" spans="13:13" x14ac:dyDescent="0.5">
      <c r="M3127" s="2">
        <v>3126</v>
      </c>
    </row>
    <row r="3128" spans="13:13" x14ac:dyDescent="0.5">
      <c r="M3128" s="2">
        <v>3127</v>
      </c>
    </row>
    <row r="3129" spans="13:13" x14ac:dyDescent="0.5">
      <c r="M3129" s="2">
        <v>3128</v>
      </c>
    </row>
    <row r="3130" spans="13:13" x14ac:dyDescent="0.5">
      <c r="M3130" s="2">
        <v>3129</v>
      </c>
    </row>
    <row r="3131" spans="13:13" x14ac:dyDescent="0.5">
      <c r="M3131" s="2">
        <v>3130</v>
      </c>
    </row>
    <row r="3132" spans="13:13" x14ac:dyDescent="0.5">
      <c r="M3132" s="2">
        <v>3131</v>
      </c>
    </row>
    <row r="3133" spans="13:13" x14ac:dyDescent="0.5">
      <c r="M3133" s="2">
        <v>3132</v>
      </c>
    </row>
    <row r="3134" spans="13:13" x14ac:dyDescent="0.5">
      <c r="M3134" s="2">
        <v>3133</v>
      </c>
    </row>
    <row r="3135" spans="13:13" x14ac:dyDescent="0.5">
      <c r="M3135" s="2">
        <v>3134</v>
      </c>
    </row>
    <row r="3136" spans="13:13" x14ac:dyDescent="0.5">
      <c r="M3136" s="2">
        <v>3135</v>
      </c>
    </row>
    <row r="3137" spans="13:13" x14ac:dyDescent="0.5">
      <c r="M3137" s="2">
        <v>3136</v>
      </c>
    </row>
    <row r="3138" spans="13:13" x14ac:dyDescent="0.5">
      <c r="M3138" s="2">
        <v>3137</v>
      </c>
    </row>
    <row r="3139" spans="13:13" x14ac:dyDescent="0.5">
      <c r="M3139" s="2">
        <v>3138</v>
      </c>
    </row>
    <row r="3140" spans="13:13" x14ac:dyDescent="0.5">
      <c r="M3140" s="2">
        <v>3139</v>
      </c>
    </row>
    <row r="3141" spans="13:13" x14ac:dyDescent="0.5">
      <c r="M3141" s="2">
        <v>3140</v>
      </c>
    </row>
    <row r="3142" spans="13:13" x14ac:dyDescent="0.5">
      <c r="M3142" s="2">
        <v>3141</v>
      </c>
    </row>
    <row r="3143" spans="13:13" x14ac:dyDescent="0.5">
      <c r="M3143" s="2">
        <v>3142</v>
      </c>
    </row>
    <row r="3144" spans="13:13" x14ac:dyDescent="0.5">
      <c r="M3144" s="2">
        <v>3143</v>
      </c>
    </row>
    <row r="3145" spans="13:13" x14ac:dyDescent="0.5">
      <c r="M3145" s="2">
        <v>3144</v>
      </c>
    </row>
    <row r="3146" spans="13:13" x14ac:dyDescent="0.5">
      <c r="M3146" s="2">
        <v>3145</v>
      </c>
    </row>
    <row r="3147" spans="13:13" x14ac:dyDescent="0.5">
      <c r="M3147" s="2">
        <v>3146</v>
      </c>
    </row>
    <row r="3148" spans="13:13" x14ac:dyDescent="0.5">
      <c r="M3148" s="2">
        <v>3147</v>
      </c>
    </row>
    <row r="3149" spans="13:13" x14ac:dyDescent="0.5">
      <c r="M3149" s="2">
        <v>3148</v>
      </c>
    </row>
    <row r="3150" spans="13:13" x14ac:dyDescent="0.5">
      <c r="M3150" s="2">
        <v>3149</v>
      </c>
    </row>
    <row r="3151" spans="13:13" x14ac:dyDescent="0.5">
      <c r="M3151" s="2">
        <v>3150</v>
      </c>
    </row>
    <row r="3152" spans="13:13" x14ac:dyDescent="0.5">
      <c r="M3152" s="2">
        <v>3151</v>
      </c>
    </row>
    <row r="3153" spans="13:13" x14ac:dyDescent="0.5">
      <c r="M3153" s="2">
        <v>3152</v>
      </c>
    </row>
    <row r="3154" spans="13:13" x14ac:dyDescent="0.5">
      <c r="M3154" s="2">
        <v>3153</v>
      </c>
    </row>
    <row r="3155" spans="13:13" x14ac:dyDescent="0.5">
      <c r="M3155" s="2">
        <v>3154</v>
      </c>
    </row>
    <row r="3156" spans="13:13" x14ac:dyDescent="0.5">
      <c r="M3156" s="2">
        <v>3155</v>
      </c>
    </row>
    <row r="3157" spans="13:13" x14ac:dyDescent="0.5">
      <c r="M3157" s="2">
        <v>3156</v>
      </c>
    </row>
    <row r="3158" spans="13:13" x14ac:dyDescent="0.5">
      <c r="M3158" s="2">
        <v>3157</v>
      </c>
    </row>
    <row r="3159" spans="13:13" x14ac:dyDescent="0.5">
      <c r="M3159" s="2">
        <v>3158</v>
      </c>
    </row>
    <row r="3160" spans="13:13" x14ac:dyDescent="0.5">
      <c r="M3160" s="2">
        <v>3159</v>
      </c>
    </row>
    <row r="3161" spans="13:13" x14ac:dyDescent="0.5">
      <c r="M3161" s="2">
        <v>3160</v>
      </c>
    </row>
    <row r="3162" spans="13:13" x14ac:dyDescent="0.5">
      <c r="M3162" s="2">
        <v>3161</v>
      </c>
    </row>
    <row r="3163" spans="13:13" x14ac:dyDescent="0.5">
      <c r="M3163" s="2">
        <v>3162</v>
      </c>
    </row>
    <row r="3164" spans="13:13" x14ac:dyDescent="0.5">
      <c r="M3164" s="2">
        <v>3163</v>
      </c>
    </row>
    <row r="3165" spans="13:13" x14ac:dyDescent="0.5">
      <c r="M3165" s="2">
        <v>3164</v>
      </c>
    </row>
    <row r="3166" spans="13:13" x14ac:dyDescent="0.5">
      <c r="M3166" s="2">
        <v>3165</v>
      </c>
    </row>
    <row r="3167" spans="13:13" x14ac:dyDescent="0.5">
      <c r="M3167" s="2">
        <v>3166</v>
      </c>
    </row>
    <row r="3168" spans="13:13" x14ac:dyDescent="0.5">
      <c r="M3168" s="2">
        <v>3167</v>
      </c>
    </row>
    <row r="3169" spans="13:13" x14ac:dyDescent="0.5">
      <c r="M3169" s="2">
        <v>3168</v>
      </c>
    </row>
    <row r="3170" spans="13:13" x14ac:dyDescent="0.5">
      <c r="M3170" s="2">
        <v>3169</v>
      </c>
    </row>
    <row r="3171" spans="13:13" x14ac:dyDescent="0.5">
      <c r="M3171" s="2">
        <v>3170</v>
      </c>
    </row>
    <row r="3172" spans="13:13" x14ac:dyDescent="0.5">
      <c r="M3172" s="2">
        <v>3171</v>
      </c>
    </row>
    <row r="3173" spans="13:13" x14ac:dyDescent="0.5">
      <c r="M3173" s="2">
        <v>3172</v>
      </c>
    </row>
    <row r="3174" spans="13:13" x14ac:dyDescent="0.5">
      <c r="M3174" s="2">
        <v>3173</v>
      </c>
    </row>
    <row r="3175" spans="13:13" x14ac:dyDescent="0.5">
      <c r="M3175" s="2">
        <v>3174</v>
      </c>
    </row>
    <row r="3176" spans="13:13" x14ac:dyDescent="0.5">
      <c r="M3176" s="2">
        <v>3175</v>
      </c>
    </row>
    <row r="3177" spans="13:13" x14ac:dyDescent="0.5">
      <c r="M3177" s="2">
        <v>3176</v>
      </c>
    </row>
    <row r="3178" spans="13:13" x14ac:dyDescent="0.5">
      <c r="M3178" s="2">
        <v>3177</v>
      </c>
    </row>
    <row r="3179" spans="13:13" x14ac:dyDescent="0.5">
      <c r="M3179" s="2">
        <v>3178</v>
      </c>
    </row>
    <row r="3180" spans="13:13" x14ac:dyDescent="0.5">
      <c r="M3180" s="2">
        <v>3179</v>
      </c>
    </row>
    <row r="3181" spans="13:13" x14ac:dyDescent="0.5">
      <c r="M3181" s="2">
        <v>3180</v>
      </c>
    </row>
    <row r="3182" spans="13:13" x14ac:dyDescent="0.5">
      <c r="M3182" s="2">
        <v>3181</v>
      </c>
    </row>
    <row r="3183" spans="13:13" x14ac:dyDescent="0.5">
      <c r="M3183" s="2">
        <v>3182</v>
      </c>
    </row>
    <row r="3184" spans="13:13" x14ac:dyDescent="0.5">
      <c r="M3184" s="2">
        <v>3183</v>
      </c>
    </row>
    <row r="3185" spans="13:14" x14ac:dyDescent="0.5">
      <c r="M3185" s="2">
        <v>3184</v>
      </c>
    </row>
    <row r="3186" spans="13:14" x14ac:dyDescent="0.5">
      <c r="M3186" s="2">
        <v>3185</v>
      </c>
    </row>
    <row r="3187" spans="13:14" x14ac:dyDescent="0.5">
      <c r="M3187" s="2">
        <v>3186</v>
      </c>
    </row>
    <row r="3188" spans="13:14" x14ac:dyDescent="0.5">
      <c r="M3188" s="2">
        <v>3187</v>
      </c>
    </row>
    <row r="3189" spans="13:14" x14ac:dyDescent="0.5">
      <c r="M3189" s="2">
        <v>3188</v>
      </c>
    </row>
    <row r="3190" spans="13:14" x14ac:dyDescent="0.5">
      <c r="M3190" s="2">
        <v>3189</v>
      </c>
    </row>
    <row r="3191" spans="13:14" x14ac:dyDescent="0.5">
      <c r="M3191" s="2">
        <v>3190</v>
      </c>
    </row>
    <row r="3192" spans="13:14" x14ac:dyDescent="0.5">
      <c r="M3192" s="2">
        <v>3191</v>
      </c>
    </row>
    <row r="3193" spans="13:14" x14ac:dyDescent="0.5">
      <c r="M3193" s="2">
        <v>3192</v>
      </c>
    </row>
    <row r="3194" spans="13:14" x14ac:dyDescent="0.5">
      <c r="M3194" s="2">
        <v>3193</v>
      </c>
    </row>
    <row r="3195" spans="13:14" x14ac:dyDescent="0.5">
      <c r="M3195" s="2">
        <v>3194</v>
      </c>
    </row>
    <row r="3196" spans="13:14" x14ac:dyDescent="0.5">
      <c r="M3196" s="2">
        <v>3195</v>
      </c>
    </row>
    <row r="3197" spans="13:14" x14ac:dyDescent="0.5">
      <c r="M3197" s="2">
        <v>3196</v>
      </c>
    </row>
    <row r="3198" spans="13:14" x14ac:dyDescent="0.5">
      <c r="M3198" s="2">
        <v>3197</v>
      </c>
    </row>
    <row r="3199" spans="13:14" x14ac:dyDescent="0.5">
      <c r="M3199" s="2">
        <v>3198</v>
      </c>
    </row>
    <row r="3200" spans="13:14" x14ac:dyDescent="0.5">
      <c r="M3200" s="2">
        <v>3199</v>
      </c>
      <c r="N3200" s="2" t="s">
        <v>3446</v>
      </c>
    </row>
    <row r="3201" spans="13:14" x14ac:dyDescent="0.5">
      <c r="M3201" s="2">
        <v>3200</v>
      </c>
      <c r="N3201" s="2" t="s">
        <v>3446</v>
      </c>
    </row>
    <row r="3202" spans="13:14" x14ac:dyDescent="0.5">
      <c r="M3202" s="2">
        <v>3201</v>
      </c>
    </row>
    <row r="3203" spans="13:14" x14ac:dyDescent="0.5">
      <c r="M3203" s="2">
        <v>3202</v>
      </c>
    </row>
    <row r="3204" spans="13:14" x14ac:dyDescent="0.5">
      <c r="M3204" s="2">
        <v>3203</v>
      </c>
      <c r="N3204" s="2" t="s">
        <v>3446</v>
      </c>
    </row>
    <row r="3205" spans="13:14" x14ac:dyDescent="0.5">
      <c r="M3205" s="2">
        <v>3204</v>
      </c>
      <c r="N3205" s="2" t="s">
        <v>3446</v>
      </c>
    </row>
    <row r="3206" spans="13:14" x14ac:dyDescent="0.5">
      <c r="M3206" s="2">
        <v>3205</v>
      </c>
      <c r="N3206" s="2" t="s">
        <v>3446</v>
      </c>
    </row>
    <row r="3207" spans="13:14" x14ac:dyDescent="0.5">
      <c r="M3207" s="2">
        <v>3206</v>
      </c>
    </row>
    <row r="3208" spans="13:14" x14ac:dyDescent="0.5">
      <c r="M3208" s="2">
        <v>3207</v>
      </c>
      <c r="N3208" s="2" t="s">
        <v>3446</v>
      </c>
    </row>
    <row r="3209" spans="13:14" x14ac:dyDescent="0.5">
      <c r="M3209" s="2">
        <v>3208</v>
      </c>
      <c r="N3209" s="2" t="s">
        <v>3446</v>
      </c>
    </row>
    <row r="3210" spans="13:14" x14ac:dyDescent="0.5">
      <c r="M3210" s="2">
        <v>3209</v>
      </c>
    </row>
    <row r="3211" spans="13:14" x14ac:dyDescent="0.5">
      <c r="M3211" s="2">
        <v>3210</v>
      </c>
      <c r="N3211" s="2" t="s">
        <v>3446</v>
      </c>
    </row>
    <row r="3212" spans="13:14" x14ac:dyDescent="0.5">
      <c r="M3212" s="2">
        <v>3211</v>
      </c>
    </row>
    <row r="3213" spans="13:14" x14ac:dyDescent="0.5">
      <c r="M3213" s="2">
        <v>3212</v>
      </c>
      <c r="N3213" s="2" t="s">
        <v>3446</v>
      </c>
    </row>
    <row r="3214" spans="13:14" x14ac:dyDescent="0.5">
      <c r="M3214" s="2">
        <v>3213</v>
      </c>
    </row>
    <row r="3215" spans="13:14" x14ac:dyDescent="0.5">
      <c r="M3215" s="2">
        <v>3214</v>
      </c>
    </row>
    <row r="3216" spans="13:14" x14ac:dyDescent="0.5">
      <c r="M3216" s="2">
        <v>3215</v>
      </c>
      <c r="N3216" s="2" t="s">
        <v>3446</v>
      </c>
    </row>
    <row r="3217" spans="13:14" x14ac:dyDescent="0.5">
      <c r="M3217" s="2">
        <v>3216</v>
      </c>
      <c r="N3217" s="2" t="s">
        <v>3446</v>
      </c>
    </row>
    <row r="3218" spans="13:14" x14ac:dyDescent="0.5">
      <c r="M3218" s="2">
        <v>3217</v>
      </c>
    </row>
    <row r="3219" spans="13:14" x14ac:dyDescent="0.5">
      <c r="M3219" s="2">
        <v>3218</v>
      </c>
      <c r="N3219" s="2" t="s">
        <v>3446</v>
      </c>
    </row>
    <row r="3220" spans="13:14" x14ac:dyDescent="0.5">
      <c r="M3220" s="2">
        <v>3219</v>
      </c>
      <c r="N3220" s="2" t="s">
        <v>3446</v>
      </c>
    </row>
    <row r="3221" spans="13:14" x14ac:dyDescent="0.5">
      <c r="M3221" s="2">
        <v>3220</v>
      </c>
    </row>
    <row r="3222" spans="13:14" x14ac:dyDescent="0.5">
      <c r="M3222" s="2">
        <v>3221</v>
      </c>
      <c r="N3222" s="2" t="s">
        <v>3446</v>
      </c>
    </row>
    <row r="3223" spans="13:14" x14ac:dyDescent="0.5">
      <c r="M3223" s="2">
        <v>3222</v>
      </c>
    </row>
    <row r="3224" spans="13:14" x14ac:dyDescent="0.5">
      <c r="M3224" s="2">
        <v>3223</v>
      </c>
    </row>
    <row r="3225" spans="13:14" x14ac:dyDescent="0.5">
      <c r="M3225" s="2">
        <v>3224</v>
      </c>
      <c r="N3225" s="2" t="s">
        <v>3446</v>
      </c>
    </row>
    <row r="3226" spans="13:14" x14ac:dyDescent="0.5">
      <c r="M3226" s="2">
        <v>3225</v>
      </c>
    </row>
    <row r="3227" spans="13:14" x14ac:dyDescent="0.5">
      <c r="M3227" s="2">
        <v>3226</v>
      </c>
    </row>
    <row r="3228" spans="13:14" x14ac:dyDescent="0.5">
      <c r="M3228" s="2">
        <v>3227</v>
      </c>
    </row>
    <row r="3229" spans="13:14" x14ac:dyDescent="0.5">
      <c r="M3229" s="2">
        <v>3228</v>
      </c>
    </row>
    <row r="3230" spans="13:14" x14ac:dyDescent="0.5">
      <c r="M3230" s="2">
        <v>3229</v>
      </c>
    </row>
    <row r="3231" spans="13:14" x14ac:dyDescent="0.5">
      <c r="M3231" s="2">
        <v>3230</v>
      </c>
    </row>
    <row r="3232" spans="13:14" x14ac:dyDescent="0.5">
      <c r="M3232" s="2">
        <v>3231</v>
      </c>
    </row>
    <row r="3233" spans="13:14" x14ac:dyDescent="0.5">
      <c r="M3233" s="2">
        <v>3232</v>
      </c>
    </row>
    <row r="3234" spans="13:14" x14ac:dyDescent="0.5">
      <c r="M3234" s="2">
        <v>3233</v>
      </c>
    </row>
    <row r="3235" spans="13:14" x14ac:dyDescent="0.5">
      <c r="M3235" s="2">
        <v>3234</v>
      </c>
      <c r="N3235" s="2" t="s">
        <v>3446</v>
      </c>
    </row>
    <row r="3236" spans="13:14" x14ac:dyDescent="0.5">
      <c r="M3236" s="2">
        <v>3235</v>
      </c>
    </row>
    <row r="3237" spans="13:14" x14ac:dyDescent="0.5">
      <c r="M3237" s="2">
        <v>3236</v>
      </c>
    </row>
    <row r="3238" spans="13:14" x14ac:dyDescent="0.5">
      <c r="M3238" s="2">
        <v>3237</v>
      </c>
      <c r="N3238" s="2" t="s">
        <v>3446</v>
      </c>
    </row>
    <row r="3239" spans="13:14" x14ac:dyDescent="0.5">
      <c r="M3239" s="2">
        <v>3238</v>
      </c>
    </row>
    <row r="3240" spans="13:14" x14ac:dyDescent="0.5">
      <c r="M3240" s="2">
        <v>3239</v>
      </c>
    </row>
    <row r="3241" spans="13:14" x14ac:dyDescent="0.5">
      <c r="M3241" s="2">
        <v>3240</v>
      </c>
    </row>
    <row r="3242" spans="13:14" x14ac:dyDescent="0.5">
      <c r="M3242" s="2">
        <v>3241</v>
      </c>
    </row>
    <row r="3243" spans="13:14" x14ac:dyDescent="0.5">
      <c r="M3243" s="2">
        <v>3242</v>
      </c>
    </row>
    <row r="3244" spans="13:14" x14ac:dyDescent="0.5">
      <c r="M3244" s="2">
        <v>3243</v>
      </c>
    </row>
    <row r="3245" spans="13:14" x14ac:dyDescent="0.5">
      <c r="M3245" s="2">
        <v>3244</v>
      </c>
    </row>
    <row r="3246" spans="13:14" x14ac:dyDescent="0.5">
      <c r="M3246" s="2">
        <v>3245</v>
      </c>
    </row>
    <row r="3247" spans="13:14" x14ac:dyDescent="0.5">
      <c r="M3247" s="2">
        <v>3246</v>
      </c>
    </row>
    <row r="3248" spans="13:14" x14ac:dyDescent="0.5">
      <c r="M3248" s="2">
        <v>3247</v>
      </c>
    </row>
    <row r="3249" spans="13:13" x14ac:dyDescent="0.5">
      <c r="M3249" s="2">
        <v>3248</v>
      </c>
    </row>
    <row r="3250" spans="13:13" x14ac:dyDescent="0.5">
      <c r="M3250" s="2">
        <v>3249</v>
      </c>
    </row>
    <row r="3251" spans="13:13" x14ac:dyDescent="0.5">
      <c r="M3251" s="2">
        <v>3250</v>
      </c>
    </row>
    <row r="3252" spans="13:13" x14ac:dyDescent="0.5">
      <c r="M3252" s="2">
        <v>3251</v>
      </c>
    </row>
    <row r="3253" spans="13:13" x14ac:dyDescent="0.5">
      <c r="M3253" s="2">
        <v>3252</v>
      </c>
    </row>
    <row r="3254" spans="13:13" x14ac:dyDescent="0.5">
      <c r="M3254" s="2">
        <v>3253</v>
      </c>
    </row>
    <row r="3255" spans="13:13" x14ac:dyDescent="0.5">
      <c r="M3255" s="2">
        <v>3254</v>
      </c>
    </row>
    <row r="3256" spans="13:13" x14ac:dyDescent="0.5">
      <c r="M3256" s="2">
        <v>3255</v>
      </c>
    </row>
    <row r="3257" spans="13:13" x14ac:dyDescent="0.5">
      <c r="M3257" s="2">
        <v>3256</v>
      </c>
    </row>
    <row r="3258" spans="13:13" x14ac:dyDescent="0.5">
      <c r="M3258" s="2">
        <v>3257</v>
      </c>
    </row>
    <row r="3259" spans="13:13" x14ac:dyDescent="0.5">
      <c r="M3259" s="2">
        <v>3258</v>
      </c>
    </row>
    <row r="3260" spans="13:13" x14ac:dyDescent="0.5">
      <c r="M3260" s="2">
        <v>3259</v>
      </c>
    </row>
    <row r="3261" spans="13:13" x14ac:dyDescent="0.5">
      <c r="M3261" s="2">
        <v>3260</v>
      </c>
    </row>
    <row r="3262" spans="13:13" x14ac:dyDescent="0.5">
      <c r="M3262" s="2">
        <v>3261</v>
      </c>
    </row>
    <row r="3263" spans="13:13" x14ac:dyDescent="0.5">
      <c r="M3263" s="2">
        <v>3262</v>
      </c>
    </row>
    <row r="3264" spans="13:13" x14ac:dyDescent="0.5">
      <c r="M3264" s="2">
        <v>3263</v>
      </c>
    </row>
    <row r="3265" spans="13:13" x14ac:dyDescent="0.5">
      <c r="M3265" s="2">
        <v>3264</v>
      </c>
    </row>
    <row r="3266" spans="13:13" x14ac:dyDescent="0.5">
      <c r="M3266" s="2">
        <v>3265</v>
      </c>
    </row>
    <row r="3267" spans="13:13" x14ac:dyDescent="0.5">
      <c r="M3267" s="2">
        <v>3266</v>
      </c>
    </row>
    <row r="3268" spans="13:13" x14ac:dyDescent="0.5">
      <c r="M3268" s="2">
        <v>3267</v>
      </c>
    </row>
    <row r="3269" spans="13:13" x14ac:dyDescent="0.5">
      <c r="M3269" s="2">
        <v>3268</v>
      </c>
    </row>
    <row r="3270" spans="13:13" x14ac:dyDescent="0.5">
      <c r="M3270" s="2">
        <v>3269</v>
      </c>
    </row>
    <row r="3271" spans="13:13" x14ac:dyDescent="0.5">
      <c r="M3271" s="2">
        <v>3270</v>
      </c>
    </row>
    <row r="3272" spans="13:13" x14ac:dyDescent="0.5">
      <c r="M3272" s="2">
        <v>3271</v>
      </c>
    </row>
    <row r="3273" spans="13:13" x14ac:dyDescent="0.5">
      <c r="M3273" s="2">
        <v>3272</v>
      </c>
    </row>
    <row r="3274" spans="13:13" x14ac:dyDescent="0.5">
      <c r="M3274" s="2">
        <v>3273</v>
      </c>
    </row>
    <row r="3275" spans="13:13" x14ac:dyDescent="0.5">
      <c r="M3275" s="2">
        <v>3274</v>
      </c>
    </row>
    <row r="3276" spans="13:13" x14ac:dyDescent="0.5">
      <c r="M3276" s="2">
        <v>3275</v>
      </c>
    </row>
    <row r="3277" spans="13:13" x14ac:dyDescent="0.5">
      <c r="M3277" s="2">
        <v>3276</v>
      </c>
    </row>
    <row r="3278" spans="13:13" x14ac:dyDescent="0.5">
      <c r="M3278" s="2">
        <v>3277</v>
      </c>
    </row>
    <row r="3279" spans="13:13" x14ac:dyDescent="0.5">
      <c r="M3279" s="2">
        <v>3278</v>
      </c>
    </row>
    <row r="3280" spans="13:13" x14ac:dyDescent="0.5">
      <c r="M3280" s="2">
        <v>3279</v>
      </c>
    </row>
    <row r="3281" spans="13:14" x14ac:dyDescent="0.5">
      <c r="M3281" s="2">
        <v>3280</v>
      </c>
    </row>
    <row r="3282" spans="13:14" x14ac:dyDescent="0.5">
      <c r="M3282" s="2">
        <v>3281</v>
      </c>
    </row>
    <row r="3283" spans="13:14" x14ac:dyDescent="0.5">
      <c r="M3283" s="2">
        <v>3282</v>
      </c>
    </row>
    <row r="3284" spans="13:14" x14ac:dyDescent="0.5">
      <c r="M3284" s="2">
        <v>3283</v>
      </c>
    </row>
    <row r="3285" spans="13:14" x14ac:dyDescent="0.5">
      <c r="M3285" s="2">
        <v>3284</v>
      </c>
    </row>
    <row r="3286" spans="13:14" x14ac:dyDescent="0.5">
      <c r="M3286" s="2">
        <v>3285</v>
      </c>
    </row>
    <row r="3287" spans="13:14" x14ac:dyDescent="0.5">
      <c r="M3287" s="2">
        <v>3286</v>
      </c>
      <c r="N3287" s="2" t="s">
        <v>3446</v>
      </c>
    </row>
    <row r="3288" spans="13:14" x14ac:dyDescent="0.5">
      <c r="M3288" s="2">
        <v>3287</v>
      </c>
    </row>
    <row r="3289" spans="13:14" x14ac:dyDescent="0.5">
      <c r="M3289" s="2">
        <v>3288</v>
      </c>
      <c r="N3289" s="2" t="s">
        <v>3446</v>
      </c>
    </row>
    <row r="3290" spans="13:14" x14ac:dyDescent="0.5">
      <c r="M3290" s="2">
        <v>3289</v>
      </c>
      <c r="N3290" s="2" t="s">
        <v>3446</v>
      </c>
    </row>
    <row r="3291" spans="13:14" x14ac:dyDescent="0.5">
      <c r="M3291" s="2">
        <v>3290</v>
      </c>
      <c r="N3291" s="2" t="s">
        <v>3446</v>
      </c>
    </row>
    <row r="3292" spans="13:14" x14ac:dyDescent="0.5">
      <c r="M3292" s="2">
        <v>3291</v>
      </c>
      <c r="N3292" s="2" t="s">
        <v>3446</v>
      </c>
    </row>
    <row r="3293" spans="13:14" x14ac:dyDescent="0.5">
      <c r="M3293" s="2">
        <v>3292</v>
      </c>
      <c r="N3293" s="2" t="s">
        <v>3446</v>
      </c>
    </row>
    <row r="3294" spans="13:14" x14ac:dyDescent="0.5">
      <c r="M3294" s="2">
        <v>3293</v>
      </c>
    </row>
    <row r="3295" spans="13:14" x14ac:dyDescent="0.5">
      <c r="M3295" s="2">
        <v>3294</v>
      </c>
      <c r="N3295" s="2" t="s">
        <v>3446</v>
      </c>
    </row>
    <row r="3296" spans="13:14" x14ac:dyDescent="0.5">
      <c r="M3296" s="2">
        <v>3295</v>
      </c>
    </row>
    <row r="3297" spans="13:14" x14ac:dyDescent="0.5">
      <c r="M3297" s="2">
        <v>3296</v>
      </c>
    </row>
    <row r="3298" spans="13:14" x14ac:dyDescent="0.5">
      <c r="M3298" s="2">
        <v>3297</v>
      </c>
      <c r="N3298" s="2" t="s">
        <v>3446</v>
      </c>
    </row>
    <row r="3299" spans="13:14" x14ac:dyDescent="0.5">
      <c r="M3299" s="2">
        <v>3298</v>
      </c>
      <c r="N3299" s="2" t="s">
        <v>3446</v>
      </c>
    </row>
    <row r="3300" spans="13:14" x14ac:dyDescent="0.5">
      <c r="M3300" s="2">
        <v>3299</v>
      </c>
    </row>
    <row r="3301" spans="13:14" x14ac:dyDescent="0.5">
      <c r="M3301" s="2">
        <v>3300</v>
      </c>
    </row>
    <row r="3302" spans="13:14" x14ac:dyDescent="0.5">
      <c r="M3302" s="2">
        <v>3301</v>
      </c>
    </row>
    <row r="3303" spans="13:14" x14ac:dyDescent="0.5">
      <c r="M3303" s="2">
        <v>3302</v>
      </c>
      <c r="N3303" s="2" t="s">
        <v>3446</v>
      </c>
    </row>
    <row r="3304" spans="13:14" x14ac:dyDescent="0.5">
      <c r="M3304" s="2">
        <v>3303</v>
      </c>
      <c r="N3304" s="2" t="s">
        <v>3446</v>
      </c>
    </row>
    <row r="3305" spans="13:14" x14ac:dyDescent="0.5">
      <c r="M3305" s="2">
        <v>3304</v>
      </c>
      <c r="N3305" s="2" t="s">
        <v>3446</v>
      </c>
    </row>
    <row r="3306" spans="13:14" x14ac:dyDescent="0.5">
      <c r="M3306" s="2">
        <v>3305</v>
      </c>
    </row>
    <row r="3307" spans="13:14" x14ac:dyDescent="0.5">
      <c r="M3307" s="2">
        <v>3306</v>
      </c>
    </row>
    <row r="3308" spans="13:14" x14ac:dyDescent="0.5">
      <c r="M3308" s="2">
        <v>3307</v>
      </c>
    </row>
    <row r="3309" spans="13:14" x14ac:dyDescent="0.5">
      <c r="M3309" s="2">
        <v>3308</v>
      </c>
    </row>
    <row r="3310" spans="13:14" x14ac:dyDescent="0.5">
      <c r="M3310" s="2">
        <v>3309</v>
      </c>
    </row>
    <row r="3311" spans="13:14" x14ac:dyDescent="0.5">
      <c r="M3311" s="2">
        <v>3310</v>
      </c>
    </row>
    <row r="3312" spans="13:14" x14ac:dyDescent="0.5">
      <c r="M3312" s="2">
        <v>3311</v>
      </c>
    </row>
    <row r="3313" spans="13:13" x14ac:dyDescent="0.5">
      <c r="M3313" s="2">
        <v>3312</v>
      </c>
    </row>
    <row r="3314" spans="13:13" x14ac:dyDescent="0.5">
      <c r="M3314" s="2">
        <v>3313</v>
      </c>
    </row>
    <row r="3315" spans="13:13" x14ac:dyDescent="0.5">
      <c r="M3315" s="2">
        <v>3314</v>
      </c>
    </row>
    <row r="3316" spans="13:13" x14ac:dyDescent="0.5">
      <c r="M3316" s="2">
        <v>3315</v>
      </c>
    </row>
    <row r="3317" spans="13:13" x14ac:dyDescent="0.5">
      <c r="M3317" s="2">
        <v>3316</v>
      </c>
    </row>
    <row r="3318" spans="13:13" x14ac:dyDescent="0.5">
      <c r="M3318" s="2">
        <v>3317</v>
      </c>
    </row>
    <row r="3319" spans="13:13" x14ac:dyDescent="0.5">
      <c r="M3319" s="2">
        <v>3318</v>
      </c>
    </row>
    <row r="3320" spans="13:13" x14ac:dyDescent="0.5">
      <c r="M3320" s="2">
        <v>3319</v>
      </c>
    </row>
    <row r="3321" spans="13:13" x14ac:dyDescent="0.5">
      <c r="M3321" s="2">
        <v>3320</v>
      </c>
    </row>
    <row r="3322" spans="13:13" x14ac:dyDescent="0.5">
      <c r="M3322" s="2">
        <v>3321</v>
      </c>
    </row>
    <row r="3323" spans="13:13" x14ac:dyDescent="0.5">
      <c r="M3323" s="2">
        <v>3322</v>
      </c>
    </row>
    <row r="3324" spans="13:13" x14ac:dyDescent="0.5">
      <c r="M3324" s="2">
        <v>3323</v>
      </c>
    </row>
    <row r="3325" spans="13:13" x14ac:dyDescent="0.5">
      <c r="M3325" s="2">
        <v>3324</v>
      </c>
    </row>
    <row r="3326" spans="13:13" x14ac:dyDescent="0.5">
      <c r="M3326" s="2">
        <v>3325</v>
      </c>
    </row>
    <row r="3327" spans="13:13" x14ac:dyDescent="0.5">
      <c r="M3327" s="2">
        <v>3326</v>
      </c>
    </row>
    <row r="3328" spans="13:13" x14ac:dyDescent="0.5">
      <c r="M3328" s="2">
        <v>3327</v>
      </c>
    </row>
    <row r="3329" spans="13:14" x14ac:dyDescent="0.5">
      <c r="M3329" s="2">
        <v>3328</v>
      </c>
    </row>
    <row r="3330" spans="13:14" x14ac:dyDescent="0.5">
      <c r="M3330" s="2">
        <v>3329</v>
      </c>
    </row>
    <row r="3331" spans="13:14" x14ac:dyDescent="0.5">
      <c r="M3331" s="2">
        <v>3330</v>
      </c>
    </row>
    <row r="3332" spans="13:14" x14ac:dyDescent="0.5">
      <c r="M3332" s="2">
        <v>3331</v>
      </c>
    </row>
    <row r="3333" spans="13:14" x14ac:dyDescent="0.5">
      <c r="M3333" s="2">
        <v>3332</v>
      </c>
    </row>
    <row r="3334" spans="13:14" x14ac:dyDescent="0.5">
      <c r="M3334" s="2">
        <v>3333</v>
      </c>
    </row>
    <row r="3335" spans="13:14" x14ac:dyDescent="0.5">
      <c r="M3335" s="2">
        <v>3334</v>
      </c>
    </row>
    <row r="3336" spans="13:14" x14ac:dyDescent="0.5">
      <c r="M3336" s="2">
        <v>3335</v>
      </c>
    </row>
    <row r="3337" spans="13:14" x14ac:dyDescent="0.5">
      <c r="M3337" s="2">
        <v>3336</v>
      </c>
    </row>
    <row r="3338" spans="13:14" x14ac:dyDescent="0.5">
      <c r="M3338" s="2">
        <v>3337</v>
      </c>
    </row>
    <row r="3339" spans="13:14" x14ac:dyDescent="0.5">
      <c r="M3339" s="2">
        <v>3338</v>
      </c>
    </row>
    <row r="3340" spans="13:14" x14ac:dyDescent="0.5">
      <c r="M3340" s="2">
        <v>3339</v>
      </c>
      <c r="N3340" s="2" t="s">
        <v>3446</v>
      </c>
    </row>
    <row r="3341" spans="13:14" x14ac:dyDescent="0.5">
      <c r="M3341" s="2">
        <v>3340</v>
      </c>
      <c r="N3341" s="2" t="s">
        <v>3446</v>
      </c>
    </row>
    <row r="3342" spans="13:14" x14ac:dyDescent="0.5">
      <c r="M3342" s="2">
        <v>3341</v>
      </c>
      <c r="N3342" s="2" t="s">
        <v>3446</v>
      </c>
    </row>
    <row r="3343" spans="13:14" x14ac:dyDescent="0.5">
      <c r="M3343" s="2">
        <v>3342</v>
      </c>
      <c r="N3343" s="2" t="s">
        <v>3446</v>
      </c>
    </row>
    <row r="3344" spans="13:14" x14ac:dyDescent="0.5">
      <c r="M3344" s="2">
        <v>3343</v>
      </c>
      <c r="N3344" s="2" t="s">
        <v>3446</v>
      </c>
    </row>
    <row r="3345" spans="13:14" x14ac:dyDescent="0.5">
      <c r="M3345" s="2">
        <v>3344</v>
      </c>
      <c r="N3345" s="2" t="s">
        <v>3446</v>
      </c>
    </row>
    <row r="3346" spans="13:14" x14ac:dyDescent="0.5">
      <c r="M3346" s="2">
        <v>3345</v>
      </c>
      <c r="N3346" s="2" t="s">
        <v>3446</v>
      </c>
    </row>
    <row r="3347" spans="13:14" x14ac:dyDescent="0.5">
      <c r="M3347" s="2">
        <v>3346</v>
      </c>
    </row>
    <row r="3348" spans="13:14" x14ac:dyDescent="0.5">
      <c r="M3348" s="2">
        <v>3347</v>
      </c>
    </row>
    <row r="3349" spans="13:14" x14ac:dyDescent="0.5">
      <c r="M3349" s="2">
        <v>3348</v>
      </c>
    </row>
    <row r="3350" spans="13:14" x14ac:dyDescent="0.5">
      <c r="M3350" s="2">
        <v>3349</v>
      </c>
    </row>
    <row r="3351" spans="13:14" x14ac:dyDescent="0.5">
      <c r="M3351" s="2">
        <v>3350</v>
      </c>
    </row>
    <row r="3352" spans="13:14" x14ac:dyDescent="0.5">
      <c r="M3352" s="2">
        <v>3351</v>
      </c>
    </row>
    <row r="3353" spans="13:14" x14ac:dyDescent="0.5">
      <c r="M3353" s="2">
        <v>3352</v>
      </c>
    </row>
    <row r="3354" spans="13:14" x14ac:dyDescent="0.5">
      <c r="M3354" s="2">
        <v>3353</v>
      </c>
      <c r="N3354" s="2" t="s">
        <v>3446</v>
      </c>
    </row>
    <row r="3355" spans="13:14" x14ac:dyDescent="0.5">
      <c r="M3355" s="2">
        <v>3354</v>
      </c>
      <c r="N3355" s="2" t="s">
        <v>3446</v>
      </c>
    </row>
    <row r="3356" spans="13:14" x14ac:dyDescent="0.5">
      <c r="M3356" s="2">
        <v>3355</v>
      </c>
      <c r="N3356" s="2" t="s">
        <v>3446</v>
      </c>
    </row>
    <row r="3357" spans="13:14" x14ac:dyDescent="0.5">
      <c r="M3357" s="2">
        <v>3356</v>
      </c>
    </row>
    <row r="3358" spans="13:14" x14ac:dyDescent="0.5">
      <c r="M3358" s="2">
        <v>3357</v>
      </c>
    </row>
    <row r="3359" spans="13:14" x14ac:dyDescent="0.5">
      <c r="M3359" s="2">
        <v>3358</v>
      </c>
    </row>
    <row r="3360" spans="13:14" x14ac:dyDescent="0.5">
      <c r="M3360" s="2">
        <v>3359</v>
      </c>
    </row>
    <row r="3361" spans="13:14" x14ac:dyDescent="0.5">
      <c r="M3361" s="2">
        <v>3360</v>
      </c>
    </row>
    <row r="3362" spans="13:14" x14ac:dyDescent="0.5">
      <c r="M3362" s="2">
        <v>3361</v>
      </c>
    </row>
    <row r="3363" spans="13:14" x14ac:dyDescent="0.5">
      <c r="M3363" s="2">
        <v>3362</v>
      </c>
    </row>
    <row r="3364" spans="13:14" x14ac:dyDescent="0.5">
      <c r="M3364" s="2">
        <v>3363</v>
      </c>
    </row>
    <row r="3365" spans="13:14" x14ac:dyDescent="0.5">
      <c r="M3365" s="2">
        <v>3364</v>
      </c>
    </row>
    <row r="3366" spans="13:14" x14ac:dyDescent="0.5">
      <c r="M3366" s="2">
        <v>3365</v>
      </c>
    </row>
    <row r="3367" spans="13:14" x14ac:dyDescent="0.5">
      <c r="M3367" s="2">
        <v>3366</v>
      </c>
    </row>
    <row r="3368" spans="13:14" x14ac:dyDescent="0.5">
      <c r="M3368" s="2">
        <v>3367</v>
      </c>
    </row>
    <row r="3369" spans="13:14" x14ac:dyDescent="0.5">
      <c r="M3369" s="2">
        <v>3368</v>
      </c>
    </row>
    <row r="3370" spans="13:14" x14ac:dyDescent="0.5">
      <c r="M3370" s="2">
        <v>3369</v>
      </c>
    </row>
    <row r="3371" spans="13:14" x14ac:dyDescent="0.5">
      <c r="M3371" s="2">
        <v>3370</v>
      </c>
    </row>
    <row r="3372" spans="13:14" x14ac:dyDescent="0.5">
      <c r="M3372" s="2">
        <v>3371</v>
      </c>
    </row>
    <row r="3373" spans="13:14" x14ac:dyDescent="0.5">
      <c r="M3373" s="2">
        <v>3372</v>
      </c>
    </row>
    <row r="3374" spans="13:14" x14ac:dyDescent="0.5">
      <c r="M3374" s="2">
        <v>3373</v>
      </c>
      <c r="N3374" s="2" t="s">
        <v>3446</v>
      </c>
    </row>
    <row r="3375" spans="13:14" x14ac:dyDescent="0.5">
      <c r="M3375" s="2">
        <v>3374</v>
      </c>
      <c r="N3375" s="2" t="s">
        <v>3446</v>
      </c>
    </row>
    <row r="3376" spans="13:14" x14ac:dyDescent="0.5">
      <c r="M3376" s="2">
        <v>3375</v>
      </c>
    </row>
    <row r="3377" spans="13:14" x14ac:dyDescent="0.5">
      <c r="M3377" s="2">
        <v>3376</v>
      </c>
    </row>
    <row r="3378" spans="13:14" x14ac:dyDescent="0.5">
      <c r="M3378" s="2">
        <v>3377</v>
      </c>
      <c r="N3378" s="2" t="s">
        <v>3446</v>
      </c>
    </row>
    <row r="3379" spans="13:14" x14ac:dyDescent="0.5">
      <c r="M3379" s="2">
        <v>3378</v>
      </c>
    </row>
    <row r="3380" spans="13:14" x14ac:dyDescent="0.5">
      <c r="M3380" s="2">
        <v>3379</v>
      </c>
      <c r="N3380" s="2" t="s">
        <v>3446</v>
      </c>
    </row>
    <row r="3381" spans="13:14" x14ac:dyDescent="0.5">
      <c r="M3381" s="2">
        <v>3380</v>
      </c>
      <c r="N3381" s="2" t="s">
        <v>3446</v>
      </c>
    </row>
    <row r="3382" spans="13:14" x14ac:dyDescent="0.5">
      <c r="M3382" s="2">
        <v>3381</v>
      </c>
      <c r="N3382" s="2" t="s">
        <v>3446</v>
      </c>
    </row>
    <row r="3383" spans="13:14" x14ac:dyDescent="0.5">
      <c r="M3383" s="2">
        <v>3382</v>
      </c>
    </row>
    <row r="3384" spans="13:14" x14ac:dyDescent="0.5">
      <c r="M3384" s="2">
        <v>3383</v>
      </c>
      <c r="N3384" s="2" t="s">
        <v>3446</v>
      </c>
    </row>
    <row r="3385" spans="13:14" x14ac:dyDescent="0.5">
      <c r="M3385" s="2">
        <v>3384</v>
      </c>
      <c r="N3385" s="2" t="s">
        <v>3446</v>
      </c>
    </row>
    <row r="3386" spans="13:14" x14ac:dyDescent="0.5">
      <c r="M3386" s="2">
        <v>3385</v>
      </c>
      <c r="N3386" s="2" t="s">
        <v>3446</v>
      </c>
    </row>
    <row r="3387" spans="13:14" x14ac:dyDescent="0.5">
      <c r="M3387" s="2">
        <v>3386</v>
      </c>
      <c r="N3387" s="2" t="s">
        <v>3446</v>
      </c>
    </row>
    <row r="3388" spans="13:14" x14ac:dyDescent="0.5">
      <c r="M3388" s="2">
        <v>3387</v>
      </c>
      <c r="N3388" s="2" t="s">
        <v>3446</v>
      </c>
    </row>
    <row r="3389" spans="13:14" x14ac:dyDescent="0.5">
      <c r="M3389" s="2">
        <v>3388</v>
      </c>
      <c r="N3389" s="2" t="s">
        <v>3446</v>
      </c>
    </row>
    <row r="3390" spans="13:14" x14ac:dyDescent="0.5">
      <c r="M3390" s="2">
        <v>3389</v>
      </c>
      <c r="N3390" s="2" t="s">
        <v>3446</v>
      </c>
    </row>
    <row r="3391" spans="13:14" x14ac:dyDescent="0.5">
      <c r="M3391" s="2">
        <v>3390</v>
      </c>
      <c r="N3391" s="2" t="s">
        <v>3446</v>
      </c>
    </row>
    <row r="3392" spans="13:14" x14ac:dyDescent="0.5">
      <c r="M3392" s="2">
        <v>3391</v>
      </c>
      <c r="N3392" s="2" t="s">
        <v>3446</v>
      </c>
    </row>
    <row r="3393" spans="13:14" x14ac:dyDescent="0.5">
      <c r="M3393" s="2">
        <v>3392</v>
      </c>
    </row>
    <row r="3394" spans="13:14" x14ac:dyDescent="0.5">
      <c r="M3394" s="2">
        <v>3393</v>
      </c>
    </row>
    <row r="3395" spans="13:14" x14ac:dyDescent="0.5">
      <c r="M3395" s="2">
        <v>3394</v>
      </c>
    </row>
    <row r="3396" spans="13:14" x14ac:dyDescent="0.5">
      <c r="M3396" s="2">
        <v>3395</v>
      </c>
    </row>
    <row r="3397" spans="13:14" x14ac:dyDescent="0.5">
      <c r="M3397" s="2">
        <v>3396</v>
      </c>
    </row>
    <row r="3398" spans="13:14" x14ac:dyDescent="0.5">
      <c r="M3398" s="2">
        <v>3397</v>
      </c>
    </row>
    <row r="3399" spans="13:14" x14ac:dyDescent="0.5">
      <c r="M3399" s="2">
        <v>3398</v>
      </c>
    </row>
    <row r="3400" spans="13:14" x14ac:dyDescent="0.5">
      <c r="M3400" s="2">
        <v>3399</v>
      </c>
    </row>
    <row r="3401" spans="13:14" x14ac:dyDescent="0.5">
      <c r="M3401" s="2">
        <v>3400</v>
      </c>
    </row>
    <row r="3402" spans="13:14" x14ac:dyDescent="0.5">
      <c r="M3402" s="2">
        <v>3401</v>
      </c>
      <c r="N3402" s="2" t="s">
        <v>3446</v>
      </c>
    </row>
    <row r="3403" spans="13:14" x14ac:dyDescent="0.5">
      <c r="M3403" s="2">
        <v>3402</v>
      </c>
    </row>
    <row r="3404" spans="13:14" x14ac:dyDescent="0.5">
      <c r="M3404" s="2">
        <v>3403</v>
      </c>
    </row>
    <row r="3405" spans="13:14" x14ac:dyDescent="0.5">
      <c r="M3405" s="2">
        <v>3404</v>
      </c>
    </row>
    <row r="3406" spans="13:14" x14ac:dyDescent="0.5">
      <c r="M3406" s="2">
        <v>3405</v>
      </c>
    </row>
    <row r="3407" spans="13:14" x14ac:dyDescent="0.5">
      <c r="M3407" s="2">
        <v>3406</v>
      </c>
      <c r="N3407" s="2" t="s">
        <v>3446</v>
      </c>
    </row>
    <row r="3408" spans="13:14" x14ac:dyDescent="0.5">
      <c r="M3408" s="2">
        <v>3407</v>
      </c>
    </row>
    <row r="3409" spans="13:14" x14ac:dyDescent="0.5">
      <c r="M3409" s="2">
        <v>3408</v>
      </c>
    </row>
    <row r="3410" spans="13:14" x14ac:dyDescent="0.5">
      <c r="M3410" s="2">
        <v>3409</v>
      </c>
    </row>
    <row r="3411" spans="13:14" x14ac:dyDescent="0.5">
      <c r="M3411" s="2">
        <v>3410</v>
      </c>
    </row>
    <row r="3412" spans="13:14" x14ac:dyDescent="0.5">
      <c r="M3412" s="2">
        <v>3411</v>
      </c>
    </row>
    <row r="3413" spans="13:14" x14ac:dyDescent="0.5">
      <c r="M3413" s="2">
        <v>3412</v>
      </c>
      <c r="N3413" s="2" t="s">
        <v>3446</v>
      </c>
    </row>
    <row r="3414" spans="13:14" x14ac:dyDescent="0.5">
      <c r="M3414" s="2">
        <v>3413</v>
      </c>
    </row>
    <row r="3415" spans="13:14" x14ac:dyDescent="0.5">
      <c r="M3415" s="2">
        <v>3414</v>
      </c>
    </row>
    <row r="3416" spans="13:14" x14ac:dyDescent="0.5">
      <c r="M3416" s="2">
        <v>3415</v>
      </c>
    </row>
    <row r="3417" spans="13:14" x14ac:dyDescent="0.5">
      <c r="M3417" s="2">
        <v>3416</v>
      </c>
    </row>
    <row r="3418" spans="13:14" x14ac:dyDescent="0.5">
      <c r="M3418" s="2">
        <v>3417</v>
      </c>
    </row>
    <row r="3419" spans="13:14" x14ac:dyDescent="0.5">
      <c r="M3419" s="2">
        <v>3418</v>
      </c>
      <c r="N3419" s="2" t="s">
        <v>3446</v>
      </c>
    </row>
    <row r="3420" spans="13:14" x14ac:dyDescent="0.5">
      <c r="M3420" s="2">
        <v>3419</v>
      </c>
    </row>
    <row r="3421" spans="13:14" x14ac:dyDescent="0.5">
      <c r="M3421" s="2">
        <v>3420</v>
      </c>
    </row>
    <row r="3422" spans="13:14" x14ac:dyDescent="0.5">
      <c r="M3422" s="2">
        <v>3421</v>
      </c>
    </row>
    <row r="3423" spans="13:14" x14ac:dyDescent="0.5">
      <c r="M3423" s="2">
        <v>3422</v>
      </c>
    </row>
    <row r="3424" spans="13:14" x14ac:dyDescent="0.5">
      <c r="M3424" s="2">
        <v>3423</v>
      </c>
    </row>
    <row r="3425" spans="13:14" x14ac:dyDescent="0.5">
      <c r="M3425" s="2">
        <v>3424</v>
      </c>
    </row>
    <row r="3426" spans="13:14" x14ac:dyDescent="0.5">
      <c r="M3426" s="2">
        <v>3425</v>
      </c>
      <c r="N3426" s="2" t="s">
        <v>3446</v>
      </c>
    </row>
    <row r="3427" spans="13:14" x14ac:dyDescent="0.5">
      <c r="M3427" s="2">
        <v>3426</v>
      </c>
      <c r="N3427" s="2" t="s">
        <v>3446</v>
      </c>
    </row>
    <row r="3428" spans="13:14" x14ac:dyDescent="0.5">
      <c r="M3428" s="2">
        <v>3427</v>
      </c>
      <c r="N3428" s="2" t="s">
        <v>3446</v>
      </c>
    </row>
    <row r="3429" spans="13:14" x14ac:dyDescent="0.5">
      <c r="M3429" s="2">
        <v>3428</v>
      </c>
    </row>
    <row r="3430" spans="13:14" x14ac:dyDescent="0.5">
      <c r="M3430" s="2">
        <v>3429</v>
      </c>
    </row>
    <row r="3431" spans="13:14" x14ac:dyDescent="0.5">
      <c r="M3431" s="2">
        <v>3430</v>
      </c>
    </row>
    <row r="3432" spans="13:14" x14ac:dyDescent="0.5">
      <c r="M3432" s="2">
        <v>3431</v>
      </c>
    </row>
    <row r="3433" spans="13:14" x14ac:dyDescent="0.5">
      <c r="M3433" s="2">
        <v>3432</v>
      </c>
    </row>
    <row r="3434" spans="13:14" x14ac:dyDescent="0.5">
      <c r="M3434" s="2">
        <v>3433</v>
      </c>
    </row>
    <row r="3435" spans="13:14" x14ac:dyDescent="0.5">
      <c r="M3435" s="2">
        <v>3434</v>
      </c>
    </row>
    <row r="3436" spans="13:14" x14ac:dyDescent="0.5">
      <c r="M3436" s="2">
        <v>3435</v>
      </c>
    </row>
    <row r="3437" spans="13:14" x14ac:dyDescent="0.5">
      <c r="M3437" s="2">
        <v>3436</v>
      </c>
    </row>
    <row r="3438" spans="13:14" x14ac:dyDescent="0.5">
      <c r="M3438" s="2">
        <v>3437</v>
      </c>
    </row>
    <row r="3439" spans="13:14" x14ac:dyDescent="0.5">
      <c r="M3439" s="2">
        <v>3438</v>
      </c>
    </row>
    <row r="3440" spans="13:14" x14ac:dyDescent="0.5">
      <c r="M3440" s="2">
        <v>3439</v>
      </c>
    </row>
    <row r="3441" spans="13:14" x14ac:dyDescent="0.5">
      <c r="M3441" s="2">
        <v>3440</v>
      </c>
    </row>
    <row r="3442" spans="13:14" x14ac:dyDescent="0.5">
      <c r="M3442" s="2">
        <v>3441</v>
      </c>
    </row>
    <row r="3443" spans="13:14" x14ac:dyDescent="0.5">
      <c r="M3443" s="2">
        <v>3442</v>
      </c>
    </row>
    <row r="3444" spans="13:14" x14ac:dyDescent="0.5">
      <c r="M3444" s="2">
        <v>3443</v>
      </c>
    </row>
    <row r="3445" spans="13:14" x14ac:dyDescent="0.5">
      <c r="M3445" s="2">
        <v>3444</v>
      </c>
    </row>
    <row r="3446" spans="13:14" x14ac:dyDescent="0.5">
      <c r="M3446" s="2">
        <v>3445</v>
      </c>
      <c r="N3446" s="2" t="s">
        <v>3446</v>
      </c>
    </row>
    <row r="3447" spans="13:14" x14ac:dyDescent="0.5">
      <c r="M3447" s="2">
        <v>3446</v>
      </c>
    </row>
    <row r="3448" spans="13:14" x14ac:dyDescent="0.5">
      <c r="M3448" s="2">
        <v>3447</v>
      </c>
    </row>
    <row r="3449" spans="13:14" x14ac:dyDescent="0.5">
      <c r="M3449" s="2">
        <v>3448</v>
      </c>
    </row>
    <row r="3450" spans="13:14" x14ac:dyDescent="0.5">
      <c r="M3450" s="2">
        <v>3449</v>
      </c>
    </row>
    <row r="3451" spans="13:14" x14ac:dyDescent="0.5">
      <c r="M3451" s="2">
        <v>3450</v>
      </c>
    </row>
    <row r="3452" spans="13:14" x14ac:dyDescent="0.5">
      <c r="M3452" s="2">
        <v>3451</v>
      </c>
    </row>
    <row r="3453" spans="13:14" x14ac:dyDescent="0.5">
      <c r="M3453" s="2">
        <v>3452</v>
      </c>
    </row>
    <row r="3454" spans="13:14" x14ac:dyDescent="0.5">
      <c r="M3454" s="2">
        <v>3453</v>
      </c>
    </row>
    <row r="3455" spans="13:14" x14ac:dyDescent="0.5">
      <c r="M3455" s="2">
        <v>3454</v>
      </c>
    </row>
    <row r="3456" spans="13:14" x14ac:dyDescent="0.5">
      <c r="M3456" s="2">
        <v>3455</v>
      </c>
    </row>
    <row r="3457" spans="13:14" x14ac:dyDescent="0.5">
      <c r="M3457" s="2">
        <v>3456</v>
      </c>
    </row>
    <row r="3458" spans="13:14" x14ac:dyDescent="0.5">
      <c r="M3458" s="2">
        <v>3457</v>
      </c>
    </row>
    <row r="3459" spans="13:14" x14ac:dyDescent="0.5">
      <c r="M3459" s="2">
        <v>3458</v>
      </c>
    </row>
    <row r="3460" spans="13:14" x14ac:dyDescent="0.5">
      <c r="M3460" s="2">
        <v>3459</v>
      </c>
    </row>
    <row r="3461" spans="13:14" x14ac:dyDescent="0.5">
      <c r="M3461" s="2">
        <v>3460</v>
      </c>
    </row>
    <row r="3462" spans="13:14" x14ac:dyDescent="0.5">
      <c r="M3462" s="2">
        <v>3461</v>
      </c>
    </row>
    <row r="3463" spans="13:14" x14ac:dyDescent="0.5">
      <c r="M3463" s="2">
        <v>3462</v>
      </c>
    </row>
    <row r="3464" spans="13:14" x14ac:dyDescent="0.5">
      <c r="M3464" s="2">
        <v>3463</v>
      </c>
      <c r="N3464" s="2" t="s">
        <v>3446</v>
      </c>
    </row>
    <row r="3465" spans="13:14" x14ac:dyDescent="0.5">
      <c r="M3465" s="2">
        <v>3464</v>
      </c>
    </row>
    <row r="3466" spans="13:14" x14ac:dyDescent="0.5">
      <c r="M3466" s="2">
        <v>3465</v>
      </c>
    </row>
    <row r="3467" spans="13:14" x14ac:dyDescent="0.5">
      <c r="M3467" s="2">
        <v>3466</v>
      </c>
    </row>
    <row r="3468" spans="13:14" x14ac:dyDescent="0.5">
      <c r="M3468" s="2">
        <v>3467</v>
      </c>
    </row>
    <row r="3469" spans="13:14" x14ac:dyDescent="0.5">
      <c r="M3469" s="2">
        <v>3468</v>
      </c>
    </row>
    <row r="3470" spans="13:14" x14ac:dyDescent="0.5">
      <c r="M3470" s="2">
        <v>3469</v>
      </c>
    </row>
    <row r="3471" spans="13:14" x14ac:dyDescent="0.5">
      <c r="M3471" s="2">
        <v>3470</v>
      </c>
    </row>
    <row r="3472" spans="13:14" x14ac:dyDescent="0.5">
      <c r="M3472" s="2">
        <v>3471</v>
      </c>
    </row>
    <row r="3473" spans="13:14" x14ac:dyDescent="0.5">
      <c r="M3473" s="2">
        <v>3472</v>
      </c>
    </row>
    <row r="3474" spans="13:14" x14ac:dyDescent="0.5">
      <c r="M3474" s="2">
        <v>3473</v>
      </c>
      <c r="N3474" s="2" t="s">
        <v>3446</v>
      </c>
    </row>
    <row r="3475" spans="13:14" x14ac:dyDescent="0.5">
      <c r="M3475" s="2">
        <v>3474</v>
      </c>
    </row>
    <row r="3476" spans="13:14" x14ac:dyDescent="0.5">
      <c r="M3476" s="2">
        <v>3475</v>
      </c>
    </row>
    <row r="3477" spans="13:14" x14ac:dyDescent="0.5">
      <c r="M3477" s="2">
        <v>3476</v>
      </c>
    </row>
    <row r="3478" spans="13:14" x14ac:dyDescent="0.5">
      <c r="M3478" s="2">
        <v>3477</v>
      </c>
    </row>
    <row r="3479" spans="13:14" x14ac:dyDescent="0.5">
      <c r="M3479" s="2">
        <v>3478</v>
      </c>
    </row>
    <row r="3480" spans="13:14" x14ac:dyDescent="0.5">
      <c r="M3480" s="2">
        <v>3479</v>
      </c>
    </row>
    <row r="3481" spans="13:14" x14ac:dyDescent="0.5">
      <c r="M3481" s="2">
        <v>3480</v>
      </c>
    </row>
    <row r="3482" spans="13:14" x14ac:dyDescent="0.5">
      <c r="M3482" s="2">
        <v>3481</v>
      </c>
      <c r="N3482" s="2" t="s">
        <v>3446</v>
      </c>
    </row>
    <row r="3483" spans="13:14" x14ac:dyDescent="0.5">
      <c r="M3483" s="2">
        <v>3482</v>
      </c>
      <c r="N3483" s="2" t="s">
        <v>3446</v>
      </c>
    </row>
    <row r="3484" spans="13:14" x14ac:dyDescent="0.5">
      <c r="M3484" s="2">
        <v>3483</v>
      </c>
    </row>
    <row r="3485" spans="13:14" x14ac:dyDescent="0.5">
      <c r="M3485" s="2">
        <v>3484</v>
      </c>
      <c r="N3485" s="2" t="s">
        <v>3446</v>
      </c>
    </row>
    <row r="3486" spans="13:14" x14ac:dyDescent="0.5">
      <c r="M3486" s="2">
        <v>3485</v>
      </c>
    </row>
    <row r="3487" spans="13:14" x14ac:dyDescent="0.5">
      <c r="M3487" s="2">
        <v>3486</v>
      </c>
    </row>
    <row r="3488" spans="13:14" x14ac:dyDescent="0.5">
      <c r="M3488" s="2">
        <v>3487</v>
      </c>
    </row>
    <row r="3489" spans="13:14" x14ac:dyDescent="0.5">
      <c r="M3489" s="2">
        <v>3488</v>
      </c>
    </row>
    <row r="3490" spans="13:14" x14ac:dyDescent="0.5">
      <c r="M3490" s="2">
        <v>3489</v>
      </c>
      <c r="N3490" s="2" t="s">
        <v>3446</v>
      </c>
    </row>
    <row r="3491" spans="13:14" x14ac:dyDescent="0.5">
      <c r="M3491" s="2">
        <v>3490</v>
      </c>
      <c r="N3491" s="2" t="s">
        <v>3446</v>
      </c>
    </row>
    <row r="3492" spans="13:14" x14ac:dyDescent="0.5">
      <c r="M3492" s="2">
        <v>3491</v>
      </c>
      <c r="N3492" s="2" t="s">
        <v>3446</v>
      </c>
    </row>
    <row r="3493" spans="13:14" x14ac:dyDescent="0.5">
      <c r="M3493" s="2">
        <v>3492</v>
      </c>
      <c r="N3493" s="2" t="s">
        <v>3446</v>
      </c>
    </row>
    <row r="3494" spans="13:14" x14ac:dyDescent="0.5">
      <c r="M3494" s="2">
        <v>3493</v>
      </c>
    </row>
    <row r="3495" spans="13:14" x14ac:dyDescent="0.5">
      <c r="M3495" s="2">
        <v>3494</v>
      </c>
      <c r="N3495" s="2" t="s">
        <v>3446</v>
      </c>
    </row>
    <row r="3496" spans="13:14" x14ac:dyDescent="0.5">
      <c r="M3496" s="2">
        <v>3495</v>
      </c>
      <c r="N3496" s="2" t="s">
        <v>3446</v>
      </c>
    </row>
    <row r="3497" spans="13:14" x14ac:dyDescent="0.5">
      <c r="M3497" s="2">
        <v>3496</v>
      </c>
      <c r="N3497" s="2" t="s">
        <v>3446</v>
      </c>
    </row>
    <row r="3498" spans="13:14" x14ac:dyDescent="0.5">
      <c r="M3498" s="2">
        <v>3497</v>
      </c>
      <c r="N3498" s="2" t="s">
        <v>3446</v>
      </c>
    </row>
    <row r="3499" spans="13:14" x14ac:dyDescent="0.5">
      <c r="M3499" s="2">
        <v>3498</v>
      </c>
      <c r="N3499" s="2" t="s">
        <v>3446</v>
      </c>
    </row>
    <row r="3500" spans="13:14" x14ac:dyDescent="0.5">
      <c r="M3500" s="2">
        <v>3499</v>
      </c>
      <c r="N3500" s="2" t="s">
        <v>3446</v>
      </c>
    </row>
    <row r="3501" spans="13:14" x14ac:dyDescent="0.5">
      <c r="M3501" s="2">
        <v>3500</v>
      </c>
      <c r="N3501" s="2" t="s">
        <v>3446</v>
      </c>
    </row>
    <row r="3502" spans="13:14" x14ac:dyDescent="0.5">
      <c r="M3502" s="2">
        <v>3501</v>
      </c>
      <c r="N3502" s="2" t="s">
        <v>3446</v>
      </c>
    </row>
    <row r="3503" spans="13:14" x14ac:dyDescent="0.5">
      <c r="M3503" s="2">
        <v>3502</v>
      </c>
      <c r="N3503" s="2" t="s">
        <v>3446</v>
      </c>
    </row>
    <row r="3504" spans="13:14" x14ac:dyDescent="0.5">
      <c r="M3504" s="2">
        <v>3503</v>
      </c>
      <c r="N3504" s="2" t="s">
        <v>3446</v>
      </c>
    </row>
    <row r="3505" spans="13:14" x14ac:dyDescent="0.5">
      <c r="M3505" s="2">
        <v>3504</v>
      </c>
      <c r="N3505" s="2" t="s">
        <v>3446</v>
      </c>
    </row>
    <row r="3506" spans="13:14" x14ac:dyDescent="0.5">
      <c r="M3506" s="2">
        <v>3505</v>
      </c>
      <c r="N3506" s="2" t="s">
        <v>3446</v>
      </c>
    </row>
    <row r="3507" spans="13:14" x14ac:dyDescent="0.5">
      <c r="M3507" s="2">
        <v>3506</v>
      </c>
      <c r="N3507" s="2" t="s">
        <v>3446</v>
      </c>
    </row>
    <row r="3508" spans="13:14" x14ac:dyDescent="0.5">
      <c r="M3508" s="2">
        <v>3507</v>
      </c>
      <c r="N3508" s="2" t="s">
        <v>3446</v>
      </c>
    </row>
    <row r="3509" spans="13:14" x14ac:dyDescent="0.5">
      <c r="M3509" s="2">
        <v>3508</v>
      </c>
      <c r="N3509" s="2" t="s">
        <v>3446</v>
      </c>
    </row>
    <row r="3510" spans="13:14" x14ac:dyDescent="0.5">
      <c r="M3510" s="2">
        <v>3509</v>
      </c>
      <c r="N3510" s="2" t="s">
        <v>3446</v>
      </c>
    </row>
    <row r="3511" spans="13:14" x14ac:dyDescent="0.5">
      <c r="M3511" s="2">
        <v>3510</v>
      </c>
      <c r="N3511" s="2" t="s">
        <v>3446</v>
      </c>
    </row>
    <row r="3512" spans="13:14" x14ac:dyDescent="0.5">
      <c r="M3512" s="2">
        <v>3511</v>
      </c>
      <c r="N3512" s="2" t="s">
        <v>3446</v>
      </c>
    </row>
    <row r="3513" spans="13:14" x14ac:dyDescent="0.5">
      <c r="M3513" s="2">
        <v>3512</v>
      </c>
      <c r="N3513" s="2" t="s">
        <v>3446</v>
      </c>
    </row>
    <row r="3514" spans="13:14" x14ac:dyDescent="0.5">
      <c r="M3514" s="2">
        <v>3513</v>
      </c>
    </row>
    <row r="3515" spans="13:14" x14ac:dyDescent="0.5">
      <c r="M3515" s="2">
        <v>3514</v>
      </c>
      <c r="N3515" s="2" t="s">
        <v>3446</v>
      </c>
    </row>
    <row r="3516" spans="13:14" x14ac:dyDescent="0.5">
      <c r="M3516" s="2">
        <v>3515</v>
      </c>
    </row>
    <row r="3517" spans="13:14" x14ac:dyDescent="0.5">
      <c r="M3517" s="2">
        <v>3516</v>
      </c>
    </row>
    <row r="3518" spans="13:14" x14ac:dyDescent="0.5">
      <c r="M3518" s="2">
        <v>3517</v>
      </c>
    </row>
    <row r="3519" spans="13:14" x14ac:dyDescent="0.5">
      <c r="M3519" s="2">
        <v>3518</v>
      </c>
    </row>
    <row r="3520" spans="13:14" x14ac:dyDescent="0.5">
      <c r="M3520" s="2">
        <v>3519</v>
      </c>
    </row>
    <row r="3521" spans="13:14" x14ac:dyDescent="0.5">
      <c r="M3521" s="2">
        <v>3520</v>
      </c>
    </row>
    <row r="3522" spans="13:14" x14ac:dyDescent="0.5">
      <c r="M3522" s="2">
        <v>3521</v>
      </c>
    </row>
    <row r="3523" spans="13:14" x14ac:dyDescent="0.5">
      <c r="M3523" s="2">
        <v>3522</v>
      </c>
      <c r="N3523" s="2" t="s">
        <v>3446</v>
      </c>
    </row>
    <row r="3524" spans="13:14" x14ac:dyDescent="0.5">
      <c r="M3524" s="2">
        <v>3523</v>
      </c>
    </row>
    <row r="3525" spans="13:14" x14ac:dyDescent="0.5">
      <c r="M3525" s="2">
        <v>3524</v>
      </c>
    </row>
    <row r="3526" spans="13:14" x14ac:dyDescent="0.5">
      <c r="M3526" s="2">
        <v>3525</v>
      </c>
      <c r="N3526" s="2" t="s">
        <v>3446</v>
      </c>
    </row>
    <row r="3527" spans="13:14" x14ac:dyDescent="0.5">
      <c r="M3527" s="2">
        <v>3526</v>
      </c>
    </row>
    <row r="3528" spans="13:14" x14ac:dyDescent="0.5">
      <c r="M3528" s="2">
        <v>3527</v>
      </c>
    </row>
    <row r="3529" spans="13:14" x14ac:dyDescent="0.5">
      <c r="M3529" s="2">
        <v>3528</v>
      </c>
    </row>
    <row r="3530" spans="13:14" x14ac:dyDescent="0.5">
      <c r="M3530" s="2">
        <v>3529</v>
      </c>
    </row>
    <row r="3531" spans="13:14" x14ac:dyDescent="0.5">
      <c r="M3531" s="2">
        <v>3530</v>
      </c>
    </row>
    <row r="3532" spans="13:14" x14ac:dyDescent="0.5">
      <c r="M3532" s="2">
        <v>3531</v>
      </c>
    </row>
    <row r="3533" spans="13:14" x14ac:dyDescent="0.5">
      <c r="M3533" s="2">
        <v>3532</v>
      </c>
    </row>
    <row r="3534" spans="13:14" x14ac:dyDescent="0.5">
      <c r="M3534" s="2">
        <v>3533</v>
      </c>
    </row>
    <row r="3535" spans="13:14" x14ac:dyDescent="0.5">
      <c r="M3535" s="2">
        <v>3534</v>
      </c>
    </row>
    <row r="3536" spans="13:14" x14ac:dyDescent="0.5">
      <c r="M3536" s="2">
        <v>3535</v>
      </c>
    </row>
    <row r="3537" spans="13:14" x14ac:dyDescent="0.5">
      <c r="M3537" s="2">
        <v>3536</v>
      </c>
    </row>
    <row r="3538" spans="13:14" x14ac:dyDescent="0.5">
      <c r="M3538" s="2">
        <v>3537</v>
      </c>
    </row>
    <row r="3539" spans="13:14" x14ac:dyDescent="0.5">
      <c r="M3539" s="2">
        <v>3538</v>
      </c>
    </row>
    <row r="3540" spans="13:14" x14ac:dyDescent="0.5">
      <c r="M3540" s="2">
        <v>3539</v>
      </c>
    </row>
    <row r="3541" spans="13:14" x14ac:dyDescent="0.5">
      <c r="M3541" s="2">
        <v>3540</v>
      </c>
    </row>
    <row r="3542" spans="13:14" x14ac:dyDescent="0.5">
      <c r="M3542" s="2">
        <v>3541</v>
      </c>
      <c r="N3542" s="2" t="s">
        <v>3446</v>
      </c>
    </row>
    <row r="3543" spans="13:14" x14ac:dyDescent="0.5">
      <c r="M3543" s="2">
        <v>3542</v>
      </c>
      <c r="N3543" s="2" t="s">
        <v>3446</v>
      </c>
    </row>
    <row r="3544" spans="13:14" x14ac:dyDescent="0.5">
      <c r="M3544" s="2">
        <v>3543</v>
      </c>
      <c r="N3544" s="2" t="s">
        <v>3446</v>
      </c>
    </row>
    <row r="3545" spans="13:14" x14ac:dyDescent="0.5">
      <c r="M3545" s="2">
        <v>3544</v>
      </c>
      <c r="N3545" s="2" t="s">
        <v>3446</v>
      </c>
    </row>
    <row r="3546" spans="13:14" x14ac:dyDescent="0.5">
      <c r="M3546" s="2">
        <v>3545</v>
      </c>
      <c r="N3546" s="2" t="s">
        <v>3446</v>
      </c>
    </row>
    <row r="3547" spans="13:14" x14ac:dyDescent="0.5">
      <c r="M3547" s="2">
        <v>3546</v>
      </c>
      <c r="N3547" s="2" t="s">
        <v>3446</v>
      </c>
    </row>
    <row r="3548" spans="13:14" x14ac:dyDescent="0.5">
      <c r="M3548" s="2">
        <v>3547</v>
      </c>
      <c r="N3548" s="2" t="s">
        <v>3446</v>
      </c>
    </row>
    <row r="3549" spans="13:14" x14ac:dyDescent="0.5">
      <c r="M3549" s="2">
        <v>3548</v>
      </c>
      <c r="N3549" s="2" t="s">
        <v>3446</v>
      </c>
    </row>
    <row r="3550" spans="13:14" x14ac:dyDescent="0.5">
      <c r="M3550" s="2">
        <v>3549</v>
      </c>
    </row>
    <row r="3551" spans="13:14" x14ac:dyDescent="0.5">
      <c r="M3551" s="2">
        <v>3550</v>
      </c>
    </row>
    <row r="3552" spans="13:14" x14ac:dyDescent="0.5">
      <c r="M3552" s="2">
        <v>3551</v>
      </c>
    </row>
    <row r="3553" spans="13:14" x14ac:dyDescent="0.5">
      <c r="M3553" s="2">
        <v>3552</v>
      </c>
    </row>
    <row r="3554" spans="13:14" x14ac:dyDescent="0.5">
      <c r="M3554" s="2">
        <v>3553</v>
      </c>
    </row>
    <row r="3555" spans="13:14" x14ac:dyDescent="0.5">
      <c r="M3555" s="2">
        <v>3554</v>
      </c>
      <c r="N3555" s="2" t="s">
        <v>3446</v>
      </c>
    </row>
    <row r="3556" spans="13:14" x14ac:dyDescent="0.5">
      <c r="M3556" s="2">
        <v>3555</v>
      </c>
      <c r="N3556" s="2" t="s">
        <v>3446</v>
      </c>
    </row>
    <row r="3557" spans="13:14" x14ac:dyDescent="0.5">
      <c r="M3557" s="2">
        <v>3556</v>
      </c>
      <c r="N3557" s="2" t="s">
        <v>3446</v>
      </c>
    </row>
    <row r="3558" spans="13:14" x14ac:dyDescent="0.5">
      <c r="M3558" s="2">
        <v>3557</v>
      </c>
    </row>
    <row r="3559" spans="13:14" x14ac:dyDescent="0.5">
      <c r="M3559" s="2">
        <v>3558</v>
      </c>
      <c r="N3559" s="2" t="s">
        <v>3446</v>
      </c>
    </row>
    <row r="3560" spans="13:14" x14ac:dyDescent="0.5">
      <c r="M3560" s="2">
        <v>3559</v>
      </c>
      <c r="N3560" s="2" t="s">
        <v>3446</v>
      </c>
    </row>
    <row r="3561" spans="13:14" x14ac:dyDescent="0.5">
      <c r="M3561" s="2">
        <v>3560</v>
      </c>
      <c r="N3561" s="2" t="s">
        <v>3446</v>
      </c>
    </row>
    <row r="3562" spans="13:14" x14ac:dyDescent="0.5">
      <c r="M3562" s="2">
        <v>3561</v>
      </c>
      <c r="N3562" s="2" t="s">
        <v>3446</v>
      </c>
    </row>
    <row r="3563" spans="13:14" x14ac:dyDescent="0.5">
      <c r="M3563" s="2">
        <v>3562</v>
      </c>
      <c r="N3563" s="2" t="s">
        <v>3446</v>
      </c>
    </row>
    <row r="3564" spans="13:14" x14ac:dyDescent="0.5">
      <c r="M3564" s="2">
        <v>3563</v>
      </c>
      <c r="N3564" s="2" t="s">
        <v>3446</v>
      </c>
    </row>
    <row r="3565" spans="13:14" x14ac:dyDescent="0.5">
      <c r="M3565" s="2">
        <v>3564</v>
      </c>
      <c r="N3565" s="2" t="s">
        <v>3446</v>
      </c>
    </row>
    <row r="3566" spans="13:14" x14ac:dyDescent="0.5">
      <c r="M3566" s="2">
        <v>3565</v>
      </c>
      <c r="N3566" s="2" t="s">
        <v>3446</v>
      </c>
    </row>
    <row r="3567" spans="13:14" x14ac:dyDescent="0.5">
      <c r="M3567" s="2">
        <v>3566</v>
      </c>
      <c r="N3567" s="2" t="s">
        <v>3446</v>
      </c>
    </row>
    <row r="3568" spans="13:14" x14ac:dyDescent="0.5">
      <c r="M3568" s="2">
        <v>3567</v>
      </c>
      <c r="N3568" s="2" t="s">
        <v>3446</v>
      </c>
    </row>
    <row r="3569" spans="13:14" x14ac:dyDescent="0.5">
      <c r="M3569" s="2">
        <v>3568</v>
      </c>
      <c r="N3569" s="2" t="s">
        <v>3446</v>
      </c>
    </row>
    <row r="3570" spans="13:14" x14ac:dyDescent="0.5">
      <c r="M3570" s="2">
        <v>3569</v>
      </c>
    </row>
    <row r="3571" spans="13:14" x14ac:dyDescent="0.5">
      <c r="M3571" s="2">
        <v>3570</v>
      </c>
      <c r="N3571" s="2" t="s">
        <v>3446</v>
      </c>
    </row>
    <row r="3572" spans="13:14" x14ac:dyDescent="0.5">
      <c r="M3572" s="2">
        <v>3571</v>
      </c>
      <c r="N3572" s="2" t="s">
        <v>3446</v>
      </c>
    </row>
    <row r="3573" spans="13:14" x14ac:dyDescent="0.5">
      <c r="M3573" s="2">
        <v>3572</v>
      </c>
    </row>
    <row r="3574" spans="13:14" x14ac:dyDescent="0.5">
      <c r="M3574" s="2">
        <v>3573</v>
      </c>
    </row>
    <row r="3575" spans="13:14" x14ac:dyDescent="0.5">
      <c r="M3575" s="2">
        <v>3574</v>
      </c>
    </row>
    <row r="3576" spans="13:14" x14ac:dyDescent="0.5">
      <c r="M3576" s="2">
        <v>3575</v>
      </c>
      <c r="N3576" s="2" t="s">
        <v>3446</v>
      </c>
    </row>
    <row r="3577" spans="13:14" x14ac:dyDescent="0.5">
      <c r="M3577" s="2">
        <v>3576</v>
      </c>
    </row>
    <row r="3578" spans="13:14" x14ac:dyDescent="0.5">
      <c r="M3578" s="2">
        <v>3577</v>
      </c>
      <c r="N3578" s="2" t="s">
        <v>3446</v>
      </c>
    </row>
    <row r="3579" spans="13:14" x14ac:dyDescent="0.5">
      <c r="M3579" s="2">
        <v>3578</v>
      </c>
    </row>
    <row r="3580" spans="13:14" x14ac:dyDescent="0.5">
      <c r="M3580" s="2">
        <v>3579</v>
      </c>
      <c r="N3580" s="2" t="s">
        <v>3446</v>
      </c>
    </row>
    <row r="3581" spans="13:14" x14ac:dyDescent="0.5">
      <c r="M3581" s="2">
        <v>3580</v>
      </c>
    </row>
    <row r="3582" spans="13:14" x14ac:dyDescent="0.5">
      <c r="M3582" s="2">
        <v>3581</v>
      </c>
    </row>
    <row r="3583" spans="13:14" x14ac:dyDescent="0.5">
      <c r="M3583" s="2">
        <v>3582</v>
      </c>
    </row>
    <row r="3584" spans="13:14" x14ac:dyDescent="0.5">
      <c r="M3584" s="2">
        <v>3583</v>
      </c>
    </row>
    <row r="3585" spans="13:14" x14ac:dyDescent="0.5">
      <c r="M3585" s="2">
        <v>3584</v>
      </c>
    </row>
    <row r="3586" spans="13:14" x14ac:dyDescent="0.5">
      <c r="M3586" s="2">
        <v>3585</v>
      </c>
      <c r="N3586" s="2" t="s">
        <v>3446</v>
      </c>
    </row>
    <row r="3587" spans="13:14" x14ac:dyDescent="0.5">
      <c r="M3587" s="2">
        <v>3586</v>
      </c>
    </row>
    <row r="3588" spans="13:14" x14ac:dyDescent="0.5">
      <c r="M3588" s="2">
        <v>3587</v>
      </c>
      <c r="N3588" s="2" t="s">
        <v>3446</v>
      </c>
    </row>
    <row r="3589" spans="13:14" x14ac:dyDescent="0.5">
      <c r="M3589" s="2">
        <v>3588</v>
      </c>
    </row>
    <row r="3590" spans="13:14" x14ac:dyDescent="0.5">
      <c r="M3590" s="2">
        <v>3589</v>
      </c>
    </row>
    <row r="3591" spans="13:14" x14ac:dyDescent="0.5">
      <c r="M3591" s="2">
        <v>3590</v>
      </c>
    </row>
    <row r="3592" spans="13:14" x14ac:dyDescent="0.5">
      <c r="M3592" s="2">
        <v>3591</v>
      </c>
    </row>
    <row r="3593" spans="13:14" x14ac:dyDescent="0.5">
      <c r="M3593" s="2">
        <v>3592</v>
      </c>
    </row>
    <row r="3594" spans="13:14" x14ac:dyDescent="0.5">
      <c r="M3594" s="2">
        <v>3593</v>
      </c>
    </row>
    <row r="3595" spans="13:14" x14ac:dyDescent="0.5">
      <c r="M3595" s="2">
        <v>3594</v>
      </c>
    </row>
    <row r="3596" spans="13:14" x14ac:dyDescent="0.5">
      <c r="M3596" s="2">
        <v>3595</v>
      </c>
    </row>
    <row r="3597" spans="13:14" x14ac:dyDescent="0.5">
      <c r="M3597" s="2">
        <v>3596</v>
      </c>
      <c r="N3597" s="2" t="s">
        <v>3446</v>
      </c>
    </row>
    <row r="3598" spans="13:14" x14ac:dyDescent="0.5">
      <c r="M3598" s="2">
        <v>3597</v>
      </c>
      <c r="N3598" s="2" t="s">
        <v>3446</v>
      </c>
    </row>
    <row r="3599" spans="13:14" x14ac:dyDescent="0.5">
      <c r="M3599" s="2">
        <v>3598</v>
      </c>
      <c r="N3599" s="2" t="s">
        <v>3446</v>
      </c>
    </row>
    <row r="3600" spans="13:14" x14ac:dyDescent="0.5">
      <c r="M3600" s="2">
        <v>3599</v>
      </c>
      <c r="N3600" s="2" t="s">
        <v>3446</v>
      </c>
    </row>
    <row r="3601" spans="13:14" x14ac:dyDescent="0.5">
      <c r="M3601" s="2">
        <v>3600</v>
      </c>
      <c r="N3601" s="2" t="s">
        <v>3446</v>
      </c>
    </row>
    <row r="3602" spans="13:14" x14ac:dyDescent="0.5">
      <c r="M3602" s="2">
        <v>3601</v>
      </c>
      <c r="N3602" s="2" t="s">
        <v>3446</v>
      </c>
    </row>
    <row r="3603" spans="13:14" x14ac:dyDescent="0.5">
      <c r="M3603" s="2">
        <v>3602</v>
      </c>
    </row>
    <row r="3604" spans="13:14" x14ac:dyDescent="0.5">
      <c r="M3604" s="2">
        <v>3603</v>
      </c>
    </row>
    <row r="3605" spans="13:14" x14ac:dyDescent="0.5">
      <c r="M3605" s="2">
        <v>3604</v>
      </c>
    </row>
    <row r="3606" spans="13:14" x14ac:dyDescent="0.5">
      <c r="M3606" s="2">
        <v>3605</v>
      </c>
      <c r="N3606" s="2" t="s">
        <v>3446</v>
      </c>
    </row>
    <row r="3607" spans="13:14" x14ac:dyDescent="0.5">
      <c r="M3607" s="2">
        <v>3606</v>
      </c>
      <c r="N3607" s="2" t="s">
        <v>3446</v>
      </c>
    </row>
    <row r="3608" spans="13:14" x14ac:dyDescent="0.5">
      <c r="M3608" s="2">
        <v>3607</v>
      </c>
    </row>
    <row r="3609" spans="13:14" x14ac:dyDescent="0.5">
      <c r="M3609" s="2">
        <v>3608</v>
      </c>
    </row>
    <row r="3610" spans="13:14" x14ac:dyDescent="0.5">
      <c r="M3610" s="2">
        <v>3609</v>
      </c>
    </row>
    <row r="3611" spans="13:14" x14ac:dyDescent="0.5">
      <c r="M3611" s="2">
        <v>3610</v>
      </c>
    </row>
    <row r="3612" spans="13:14" x14ac:dyDescent="0.5">
      <c r="M3612" s="2">
        <v>3611</v>
      </c>
    </row>
    <row r="3613" spans="13:14" x14ac:dyDescent="0.5">
      <c r="M3613" s="2">
        <v>3612</v>
      </c>
    </row>
    <row r="3614" spans="13:14" x14ac:dyDescent="0.5">
      <c r="M3614" s="2">
        <v>3613</v>
      </c>
    </row>
    <row r="3615" spans="13:14" x14ac:dyDescent="0.5">
      <c r="M3615" s="2">
        <v>3614</v>
      </c>
    </row>
    <row r="3616" spans="13:14" x14ac:dyDescent="0.5">
      <c r="M3616" s="2">
        <v>3615</v>
      </c>
    </row>
    <row r="3617" spans="13:13" x14ac:dyDescent="0.5">
      <c r="M3617" s="2">
        <v>3616</v>
      </c>
    </row>
    <row r="3618" spans="13:13" x14ac:dyDescent="0.5">
      <c r="M3618" s="2">
        <v>3617</v>
      </c>
    </row>
    <row r="3619" spans="13:13" x14ac:dyDescent="0.5">
      <c r="M3619" s="2">
        <v>3618</v>
      </c>
    </row>
    <row r="3620" spans="13:13" x14ac:dyDescent="0.5">
      <c r="M3620" s="2">
        <v>3619</v>
      </c>
    </row>
    <row r="3621" spans="13:13" x14ac:dyDescent="0.5">
      <c r="M3621" s="2">
        <v>3620</v>
      </c>
    </row>
    <row r="3622" spans="13:13" x14ac:dyDescent="0.5">
      <c r="M3622" s="2">
        <v>3621</v>
      </c>
    </row>
    <row r="3623" spans="13:13" x14ac:dyDescent="0.5">
      <c r="M3623" s="2">
        <v>3622</v>
      </c>
    </row>
    <row r="3624" spans="13:13" x14ac:dyDescent="0.5">
      <c r="M3624" s="2">
        <v>3623</v>
      </c>
    </row>
    <row r="3625" spans="13:13" x14ac:dyDescent="0.5">
      <c r="M3625" s="2">
        <v>3624</v>
      </c>
    </row>
    <row r="3626" spans="13:13" x14ac:dyDescent="0.5">
      <c r="M3626" s="2">
        <v>3625</v>
      </c>
    </row>
    <row r="3627" spans="13:13" x14ac:dyDescent="0.5">
      <c r="M3627" s="2">
        <v>3626</v>
      </c>
    </row>
    <row r="3628" spans="13:13" x14ac:dyDescent="0.5">
      <c r="M3628" s="2">
        <v>3627</v>
      </c>
    </row>
    <row r="3629" spans="13:13" x14ac:dyDescent="0.5">
      <c r="M3629" s="2">
        <v>3628</v>
      </c>
    </row>
    <row r="3630" spans="13:13" x14ac:dyDescent="0.5">
      <c r="M3630" s="2">
        <v>3629</v>
      </c>
    </row>
    <row r="3631" spans="13:13" x14ac:dyDescent="0.5">
      <c r="M3631" s="2">
        <v>3630</v>
      </c>
    </row>
    <row r="3632" spans="13:13" x14ac:dyDescent="0.5">
      <c r="M3632" s="2">
        <v>3631</v>
      </c>
    </row>
    <row r="3633" spans="13:14" x14ac:dyDescent="0.5">
      <c r="M3633" s="2">
        <v>3632</v>
      </c>
      <c r="N3633" s="2" t="s">
        <v>3446</v>
      </c>
    </row>
    <row r="3634" spans="13:14" x14ac:dyDescent="0.5">
      <c r="M3634" s="2">
        <v>3633</v>
      </c>
      <c r="N3634" s="2" t="s">
        <v>3446</v>
      </c>
    </row>
    <row r="3635" spans="13:14" x14ac:dyDescent="0.5">
      <c r="M3635" s="2">
        <v>3634</v>
      </c>
    </row>
    <row r="3636" spans="13:14" x14ac:dyDescent="0.5">
      <c r="M3636" s="2">
        <v>3635</v>
      </c>
      <c r="N3636" s="2" t="s">
        <v>3446</v>
      </c>
    </row>
    <row r="3637" spans="13:14" x14ac:dyDescent="0.5">
      <c r="M3637" s="2">
        <v>3636</v>
      </c>
      <c r="N3637" s="2" t="s">
        <v>3446</v>
      </c>
    </row>
    <row r="3638" spans="13:14" x14ac:dyDescent="0.5">
      <c r="M3638" s="2">
        <v>3637</v>
      </c>
      <c r="N3638" s="2" t="s">
        <v>3446</v>
      </c>
    </row>
    <row r="3639" spans="13:14" x14ac:dyDescent="0.5">
      <c r="M3639" s="2">
        <v>3638</v>
      </c>
      <c r="N3639" s="2" t="s">
        <v>3446</v>
      </c>
    </row>
    <row r="3640" spans="13:14" x14ac:dyDescent="0.5">
      <c r="M3640" s="2">
        <v>3639</v>
      </c>
      <c r="N3640" s="2" t="s">
        <v>3446</v>
      </c>
    </row>
    <row r="3641" spans="13:14" x14ac:dyDescent="0.5">
      <c r="M3641" s="2">
        <v>3640</v>
      </c>
    </row>
    <row r="3642" spans="13:14" x14ac:dyDescent="0.5">
      <c r="M3642" s="2">
        <v>3641</v>
      </c>
    </row>
    <row r="3643" spans="13:14" x14ac:dyDescent="0.5">
      <c r="M3643" s="2">
        <v>3642</v>
      </c>
    </row>
    <row r="3644" spans="13:14" x14ac:dyDescent="0.5">
      <c r="M3644" s="2">
        <v>3643</v>
      </c>
    </row>
    <row r="3645" spans="13:14" x14ac:dyDescent="0.5">
      <c r="M3645" s="2">
        <v>3644</v>
      </c>
    </row>
    <row r="3646" spans="13:14" x14ac:dyDescent="0.5">
      <c r="M3646" s="2">
        <v>3645</v>
      </c>
    </row>
    <row r="3647" spans="13:14" x14ac:dyDescent="0.5">
      <c r="M3647" s="2">
        <v>3646</v>
      </c>
    </row>
    <row r="3648" spans="13:14" x14ac:dyDescent="0.5">
      <c r="M3648" s="2">
        <v>3647</v>
      </c>
      <c r="N3648" s="2" t="s">
        <v>3446</v>
      </c>
    </row>
    <row r="3649" spans="13:14" x14ac:dyDescent="0.5">
      <c r="M3649" s="2">
        <v>3648</v>
      </c>
    </row>
    <row r="3650" spans="13:14" x14ac:dyDescent="0.5">
      <c r="M3650" s="2">
        <v>3649</v>
      </c>
      <c r="N3650" s="2" t="s">
        <v>3446</v>
      </c>
    </row>
    <row r="3651" spans="13:14" x14ac:dyDescent="0.5">
      <c r="M3651" s="2">
        <v>3650</v>
      </c>
      <c r="N3651" s="2" t="s">
        <v>3446</v>
      </c>
    </row>
    <row r="3652" spans="13:14" x14ac:dyDescent="0.5">
      <c r="M3652" s="2">
        <v>3651</v>
      </c>
      <c r="N3652" s="2" t="s">
        <v>3446</v>
      </c>
    </row>
    <row r="3653" spans="13:14" x14ac:dyDescent="0.5">
      <c r="M3653" s="2">
        <v>3652</v>
      </c>
      <c r="N3653" s="2" t="s">
        <v>3446</v>
      </c>
    </row>
    <row r="3654" spans="13:14" x14ac:dyDescent="0.5">
      <c r="M3654" s="2">
        <v>3653</v>
      </c>
      <c r="N3654" s="2" t="s">
        <v>3446</v>
      </c>
    </row>
    <row r="3655" spans="13:14" x14ac:dyDescent="0.5">
      <c r="M3655" s="2">
        <v>3654</v>
      </c>
      <c r="N3655" s="2" t="s">
        <v>3446</v>
      </c>
    </row>
    <row r="3656" spans="13:14" x14ac:dyDescent="0.5">
      <c r="M3656" s="2">
        <v>3655</v>
      </c>
      <c r="N3656" s="2" t="s">
        <v>3446</v>
      </c>
    </row>
    <row r="3657" spans="13:14" x14ac:dyDescent="0.5">
      <c r="M3657" s="2">
        <v>3656</v>
      </c>
      <c r="N3657" s="2" t="s">
        <v>3446</v>
      </c>
    </row>
    <row r="3658" spans="13:14" x14ac:dyDescent="0.5">
      <c r="M3658" s="2">
        <v>3657</v>
      </c>
      <c r="N3658" s="2" t="s">
        <v>3446</v>
      </c>
    </row>
    <row r="3659" spans="13:14" x14ac:dyDescent="0.5">
      <c r="M3659" s="2">
        <v>3658</v>
      </c>
      <c r="N3659" s="2" t="s">
        <v>3446</v>
      </c>
    </row>
    <row r="3660" spans="13:14" x14ac:dyDescent="0.5">
      <c r="M3660" s="2">
        <v>3659</v>
      </c>
      <c r="N3660" s="2" t="s">
        <v>3446</v>
      </c>
    </row>
    <row r="3661" spans="13:14" x14ac:dyDescent="0.5">
      <c r="M3661" s="2">
        <v>3660</v>
      </c>
    </row>
    <row r="3662" spans="13:14" x14ac:dyDescent="0.5">
      <c r="M3662" s="2">
        <v>3661</v>
      </c>
    </row>
    <row r="3663" spans="13:14" x14ac:dyDescent="0.5">
      <c r="M3663" s="2">
        <v>3662</v>
      </c>
    </row>
    <row r="3664" spans="13:14" x14ac:dyDescent="0.5">
      <c r="M3664" s="2">
        <v>3663</v>
      </c>
    </row>
    <row r="3665" spans="13:14" x14ac:dyDescent="0.5">
      <c r="M3665" s="2">
        <v>3664</v>
      </c>
    </row>
    <row r="3666" spans="13:14" x14ac:dyDescent="0.5">
      <c r="M3666" s="2">
        <v>3665</v>
      </c>
    </row>
    <row r="3667" spans="13:14" x14ac:dyDescent="0.5">
      <c r="M3667" s="2">
        <v>3666</v>
      </c>
    </row>
    <row r="3668" spans="13:14" x14ac:dyDescent="0.5">
      <c r="M3668" s="2">
        <v>3667</v>
      </c>
    </row>
    <row r="3669" spans="13:14" x14ac:dyDescent="0.5">
      <c r="M3669" s="2">
        <v>3668</v>
      </c>
    </row>
    <row r="3670" spans="13:14" x14ac:dyDescent="0.5">
      <c r="M3670" s="2">
        <v>3669</v>
      </c>
    </row>
    <row r="3671" spans="13:14" x14ac:dyDescent="0.5">
      <c r="M3671" s="2">
        <v>3670</v>
      </c>
      <c r="N3671" s="2" t="s">
        <v>3446</v>
      </c>
    </row>
    <row r="3672" spans="13:14" x14ac:dyDescent="0.5">
      <c r="M3672" s="2">
        <v>3671</v>
      </c>
      <c r="N3672" s="2" t="s">
        <v>3446</v>
      </c>
    </row>
    <row r="3673" spans="13:14" x14ac:dyDescent="0.5">
      <c r="M3673" s="2">
        <v>3672</v>
      </c>
      <c r="N3673" s="2" t="s">
        <v>3446</v>
      </c>
    </row>
    <row r="3674" spans="13:14" x14ac:dyDescent="0.5">
      <c r="M3674" s="2">
        <v>3673</v>
      </c>
      <c r="N3674" s="2" t="s">
        <v>3446</v>
      </c>
    </row>
    <row r="3675" spans="13:14" x14ac:dyDescent="0.5">
      <c r="M3675" s="2">
        <v>3674</v>
      </c>
      <c r="N3675" s="2" t="s">
        <v>3446</v>
      </c>
    </row>
    <row r="3676" spans="13:14" x14ac:dyDescent="0.5">
      <c r="M3676" s="2">
        <v>3675</v>
      </c>
      <c r="N3676" s="2" t="s">
        <v>3446</v>
      </c>
    </row>
    <row r="3677" spans="13:14" x14ac:dyDescent="0.5">
      <c r="M3677" s="2">
        <v>3676</v>
      </c>
      <c r="N3677" s="2" t="s">
        <v>3446</v>
      </c>
    </row>
    <row r="3678" spans="13:14" x14ac:dyDescent="0.5">
      <c r="M3678" s="2">
        <v>3677</v>
      </c>
      <c r="N3678" s="2" t="s">
        <v>3446</v>
      </c>
    </row>
    <row r="3679" spans="13:14" x14ac:dyDescent="0.5">
      <c r="M3679" s="2">
        <v>3678</v>
      </c>
      <c r="N3679" s="2" t="s">
        <v>3446</v>
      </c>
    </row>
    <row r="3680" spans="13:14" x14ac:dyDescent="0.5">
      <c r="M3680" s="2">
        <v>3679</v>
      </c>
      <c r="N3680" s="2" t="s">
        <v>3446</v>
      </c>
    </row>
    <row r="3681" spans="13:14" x14ac:dyDescent="0.5">
      <c r="M3681" s="2">
        <v>3680</v>
      </c>
      <c r="N3681" s="2" t="s">
        <v>3446</v>
      </c>
    </row>
    <row r="3682" spans="13:14" x14ac:dyDescent="0.5">
      <c r="M3682" s="2">
        <v>3681</v>
      </c>
      <c r="N3682" s="2" t="s">
        <v>3446</v>
      </c>
    </row>
    <row r="3683" spans="13:14" x14ac:dyDescent="0.5">
      <c r="M3683" s="2">
        <v>3682</v>
      </c>
      <c r="N3683" s="2" t="s">
        <v>3446</v>
      </c>
    </row>
    <row r="3684" spans="13:14" x14ac:dyDescent="0.5">
      <c r="M3684" s="2">
        <v>3683</v>
      </c>
      <c r="N3684" s="2" t="s">
        <v>3446</v>
      </c>
    </row>
    <row r="3685" spans="13:14" x14ac:dyDescent="0.5">
      <c r="M3685" s="2">
        <v>3684</v>
      </c>
    </row>
    <row r="3686" spans="13:14" x14ac:dyDescent="0.5">
      <c r="M3686" s="2">
        <v>3685</v>
      </c>
    </row>
    <row r="3687" spans="13:14" x14ac:dyDescent="0.5">
      <c r="M3687" s="2">
        <v>3686</v>
      </c>
    </row>
    <row r="3688" spans="13:14" x14ac:dyDescent="0.5">
      <c r="M3688" s="2">
        <v>3687</v>
      </c>
      <c r="N3688" s="2" t="s">
        <v>3446</v>
      </c>
    </row>
    <row r="3689" spans="13:14" x14ac:dyDescent="0.5">
      <c r="M3689" s="2">
        <v>3688</v>
      </c>
    </row>
    <row r="3690" spans="13:14" x14ac:dyDescent="0.5">
      <c r="M3690" s="2">
        <v>3689</v>
      </c>
      <c r="N3690" s="2" t="s">
        <v>3446</v>
      </c>
    </row>
    <row r="3691" spans="13:14" x14ac:dyDescent="0.5">
      <c r="M3691" s="2">
        <v>3690</v>
      </c>
    </row>
    <row r="3692" spans="13:14" x14ac:dyDescent="0.5">
      <c r="M3692" s="2">
        <v>3691</v>
      </c>
    </row>
    <row r="3693" spans="13:14" x14ac:dyDescent="0.5">
      <c r="M3693" s="2">
        <v>3692</v>
      </c>
      <c r="N3693" s="2" t="s">
        <v>3446</v>
      </c>
    </row>
    <row r="3694" spans="13:14" x14ac:dyDescent="0.5">
      <c r="M3694" s="2">
        <v>3693</v>
      </c>
      <c r="N3694" s="2" t="s">
        <v>3446</v>
      </c>
    </row>
    <row r="3695" spans="13:14" x14ac:dyDescent="0.5">
      <c r="M3695" s="2">
        <v>3694</v>
      </c>
    </row>
    <row r="3696" spans="13:14" x14ac:dyDescent="0.5">
      <c r="M3696" s="2">
        <v>3695</v>
      </c>
    </row>
    <row r="3697" spans="13:14" x14ac:dyDescent="0.5">
      <c r="M3697" s="2">
        <v>3696</v>
      </c>
      <c r="N3697" s="2" t="s">
        <v>3446</v>
      </c>
    </row>
    <row r="3698" spans="13:14" x14ac:dyDescent="0.5">
      <c r="M3698" s="2">
        <v>3697</v>
      </c>
    </row>
    <row r="3699" spans="13:14" x14ac:dyDescent="0.5">
      <c r="M3699" s="2">
        <v>3698</v>
      </c>
    </row>
    <row r="3700" spans="13:14" x14ac:dyDescent="0.5">
      <c r="M3700" s="2">
        <v>3699</v>
      </c>
      <c r="N3700" s="2" t="s">
        <v>3446</v>
      </c>
    </row>
    <row r="3701" spans="13:14" x14ac:dyDescent="0.5">
      <c r="M3701" s="2">
        <v>3700</v>
      </c>
    </row>
    <row r="3702" spans="13:14" x14ac:dyDescent="0.5">
      <c r="M3702" s="2">
        <v>3701</v>
      </c>
      <c r="N3702" s="2" t="s">
        <v>3446</v>
      </c>
    </row>
    <row r="3703" spans="13:14" x14ac:dyDescent="0.5">
      <c r="M3703" s="2">
        <v>3702</v>
      </c>
      <c r="N3703" s="2" t="s">
        <v>3446</v>
      </c>
    </row>
    <row r="3704" spans="13:14" x14ac:dyDescent="0.5">
      <c r="M3704" s="2">
        <v>3703</v>
      </c>
    </row>
    <row r="3705" spans="13:14" x14ac:dyDescent="0.5">
      <c r="M3705" s="2">
        <v>3704</v>
      </c>
    </row>
    <row r="3706" spans="13:14" x14ac:dyDescent="0.5">
      <c r="M3706" s="2">
        <v>3705</v>
      </c>
      <c r="N3706" s="2" t="s">
        <v>3446</v>
      </c>
    </row>
    <row r="3707" spans="13:14" x14ac:dyDescent="0.5">
      <c r="M3707" s="2">
        <v>3706</v>
      </c>
    </row>
    <row r="3708" spans="13:14" x14ac:dyDescent="0.5">
      <c r="M3708" s="2">
        <v>3707</v>
      </c>
      <c r="N3708" s="2" t="s">
        <v>3446</v>
      </c>
    </row>
    <row r="3709" spans="13:14" x14ac:dyDescent="0.5">
      <c r="M3709" s="2">
        <v>3708</v>
      </c>
    </row>
    <row r="3710" spans="13:14" x14ac:dyDescent="0.5">
      <c r="M3710" s="2">
        <v>3709</v>
      </c>
    </row>
    <row r="3711" spans="13:14" x14ac:dyDescent="0.5">
      <c r="M3711" s="2">
        <v>3710</v>
      </c>
      <c r="N3711" s="2" t="s">
        <v>3446</v>
      </c>
    </row>
    <row r="3712" spans="13:14" x14ac:dyDescent="0.5">
      <c r="M3712" s="2">
        <v>3711</v>
      </c>
      <c r="N3712" s="2" t="s">
        <v>3446</v>
      </c>
    </row>
    <row r="3713" spans="13:14" x14ac:dyDescent="0.5">
      <c r="M3713" s="2">
        <v>3712</v>
      </c>
    </row>
    <row r="3714" spans="13:14" x14ac:dyDescent="0.5">
      <c r="M3714" s="2">
        <v>3713</v>
      </c>
      <c r="N3714" s="2" t="s">
        <v>3446</v>
      </c>
    </row>
    <row r="3715" spans="13:14" x14ac:dyDescent="0.5">
      <c r="M3715" s="2">
        <v>3714</v>
      </c>
    </row>
    <row r="3716" spans="13:14" x14ac:dyDescent="0.5">
      <c r="M3716" s="2">
        <v>3715</v>
      </c>
    </row>
    <row r="3717" spans="13:14" x14ac:dyDescent="0.5">
      <c r="M3717" s="2">
        <v>3716</v>
      </c>
      <c r="N3717" s="2" t="s">
        <v>3446</v>
      </c>
    </row>
    <row r="3718" spans="13:14" x14ac:dyDescent="0.5">
      <c r="M3718" s="2">
        <v>3717</v>
      </c>
      <c r="N3718" s="2" t="s">
        <v>3446</v>
      </c>
    </row>
    <row r="3719" spans="13:14" x14ac:dyDescent="0.5">
      <c r="M3719" s="2">
        <v>3718</v>
      </c>
    </row>
    <row r="3720" spans="13:14" x14ac:dyDescent="0.5">
      <c r="M3720" s="2">
        <v>3719</v>
      </c>
    </row>
    <row r="3721" spans="13:14" x14ac:dyDescent="0.5">
      <c r="M3721" s="2">
        <v>3720</v>
      </c>
    </row>
    <row r="3722" spans="13:14" x14ac:dyDescent="0.5">
      <c r="M3722" s="2">
        <v>3721</v>
      </c>
      <c r="N3722" s="2" t="s">
        <v>3446</v>
      </c>
    </row>
    <row r="3723" spans="13:14" x14ac:dyDescent="0.5">
      <c r="M3723" s="2">
        <v>3722</v>
      </c>
    </row>
    <row r="3724" spans="13:14" x14ac:dyDescent="0.5">
      <c r="M3724" s="2">
        <v>3723</v>
      </c>
    </row>
    <row r="3725" spans="13:14" x14ac:dyDescent="0.5">
      <c r="M3725" s="2">
        <v>3724</v>
      </c>
    </row>
    <row r="3726" spans="13:14" x14ac:dyDescent="0.5">
      <c r="M3726" s="2">
        <v>3725</v>
      </c>
      <c r="N3726" s="2" t="s">
        <v>3446</v>
      </c>
    </row>
    <row r="3727" spans="13:14" x14ac:dyDescent="0.5">
      <c r="M3727" s="2">
        <v>3726</v>
      </c>
    </row>
    <row r="3728" spans="13:14" x14ac:dyDescent="0.5">
      <c r="M3728" s="2">
        <v>3727</v>
      </c>
    </row>
    <row r="3729" spans="13:14" x14ac:dyDescent="0.5">
      <c r="M3729" s="2">
        <v>3728</v>
      </c>
    </row>
    <row r="3730" spans="13:14" x14ac:dyDescent="0.5">
      <c r="M3730" s="2">
        <v>3729</v>
      </c>
      <c r="N3730" s="2" t="s">
        <v>3446</v>
      </c>
    </row>
    <row r="3731" spans="13:14" x14ac:dyDescent="0.5">
      <c r="M3731" s="2">
        <v>3730</v>
      </c>
    </row>
    <row r="3732" spans="13:14" x14ac:dyDescent="0.5">
      <c r="M3732" s="2">
        <v>3731</v>
      </c>
      <c r="N3732" s="2" t="s">
        <v>3446</v>
      </c>
    </row>
    <row r="3733" spans="13:14" x14ac:dyDescent="0.5">
      <c r="M3733" s="2">
        <v>3732</v>
      </c>
    </row>
    <row r="3734" spans="13:14" x14ac:dyDescent="0.5">
      <c r="M3734" s="2">
        <v>3733</v>
      </c>
      <c r="N3734" s="2" t="s">
        <v>3446</v>
      </c>
    </row>
    <row r="3735" spans="13:14" x14ac:dyDescent="0.5">
      <c r="M3735" s="2">
        <v>3734</v>
      </c>
    </row>
    <row r="3736" spans="13:14" x14ac:dyDescent="0.5">
      <c r="M3736" s="2">
        <v>3735</v>
      </c>
    </row>
    <row r="3737" spans="13:14" x14ac:dyDescent="0.5">
      <c r="M3737" s="2">
        <v>3736</v>
      </c>
    </row>
    <row r="3738" spans="13:14" x14ac:dyDescent="0.5">
      <c r="M3738" s="2">
        <v>3737</v>
      </c>
    </row>
    <row r="3739" spans="13:14" x14ac:dyDescent="0.5">
      <c r="M3739" s="2">
        <v>3738</v>
      </c>
    </row>
    <row r="3740" spans="13:14" x14ac:dyDescent="0.5">
      <c r="M3740" s="2">
        <v>3739</v>
      </c>
    </row>
    <row r="3741" spans="13:14" x14ac:dyDescent="0.5">
      <c r="M3741" s="2">
        <v>3740</v>
      </c>
    </row>
    <row r="3742" spans="13:14" x14ac:dyDescent="0.5">
      <c r="M3742" s="2">
        <v>3741</v>
      </c>
    </row>
    <row r="3743" spans="13:14" x14ac:dyDescent="0.5">
      <c r="M3743" s="2">
        <v>3742</v>
      </c>
    </row>
    <row r="3744" spans="13:14" x14ac:dyDescent="0.5">
      <c r="M3744" s="2">
        <v>3743</v>
      </c>
    </row>
    <row r="3745" spans="13:13" x14ac:dyDescent="0.5">
      <c r="M3745" s="2">
        <v>3744</v>
      </c>
    </row>
    <row r="3746" spans="13:13" x14ac:dyDescent="0.5">
      <c r="M3746" s="2">
        <v>3745</v>
      </c>
    </row>
    <row r="3747" spans="13:13" x14ac:dyDescent="0.5">
      <c r="M3747" s="2">
        <v>3746</v>
      </c>
    </row>
    <row r="3748" spans="13:13" x14ac:dyDescent="0.5">
      <c r="M3748" s="2">
        <v>3747</v>
      </c>
    </row>
    <row r="3749" spans="13:13" x14ac:dyDescent="0.5">
      <c r="M3749" s="2">
        <v>3748</v>
      </c>
    </row>
    <row r="3750" spans="13:13" x14ac:dyDescent="0.5">
      <c r="M3750" s="2">
        <v>3749</v>
      </c>
    </row>
    <row r="3751" spans="13:13" x14ac:dyDescent="0.5">
      <c r="M3751" s="2">
        <v>3750</v>
      </c>
    </row>
    <row r="3752" spans="13:13" x14ac:dyDescent="0.5">
      <c r="M3752" s="2">
        <v>3751</v>
      </c>
    </row>
    <row r="3753" spans="13:13" x14ac:dyDescent="0.5">
      <c r="M3753" s="2">
        <v>3752</v>
      </c>
    </row>
    <row r="3754" spans="13:13" x14ac:dyDescent="0.5">
      <c r="M3754" s="2">
        <v>3753</v>
      </c>
    </row>
    <row r="3755" spans="13:13" x14ac:dyDescent="0.5">
      <c r="M3755" s="2">
        <v>3754</v>
      </c>
    </row>
    <row r="3756" spans="13:13" x14ac:dyDescent="0.5">
      <c r="M3756" s="2">
        <v>3755</v>
      </c>
    </row>
    <row r="3757" spans="13:13" x14ac:dyDescent="0.5">
      <c r="M3757" s="2">
        <v>3756</v>
      </c>
    </row>
    <row r="3758" spans="13:13" x14ac:dyDescent="0.5">
      <c r="M3758" s="2">
        <v>3757</v>
      </c>
    </row>
    <row r="3759" spans="13:13" x14ac:dyDescent="0.5">
      <c r="M3759" s="2">
        <v>3758</v>
      </c>
    </row>
    <row r="3760" spans="13:13" x14ac:dyDescent="0.5">
      <c r="M3760" s="2">
        <v>3759</v>
      </c>
    </row>
    <row r="3761" spans="13:14" x14ac:dyDescent="0.5">
      <c r="M3761" s="2">
        <v>3760</v>
      </c>
    </row>
    <row r="3762" spans="13:14" x14ac:dyDescent="0.5">
      <c r="M3762" s="2">
        <v>3761</v>
      </c>
    </row>
    <row r="3763" spans="13:14" x14ac:dyDescent="0.5">
      <c r="M3763" s="2">
        <v>3762</v>
      </c>
      <c r="N3763" s="2" t="s">
        <v>3446</v>
      </c>
    </row>
    <row r="3764" spans="13:14" x14ac:dyDescent="0.5">
      <c r="M3764" s="2">
        <v>3763</v>
      </c>
    </row>
    <row r="3765" spans="13:14" x14ac:dyDescent="0.5">
      <c r="M3765" s="2">
        <v>3764</v>
      </c>
      <c r="N3765" s="2" t="s">
        <v>3446</v>
      </c>
    </row>
    <row r="3766" spans="13:14" x14ac:dyDescent="0.5">
      <c r="M3766" s="2">
        <v>3765</v>
      </c>
      <c r="N3766" s="2" t="s">
        <v>3446</v>
      </c>
    </row>
    <row r="3767" spans="13:14" x14ac:dyDescent="0.5">
      <c r="M3767" s="2">
        <v>3766</v>
      </c>
    </row>
    <row r="3768" spans="13:14" x14ac:dyDescent="0.5">
      <c r="M3768" s="2">
        <v>3767</v>
      </c>
    </row>
    <row r="3769" spans="13:14" x14ac:dyDescent="0.5">
      <c r="M3769" s="2">
        <v>3768</v>
      </c>
    </row>
    <row r="3770" spans="13:14" x14ac:dyDescent="0.5">
      <c r="M3770" s="2">
        <v>3769</v>
      </c>
    </row>
    <row r="3771" spans="13:14" x14ac:dyDescent="0.5">
      <c r="M3771" s="2">
        <v>3770</v>
      </c>
    </row>
    <row r="3772" spans="13:14" x14ac:dyDescent="0.5">
      <c r="M3772" s="2">
        <v>3771</v>
      </c>
    </row>
    <row r="3773" spans="13:14" x14ac:dyDescent="0.5">
      <c r="M3773" s="2">
        <v>3772</v>
      </c>
    </row>
    <row r="3774" spans="13:14" x14ac:dyDescent="0.5">
      <c r="M3774" s="2">
        <v>3773</v>
      </c>
      <c r="N3774" s="2" t="s">
        <v>3446</v>
      </c>
    </row>
    <row r="3775" spans="13:14" x14ac:dyDescent="0.5">
      <c r="M3775" s="2">
        <v>3774</v>
      </c>
      <c r="N3775" s="2" t="s">
        <v>3446</v>
      </c>
    </row>
    <row r="3776" spans="13:14" x14ac:dyDescent="0.5">
      <c r="M3776" s="2">
        <v>3775</v>
      </c>
      <c r="N3776" s="2" t="s">
        <v>3446</v>
      </c>
    </row>
    <row r="3777" spans="13:14" x14ac:dyDescent="0.5">
      <c r="M3777" s="2">
        <v>3776</v>
      </c>
    </row>
    <row r="3778" spans="13:14" x14ac:dyDescent="0.5">
      <c r="M3778" s="2">
        <v>3777</v>
      </c>
    </row>
    <row r="3779" spans="13:14" x14ac:dyDescent="0.5">
      <c r="M3779" s="2">
        <v>3778</v>
      </c>
      <c r="N3779" s="2" t="s">
        <v>3446</v>
      </c>
    </row>
    <row r="3780" spans="13:14" x14ac:dyDescent="0.5">
      <c r="M3780" s="2">
        <v>3779</v>
      </c>
      <c r="N3780" s="2" t="s">
        <v>3446</v>
      </c>
    </row>
    <row r="3781" spans="13:14" x14ac:dyDescent="0.5">
      <c r="M3781" s="2">
        <v>3780</v>
      </c>
      <c r="N3781" s="2" t="s">
        <v>3446</v>
      </c>
    </row>
    <row r="3782" spans="13:14" x14ac:dyDescent="0.5">
      <c r="M3782" s="2">
        <v>3781</v>
      </c>
      <c r="N3782" s="2" t="s">
        <v>3446</v>
      </c>
    </row>
    <row r="3783" spans="13:14" x14ac:dyDescent="0.5">
      <c r="M3783" s="2">
        <v>3782</v>
      </c>
      <c r="N3783" s="2" t="s">
        <v>3446</v>
      </c>
    </row>
    <row r="3784" spans="13:14" x14ac:dyDescent="0.5">
      <c r="M3784" s="2">
        <v>3783</v>
      </c>
      <c r="N3784" s="2" t="s">
        <v>3446</v>
      </c>
    </row>
    <row r="3785" spans="13:14" x14ac:dyDescent="0.5">
      <c r="M3785" s="2">
        <v>3784</v>
      </c>
      <c r="N3785" s="2" t="s">
        <v>3446</v>
      </c>
    </row>
    <row r="3786" spans="13:14" x14ac:dyDescent="0.5">
      <c r="M3786" s="2">
        <v>3785</v>
      </c>
      <c r="N3786" s="2" t="s">
        <v>3446</v>
      </c>
    </row>
    <row r="3787" spans="13:14" x14ac:dyDescent="0.5">
      <c r="M3787" s="2">
        <v>3786</v>
      </c>
      <c r="N3787" s="2" t="s">
        <v>3446</v>
      </c>
    </row>
    <row r="3788" spans="13:14" x14ac:dyDescent="0.5">
      <c r="M3788" s="2">
        <v>3787</v>
      </c>
      <c r="N3788" s="2" t="s">
        <v>3446</v>
      </c>
    </row>
    <row r="3789" spans="13:14" x14ac:dyDescent="0.5">
      <c r="M3789" s="2">
        <v>3788</v>
      </c>
      <c r="N3789" s="2" t="s">
        <v>3446</v>
      </c>
    </row>
    <row r="3790" spans="13:14" x14ac:dyDescent="0.5">
      <c r="M3790" s="2">
        <v>3789</v>
      </c>
      <c r="N3790" s="2" t="s">
        <v>3446</v>
      </c>
    </row>
    <row r="3791" spans="13:14" x14ac:dyDescent="0.5">
      <c r="M3791" s="2">
        <v>3790</v>
      </c>
    </row>
    <row r="3792" spans="13:14" x14ac:dyDescent="0.5">
      <c r="M3792" s="2">
        <v>3791</v>
      </c>
    </row>
    <row r="3793" spans="13:13" x14ac:dyDescent="0.5">
      <c r="M3793" s="2">
        <v>3792</v>
      </c>
    </row>
    <row r="3794" spans="13:13" x14ac:dyDescent="0.5">
      <c r="M3794" s="2">
        <v>3793</v>
      </c>
    </row>
    <row r="3795" spans="13:13" x14ac:dyDescent="0.5">
      <c r="M3795" s="2">
        <v>3794</v>
      </c>
    </row>
    <row r="3796" spans="13:13" x14ac:dyDescent="0.5">
      <c r="M3796" s="2">
        <v>3795</v>
      </c>
    </row>
    <row r="3797" spans="13:13" x14ac:dyDescent="0.5">
      <c r="M3797" s="2">
        <v>3796</v>
      </c>
    </row>
    <row r="3798" spans="13:13" x14ac:dyDescent="0.5">
      <c r="M3798" s="2">
        <v>3797</v>
      </c>
    </row>
    <row r="3799" spans="13:13" x14ac:dyDescent="0.5">
      <c r="M3799" s="2">
        <v>3798</v>
      </c>
    </row>
    <row r="3800" spans="13:13" x14ac:dyDescent="0.5">
      <c r="M3800" s="2">
        <v>3799</v>
      </c>
    </row>
    <row r="3801" spans="13:13" x14ac:dyDescent="0.5">
      <c r="M3801" s="2">
        <v>3800</v>
      </c>
    </row>
    <row r="3802" spans="13:13" x14ac:dyDescent="0.5">
      <c r="M3802" s="2">
        <v>3801</v>
      </c>
    </row>
    <row r="3803" spans="13:13" x14ac:dyDescent="0.5">
      <c r="M3803" s="2">
        <v>3802</v>
      </c>
    </row>
    <row r="3804" spans="13:13" x14ac:dyDescent="0.5">
      <c r="M3804" s="2">
        <v>3803</v>
      </c>
    </row>
    <row r="3805" spans="13:13" x14ac:dyDescent="0.5">
      <c r="M3805" s="2">
        <v>3804</v>
      </c>
    </row>
    <row r="3806" spans="13:13" x14ac:dyDescent="0.5">
      <c r="M3806" s="2">
        <v>3805</v>
      </c>
    </row>
    <row r="3807" spans="13:13" x14ac:dyDescent="0.5">
      <c r="M3807" s="2">
        <v>3806</v>
      </c>
    </row>
    <row r="3808" spans="13:13" x14ac:dyDescent="0.5">
      <c r="M3808" s="2">
        <v>3807</v>
      </c>
    </row>
    <row r="3809" spans="13:14" x14ac:dyDescent="0.5">
      <c r="M3809" s="2">
        <v>3808</v>
      </c>
    </row>
    <row r="3810" spans="13:14" x14ac:dyDescent="0.5">
      <c r="M3810" s="2">
        <v>3809</v>
      </c>
    </row>
    <row r="3811" spans="13:14" x14ac:dyDescent="0.5">
      <c r="M3811" s="2">
        <v>3810</v>
      </c>
    </row>
    <row r="3812" spans="13:14" x14ac:dyDescent="0.5">
      <c r="M3812" s="2">
        <v>3811</v>
      </c>
    </row>
    <row r="3813" spans="13:14" x14ac:dyDescent="0.5">
      <c r="M3813" s="2">
        <v>3812</v>
      </c>
    </row>
    <row r="3814" spans="13:14" x14ac:dyDescent="0.5">
      <c r="M3814" s="2">
        <v>3813</v>
      </c>
    </row>
    <row r="3815" spans="13:14" x14ac:dyDescent="0.5">
      <c r="M3815" s="2">
        <v>3814</v>
      </c>
    </row>
    <row r="3816" spans="13:14" x14ac:dyDescent="0.5">
      <c r="M3816" s="2">
        <v>3815</v>
      </c>
    </row>
    <row r="3817" spans="13:14" x14ac:dyDescent="0.5">
      <c r="M3817" s="2">
        <v>3816</v>
      </c>
    </row>
    <row r="3818" spans="13:14" x14ac:dyDescent="0.5">
      <c r="M3818" s="2">
        <v>3817</v>
      </c>
    </row>
    <row r="3819" spans="13:14" x14ac:dyDescent="0.5">
      <c r="M3819" s="2">
        <v>3818</v>
      </c>
    </row>
    <row r="3820" spans="13:14" x14ac:dyDescent="0.5">
      <c r="M3820" s="2">
        <v>3819</v>
      </c>
    </row>
    <row r="3821" spans="13:14" x14ac:dyDescent="0.5">
      <c r="M3821" s="2">
        <v>3820</v>
      </c>
    </row>
    <row r="3822" spans="13:14" x14ac:dyDescent="0.5">
      <c r="M3822" s="2">
        <v>3821</v>
      </c>
    </row>
    <row r="3823" spans="13:14" x14ac:dyDescent="0.5">
      <c r="M3823" s="2">
        <v>3822</v>
      </c>
    </row>
    <row r="3824" spans="13:14" x14ac:dyDescent="0.5">
      <c r="M3824" s="2">
        <v>3823</v>
      </c>
      <c r="N3824" s="2" t="s">
        <v>3446</v>
      </c>
    </row>
    <row r="3825" spans="13:14" x14ac:dyDescent="0.5">
      <c r="M3825" s="2">
        <v>3824</v>
      </c>
      <c r="N3825" s="2" t="s">
        <v>3446</v>
      </c>
    </row>
    <row r="3826" spans="13:14" x14ac:dyDescent="0.5">
      <c r="M3826" s="2">
        <v>3825</v>
      </c>
      <c r="N3826" s="2" t="s">
        <v>3446</v>
      </c>
    </row>
    <row r="3827" spans="13:14" x14ac:dyDescent="0.5">
      <c r="M3827" s="2">
        <v>3826</v>
      </c>
      <c r="N3827" s="2" t="s">
        <v>3446</v>
      </c>
    </row>
    <row r="3828" spans="13:14" x14ac:dyDescent="0.5">
      <c r="M3828" s="2">
        <v>3827</v>
      </c>
    </row>
    <row r="3829" spans="13:14" x14ac:dyDescent="0.5">
      <c r="M3829" s="2">
        <v>3828</v>
      </c>
    </row>
    <row r="3830" spans="13:14" x14ac:dyDescent="0.5">
      <c r="M3830" s="2">
        <v>3829</v>
      </c>
      <c r="N3830" s="2" t="s">
        <v>3446</v>
      </c>
    </row>
    <row r="3831" spans="13:14" x14ac:dyDescent="0.5">
      <c r="M3831" s="2">
        <v>3830</v>
      </c>
    </row>
    <row r="3832" spans="13:14" x14ac:dyDescent="0.5">
      <c r="M3832" s="2">
        <v>3831</v>
      </c>
    </row>
    <row r="3833" spans="13:14" x14ac:dyDescent="0.5">
      <c r="M3833" s="2">
        <v>3832</v>
      </c>
    </row>
    <row r="3834" spans="13:14" x14ac:dyDescent="0.5">
      <c r="M3834" s="2">
        <v>3833</v>
      </c>
    </row>
    <row r="3835" spans="13:14" x14ac:dyDescent="0.5">
      <c r="M3835" s="2">
        <v>3834</v>
      </c>
    </row>
    <row r="3836" spans="13:14" x14ac:dyDescent="0.5">
      <c r="M3836" s="2">
        <v>3835</v>
      </c>
    </row>
    <row r="3837" spans="13:14" x14ac:dyDescent="0.5">
      <c r="M3837" s="2">
        <v>3836</v>
      </c>
    </row>
    <row r="3838" spans="13:14" x14ac:dyDescent="0.5">
      <c r="M3838" s="2">
        <v>3837</v>
      </c>
    </row>
    <row r="3839" spans="13:14" x14ac:dyDescent="0.5">
      <c r="M3839" s="2">
        <v>3838</v>
      </c>
    </row>
    <row r="3840" spans="13:14" x14ac:dyDescent="0.5">
      <c r="M3840" s="2">
        <v>3839</v>
      </c>
    </row>
    <row r="3841" spans="13:13" x14ac:dyDescent="0.5">
      <c r="M3841" s="2">
        <v>3840</v>
      </c>
    </row>
    <row r="3842" spans="13:13" x14ac:dyDescent="0.5">
      <c r="M3842" s="2">
        <v>3841</v>
      </c>
    </row>
    <row r="3843" spans="13:13" x14ac:dyDescent="0.5">
      <c r="M3843" s="2">
        <v>3842</v>
      </c>
    </row>
    <row r="3844" spans="13:13" x14ac:dyDescent="0.5">
      <c r="M3844" s="2">
        <v>3843</v>
      </c>
    </row>
    <row r="3845" spans="13:13" x14ac:dyDescent="0.5">
      <c r="M3845" s="2">
        <v>3844</v>
      </c>
    </row>
    <row r="3846" spans="13:13" x14ac:dyDescent="0.5">
      <c r="M3846" s="2">
        <v>3845</v>
      </c>
    </row>
    <row r="3847" spans="13:13" x14ac:dyDescent="0.5">
      <c r="M3847" s="2">
        <v>3846</v>
      </c>
    </row>
    <row r="3848" spans="13:13" x14ac:dyDescent="0.5">
      <c r="M3848" s="2">
        <v>3847</v>
      </c>
    </row>
    <row r="3849" spans="13:13" x14ac:dyDescent="0.5">
      <c r="M3849" s="2">
        <v>3848</v>
      </c>
    </row>
    <row r="3850" spans="13:13" x14ac:dyDescent="0.5">
      <c r="M3850" s="2">
        <v>3849</v>
      </c>
    </row>
    <row r="3851" spans="13:13" x14ac:dyDescent="0.5">
      <c r="M3851" s="2">
        <v>3850</v>
      </c>
    </row>
    <row r="3852" spans="13:13" x14ac:dyDescent="0.5">
      <c r="M3852" s="2">
        <v>3851</v>
      </c>
    </row>
    <row r="3853" spans="13:13" x14ac:dyDescent="0.5">
      <c r="M3853" s="2">
        <v>3852</v>
      </c>
    </row>
    <row r="3854" spans="13:13" x14ac:dyDescent="0.5">
      <c r="M3854" s="2">
        <v>3853</v>
      </c>
    </row>
    <row r="3855" spans="13:13" x14ac:dyDescent="0.5">
      <c r="M3855" s="2">
        <v>3854</v>
      </c>
    </row>
    <row r="3856" spans="13:13" x14ac:dyDescent="0.5">
      <c r="M3856" s="2">
        <v>3855</v>
      </c>
    </row>
    <row r="3857" spans="13:14" x14ac:dyDescent="0.5">
      <c r="M3857" s="2">
        <v>3856</v>
      </c>
    </row>
    <row r="3858" spans="13:14" x14ac:dyDescent="0.5">
      <c r="M3858" s="2">
        <v>3857</v>
      </c>
    </row>
    <row r="3859" spans="13:14" x14ac:dyDescent="0.5">
      <c r="M3859" s="2">
        <v>3858</v>
      </c>
    </row>
    <row r="3860" spans="13:14" x14ac:dyDescent="0.5">
      <c r="M3860" s="2">
        <v>3859</v>
      </c>
    </row>
    <row r="3861" spans="13:14" x14ac:dyDescent="0.5">
      <c r="M3861" s="2">
        <v>3860</v>
      </c>
      <c r="N3861" s="2" t="s">
        <v>3446</v>
      </c>
    </row>
    <row r="3862" spans="13:14" x14ac:dyDescent="0.5">
      <c r="M3862" s="2">
        <v>3861</v>
      </c>
      <c r="N3862" s="2" t="s">
        <v>3446</v>
      </c>
    </row>
    <row r="3863" spans="13:14" x14ac:dyDescent="0.5">
      <c r="M3863" s="2">
        <v>3862</v>
      </c>
    </row>
    <row r="3864" spans="13:14" x14ac:dyDescent="0.5">
      <c r="M3864" s="2">
        <v>3863</v>
      </c>
    </row>
    <row r="3865" spans="13:14" x14ac:dyDescent="0.5">
      <c r="M3865" s="2">
        <v>3864</v>
      </c>
    </row>
    <row r="3866" spans="13:14" x14ac:dyDescent="0.5">
      <c r="M3866" s="2">
        <v>3865</v>
      </c>
    </row>
    <row r="3867" spans="13:14" x14ac:dyDescent="0.5">
      <c r="M3867" s="2">
        <v>3866</v>
      </c>
    </row>
    <row r="3868" spans="13:14" x14ac:dyDescent="0.5">
      <c r="M3868" s="2">
        <v>3867</v>
      </c>
    </row>
    <row r="3869" spans="13:14" x14ac:dyDescent="0.5">
      <c r="M3869" s="2">
        <v>3868</v>
      </c>
    </row>
    <row r="3870" spans="13:14" x14ac:dyDescent="0.5">
      <c r="M3870" s="2">
        <v>3869</v>
      </c>
    </row>
    <row r="3871" spans="13:14" x14ac:dyDescent="0.5">
      <c r="M3871" s="2">
        <v>3870</v>
      </c>
    </row>
    <row r="3872" spans="13:14" x14ac:dyDescent="0.5">
      <c r="M3872" s="2">
        <v>3871</v>
      </c>
    </row>
    <row r="3873" spans="13:14" x14ac:dyDescent="0.5">
      <c r="M3873" s="2">
        <v>3872</v>
      </c>
    </row>
    <row r="3874" spans="13:14" x14ac:dyDescent="0.5">
      <c r="M3874" s="2">
        <v>3873</v>
      </c>
    </row>
    <row r="3875" spans="13:14" x14ac:dyDescent="0.5">
      <c r="M3875" s="2">
        <v>3874</v>
      </c>
    </row>
    <row r="3876" spans="13:14" x14ac:dyDescent="0.5">
      <c r="M3876" s="2">
        <v>3875</v>
      </c>
    </row>
    <row r="3877" spans="13:14" x14ac:dyDescent="0.5">
      <c r="M3877" s="2">
        <v>3876</v>
      </c>
    </row>
    <row r="3878" spans="13:14" x14ac:dyDescent="0.5">
      <c r="M3878" s="2">
        <v>3877</v>
      </c>
    </row>
    <row r="3879" spans="13:14" x14ac:dyDescent="0.5">
      <c r="M3879" s="2">
        <v>3878</v>
      </c>
    </row>
    <row r="3880" spans="13:14" x14ac:dyDescent="0.5">
      <c r="M3880" s="2">
        <v>3879</v>
      </c>
    </row>
    <row r="3881" spans="13:14" x14ac:dyDescent="0.5">
      <c r="M3881" s="2">
        <v>3880</v>
      </c>
    </row>
    <row r="3882" spans="13:14" x14ac:dyDescent="0.5">
      <c r="M3882" s="2">
        <v>3881</v>
      </c>
    </row>
    <row r="3883" spans="13:14" x14ac:dyDescent="0.5">
      <c r="M3883" s="2">
        <v>3882</v>
      </c>
    </row>
    <row r="3884" spans="13:14" x14ac:dyDescent="0.5">
      <c r="M3884" s="2">
        <v>3883</v>
      </c>
    </row>
    <row r="3885" spans="13:14" x14ac:dyDescent="0.5">
      <c r="M3885" s="2">
        <v>3884</v>
      </c>
    </row>
    <row r="3886" spans="13:14" x14ac:dyDescent="0.5">
      <c r="M3886" s="2">
        <v>3885</v>
      </c>
    </row>
    <row r="3887" spans="13:14" x14ac:dyDescent="0.5">
      <c r="M3887" s="2">
        <v>3886</v>
      </c>
    </row>
    <row r="3888" spans="13:14" x14ac:dyDescent="0.5">
      <c r="M3888" s="2">
        <v>3887</v>
      </c>
      <c r="N3888" s="2" t="s">
        <v>3446</v>
      </c>
    </row>
    <row r="3889" spans="13:14" x14ac:dyDescent="0.5">
      <c r="M3889" s="2">
        <v>3888</v>
      </c>
      <c r="N3889" s="2" t="s">
        <v>3446</v>
      </c>
    </row>
    <row r="3890" spans="13:14" x14ac:dyDescent="0.5">
      <c r="M3890" s="2">
        <v>3889</v>
      </c>
      <c r="N3890" s="2" t="s">
        <v>3446</v>
      </c>
    </row>
    <row r="3891" spans="13:14" x14ac:dyDescent="0.5">
      <c r="M3891" s="2">
        <v>3890</v>
      </c>
    </row>
    <row r="3892" spans="13:14" x14ac:dyDescent="0.5">
      <c r="M3892" s="2">
        <v>3891</v>
      </c>
    </row>
    <row r="3893" spans="13:14" x14ac:dyDescent="0.5">
      <c r="M3893" s="2">
        <v>3892</v>
      </c>
      <c r="N3893" s="2" t="s">
        <v>3446</v>
      </c>
    </row>
    <row r="3894" spans="13:14" x14ac:dyDescent="0.5">
      <c r="M3894" s="2">
        <v>3893</v>
      </c>
      <c r="N3894" s="2" t="s">
        <v>3446</v>
      </c>
    </row>
    <row r="3895" spans="13:14" x14ac:dyDescent="0.5">
      <c r="M3895" s="2">
        <v>3894</v>
      </c>
      <c r="N3895" s="2" t="s">
        <v>3446</v>
      </c>
    </row>
    <row r="3896" spans="13:14" x14ac:dyDescent="0.5">
      <c r="M3896" s="2">
        <v>3895</v>
      </c>
      <c r="N3896" s="2" t="s">
        <v>3446</v>
      </c>
    </row>
    <row r="3897" spans="13:14" x14ac:dyDescent="0.5">
      <c r="M3897" s="2">
        <v>3896</v>
      </c>
      <c r="N3897" s="2" t="s">
        <v>3446</v>
      </c>
    </row>
    <row r="3898" spans="13:14" x14ac:dyDescent="0.5">
      <c r="M3898" s="2">
        <v>3897</v>
      </c>
      <c r="N3898" s="2" t="s">
        <v>3446</v>
      </c>
    </row>
    <row r="3899" spans="13:14" x14ac:dyDescent="0.5">
      <c r="M3899" s="2">
        <v>3898</v>
      </c>
    </row>
    <row r="3900" spans="13:14" x14ac:dyDescent="0.5">
      <c r="M3900" s="2">
        <v>3899</v>
      </c>
    </row>
    <row r="3901" spans="13:14" x14ac:dyDescent="0.5">
      <c r="M3901" s="2">
        <v>3900</v>
      </c>
      <c r="N3901" s="2" t="s">
        <v>3446</v>
      </c>
    </row>
    <row r="3902" spans="13:14" x14ac:dyDescent="0.5">
      <c r="M3902" s="2">
        <v>3901</v>
      </c>
      <c r="N3902" s="2" t="s">
        <v>3446</v>
      </c>
    </row>
    <row r="3903" spans="13:14" x14ac:dyDescent="0.5">
      <c r="M3903" s="2">
        <v>3902</v>
      </c>
    </row>
    <row r="3904" spans="13:14" x14ac:dyDescent="0.5">
      <c r="M3904" s="2">
        <v>3903</v>
      </c>
      <c r="N3904" s="2" t="s">
        <v>3446</v>
      </c>
    </row>
    <row r="3905" spans="13:14" x14ac:dyDescent="0.5">
      <c r="M3905" s="2">
        <v>3904</v>
      </c>
      <c r="N3905" s="2" t="s">
        <v>3446</v>
      </c>
    </row>
    <row r="3906" spans="13:14" x14ac:dyDescent="0.5">
      <c r="M3906" s="2">
        <v>3905</v>
      </c>
      <c r="N3906" s="2" t="s">
        <v>3446</v>
      </c>
    </row>
    <row r="3907" spans="13:14" x14ac:dyDescent="0.5">
      <c r="M3907" s="2">
        <v>3906</v>
      </c>
      <c r="N3907" s="2" t="s">
        <v>3446</v>
      </c>
    </row>
    <row r="3908" spans="13:14" x14ac:dyDescent="0.5">
      <c r="M3908" s="2">
        <v>3907</v>
      </c>
      <c r="N3908" s="2" t="s">
        <v>3446</v>
      </c>
    </row>
    <row r="3909" spans="13:14" x14ac:dyDescent="0.5">
      <c r="M3909" s="2">
        <v>3908</v>
      </c>
    </row>
    <row r="3910" spans="13:14" x14ac:dyDescent="0.5">
      <c r="M3910" s="2">
        <v>3909</v>
      </c>
      <c r="N3910" s="2" t="s">
        <v>3446</v>
      </c>
    </row>
    <row r="3911" spans="13:14" x14ac:dyDescent="0.5">
      <c r="M3911" s="2">
        <v>3910</v>
      </c>
      <c r="N3911" s="2" t="s">
        <v>3446</v>
      </c>
    </row>
    <row r="3912" spans="13:14" x14ac:dyDescent="0.5">
      <c r="M3912" s="2">
        <v>3911</v>
      </c>
      <c r="N3912" s="2" t="s">
        <v>3446</v>
      </c>
    </row>
    <row r="3913" spans="13:14" x14ac:dyDescent="0.5">
      <c r="M3913" s="2">
        <v>3912</v>
      </c>
    </row>
    <row r="3914" spans="13:14" x14ac:dyDescent="0.5">
      <c r="M3914" s="2">
        <v>3913</v>
      </c>
      <c r="N3914" s="2" t="s">
        <v>3446</v>
      </c>
    </row>
    <row r="3915" spans="13:14" x14ac:dyDescent="0.5">
      <c r="M3915" s="2">
        <v>3914</v>
      </c>
      <c r="N3915" s="2" t="s">
        <v>3446</v>
      </c>
    </row>
    <row r="3916" spans="13:14" x14ac:dyDescent="0.5">
      <c r="M3916" s="2">
        <v>3915</v>
      </c>
    </row>
    <row r="3917" spans="13:14" x14ac:dyDescent="0.5">
      <c r="M3917" s="2">
        <v>3916</v>
      </c>
    </row>
    <row r="3918" spans="13:14" x14ac:dyDescent="0.5">
      <c r="M3918" s="2">
        <v>3917</v>
      </c>
    </row>
    <row r="3919" spans="13:14" x14ac:dyDescent="0.5">
      <c r="M3919" s="2">
        <v>3918</v>
      </c>
    </row>
    <row r="3920" spans="13:14" x14ac:dyDescent="0.5">
      <c r="M3920" s="2">
        <v>3919</v>
      </c>
    </row>
    <row r="3921" spans="13:14" x14ac:dyDescent="0.5">
      <c r="M3921" s="2">
        <v>3920</v>
      </c>
      <c r="N3921" s="2" t="s">
        <v>3446</v>
      </c>
    </row>
    <row r="3922" spans="13:14" x14ac:dyDescent="0.5">
      <c r="M3922" s="2">
        <v>3921</v>
      </c>
    </row>
    <row r="3923" spans="13:14" x14ac:dyDescent="0.5">
      <c r="M3923" s="2">
        <v>3922</v>
      </c>
    </row>
    <row r="3924" spans="13:14" x14ac:dyDescent="0.5">
      <c r="M3924" s="2">
        <v>3923</v>
      </c>
    </row>
    <row r="3925" spans="13:14" x14ac:dyDescent="0.5">
      <c r="M3925" s="2">
        <v>3924</v>
      </c>
    </row>
    <row r="3926" spans="13:14" x14ac:dyDescent="0.5">
      <c r="M3926" s="2">
        <v>3925</v>
      </c>
    </row>
    <row r="3927" spans="13:14" x14ac:dyDescent="0.5">
      <c r="M3927" s="2">
        <v>3926</v>
      </c>
    </row>
    <row r="3928" spans="13:14" x14ac:dyDescent="0.5">
      <c r="M3928" s="2">
        <v>3927</v>
      </c>
    </row>
    <row r="3929" spans="13:14" x14ac:dyDescent="0.5">
      <c r="M3929" s="2">
        <v>3928</v>
      </c>
    </row>
    <row r="3930" spans="13:14" x14ac:dyDescent="0.5">
      <c r="M3930" s="2">
        <v>3929</v>
      </c>
    </row>
    <row r="3931" spans="13:14" x14ac:dyDescent="0.5">
      <c r="M3931" s="2">
        <v>3930</v>
      </c>
    </row>
    <row r="3932" spans="13:14" x14ac:dyDescent="0.5">
      <c r="M3932" s="2">
        <v>3931</v>
      </c>
    </row>
    <row r="3933" spans="13:14" x14ac:dyDescent="0.5">
      <c r="M3933" s="2">
        <v>3932</v>
      </c>
    </row>
    <row r="3934" spans="13:14" x14ac:dyDescent="0.5">
      <c r="M3934" s="2">
        <v>3933</v>
      </c>
    </row>
    <row r="3935" spans="13:14" x14ac:dyDescent="0.5">
      <c r="M3935" s="2">
        <v>3934</v>
      </c>
    </row>
    <row r="3936" spans="13:14" x14ac:dyDescent="0.5">
      <c r="M3936" s="2">
        <v>3935</v>
      </c>
    </row>
    <row r="3937" spans="13:14" x14ac:dyDescent="0.5">
      <c r="M3937" s="2">
        <v>3936</v>
      </c>
      <c r="N3937" s="2" t="s">
        <v>3446</v>
      </c>
    </row>
    <row r="3938" spans="13:14" x14ac:dyDescent="0.5">
      <c r="M3938" s="2">
        <v>3937</v>
      </c>
    </row>
    <row r="3939" spans="13:14" x14ac:dyDescent="0.5">
      <c r="M3939" s="2">
        <v>3938</v>
      </c>
    </row>
    <row r="3940" spans="13:14" x14ac:dyDescent="0.5">
      <c r="M3940" s="2">
        <v>3939</v>
      </c>
    </row>
    <row r="3941" spans="13:14" x14ac:dyDescent="0.5">
      <c r="M3941" s="2">
        <v>3940</v>
      </c>
    </row>
    <row r="3942" spans="13:14" x14ac:dyDescent="0.5">
      <c r="M3942" s="2">
        <v>3941</v>
      </c>
    </row>
    <row r="3943" spans="13:14" x14ac:dyDescent="0.5">
      <c r="M3943" s="2">
        <v>3942</v>
      </c>
    </row>
    <row r="3944" spans="13:14" x14ac:dyDescent="0.5">
      <c r="M3944" s="2">
        <v>3943</v>
      </c>
      <c r="N3944" s="2" t="s">
        <v>3446</v>
      </c>
    </row>
    <row r="3945" spans="13:14" x14ac:dyDescent="0.5">
      <c r="M3945" s="2">
        <v>3944</v>
      </c>
      <c r="N3945" s="2" t="s">
        <v>3446</v>
      </c>
    </row>
    <row r="3946" spans="13:14" x14ac:dyDescent="0.5">
      <c r="M3946" s="2">
        <v>3945</v>
      </c>
      <c r="N3946" s="2" t="s">
        <v>3446</v>
      </c>
    </row>
    <row r="3947" spans="13:14" x14ac:dyDescent="0.5">
      <c r="M3947" s="2">
        <v>3946</v>
      </c>
      <c r="N3947" s="2" t="s">
        <v>3446</v>
      </c>
    </row>
    <row r="3948" spans="13:14" x14ac:dyDescent="0.5">
      <c r="M3948" s="2">
        <v>3947</v>
      </c>
      <c r="N3948" s="2" t="s">
        <v>3446</v>
      </c>
    </row>
    <row r="3949" spans="13:14" x14ac:dyDescent="0.5">
      <c r="M3949" s="2">
        <v>3948</v>
      </c>
      <c r="N3949" s="2" t="s">
        <v>3446</v>
      </c>
    </row>
    <row r="3950" spans="13:14" x14ac:dyDescent="0.5">
      <c r="M3950" s="2">
        <v>3949</v>
      </c>
      <c r="N3950" s="2" t="s">
        <v>3446</v>
      </c>
    </row>
    <row r="3951" spans="13:14" x14ac:dyDescent="0.5">
      <c r="M3951" s="2">
        <v>3950</v>
      </c>
      <c r="N3951" s="2" t="s">
        <v>3446</v>
      </c>
    </row>
    <row r="3952" spans="13:14" x14ac:dyDescent="0.5">
      <c r="M3952" s="2">
        <v>3951</v>
      </c>
    </row>
    <row r="3953" spans="13:14" x14ac:dyDescent="0.5">
      <c r="M3953" s="2">
        <v>3952</v>
      </c>
      <c r="N3953" s="2" t="s">
        <v>3446</v>
      </c>
    </row>
    <row r="3954" spans="13:14" x14ac:dyDescent="0.5">
      <c r="M3954" s="2">
        <v>3953</v>
      </c>
      <c r="N3954" s="2" t="s">
        <v>3446</v>
      </c>
    </row>
    <row r="3955" spans="13:14" x14ac:dyDescent="0.5">
      <c r="M3955" s="2">
        <v>3954</v>
      </c>
      <c r="N3955" s="2" t="s">
        <v>3446</v>
      </c>
    </row>
    <row r="3956" spans="13:14" x14ac:dyDescent="0.5">
      <c r="M3956" s="2">
        <v>3955</v>
      </c>
      <c r="N3956" s="2" t="s">
        <v>3446</v>
      </c>
    </row>
    <row r="3957" spans="13:14" x14ac:dyDescent="0.5">
      <c r="M3957" s="2">
        <v>3956</v>
      </c>
    </row>
    <row r="3958" spans="13:14" x14ac:dyDescent="0.5">
      <c r="M3958" s="2">
        <v>3957</v>
      </c>
      <c r="N3958" s="2" t="s">
        <v>3446</v>
      </c>
    </row>
    <row r="3959" spans="13:14" x14ac:dyDescent="0.5">
      <c r="M3959" s="2">
        <v>3958</v>
      </c>
      <c r="N3959" s="2" t="s">
        <v>3446</v>
      </c>
    </row>
    <row r="3960" spans="13:14" x14ac:dyDescent="0.5">
      <c r="M3960" s="2">
        <v>3959</v>
      </c>
      <c r="N3960" s="2" t="s">
        <v>3446</v>
      </c>
    </row>
    <row r="3961" spans="13:14" x14ac:dyDescent="0.5">
      <c r="M3961" s="2">
        <v>3960</v>
      </c>
      <c r="N3961" s="2" t="s">
        <v>3446</v>
      </c>
    </row>
    <row r="3962" spans="13:14" x14ac:dyDescent="0.5">
      <c r="M3962" s="2">
        <v>3961</v>
      </c>
    </row>
    <row r="3963" spans="13:14" x14ac:dyDescent="0.5">
      <c r="M3963" s="2">
        <v>3962</v>
      </c>
      <c r="N3963" s="2" t="s">
        <v>3446</v>
      </c>
    </row>
    <row r="3964" spans="13:14" x14ac:dyDescent="0.5">
      <c r="M3964" s="2">
        <v>3963</v>
      </c>
      <c r="N3964" s="2" t="s">
        <v>3446</v>
      </c>
    </row>
    <row r="3965" spans="13:14" x14ac:dyDescent="0.5">
      <c r="M3965" s="2">
        <v>3964</v>
      </c>
      <c r="N3965" s="2" t="s">
        <v>3446</v>
      </c>
    </row>
    <row r="3966" spans="13:14" x14ac:dyDescent="0.5">
      <c r="M3966" s="2">
        <v>3965</v>
      </c>
      <c r="N3966" s="2" t="s">
        <v>3446</v>
      </c>
    </row>
    <row r="3967" spans="13:14" x14ac:dyDescent="0.5">
      <c r="M3967" s="2">
        <v>3966</v>
      </c>
      <c r="N3967" s="2" t="s">
        <v>3446</v>
      </c>
    </row>
    <row r="3968" spans="13:14" x14ac:dyDescent="0.5">
      <c r="M3968" s="2">
        <v>3967</v>
      </c>
      <c r="N3968" s="2" t="s">
        <v>3446</v>
      </c>
    </row>
    <row r="3969" spans="13:14" x14ac:dyDescent="0.5">
      <c r="M3969" s="2">
        <v>3968</v>
      </c>
      <c r="N3969" s="2" t="s">
        <v>3446</v>
      </c>
    </row>
    <row r="3970" spans="13:14" x14ac:dyDescent="0.5">
      <c r="M3970" s="2">
        <v>3969</v>
      </c>
      <c r="N3970" s="2" t="s">
        <v>3446</v>
      </c>
    </row>
    <row r="3971" spans="13:14" x14ac:dyDescent="0.5">
      <c r="M3971" s="2">
        <v>3970</v>
      </c>
      <c r="N3971" s="2" t="s">
        <v>3446</v>
      </c>
    </row>
    <row r="3972" spans="13:14" x14ac:dyDescent="0.5">
      <c r="M3972" s="2">
        <v>3971</v>
      </c>
    </row>
    <row r="3973" spans="13:14" x14ac:dyDescent="0.5">
      <c r="M3973" s="2">
        <v>3972</v>
      </c>
    </row>
    <row r="3974" spans="13:14" x14ac:dyDescent="0.5">
      <c r="M3974" s="2">
        <v>3973</v>
      </c>
    </row>
    <row r="3975" spans="13:14" x14ac:dyDescent="0.5">
      <c r="M3975" s="2">
        <v>3974</v>
      </c>
    </row>
    <row r="3976" spans="13:14" x14ac:dyDescent="0.5">
      <c r="M3976" s="2">
        <v>3975</v>
      </c>
    </row>
    <row r="3977" spans="13:14" x14ac:dyDescent="0.5">
      <c r="M3977" s="2">
        <v>3976</v>
      </c>
    </row>
    <row r="3978" spans="13:14" x14ac:dyDescent="0.5">
      <c r="M3978" s="2">
        <v>3977</v>
      </c>
    </row>
    <row r="3979" spans="13:14" x14ac:dyDescent="0.5">
      <c r="M3979" s="2">
        <v>3978</v>
      </c>
    </row>
    <row r="3980" spans="13:14" x14ac:dyDescent="0.5">
      <c r="M3980" s="2">
        <v>3979</v>
      </c>
      <c r="N3980" s="2" t="s">
        <v>3446</v>
      </c>
    </row>
    <row r="3981" spans="13:14" x14ac:dyDescent="0.5">
      <c r="M3981" s="2">
        <v>3980</v>
      </c>
    </row>
    <row r="3982" spans="13:14" x14ac:dyDescent="0.5">
      <c r="M3982" s="2">
        <v>3981</v>
      </c>
    </row>
    <row r="3983" spans="13:14" x14ac:dyDescent="0.5">
      <c r="M3983" s="2">
        <v>3982</v>
      </c>
      <c r="N3983" s="2" t="s">
        <v>3446</v>
      </c>
    </row>
    <row r="3984" spans="13:14" x14ac:dyDescent="0.5">
      <c r="M3984" s="2">
        <v>3983</v>
      </c>
    </row>
    <row r="3985" spans="13:14" x14ac:dyDescent="0.5">
      <c r="M3985" s="2">
        <v>3984</v>
      </c>
    </row>
    <row r="3986" spans="13:14" x14ac:dyDescent="0.5">
      <c r="M3986" s="2">
        <v>3985</v>
      </c>
    </row>
    <row r="3987" spans="13:14" x14ac:dyDescent="0.5">
      <c r="M3987" s="2">
        <v>3986</v>
      </c>
      <c r="N3987" s="2" t="s">
        <v>3446</v>
      </c>
    </row>
    <row r="3988" spans="13:14" x14ac:dyDescent="0.5">
      <c r="M3988" s="2">
        <v>3987</v>
      </c>
      <c r="N3988" s="2" t="s">
        <v>3446</v>
      </c>
    </row>
    <row r="3989" spans="13:14" x14ac:dyDescent="0.5">
      <c r="M3989" s="2">
        <v>3988</v>
      </c>
    </row>
    <row r="3990" spans="13:14" x14ac:dyDescent="0.5">
      <c r="M3990" s="2">
        <v>3989</v>
      </c>
    </row>
    <row r="3991" spans="13:14" x14ac:dyDescent="0.5">
      <c r="M3991" s="2">
        <v>3990</v>
      </c>
      <c r="N3991" s="2" t="s">
        <v>3446</v>
      </c>
    </row>
    <row r="3992" spans="13:14" x14ac:dyDescent="0.5">
      <c r="M3992" s="2">
        <v>3991</v>
      </c>
      <c r="N3992" s="2" t="s">
        <v>3446</v>
      </c>
    </row>
    <row r="3993" spans="13:14" x14ac:dyDescent="0.5">
      <c r="M3993" s="2">
        <v>3992</v>
      </c>
    </row>
    <row r="3994" spans="13:14" x14ac:dyDescent="0.5">
      <c r="M3994" s="2">
        <v>3993</v>
      </c>
    </row>
    <row r="3995" spans="13:14" x14ac:dyDescent="0.5">
      <c r="M3995" s="2">
        <v>3994</v>
      </c>
    </row>
    <row r="3996" spans="13:14" x14ac:dyDescent="0.5">
      <c r="M3996" s="2">
        <v>3995</v>
      </c>
    </row>
    <row r="3997" spans="13:14" x14ac:dyDescent="0.5">
      <c r="M3997" s="2">
        <v>3996</v>
      </c>
    </row>
    <row r="3998" spans="13:14" x14ac:dyDescent="0.5">
      <c r="M3998" s="2">
        <v>3997</v>
      </c>
    </row>
    <row r="3999" spans="13:14" x14ac:dyDescent="0.5">
      <c r="M3999" s="2">
        <v>3998</v>
      </c>
    </row>
    <row r="4000" spans="13:14" x14ac:dyDescent="0.5">
      <c r="M4000" s="2">
        <v>3999</v>
      </c>
    </row>
    <row r="4001" spans="13:14" x14ac:dyDescent="0.5">
      <c r="M4001" s="2">
        <v>4000</v>
      </c>
    </row>
    <row r="4002" spans="13:14" x14ac:dyDescent="0.5">
      <c r="M4002" s="2">
        <v>4001</v>
      </c>
    </row>
    <row r="4003" spans="13:14" x14ac:dyDescent="0.5">
      <c r="M4003" s="2">
        <v>4002</v>
      </c>
    </row>
    <row r="4004" spans="13:14" x14ac:dyDescent="0.5">
      <c r="M4004" s="2">
        <v>4003</v>
      </c>
    </row>
    <row r="4005" spans="13:14" x14ac:dyDescent="0.5">
      <c r="M4005" s="2">
        <v>4004</v>
      </c>
    </row>
    <row r="4006" spans="13:14" x14ac:dyDescent="0.5">
      <c r="M4006" s="2">
        <v>4005</v>
      </c>
    </row>
    <row r="4007" spans="13:14" x14ac:dyDescent="0.5">
      <c r="M4007" s="2">
        <v>4006</v>
      </c>
    </row>
    <row r="4008" spans="13:14" x14ac:dyDescent="0.5">
      <c r="M4008" s="2">
        <v>4007</v>
      </c>
    </row>
    <row r="4009" spans="13:14" x14ac:dyDescent="0.5">
      <c r="M4009" s="2">
        <v>4008</v>
      </c>
    </row>
    <row r="4010" spans="13:14" x14ac:dyDescent="0.5">
      <c r="M4010" s="2">
        <v>4009</v>
      </c>
    </row>
    <row r="4011" spans="13:14" x14ac:dyDescent="0.5">
      <c r="M4011" s="2">
        <v>4010</v>
      </c>
    </row>
    <row r="4012" spans="13:14" x14ac:dyDescent="0.5">
      <c r="M4012" s="2">
        <v>4011</v>
      </c>
    </row>
    <row r="4013" spans="13:14" x14ac:dyDescent="0.5">
      <c r="M4013" s="2">
        <v>4012</v>
      </c>
    </row>
    <row r="4014" spans="13:14" x14ac:dyDescent="0.5">
      <c r="M4014" s="2">
        <v>4013</v>
      </c>
    </row>
    <row r="4015" spans="13:14" x14ac:dyDescent="0.5">
      <c r="M4015" s="2">
        <v>4014</v>
      </c>
      <c r="N4015" s="2" t="s">
        <v>3446</v>
      </c>
    </row>
    <row r="4016" spans="13:14" x14ac:dyDescent="0.5">
      <c r="M4016" s="2">
        <v>4015</v>
      </c>
    </row>
    <row r="4017" spans="13:14" x14ac:dyDescent="0.5">
      <c r="M4017" s="2">
        <v>4016</v>
      </c>
    </row>
    <row r="4018" spans="13:14" x14ac:dyDescent="0.5">
      <c r="M4018" s="2">
        <v>4017</v>
      </c>
    </row>
    <row r="4019" spans="13:14" x14ac:dyDescent="0.5">
      <c r="M4019" s="2">
        <v>4018</v>
      </c>
      <c r="N4019" s="2" t="s">
        <v>3446</v>
      </c>
    </row>
    <row r="4020" spans="13:14" x14ac:dyDescent="0.5">
      <c r="M4020" s="2">
        <v>4019</v>
      </c>
      <c r="N4020" s="2" t="s">
        <v>3446</v>
      </c>
    </row>
    <row r="4021" spans="13:14" x14ac:dyDescent="0.5">
      <c r="M4021" s="2">
        <v>4020</v>
      </c>
      <c r="N4021" s="2" t="s">
        <v>3446</v>
      </c>
    </row>
    <row r="4022" spans="13:14" x14ac:dyDescent="0.5">
      <c r="M4022" s="2">
        <v>4021</v>
      </c>
      <c r="N4022" s="2" t="s">
        <v>3446</v>
      </c>
    </row>
    <row r="4023" spans="13:14" x14ac:dyDescent="0.5">
      <c r="M4023" s="2">
        <v>4022</v>
      </c>
    </row>
    <row r="4024" spans="13:14" x14ac:dyDescent="0.5">
      <c r="M4024" s="2">
        <v>4023</v>
      </c>
      <c r="N4024" s="2" t="s">
        <v>3446</v>
      </c>
    </row>
    <row r="4025" spans="13:14" x14ac:dyDescent="0.5">
      <c r="M4025" s="2">
        <v>4024</v>
      </c>
    </row>
    <row r="4026" spans="13:14" x14ac:dyDescent="0.5">
      <c r="M4026" s="2">
        <v>4025</v>
      </c>
    </row>
    <row r="4027" spans="13:14" x14ac:dyDescent="0.5">
      <c r="M4027" s="2">
        <v>4026</v>
      </c>
      <c r="N4027" s="2" t="s">
        <v>3446</v>
      </c>
    </row>
    <row r="4028" spans="13:14" x14ac:dyDescent="0.5">
      <c r="M4028" s="2">
        <v>4027</v>
      </c>
      <c r="N4028" s="2" t="s">
        <v>3446</v>
      </c>
    </row>
    <row r="4029" spans="13:14" x14ac:dyDescent="0.5">
      <c r="M4029" s="2">
        <v>4028</v>
      </c>
      <c r="N4029" s="2" t="s">
        <v>3446</v>
      </c>
    </row>
    <row r="4030" spans="13:14" x14ac:dyDescent="0.5">
      <c r="M4030" s="2">
        <v>4029</v>
      </c>
    </row>
    <row r="4031" spans="13:14" x14ac:dyDescent="0.5">
      <c r="M4031" s="2">
        <v>4030</v>
      </c>
      <c r="N4031" s="2" t="s">
        <v>3446</v>
      </c>
    </row>
    <row r="4032" spans="13:14" x14ac:dyDescent="0.5">
      <c r="M4032" s="2">
        <v>4031</v>
      </c>
    </row>
    <row r="4033" spans="13:14" x14ac:dyDescent="0.5">
      <c r="M4033" s="2">
        <v>4032</v>
      </c>
    </row>
    <row r="4034" spans="13:14" x14ac:dyDescent="0.5">
      <c r="M4034" s="2">
        <v>4033</v>
      </c>
    </row>
    <row r="4035" spans="13:14" x14ac:dyDescent="0.5">
      <c r="M4035" s="2">
        <v>4034</v>
      </c>
    </row>
    <row r="4036" spans="13:14" x14ac:dyDescent="0.5">
      <c r="M4036" s="2">
        <v>4035</v>
      </c>
      <c r="N4036" s="2" t="s">
        <v>3446</v>
      </c>
    </row>
    <row r="4037" spans="13:14" x14ac:dyDescent="0.5">
      <c r="M4037" s="2">
        <v>4036</v>
      </c>
    </row>
    <row r="4038" spans="13:14" x14ac:dyDescent="0.5">
      <c r="M4038" s="2">
        <v>4037</v>
      </c>
    </row>
    <row r="4039" spans="13:14" x14ac:dyDescent="0.5">
      <c r="M4039" s="2">
        <v>4038</v>
      </c>
      <c r="N4039" s="2" t="s">
        <v>3446</v>
      </c>
    </row>
    <row r="4040" spans="13:14" x14ac:dyDescent="0.5">
      <c r="M4040" s="2">
        <v>4039</v>
      </c>
    </row>
    <row r="4041" spans="13:14" x14ac:dyDescent="0.5">
      <c r="M4041" s="2">
        <v>4040</v>
      </c>
      <c r="N4041" s="2" t="s">
        <v>3446</v>
      </c>
    </row>
    <row r="4042" spans="13:14" x14ac:dyDescent="0.5">
      <c r="M4042" s="2">
        <v>4041</v>
      </c>
      <c r="N4042" s="2" t="s">
        <v>3446</v>
      </c>
    </row>
    <row r="4043" spans="13:14" x14ac:dyDescent="0.5">
      <c r="M4043" s="2">
        <v>4042</v>
      </c>
      <c r="N4043" s="2" t="s">
        <v>3446</v>
      </c>
    </row>
    <row r="4044" spans="13:14" x14ac:dyDescent="0.5">
      <c r="M4044" s="2">
        <v>4043</v>
      </c>
    </row>
    <row r="4045" spans="13:14" x14ac:dyDescent="0.5">
      <c r="M4045" s="2">
        <v>4044</v>
      </c>
      <c r="N4045" s="2" t="s">
        <v>3446</v>
      </c>
    </row>
    <row r="4046" spans="13:14" x14ac:dyDescent="0.5">
      <c r="M4046" s="2">
        <v>4045</v>
      </c>
      <c r="N4046" s="2" t="s">
        <v>3446</v>
      </c>
    </row>
    <row r="4047" spans="13:14" x14ac:dyDescent="0.5">
      <c r="M4047" s="2">
        <v>4046</v>
      </c>
      <c r="N4047" s="2" t="s">
        <v>3446</v>
      </c>
    </row>
    <row r="4048" spans="13:14" x14ac:dyDescent="0.5">
      <c r="M4048" s="2">
        <v>4047</v>
      </c>
      <c r="N4048" s="2" t="s">
        <v>3446</v>
      </c>
    </row>
    <row r="4049" spans="13:14" x14ac:dyDescent="0.5">
      <c r="M4049" s="2">
        <v>4048</v>
      </c>
      <c r="N4049" s="2" t="s">
        <v>3446</v>
      </c>
    </row>
    <row r="4050" spans="13:14" x14ac:dyDescent="0.5">
      <c r="M4050" s="2">
        <v>4049</v>
      </c>
      <c r="N4050" s="2" t="s">
        <v>3446</v>
      </c>
    </row>
    <row r="4051" spans="13:14" x14ac:dyDescent="0.5">
      <c r="M4051" s="2">
        <v>4050</v>
      </c>
      <c r="N4051" s="2" t="s">
        <v>3446</v>
      </c>
    </row>
    <row r="4052" spans="13:14" x14ac:dyDescent="0.5">
      <c r="M4052" s="2">
        <v>4051</v>
      </c>
    </row>
    <row r="4053" spans="13:14" x14ac:dyDescent="0.5">
      <c r="M4053" s="2">
        <v>4052</v>
      </c>
      <c r="N4053" s="2" t="s">
        <v>3446</v>
      </c>
    </row>
    <row r="4054" spans="13:14" x14ac:dyDescent="0.5">
      <c r="M4054" s="2">
        <v>4053</v>
      </c>
      <c r="N4054" s="2" t="s">
        <v>3446</v>
      </c>
    </row>
    <row r="4055" spans="13:14" x14ac:dyDescent="0.5">
      <c r="M4055" s="2">
        <v>4054</v>
      </c>
      <c r="N4055" s="2" t="s">
        <v>3446</v>
      </c>
    </row>
    <row r="4056" spans="13:14" x14ac:dyDescent="0.5">
      <c r="M4056" s="2">
        <v>4055</v>
      </c>
      <c r="N4056" s="2" t="s">
        <v>3446</v>
      </c>
    </row>
    <row r="4057" spans="13:14" x14ac:dyDescent="0.5">
      <c r="M4057" s="2">
        <v>4056</v>
      </c>
      <c r="N4057" s="2" t="s">
        <v>3446</v>
      </c>
    </row>
    <row r="4058" spans="13:14" x14ac:dyDescent="0.5">
      <c r="M4058" s="2">
        <v>4057</v>
      </c>
      <c r="N4058" s="2" t="s">
        <v>3446</v>
      </c>
    </row>
    <row r="4059" spans="13:14" x14ac:dyDescent="0.5">
      <c r="M4059" s="2">
        <v>4058</v>
      </c>
      <c r="N4059" s="2" t="s">
        <v>3446</v>
      </c>
    </row>
    <row r="4060" spans="13:14" x14ac:dyDescent="0.5">
      <c r="M4060" s="2">
        <v>4059</v>
      </c>
      <c r="N4060" s="2" t="s">
        <v>3446</v>
      </c>
    </row>
    <row r="4061" spans="13:14" x14ac:dyDescent="0.5">
      <c r="M4061" s="2">
        <v>4060</v>
      </c>
      <c r="N4061" s="2" t="s">
        <v>3446</v>
      </c>
    </row>
    <row r="4062" spans="13:14" x14ac:dyDescent="0.5">
      <c r="M4062" s="2">
        <v>4061</v>
      </c>
      <c r="N4062" s="2" t="s">
        <v>3446</v>
      </c>
    </row>
    <row r="4063" spans="13:14" x14ac:dyDescent="0.5">
      <c r="M4063" s="2">
        <v>4062</v>
      </c>
      <c r="N4063" s="2" t="s">
        <v>3446</v>
      </c>
    </row>
    <row r="4064" spans="13:14" x14ac:dyDescent="0.5">
      <c r="M4064" s="2">
        <v>4063</v>
      </c>
      <c r="N4064" s="2" t="s">
        <v>3446</v>
      </c>
    </row>
    <row r="4065" spans="13:14" x14ac:dyDescent="0.5">
      <c r="M4065" s="2">
        <v>4064</v>
      </c>
      <c r="N4065" s="2" t="s">
        <v>3446</v>
      </c>
    </row>
    <row r="4066" spans="13:14" x14ac:dyDescent="0.5">
      <c r="M4066" s="2">
        <v>4065</v>
      </c>
      <c r="N4066" s="2" t="s">
        <v>3446</v>
      </c>
    </row>
    <row r="4067" spans="13:14" x14ac:dyDescent="0.5">
      <c r="M4067" s="2">
        <v>4066</v>
      </c>
      <c r="N4067" s="2" t="s">
        <v>3446</v>
      </c>
    </row>
    <row r="4068" spans="13:14" x14ac:dyDescent="0.5">
      <c r="M4068" s="2">
        <v>4067</v>
      </c>
      <c r="N4068" s="2" t="s">
        <v>3446</v>
      </c>
    </row>
    <row r="4069" spans="13:14" x14ac:dyDescent="0.5">
      <c r="M4069" s="2">
        <v>4068</v>
      </c>
      <c r="N4069" s="2" t="s">
        <v>3446</v>
      </c>
    </row>
    <row r="4070" spans="13:14" x14ac:dyDescent="0.5">
      <c r="M4070" s="2">
        <v>4069</v>
      </c>
      <c r="N4070" s="2" t="s">
        <v>3446</v>
      </c>
    </row>
    <row r="4071" spans="13:14" x14ac:dyDescent="0.5">
      <c r="M4071" s="2">
        <v>4070</v>
      </c>
      <c r="N4071" s="2" t="s">
        <v>3446</v>
      </c>
    </row>
    <row r="4072" spans="13:14" x14ac:dyDescent="0.5">
      <c r="M4072" s="2">
        <v>4071</v>
      </c>
      <c r="N4072" s="2" t="s">
        <v>3446</v>
      </c>
    </row>
    <row r="4073" spans="13:14" x14ac:dyDescent="0.5">
      <c r="M4073" s="2">
        <v>4072</v>
      </c>
      <c r="N4073" s="2" t="s">
        <v>3446</v>
      </c>
    </row>
    <row r="4074" spans="13:14" x14ac:dyDescent="0.5">
      <c r="M4074" s="2">
        <v>4073</v>
      </c>
      <c r="N4074" s="2" t="s">
        <v>3446</v>
      </c>
    </row>
    <row r="4075" spans="13:14" x14ac:dyDescent="0.5">
      <c r="M4075" s="2">
        <v>4074</v>
      </c>
      <c r="N4075" s="2" t="s">
        <v>3446</v>
      </c>
    </row>
    <row r="4076" spans="13:14" x14ac:dyDescent="0.5">
      <c r="M4076" s="2">
        <v>4075</v>
      </c>
    </row>
    <row r="4077" spans="13:14" x14ac:dyDescent="0.5">
      <c r="M4077" s="2">
        <v>4076</v>
      </c>
      <c r="N4077" s="2" t="s">
        <v>3446</v>
      </c>
    </row>
    <row r="4078" spans="13:14" x14ac:dyDescent="0.5">
      <c r="M4078" s="2">
        <v>4077</v>
      </c>
      <c r="N4078" s="2" t="s">
        <v>3446</v>
      </c>
    </row>
    <row r="4079" spans="13:14" x14ac:dyDescent="0.5">
      <c r="M4079" s="2">
        <v>4078</v>
      </c>
      <c r="N4079" s="2" t="s">
        <v>3446</v>
      </c>
    </row>
    <row r="4080" spans="13:14" x14ac:dyDescent="0.5">
      <c r="M4080" s="2">
        <v>4079</v>
      </c>
      <c r="N4080" s="2" t="s">
        <v>3446</v>
      </c>
    </row>
    <row r="4081" spans="13:14" x14ac:dyDescent="0.5">
      <c r="M4081" s="2">
        <v>4080</v>
      </c>
      <c r="N4081" s="2" t="s">
        <v>3446</v>
      </c>
    </row>
    <row r="4082" spans="13:14" x14ac:dyDescent="0.5">
      <c r="M4082" s="2">
        <v>4081</v>
      </c>
    </row>
    <row r="4083" spans="13:14" x14ac:dyDescent="0.5">
      <c r="M4083" s="2">
        <v>4082</v>
      </c>
      <c r="N4083" s="2" t="s">
        <v>3446</v>
      </c>
    </row>
    <row r="4084" spans="13:14" x14ac:dyDescent="0.5">
      <c r="M4084" s="2">
        <v>4083</v>
      </c>
      <c r="N4084" s="2" t="s">
        <v>3446</v>
      </c>
    </row>
    <row r="4085" spans="13:14" x14ac:dyDescent="0.5">
      <c r="M4085" s="2">
        <v>4084</v>
      </c>
      <c r="N4085" s="2" t="s">
        <v>3446</v>
      </c>
    </row>
    <row r="4086" spans="13:14" x14ac:dyDescent="0.5">
      <c r="M4086" s="2">
        <v>4085</v>
      </c>
      <c r="N4086" s="2" t="s">
        <v>3446</v>
      </c>
    </row>
    <row r="4087" spans="13:14" x14ac:dyDescent="0.5">
      <c r="M4087" s="2">
        <v>4086</v>
      </c>
      <c r="N4087" s="2" t="s">
        <v>3446</v>
      </c>
    </row>
    <row r="4088" spans="13:14" x14ac:dyDescent="0.5">
      <c r="M4088" s="2">
        <v>4087</v>
      </c>
      <c r="N4088" s="2" t="s">
        <v>3446</v>
      </c>
    </row>
    <row r="4089" spans="13:14" x14ac:dyDescent="0.5">
      <c r="M4089" s="2">
        <v>4088</v>
      </c>
      <c r="N4089" s="2" t="s">
        <v>3446</v>
      </c>
    </row>
    <row r="4090" spans="13:14" x14ac:dyDescent="0.5">
      <c r="M4090" s="2">
        <v>4089</v>
      </c>
      <c r="N4090" s="2" t="s">
        <v>3446</v>
      </c>
    </row>
    <row r="4091" spans="13:14" x14ac:dyDescent="0.5">
      <c r="M4091" s="2">
        <v>4090</v>
      </c>
      <c r="N4091" s="2" t="s">
        <v>3446</v>
      </c>
    </row>
    <row r="4092" spans="13:14" x14ac:dyDescent="0.5">
      <c r="M4092" s="2">
        <v>4091</v>
      </c>
      <c r="N4092" s="2" t="s">
        <v>3446</v>
      </c>
    </row>
    <row r="4093" spans="13:14" x14ac:dyDescent="0.5">
      <c r="M4093" s="2">
        <v>4092</v>
      </c>
      <c r="N4093" s="2" t="s">
        <v>3446</v>
      </c>
    </row>
    <row r="4094" spans="13:14" x14ac:dyDescent="0.5">
      <c r="M4094" s="2">
        <v>4093</v>
      </c>
      <c r="N4094" s="2" t="s">
        <v>3446</v>
      </c>
    </row>
    <row r="4095" spans="13:14" x14ac:dyDescent="0.5">
      <c r="M4095" s="2">
        <v>4094</v>
      </c>
      <c r="N4095" s="2" t="s">
        <v>3446</v>
      </c>
    </row>
    <row r="4096" spans="13:14" x14ac:dyDescent="0.5">
      <c r="M4096" s="2">
        <v>4095</v>
      </c>
      <c r="N4096" s="2" t="s">
        <v>3446</v>
      </c>
    </row>
    <row r="4097" spans="13:14" x14ac:dyDescent="0.5">
      <c r="M4097" s="2">
        <v>4096</v>
      </c>
      <c r="N4097" s="2" t="s">
        <v>3446</v>
      </c>
    </row>
    <row r="4098" spans="13:14" x14ac:dyDescent="0.5">
      <c r="M4098" s="2">
        <v>4097</v>
      </c>
      <c r="N4098" s="2" t="s">
        <v>3446</v>
      </c>
    </row>
    <row r="4099" spans="13:14" x14ac:dyDescent="0.5">
      <c r="M4099" s="2">
        <v>4098</v>
      </c>
      <c r="N4099" s="2" t="s">
        <v>3446</v>
      </c>
    </row>
    <row r="4100" spans="13:14" x14ac:dyDescent="0.5">
      <c r="M4100" s="2">
        <v>4099</v>
      </c>
      <c r="N4100" s="2" t="s">
        <v>3446</v>
      </c>
    </row>
    <row r="4101" spans="13:14" x14ac:dyDescent="0.5">
      <c r="M4101" s="2">
        <v>4100</v>
      </c>
      <c r="N4101" s="2" t="s">
        <v>3446</v>
      </c>
    </row>
    <row r="4102" spans="13:14" x14ac:dyDescent="0.5">
      <c r="M4102" s="2">
        <v>4101</v>
      </c>
      <c r="N4102" s="2" t="s">
        <v>3446</v>
      </c>
    </row>
    <row r="4103" spans="13:14" x14ac:dyDescent="0.5">
      <c r="M4103" s="2">
        <v>4102</v>
      </c>
      <c r="N4103" s="2" t="s">
        <v>3446</v>
      </c>
    </row>
    <row r="4104" spans="13:14" x14ac:dyDescent="0.5">
      <c r="M4104" s="2">
        <v>4103</v>
      </c>
    </row>
    <row r="4105" spans="13:14" x14ac:dyDescent="0.5">
      <c r="M4105" s="2">
        <v>4104</v>
      </c>
    </row>
    <row r="4106" spans="13:14" x14ac:dyDescent="0.5">
      <c r="M4106" s="2">
        <v>4105</v>
      </c>
    </row>
    <row r="4107" spans="13:14" x14ac:dyDescent="0.5">
      <c r="M4107" s="2">
        <v>4106</v>
      </c>
    </row>
    <row r="4108" spans="13:14" x14ac:dyDescent="0.5">
      <c r="M4108" s="2">
        <v>4107</v>
      </c>
    </row>
    <row r="4109" spans="13:14" x14ac:dyDescent="0.5">
      <c r="M4109" s="2">
        <v>4108</v>
      </c>
    </row>
    <row r="4110" spans="13:14" x14ac:dyDescent="0.5">
      <c r="M4110" s="2">
        <v>4109</v>
      </c>
    </row>
    <row r="4111" spans="13:14" x14ac:dyDescent="0.5">
      <c r="M4111" s="2">
        <v>4110</v>
      </c>
    </row>
    <row r="4112" spans="13:14" x14ac:dyDescent="0.5">
      <c r="M4112" s="2">
        <v>4111</v>
      </c>
      <c r="N4112" s="2" t="s">
        <v>3446</v>
      </c>
    </row>
    <row r="4113" spans="13:14" x14ac:dyDescent="0.5">
      <c r="M4113" s="2">
        <v>4112</v>
      </c>
    </row>
    <row r="4114" spans="13:14" x14ac:dyDescent="0.5">
      <c r="M4114" s="2">
        <v>4113</v>
      </c>
    </row>
    <row r="4115" spans="13:14" x14ac:dyDescent="0.5">
      <c r="M4115" s="2">
        <v>4114</v>
      </c>
    </row>
    <row r="4116" spans="13:14" x14ac:dyDescent="0.5">
      <c r="M4116" s="2">
        <v>4115</v>
      </c>
    </row>
    <row r="4117" spans="13:14" x14ac:dyDescent="0.5">
      <c r="M4117" s="2">
        <v>4116</v>
      </c>
      <c r="N4117" s="2" t="s">
        <v>3446</v>
      </c>
    </row>
    <row r="4118" spans="13:14" x14ac:dyDescent="0.5">
      <c r="M4118" s="2">
        <v>4117</v>
      </c>
    </row>
    <row r="4119" spans="13:14" x14ac:dyDescent="0.5">
      <c r="M4119" s="2">
        <v>4118</v>
      </c>
    </row>
    <row r="4120" spans="13:14" x14ac:dyDescent="0.5">
      <c r="M4120" s="2">
        <v>4119</v>
      </c>
      <c r="N4120" s="2" t="s">
        <v>3446</v>
      </c>
    </row>
    <row r="4121" spans="13:14" x14ac:dyDescent="0.5">
      <c r="M4121" s="2">
        <v>4120</v>
      </c>
      <c r="N4121" s="2" t="s">
        <v>3446</v>
      </c>
    </row>
    <row r="4122" spans="13:14" x14ac:dyDescent="0.5">
      <c r="M4122" s="2">
        <v>4121</v>
      </c>
      <c r="N4122" s="2" t="s">
        <v>3446</v>
      </c>
    </row>
    <row r="4123" spans="13:14" x14ac:dyDescent="0.5">
      <c r="M4123" s="2">
        <v>4122</v>
      </c>
      <c r="N4123" s="2" t="s">
        <v>3446</v>
      </c>
    </row>
    <row r="4124" spans="13:14" x14ac:dyDescent="0.5">
      <c r="M4124" s="2">
        <v>4123</v>
      </c>
      <c r="N4124" s="2" t="s">
        <v>3446</v>
      </c>
    </row>
    <row r="4125" spans="13:14" x14ac:dyDescent="0.5">
      <c r="M4125" s="2">
        <v>4124</v>
      </c>
      <c r="N4125" s="2" t="s">
        <v>3446</v>
      </c>
    </row>
    <row r="4126" spans="13:14" x14ac:dyDescent="0.5">
      <c r="M4126" s="2">
        <v>4125</v>
      </c>
      <c r="N4126" s="2" t="s">
        <v>3446</v>
      </c>
    </row>
    <row r="4127" spans="13:14" x14ac:dyDescent="0.5">
      <c r="M4127" s="2">
        <v>4126</v>
      </c>
    </row>
    <row r="4128" spans="13:14" x14ac:dyDescent="0.5">
      <c r="M4128" s="2">
        <v>4127</v>
      </c>
      <c r="N4128" s="2" t="s">
        <v>3446</v>
      </c>
    </row>
    <row r="4129" spans="13:14" x14ac:dyDescent="0.5">
      <c r="M4129" s="2">
        <v>4128</v>
      </c>
      <c r="N4129" s="2" t="s">
        <v>3446</v>
      </c>
    </row>
    <row r="4130" spans="13:14" x14ac:dyDescent="0.5">
      <c r="M4130" s="2">
        <v>4129</v>
      </c>
    </row>
    <row r="4131" spans="13:14" x14ac:dyDescent="0.5">
      <c r="M4131" s="2">
        <v>4130</v>
      </c>
    </row>
    <row r="4132" spans="13:14" x14ac:dyDescent="0.5">
      <c r="M4132" s="2">
        <v>4131</v>
      </c>
      <c r="N4132" s="2" t="s">
        <v>3446</v>
      </c>
    </row>
    <row r="4133" spans="13:14" x14ac:dyDescent="0.5">
      <c r="M4133" s="2">
        <v>4132</v>
      </c>
    </row>
    <row r="4134" spans="13:14" x14ac:dyDescent="0.5">
      <c r="M4134" s="2">
        <v>4133</v>
      </c>
      <c r="N4134" s="2" t="s">
        <v>3446</v>
      </c>
    </row>
    <row r="4135" spans="13:14" x14ac:dyDescent="0.5">
      <c r="M4135" s="2">
        <v>4134</v>
      </c>
      <c r="N4135" s="2" t="s">
        <v>3446</v>
      </c>
    </row>
    <row r="4136" spans="13:14" x14ac:dyDescent="0.5">
      <c r="M4136" s="2">
        <v>4135</v>
      </c>
      <c r="N4136" s="2" t="s">
        <v>3446</v>
      </c>
    </row>
    <row r="4137" spans="13:14" x14ac:dyDescent="0.5">
      <c r="M4137" s="2">
        <v>4136</v>
      </c>
      <c r="N4137" s="2" t="s">
        <v>3446</v>
      </c>
    </row>
    <row r="4138" spans="13:14" x14ac:dyDescent="0.5">
      <c r="M4138" s="2">
        <v>4137</v>
      </c>
      <c r="N4138" s="2" t="s">
        <v>3446</v>
      </c>
    </row>
    <row r="4139" spans="13:14" x14ac:dyDescent="0.5">
      <c r="M4139" s="2">
        <v>4138</v>
      </c>
      <c r="N4139" s="2" t="s">
        <v>3446</v>
      </c>
    </row>
    <row r="4140" spans="13:14" x14ac:dyDescent="0.5">
      <c r="M4140" s="2">
        <v>4139</v>
      </c>
    </row>
    <row r="4141" spans="13:14" x14ac:dyDescent="0.5">
      <c r="M4141" s="2">
        <v>4140</v>
      </c>
      <c r="N4141" s="2" t="s">
        <v>3446</v>
      </c>
    </row>
    <row r="4142" spans="13:14" x14ac:dyDescent="0.5">
      <c r="M4142" s="2">
        <v>4141</v>
      </c>
      <c r="N4142" s="2" t="s">
        <v>3446</v>
      </c>
    </row>
    <row r="4143" spans="13:14" x14ac:dyDescent="0.5">
      <c r="M4143" s="2">
        <v>4142</v>
      </c>
      <c r="N4143" s="2" t="s">
        <v>3446</v>
      </c>
    </row>
    <row r="4144" spans="13:14" x14ac:dyDescent="0.5">
      <c r="M4144" s="2">
        <v>4143</v>
      </c>
      <c r="N4144" s="2" t="s">
        <v>3446</v>
      </c>
    </row>
    <row r="4145" spans="13:14" x14ac:dyDescent="0.5">
      <c r="M4145" s="2">
        <v>4144</v>
      </c>
      <c r="N4145" s="2" t="s">
        <v>3446</v>
      </c>
    </row>
    <row r="4146" spans="13:14" x14ac:dyDescent="0.5">
      <c r="M4146" s="2">
        <v>4145</v>
      </c>
    </row>
    <row r="4147" spans="13:14" x14ac:dyDescent="0.5">
      <c r="M4147" s="2">
        <v>4146</v>
      </c>
      <c r="N4147" s="2" t="s">
        <v>3446</v>
      </c>
    </row>
    <row r="4148" spans="13:14" x14ac:dyDescent="0.5">
      <c r="M4148" s="2">
        <v>4147</v>
      </c>
      <c r="N4148" s="2" t="s">
        <v>3446</v>
      </c>
    </row>
    <row r="4149" spans="13:14" x14ac:dyDescent="0.5">
      <c r="M4149" s="2">
        <v>4148</v>
      </c>
    </row>
    <row r="4150" spans="13:14" x14ac:dyDescent="0.5">
      <c r="M4150" s="2">
        <v>4149</v>
      </c>
    </row>
    <row r="4151" spans="13:14" x14ac:dyDescent="0.5">
      <c r="M4151" s="2">
        <v>4150</v>
      </c>
      <c r="N4151" s="2" t="s">
        <v>3446</v>
      </c>
    </row>
    <row r="4152" spans="13:14" x14ac:dyDescent="0.5">
      <c r="M4152" s="2">
        <v>4151</v>
      </c>
    </row>
    <row r="4153" spans="13:14" x14ac:dyDescent="0.5">
      <c r="M4153" s="2">
        <v>4152</v>
      </c>
      <c r="N4153" s="2" t="s">
        <v>3446</v>
      </c>
    </row>
    <row r="4154" spans="13:14" x14ac:dyDescent="0.5">
      <c r="M4154" s="2">
        <v>4153</v>
      </c>
    </row>
    <row r="4155" spans="13:14" x14ac:dyDescent="0.5">
      <c r="M4155" s="2">
        <v>4154</v>
      </c>
      <c r="N4155" s="2" t="s">
        <v>3446</v>
      </c>
    </row>
    <row r="4156" spans="13:14" x14ac:dyDescent="0.5">
      <c r="M4156" s="2">
        <v>4155</v>
      </c>
      <c r="N4156" s="2" t="s">
        <v>3446</v>
      </c>
    </row>
    <row r="4157" spans="13:14" x14ac:dyDescent="0.5">
      <c r="M4157" s="2">
        <v>4156</v>
      </c>
    </row>
    <row r="4158" spans="13:14" x14ac:dyDescent="0.5">
      <c r="M4158" s="2">
        <v>4157</v>
      </c>
      <c r="N4158" s="2" t="s">
        <v>3446</v>
      </c>
    </row>
    <row r="4159" spans="13:14" x14ac:dyDescent="0.5">
      <c r="M4159" s="2">
        <v>4158</v>
      </c>
      <c r="N4159" s="2" t="s">
        <v>3446</v>
      </c>
    </row>
    <row r="4160" spans="13:14" x14ac:dyDescent="0.5">
      <c r="M4160" s="2">
        <v>4159</v>
      </c>
      <c r="N4160" s="2" t="s">
        <v>3446</v>
      </c>
    </row>
    <row r="4161" spans="13:14" x14ac:dyDescent="0.5">
      <c r="M4161" s="2">
        <v>4160</v>
      </c>
      <c r="N4161" s="2" t="s">
        <v>3446</v>
      </c>
    </row>
    <row r="4162" spans="13:14" x14ac:dyDescent="0.5">
      <c r="M4162" s="2">
        <v>4161</v>
      </c>
      <c r="N4162" s="2" t="s">
        <v>3446</v>
      </c>
    </row>
    <row r="4163" spans="13:14" x14ac:dyDescent="0.5">
      <c r="M4163" s="2">
        <v>4162</v>
      </c>
      <c r="N4163" s="2" t="s">
        <v>3446</v>
      </c>
    </row>
    <row r="4164" spans="13:14" x14ac:dyDescent="0.5">
      <c r="M4164" s="2">
        <v>4163</v>
      </c>
      <c r="N4164" s="2" t="s">
        <v>3446</v>
      </c>
    </row>
    <row r="4165" spans="13:14" x14ac:dyDescent="0.5">
      <c r="M4165" s="2">
        <v>4164</v>
      </c>
      <c r="N4165" s="2" t="s">
        <v>3446</v>
      </c>
    </row>
    <row r="4166" spans="13:14" x14ac:dyDescent="0.5">
      <c r="M4166" s="2">
        <v>4165</v>
      </c>
      <c r="N4166" s="2" t="s">
        <v>3446</v>
      </c>
    </row>
    <row r="4167" spans="13:14" x14ac:dyDescent="0.5">
      <c r="M4167" s="2">
        <v>4166</v>
      </c>
      <c r="N4167" s="2" t="s">
        <v>3446</v>
      </c>
    </row>
    <row r="4168" spans="13:14" x14ac:dyDescent="0.5">
      <c r="M4168" s="2">
        <v>4167</v>
      </c>
      <c r="N4168" s="2" t="s">
        <v>3446</v>
      </c>
    </row>
    <row r="4169" spans="13:14" x14ac:dyDescent="0.5">
      <c r="M4169" s="2">
        <v>4168</v>
      </c>
      <c r="N4169" s="2" t="s">
        <v>3446</v>
      </c>
    </row>
    <row r="4170" spans="13:14" x14ac:dyDescent="0.5">
      <c r="M4170" s="2">
        <v>4169</v>
      </c>
    </row>
    <row r="4171" spans="13:14" x14ac:dyDescent="0.5">
      <c r="M4171" s="2">
        <v>4170</v>
      </c>
      <c r="N4171" s="2" t="s">
        <v>3446</v>
      </c>
    </row>
    <row r="4172" spans="13:14" x14ac:dyDescent="0.5">
      <c r="M4172" s="2">
        <v>4171</v>
      </c>
      <c r="N4172" s="2" t="s">
        <v>3446</v>
      </c>
    </row>
    <row r="4173" spans="13:14" x14ac:dyDescent="0.5">
      <c r="M4173" s="2">
        <v>4172</v>
      </c>
      <c r="N4173" s="2" t="s">
        <v>3446</v>
      </c>
    </row>
    <row r="4174" spans="13:14" x14ac:dyDescent="0.5">
      <c r="M4174" s="2">
        <v>4173</v>
      </c>
      <c r="N4174" s="2" t="s">
        <v>3446</v>
      </c>
    </row>
    <row r="4175" spans="13:14" x14ac:dyDescent="0.5">
      <c r="M4175" s="2">
        <v>4174</v>
      </c>
      <c r="N4175" s="2" t="s">
        <v>3446</v>
      </c>
    </row>
    <row r="4176" spans="13:14" x14ac:dyDescent="0.5">
      <c r="M4176" s="2">
        <v>4175</v>
      </c>
      <c r="N4176" s="2" t="s">
        <v>3446</v>
      </c>
    </row>
    <row r="4177" spans="13:14" x14ac:dyDescent="0.5">
      <c r="M4177" s="2">
        <v>4176</v>
      </c>
    </row>
    <row r="4178" spans="13:14" x14ac:dyDescent="0.5">
      <c r="M4178" s="2">
        <v>4177</v>
      </c>
      <c r="N4178" s="2" t="s">
        <v>3446</v>
      </c>
    </row>
    <row r="4179" spans="13:14" x14ac:dyDescent="0.5">
      <c r="M4179" s="2">
        <v>4178</v>
      </c>
      <c r="N4179" s="2" t="s">
        <v>3446</v>
      </c>
    </row>
    <row r="4180" spans="13:14" x14ac:dyDescent="0.5">
      <c r="M4180" s="2">
        <v>4179</v>
      </c>
      <c r="N4180" s="2" t="s">
        <v>3446</v>
      </c>
    </row>
    <row r="4181" spans="13:14" x14ac:dyDescent="0.5">
      <c r="M4181" s="2">
        <v>4180</v>
      </c>
      <c r="N4181" s="2" t="s">
        <v>3446</v>
      </c>
    </row>
    <row r="4182" spans="13:14" x14ac:dyDescent="0.5">
      <c r="M4182" s="2">
        <v>4181</v>
      </c>
      <c r="N4182" s="2" t="s">
        <v>3446</v>
      </c>
    </row>
    <row r="4183" spans="13:14" x14ac:dyDescent="0.5">
      <c r="M4183" s="2">
        <v>4182</v>
      </c>
      <c r="N4183" s="2" t="s">
        <v>3446</v>
      </c>
    </row>
    <row r="4184" spans="13:14" x14ac:dyDescent="0.5">
      <c r="M4184" s="2">
        <v>4183</v>
      </c>
      <c r="N4184" s="2" t="s">
        <v>3446</v>
      </c>
    </row>
    <row r="4185" spans="13:14" x14ac:dyDescent="0.5">
      <c r="M4185" s="2">
        <v>4184</v>
      </c>
      <c r="N4185" s="2" t="s">
        <v>3446</v>
      </c>
    </row>
    <row r="4186" spans="13:14" x14ac:dyDescent="0.5">
      <c r="M4186" s="2">
        <v>4185</v>
      </c>
      <c r="N4186" s="2" t="s">
        <v>3446</v>
      </c>
    </row>
    <row r="4187" spans="13:14" x14ac:dyDescent="0.5">
      <c r="M4187" s="2">
        <v>4186</v>
      </c>
      <c r="N4187" s="2" t="s">
        <v>3446</v>
      </c>
    </row>
    <row r="4188" spans="13:14" x14ac:dyDescent="0.5">
      <c r="M4188" s="2">
        <v>4187</v>
      </c>
      <c r="N4188" s="2" t="s">
        <v>3446</v>
      </c>
    </row>
    <row r="4189" spans="13:14" x14ac:dyDescent="0.5">
      <c r="M4189" s="2">
        <v>4188</v>
      </c>
      <c r="N4189" s="2" t="s">
        <v>3446</v>
      </c>
    </row>
    <row r="4190" spans="13:14" x14ac:dyDescent="0.5">
      <c r="M4190" s="2">
        <v>4189</v>
      </c>
    </row>
    <row r="4191" spans="13:14" x14ac:dyDescent="0.5">
      <c r="M4191" s="2">
        <v>4190</v>
      </c>
    </row>
    <row r="4192" spans="13:14" x14ac:dyDescent="0.5">
      <c r="M4192" s="2">
        <v>4191</v>
      </c>
      <c r="N4192" s="2" t="s">
        <v>3446</v>
      </c>
    </row>
    <row r="4193" spans="13:14" x14ac:dyDescent="0.5">
      <c r="M4193" s="2">
        <v>4192</v>
      </c>
      <c r="N4193" s="2" t="s">
        <v>3446</v>
      </c>
    </row>
    <row r="4194" spans="13:14" x14ac:dyDescent="0.5">
      <c r="M4194" s="2">
        <v>4193</v>
      </c>
      <c r="N4194" s="2" t="s">
        <v>3446</v>
      </c>
    </row>
    <row r="4195" spans="13:14" x14ac:dyDescent="0.5">
      <c r="M4195" s="2">
        <v>4194</v>
      </c>
      <c r="N4195" s="2" t="s">
        <v>3446</v>
      </c>
    </row>
    <row r="4196" spans="13:14" x14ac:dyDescent="0.5">
      <c r="M4196" s="2">
        <v>4195</v>
      </c>
      <c r="N4196" s="2" t="s">
        <v>3446</v>
      </c>
    </row>
    <row r="4197" spans="13:14" x14ac:dyDescent="0.5">
      <c r="M4197" s="2">
        <v>4196</v>
      </c>
    </row>
    <row r="4198" spans="13:14" x14ac:dyDescent="0.5">
      <c r="M4198" s="2">
        <v>4197</v>
      </c>
    </row>
    <row r="4199" spans="13:14" x14ac:dyDescent="0.5">
      <c r="M4199" s="2">
        <v>4198</v>
      </c>
    </row>
    <row r="4200" spans="13:14" x14ac:dyDescent="0.5">
      <c r="M4200" s="2">
        <v>4199</v>
      </c>
      <c r="N4200" s="2" t="s">
        <v>3446</v>
      </c>
    </row>
    <row r="4201" spans="13:14" x14ac:dyDescent="0.5">
      <c r="M4201" s="2">
        <v>4200</v>
      </c>
      <c r="N4201" s="2" t="s">
        <v>3446</v>
      </c>
    </row>
    <row r="4202" spans="13:14" x14ac:dyDescent="0.5">
      <c r="M4202" s="2">
        <v>4201</v>
      </c>
      <c r="N4202" s="2" t="s">
        <v>3446</v>
      </c>
    </row>
    <row r="4203" spans="13:14" x14ac:dyDescent="0.5">
      <c r="M4203" s="2">
        <v>4202</v>
      </c>
    </row>
    <row r="4204" spans="13:14" x14ac:dyDescent="0.5">
      <c r="M4204" s="2">
        <v>4203</v>
      </c>
    </row>
    <row r="4205" spans="13:14" x14ac:dyDescent="0.5">
      <c r="M4205" s="2">
        <v>4204</v>
      </c>
    </row>
    <row r="4206" spans="13:14" x14ac:dyDescent="0.5">
      <c r="M4206" s="2">
        <v>4205</v>
      </c>
      <c r="N4206" s="2" t="s">
        <v>3446</v>
      </c>
    </row>
    <row r="4207" spans="13:14" x14ac:dyDescent="0.5">
      <c r="M4207" s="2">
        <v>4206</v>
      </c>
      <c r="N4207" s="2" t="s">
        <v>3446</v>
      </c>
    </row>
    <row r="4208" spans="13:14" x14ac:dyDescent="0.5">
      <c r="M4208" s="2">
        <v>4207</v>
      </c>
    </row>
    <row r="4209" spans="13:14" x14ac:dyDescent="0.5">
      <c r="M4209" s="2">
        <v>4208</v>
      </c>
      <c r="N4209" s="2" t="s">
        <v>3446</v>
      </c>
    </row>
    <row r="4210" spans="13:14" x14ac:dyDescent="0.5">
      <c r="M4210" s="2">
        <v>4209</v>
      </c>
      <c r="N4210" s="2" t="s">
        <v>3446</v>
      </c>
    </row>
    <row r="4211" spans="13:14" x14ac:dyDescent="0.5">
      <c r="M4211" s="2">
        <v>4210</v>
      </c>
    </row>
    <row r="4212" spans="13:14" x14ac:dyDescent="0.5">
      <c r="M4212" s="2">
        <v>4211</v>
      </c>
      <c r="N4212" s="2" t="s">
        <v>3446</v>
      </c>
    </row>
    <row r="4213" spans="13:14" x14ac:dyDescent="0.5">
      <c r="M4213" s="2">
        <v>4212</v>
      </c>
      <c r="N4213" s="2" t="s">
        <v>3446</v>
      </c>
    </row>
    <row r="4214" spans="13:14" x14ac:dyDescent="0.5">
      <c r="M4214" s="2">
        <v>4213</v>
      </c>
    </row>
    <row r="4215" spans="13:14" x14ac:dyDescent="0.5">
      <c r="M4215" s="2">
        <v>4214</v>
      </c>
    </row>
    <row r="4216" spans="13:14" x14ac:dyDescent="0.5">
      <c r="M4216" s="2">
        <v>4215</v>
      </c>
    </row>
    <row r="4217" spans="13:14" x14ac:dyDescent="0.5">
      <c r="M4217" s="2">
        <v>4216</v>
      </c>
    </row>
    <row r="4218" spans="13:14" x14ac:dyDescent="0.5">
      <c r="M4218" s="2">
        <v>4217</v>
      </c>
    </row>
    <row r="4219" spans="13:14" x14ac:dyDescent="0.5">
      <c r="M4219" s="2">
        <v>4218</v>
      </c>
    </row>
    <row r="4220" spans="13:14" x14ac:dyDescent="0.5">
      <c r="M4220" s="2">
        <v>4219</v>
      </c>
      <c r="N4220" s="2" t="s">
        <v>3446</v>
      </c>
    </row>
    <row r="4221" spans="13:14" x14ac:dyDescent="0.5">
      <c r="M4221" s="2">
        <v>4220</v>
      </c>
    </row>
    <row r="4222" spans="13:14" x14ac:dyDescent="0.5">
      <c r="M4222" s="2">
        <v>4221</v>
      </c>
    </row>
    <row r="4223" spans="13:14" x14ac:dyDescent="0.5">
      <c r="M4223" s="2">
        <v>4222</v>
      </c>
      <c r="N4223" s="2" t="s">
        <v>3446</v>
      </c>
    </row>
    <row r="4224" spans="13:14" x14ac:dyDescent="0.5">
      <c r="M4224" s="2">
        <v>4223</v>
      </c>
      <c r="N4224" s="2" t="s">
        <v>3446</v>
      </c>
    </row>
    <row r="4225" spans="13:14" x14ac:dyDescent="0.5">
      <c r="M4225" s="2">
        <v>4224</v>
      </c>
      <c r="N4225" s="2" t="s">
        <v>3446</v>
      </c>
    </row>
    <row r="4226" spans="13:14" x14ac:dyDescent="0.5">
      <c r="M4226" s="2">
        <v>4225</v>
      </c>
      <c r="N4226" s="2" t="s">
        <v>3446</v>
      </c>
    </row>
    <row r="4227" spans="13:14" x14ac:dyDescent="0.5">
      <c r="M4227" s="2">
        <v>4226</v>
      </c>
    </row>
    <row r="4228" spans="13:14" x14ac:dyDescent="0.5">
      <c r="M4228" s="2">
        <v>4227</v>
      </c>
      <c r="N4228" s="2" t="s">
        <v>3446</v>
      </c>
    </row>
    <row r="4229" spans="13:14" x14ac:dyDescent="0.5">
      <c r="M4229" s="2">
        <v>4228</v>
      </c>
      <c r="N4229" s="2" t="s">
        <v>3446</v>
      </c>
    </row>
    <row r="4230" spans="13:14" x14ac:dyDescent="0.5">
      <c r="M4230" s="2">
        <v>4229</v>
      </c>
      <c r="N4230" s="2" t="s">
        <v>3446</v>
      </c>
    </row>
    <row r="4231" spans="13:14" x14ac:dyDescent="0.5">
      <c r="M4231" s="2">
        <v>4230</v>
      </c>
      <c r="N4231" s="2" t="s">
        <v>3446</v>
      </c>
    </row>
    <row r="4232" spans="13:14" x14ac:dyDescent="0.5">
      <c r="M4232" s="2">
        <v>4231</v>
      </c>
      <c r="N4232" s="2" t="s">
        <v>3446</v>
      </c>
    </row>
    <row r="4233" spans="13:14" x14ac:dyDescent="0.5">
      <c r="M4233" s="2">
        <v>4232</v>
      </c>
      <c r="N4233" s="2" t="s">
        <v>3446</v>
      </c>
    </row>
    <row r="4234" spans="13:14" x14ac:dyDescent="0.5">
      <c r="M4234" s="2">
        <v>4233</v>
      </c>
      <c r="N4234" s="2" t="s">
        <v>3446</v>
      </c>
    </row>
    <row r="4235" spans="13:14" x14ac:dyDescent="0.5">
      <c r="M4235" s="2">
        <v>4234</v>
      </c>
      <c r="N4235" s="2" t="s">
        <v>3446</v>
      </c>
    </row>
    <row r="4236" spans="13:14" x14ac:dyDescent="0.5">
      <c r="M4236" s="2">
        <v>4235</v>
      </c>
      <c r="N4236" s="2" t="s">
        <v>3446</v>
      </c>
    </row>
    <row r="4237" spans="13:14" x14ac:dyDescent="0.5">
      <c r="M4237" s="2">
        <v>4236</v>
      </c>
      <c r="N4237" s="2" t="s">
        <v>3446</v>
      </c>
    </row>
    <row r="4238" spans="13:14" x14ac:dyDescent="0.5">
      <c r="M4238" s="2">
        <v>4237</v>
      </c>
      <c r="N4238" s="2" t="s">
        <v>3446</v>
      </c>
    </row>
    <row r="4239" spans="13:14" x14ac:dyDescent="0.5">
      <c r="M4239" s="2">
        <v>4238</v>
      </c>
      <c r="N4239" s="2" t="s">
        <v>3446</v>
      </c>
    </row>
    <row r="4240" spans="13:14" x14ac:dyDescent="0.5">
      <c r="M4240" s="2">
        <v>4239</v>
      </c>
      <c r="N4240" s="2" t="s">
        <v>3446</v>
      </c>
    </row>
    <row r="4241" spans="13:14" x14ac:dyDescent="0.5">
      <c r="M4241" s="2">
        <v>4240</v>
      </c>
      <c r="N4241" s="2" t="s">
        <v>3446</v>
      </c>
    </row>
    <row r="4242" spans="13:14" x14ac:dyDescent="0.5">
      <c r="M4242" s="2">
        <v>4241</v>
      </c>
      <c r="N4242" s="2" t="s">
        <v>3446</v>
      </c>
    </row>
    <row r="4243" spans="13:14" x14ac:dyDescent="0.5">
      <c r="M4243" s="2">
        <v>4242</v>
      </c>
      <c r="N4243" s="2" t="s">
        <v>3446</v>
      </c>
    </row>
    <row r="4244" spans="13:14" x14ac:dyDescent="0.5">
      <c r="M4244" s="2">
        <v>4243</v>
      </c>
      <c r="N4244" s="2" t="s">
        <v>3446</v>
      </c>
    </row>
    <row r="4245" spans="13:14" x14ac:dyDescent="0.5">
      <c r="M4245" s="2">
        <v>4244</v>
      </c>
      <c r="N4245" s="2" t="s">
        <v>3446</v>
      </c>
    </row>
    <row r="4246" spans="13:14" x14ac:dyDescent="0.5">
      <c r="M4246" s="2">
        <v>4245</v>
      </c>
      <c r="N4246" s="2" t="s">
        <v>3446</v>
      </c>
    </row>
    <row r="4247" spans="13:14" x14ac:dyDescent="0.5">
      <c r="M4247" s="2">
        <v>4246</v>
      </c>
      <c r="N4247" s="2" t="s">
        <v>3446</v>
      </c>
    </row>
    <row r="4248" spans="13:14" x14ac:dyDescent="0.5">
      <c r="M4248" s="2">
        <v>4247</v>
      </c>
      <c r="N4248" s="2" t="s">
        <v>3446</v>
      </c>
    </row>
    <row r="4249" spans="13:14" x14ac:dyDescent="0.5">
      <c r="M4249" s="2">
        <v>4248</v>
      </c>
      <c r="N4249" s="2" t="s">
        <v>3446</v>
      </c>
    </row>
    <row r="4250" spans="13:14" x14ac:dyDescent="0.5">
      <c r="M4250" s="2">
        <v>4249</v>
      </c>
      <c r="N4250" s="2" t="s">
        <v>3446</v>
      </c>
    </row>
    <row r="4251" spans="13:14" x14ac:dyDescent="0.5">
      <c r="M4251" s="2">
        <v>4250</v>
      </c>
      <c r="N4251" s="2" t="s">
        <v>3446</v>
      </c>
    </row>
    <row r="4252" spans="13:14" x14ac:dyDescent="0.5">
      <c r="M4252" s="2">
        <v>4251</v>
      </c>
      <c r="N4252" s="2" t="s">
        <v>3446</v>
      </c>
    </row>
    <row r="4253" spans="13:14" x14ac:dyDescent="0.5">
      <c r="M4253" s="2">
        <v>4252</v>
      </c>
      <c r="N4253" s="2" t="s">
        <v>3446</v>
      </c>
    </row>
    <row r="4254" spans="13:14" x14ac:dyDescent="0.5">
      <c r="M4254" s="2">
        <v>4253</v>
      </c>
      <c r="N4254" s="2" t="s">
        <v>3446</v>
      </c>
    </row>
    <row r="4255" spans="13:14" x14ac:dyDescent="0.5">
      <c r="M4255" s="2">
        <v>4254</v>
      </c>
      <c r="N4255" s="2" t="s">
        <v>3446</v>
      </c>
    </row>
    <row r="4256" spans="13:14" x14ac:dyDescent="0.5">
      <c r="M4256" s="2">
        <v>4255</v>
      </c>
      <c r="N4256" s="2" t="s">
        <v>3446</v>
      </c>
    </row>
    <row r="4257" spans="13:14" x14ac:dyDescent="0.5">
      <c r="M4257" s="2">
        <v>4256</v>
      </c>
      <c r="N4257" s="2" t="s">
        <v>3446</v>
      </c>
    </row>
    <row r="4258" spans="13:14" x14ac:dyDescent="0.5">
      <c r="M4258" s="2">
        <v>4257</v>
      </c>
      <c r="N4258" s="2" t="s">
        <v>3446</v>
      </c>
    </row>
    <row r="4259" spans="13:14" x14ac:dyDescent="0.5">
      <c r="M4259" s="2">
        <v>4258</v>
      </c>
    </row>
    <row r="4260" spans="13:14" x14ac:dyDescent="0.5">
      <c r="M4260" s="2">
        <v>4259</v>
      </c>
      <c r="N4260" s="2" t="s">
        <v>3446</v>
      </c>
    </row>
    <row r="4261" spans="13:14" x14ac:dyDescent="0.5">
      <c r="M4261" s="2">
        <v>4260</v>
      </c>
      <c r="N4261" s="2" t="s">
        <v>3446</v>
      </c>
    </row>
    <row r="4262" spans="13:14" x14ac:dyDescent="0.5">
      <c r="M4262" s="2">
        <v>4261</v>
      </c>
      <c r="N4262" s="2" t="s">
        <v>3446</v>
      </c>
    </row>
    <row r="4263" spans="13:14" x14ac:dyDescent="0.5">
      <c r="M4263" s="2">
        <v>4262</v>
      </c>
      <c r="N4263" s="2" t="s">
        <v>3446</v>
      </c>
    </row>
    <row r="4264" spans="13:14" x14ac:dyDescent="0.5">
      <c r="M4264" s="2">
        <v>4263</v>
      </c>
    </row>
    <row r="4265" spans="13:14" x14ac:dyDescent="0.5">
      <c r="M4265" s="2">
        <v>4264</v>
      </c>
      <c r="N4265" s="2" t="s">
        <v>3446</v>
      </c>
    </row>
    <row r="4266" spans="13:14" x14ac:dyDescent="0.5">
      <c r="M4266" s="2">
        <v>4265</v>
      </c>
      <c r="N4266" s="2" t="s">
        <v>3446</v>
      </c>
    </row>
    <row r="4267" spans="13:14" x14ac:dyDescent="0.5">
      <c r="M4267" s="2">
        <v>4266</v>
      </c>
      <c r="N4267" s="2" t="s">
        <v>3446</v>
      </c>
    </row>
    <row r="4268" spans="13:14" x14ac:dyDescent="0.5">
      <c r="M4268" s="2">
        <v>4267</v>
      </c>
      <c r="N4268" s="2" t="s">
        <v>3446</v>
      </c>
    </row>
    <row r="4269" spans="13:14" x14ac:dyDescent="0.5">
      <c r="M4269" s="2">
        <v>4268</v>
      </c>
      <c r="N4269" s="2" t="s">
        <v>3446</v>
      </c>
    </row>
    <row r="4270" spans="13:14" x14ac:dyDescent="0.5">
      <c r="M4270" s="2">
        <v>4269</v>
      </c>
      <c r="N4270" s="2" t="s">
        <v>3446</v>
      </c>
    </row>
    <row r="4271" spans="13:14" x14ac:dyDescent="0.5">
      <c r="M4271" s="2">
        <v>4270</v>
      </c>
      <c r="N4271" s="2" t="s">
        <v>3446</v>
      </c>
    </row>
    <row r="4272" spans="13:14" x14ac:dyDescent="0.5">
      <c r="M4272" s="2">
        <v>4271</v>
      </c>
      <c r="N4272" s="2" t="s">
        <v>3446</v>
      </c>
    </row>
    <row r="4273" spans="13:14" x14ac:dyDescent="0.5">
      <c r="M4273" s="2">
        <v>4272</v>
      </c>
      <c r="N4273" s="2" t="s">
        <v>3446</v>
      </c>
    </row>
    <row r="4274" spans="13:14" x14ac:dyDescent="0.5">
      <c r="M4274" s="2">
        <v>4273</v>
      </c>
    </row>
    <row r="4275" spans="13:14" x14ac:dyDescent="0.5">
      <c r="M4275" s="2">
        <v>4274</v>
      </c>
    </row>
    <row r="4276" spans="13:14" x14ac:dyDescent="0.5">
      <c r="M4276" s="2">
        <v>4275</v>
      </c>
      <c r="N4276" s="2" t="s">
        <v>3446</v>
      </c>
    </row>
    <row r="4277" spans="13:14" x14ac:dyDescent="0.5">
      <c r="M4277" s="2">
        <v>4276</v>
      </c>
      <c r="N4277" s="2" t="s">
        <v>3446</v>
      </c>
    </row>
    <row r="4278" spans="13:14" x14ac:dyDescent="0.5">
      <c r="M4278" s="2">
        <v>4277</v>
      </c>
      <c r="N4278" s="2" t="s">
        <v>3446</v>
      </c>
    </row>
    <row r="4279" spans="13:14" x14ac:dyDescent="0.5">
      <c r="M4279" s="2">
        <v>4278</v>
      </c>
      <c r="N4279" s="2" t="s">
        <v>3446</v>
      </c>
    </row>
    <row r="4280" spans="13:14" x14ac:dyDescent="0.5">
      <c r="M4280" s="2">
        <v>4279</v>
      </c>
    </row>
    <row r="4281" spans="13:14" x14ac:dyDescent="0.5">
      <c r="M4281" s="2">
        <v>4280</v>
      </c>
    </row>
    <row r="4282" spans="13:14" x14ac:dyDescent="0.5">
      <c r="M4282" s="2">
        <v>4281</v>
      </c>
      <c r="N4282" s="2" t="s">
        <v>3446</v>
      </c>
    </row>
    <row r="4283" spans="13:14" x14ac:dyDescent="0.5">
      <c r="M4283" s="2">
        <v>4282</v>
      </c>
    </row>
    <row r="4284" spans="13:14" x14ac:dyDescent="0.5">
      <c r="M4284" s="2">
        <v>4283</v>
      </c>
    </row>
    <row r="4285" spans="13:14" x14ac:dyDescent="0.5">
      <c r="M4285" s="2">
        <v>4284</v>
      </c>
      <c r="N4285" s="2" t="s">
        <v>3446</v>
      </c>
    </row>
    <row r="4286" spans="13:14" x14ac:dyDescent="0.5">
      <c r="M4286" s="2">
        <v>4285</v>
      </c>
      <c r="N4286" s="2" t="s">
        <v>3446</v>
      </c>
    </row>
    <row r="4287" spans="13:14" x14ac:dyDescent="0.5">
      <c r="M4287" s="2">
        <v>4286</v>
      </c>
      <c r="N4287" s="2" t="s">
        <v>3446</v>
      </c>
    </row>
    <row r="4288" spans="13:14" x14ac:dyDescent="0.5">
      <c r="M4288" s="2">
        <v>4287</v>
      </c>
      <c r="N4288" s="2" t="s">
        <v>3446</v>
      </c>
    </row>
    <row r="4289" spans="13:14" x14ac:dyDescent="0.5">
      <c r="M4289" s="2">
        <v>4288</v>
      </c>
      <c r="N4289" s="2" t="s">
        <v>3446</v>
      </c>
    </row>
    <row r="4290" spans="13:14" x14ac:dyDescent="0.5">
      <c r="M4290" s="2">
        <v>4289</v>
      </c>
      <c r="N4290" s="2" t="s">
        <v>3446</v>
      </c>
    </row>
    <row r="4291" spans="13:14" x14ac:dyDescent="0.5">
      <c r="M4291" s="2">
        <v>4290</v>
      </c>
      <c r="N4291" s="2" t="s">
        <v>3446</v>
      </c>
    </row>
    <row r="4292" spans="13:14" x14ac:dyDescent="0.5">
      <c r="M4292" s="2">
        <v>4291</v>
      </c>
      <c r="N4292" s="2" t="s">
        <v>3446</v>
      </c>
    </row>
    <row r="4293" spans="13:14" x14ac:dyDescent="0.5">
      <c r="M4293" s="2">
        <v>4292</v>
      </c>
      <c r="N4293" s="2" t="s">
        <v>3446</v>
      </c>
    </row>
    <row r="4294" spans="13:14" x14ac:dyDescent="0.5">
      <c r="M4294" s="2">
        <v>4293</v>
      </c>
      <c r="N4294" s="2" t="s">
        <v>3446</v>
      </c>
    </row>
    <row r="4295" spans="13:14" x14ac:dyDescent="0.5">
      <c r="M4295" s="2">
        <v>4294</v>
      </c>
      <c r="N4295" s="2" t="s">
        <v>3446</v>
      </c>
    </row>
    <row r="4296" spans="13:14" x14ac:dyDescent="0.5">
      <c r="M4296" s="2">
        <v>4295</v>
      </c>
      <c r="N4296" s="2" t="s">
        <v>3446</v>
      </c>
    </row>
    <row r="4297" spans="13:14" x14ac:dyDescent="0.5">
      <c r="M4297" s="2">
        <v>4296</v>
      </c>
      <c r="N4297" s="2" t="s">
        <v>3446</v>
      </c>
    </row>
    <row r="4298" spans="13:14" x14ac:dyDescent="0.5">
      <c r="M4298" s="2">
        <v>4297</v>
      </c>
      <c r="N4298" s="2" t="s">
        <v>3446</v>
      </c>
    </row>
    <row r="4299" spans="13:14" x14ac:dyDescent="0.5">
      <c r="M4299" s="2">
        <v>4298</v>
      </c>
      <c r="N4299" s="2" t="s">
        <v>3446</v>
      </c>
    </row>
    <row r="4300" spans="13:14" x14ac:dyDescent="0.5">
      <c r="M4300" s="2">
        <v>4299</v>
      </c>
      <c r="N4300" s="2" t="s">
        <v>3446</v>
      </c>
    </row>
    <row r="4301" spans="13:14" x14ac:dyDescent="0.5">
      <c r="M4301" s="2">
        <v>4300</v>
      </c>
      <c r="N4301" s="2" t="s">
        <v>3446</v>
      </c>
    </row>
    <row r="4302" spans="13:14" x14ac:dyDescent="0.5">
      <c r="M4302" s="2">
        <v>4301</v>
      </c>
      <c r="N4302" s="2" t="s">
        <v>3446</v>
      </c>
    </row>
    <row r="4303" spans="13:14" x14ac:dyDescent="0.5">
      <c r="M4303" s="2">
        <v>4302</v>
      </c>
      <c r="N4303" s="2" t="s">
        <v>3446</v>
      </c>
    </row>
    <row r="4304" spans="13:14" x14ac:dyDescent="0.5">
      <c r="M4304" s="2">
        <v>4303</v>
      </c>
      <c r="N4304" s="2" t="s">
        <v>3446</v>
      </c>
    </row>
    <row r="4305" spans="13:14" x14ac:dyDescent="0.5">
      <c r="M4305" s="2">
        <v>4304</v>
      </c>
      <c r="N4305" s="2" t="s">
        <v>3446</v>
      </c>
    </row>
    <row r="4306" spans="13:14" x14ac:dyDescent="0.5">
      <c r="M4306" s="2">
        <v>4305</v>
      </c>
      <c r="N4306" s="2" t="s">
        <v>3446</v>
      </c>
    </row>
    <row r="4307" spans="13:14" x14ac:dyDescent="0.5">
      <c r="M4307" s="2">
        <v>4306</v>
      </c>
      <c r="N4307" s="2" t="s">
        <v>3446</v>
      </c>
    </row>
    <row r="4308" spans="13:14" x14ac:dyDescent="0.5">
      <c r="M4308" s="2">
        <v>4307</v>
      </c>
      <c r="N4308" s="2" t="s">
        <v>3446</v>
      </c>
    </row>
    <row r="4309" spans="13:14" x14ac:dyDescent="0.5">
      <c r="M4309" s="2">
        <v>4308</v>
      </c>
      <c r="N4309" s="2" t="s">
        <v>3446</v>
      </c>
    </row>
    <row r="4310" spans="13:14" x14ac:dyDescent="0.5">
      <c r="M4310" s="2">
        <v>4309</v>
      </c>
      <c r="N4310" s="2" t="s">
        <v>3446</v>
      </c>
    </row>
    <row r="4311" spans="13:14" x14ac:dyDescent="0.5">
      <c r="M4311" s="2">
        <v>4310</v>
      </c>
      <c r="N4311" s="2" t="s">
        <v>3446</v>
      </c>
    </row>
    <row r="4312" spans="13:14" x14ac:dyDescent="0.5">
      <c r="M4312" s="2">
        <v>4311</v>
      </c>
      <c r="N4312" s="2" t="s">
        <v>3446</v>
      </c>
    </row>
    <row r="4313" spans="13:14" x14ac:dyDescent="0.5">
      <c r="M4313" s="2">
        <v>4312</v>
      </c>
      <c r="N4313" s="2" t="s">
        <v>3446</v>
      </c>
    </row>
    <row r="4314" spans="13:14" x14ac:dyDescent="0.5">
      <c r="M4314" s="2">
        <v>4313</v>
      </c>
      <c r="N4314" s="2" t="s">
        <v>3446</v>
      </c>
    </row>
    <row r="4315" spans="13:14" x14ac:dyDescent="0.5">
      <c r="M4315" s="2">
        <v>4314</v>
      </c>
      <c r="N4315" s="2" t="s">
        <v>3446</v>
      </c>
    </row>
    <row r="4316" spans="13:14" x14ac:dyDescent="0.5">
      <c r="M4316" s="2">
        <v>4315</v>
      </c>
      <c r="N4316" s="2" t="s">
        <v>3446</v>
      </c>
    </row>
    <row r="4317" spans="13:14" x14ac:dyDescent="0.5">
      <c r="M4317" s="2">
        <v>4316</v>
      </c>
      <c r="N4317" s="2" t="s">
        <v>3446</v>
      </c>
    </row>
    <row r="4318" spans="13:14" x14ac:dyDescent="0.5">
      <c r="M4318" s="2">
        <v>4317</v>
      </c>
      <c r="N4318" s="2" t="s">
        <v>3446</v>
      </c>
    </row>
    <row r="4319" spans="13:14" x14ac:dyDescent="0.5">
      <c r="M4319" s="2">
        <v>4318</v>
      </c>
      <c r="N4319" s="2" t="s">
        <v>3446</v>
      </c>
    </row>
    <row r="4320" spans="13:14" x14ac:dyDescent="0.5">
      <c r="M4320" s="2">
        <v>4319</v>
      </c>
      <c r="N4320" s="2" t="s">
        <v>3446</v>
      </c>
    </row>
    <row r="4321" spans="13:14" x14ac:dyDescent="0.5">
      <c r="M4321" s="2">
        <v>4320</v>
      </c>
      <c r="N4321" s="2" t="s">
        <v>3446</v>
      </c>
    </row>
    <row r="4322" spans="13:14" x14ac:dyDescent="0.5">
      <c r="M4322" s="2">
        <v>4321</v>
      </c>
      <c r="N4322" s="2" t="s">
        <v>3446</v>
      </c>
    </row>
    <row r="4323" spans="13:14" x14ac:dyDescent="0.5">
      <c r="M4323" s="2">
        <v>4322</v>
      </c>
      <c r="N4323" s="2" t="s">
        <v>3446</v>
      </c>
    </row>
    <row r="4324" spans="13:14" x14ac:dyDescent="0.5">
      <c r="M4324" s="2">
        <v>4323</v>
      </c>
    </row>
    <row r="4325" spans="13:14" x14ac:dyDescent="0.5">
      <c r="M4325" s="2">
        <v>4324</v>
      </c>
    </row>
    <row r="4326" spans="13:14" x14ac:dyDescent="0.5">
      <c r="M4326" s="2">
        <v>4325</v>
      </c>
      <c r="N4326" s="2" t="s">
        <v>3446</v>
      </c>
    </row>
    <row r="4327" spans="13:14" x14ac:dyDescent="0.5">
      <c r="M4327" s="2">
        <v>4326</v>
      </c>
    </row>
    <row r="4328" spans="13:14" x14ac:dyDescent="0.5">
      <c r="M4328" s="2">
        <v>4327</v>
      </c>
      <c r="N4328" s="2" t="s">
        <v>3446</v>
      </c>
    </row>
    <row r="4329" spans="13:14" x14ac:dyDescent="0.5">
      <c r="M4329" s="2">
        <v>4328</v>
      </c>
      <c r="N4329" s="2" t="s">
        <v>3446</v>
      </c>
    </row>
    <row r="4330" spans="13:14" x14ac:dyDescent="0.5">
      <c r="M4330" s="2">
        <v>4329</v>
      </c>
      <c r="N4330" s="2" t="s">
        <v>3446</v>
      </c>
    </row>
    <row r="4331" spans="13:14" x14ac:dyDescent="0.5">
      <c r="M4331" s="2">
        <v>4330</v>
      </c>
      <c r="N4331" s="2" t="s">
        <v>3446</v>
      </c>
    </row>
    <row r="4332" spans="13:14" x14ac:dyDescent="0.5">
      <c r="M4332" s="2">
        <v>4331</v>
      </c>
      <c r="N4332" s="2" t="s">
        <v>3446</v>
      </c>
    </row>
    <row r="4333" spans="13:14" x14ac:dyDescent="0.5">
      <c r="M4333" s="2">
        <v>4332</v>
      </c>
      <c r="N4333" s="2" t="s">
        <v>3446</v>
      </c>
    </row>
    <row r="4334" spans="13:14" x14ac:dyDescent="0.5">
      <c r="M4334" s="2">
        <v>4333</v>
      </c>
      <c r="N4334" s="2" t="s">
        <v>3446</v>
      </c>
    </row>
    <row r="4335" spans="13:14" x14ac:dyDescent="0.5">
      <c r="M4335" s="2">
        <v>4334</v>
      </c>
      <c r="N4335" s="2" t="s">
        <v>3446</v>
      </c>
    </row>
    <row r="4336" spans="13:14" x14ac:dyDescent="0.5">
      <c r="M4336" s="2">
        <v>4335</v>
      </c>
      <c r="N4336" s="2" t="s">
        <v>3446</v>
      </c>
    </row>
    <row r="4337" spans="13:14" x14ac:dyDescent="0.5">
      <c r="M4337" s="2">
        <v>4336</v>
      </c>
      <c r="N4337" s="2" t="s">
        <v>3446</v>
      </c>
    </row>
    <row r="4338" spans="13:14" x14ac:dyDescent="0.5">
      <c r="M4338" s="2">
        <v>4337</v>
      </c>
      <c r="N4338" s="2" t="s">
        <v>3446</v>
      </c>
    </row>
    <row r="4339" spans="13:14" x14ac:dyDescent="0.5">
      <c r="M4339" s="2">
        <v>4338</v>
      </c>
      <c r="N4339" s="2" t="s">
        <v>3446</v>
      </c>
    </row>
    <row r="4340" spans="13:14" x14ac:dyDescent="0.5">
      <c r="M4340" s="2">
        <v>4339</v>
      </c>
      <c r="N4340" s="2" t="s">
        <v>3446</v>
      </c>
    </row>
    <row r="4341" spans="13:14" x14ac:dyDescent="0.5">
      <c r="M4341" s="2">
        <v>4340</v>
      </c>
      <c r="N4341" s="2" t="s">
        <v>3446</v>
      </c>
    </row>
    <row r="4342" spans="13:14" x14ac:dyDescent="0.5">
      <c r="M4342" s="2">
        <v>4341</v>
      </c>
      <c r="N4342" s="2" t="s">
        <v>3446</v>
      </c>
    </row>
    <row r="4343" spans="13:14" x14ac:dyDescent="0.5">
      <c r="M4343" s="2">
        <v>4342</v>
      </c>
      <c r="N4343" s="2" t="s">
        <v>3446</v>
      </c>
    </row>
    <row r="4344" spans="13:14" x14ac:dyDescent="0.5">
      <c r="M4344" s="2">
        <v>4343</v>
      </c>
      <c r="N4344" s="2" t="s">
        <v>3446</v>
      </c>
    </row>
    <row r="4345" spans="13:14" x14ac:dyDescent="0.5">
      <c r="M4345" s="2">
        <v>4344</v>
      </c>
      <c r="N4345" s="2" t="s">
        <v>3446</v>
      </c>
    </row>
    <row r="4346" spans="13:14" x14ac:dyDescent="0.5">
      <c r="M4346" s="2">
        <v>4345</v>
      </c>
      <c r="N4346" s="2" t="s">
        <v>3446</v>
      </c>
    </row>
    <row r="4347" spans="13:14" x14ac:dyDescent="0.5">
      <c r="M4347" s="2">
        <v>4346</v>
      </c>
      <c r="N4347" s="2" t="s">
        <v>3446</v>
      </c>
    </row>
    <row r="4348" spans="13:14" x14ac:dyDescent="0.5">
      <c r="M4348" s="2">
        <v>4347</v>
      </c>
      <c r="N4348" s="2" t="s">
        <v>3446</v>
      </c>
    </row>
    <row r="4349" spans="13:14" x14ac:dyDescent="0.5">
      <c r="M4349" s="2">
        <v>4348</v>
      </c>
      <c r="N4349" s="2" t="s">
        <v>3446</v>
      </c>
    </row>
    <row r="4350" spans="13:14" x14ac:dyDescent="0.5">
      <c r="M4350" s="2">
        <v>4349</v>
      </c>
      <c r="N4350" s="2" t="s">
        <v>3446</v>
      </c>
    </row>
    <row r="4351" spans="13:14" x14ac:dyDescent="0.5">
      <c r="M4351" s="2">
        <v>4350</v>
      </c>
      <c r="N4351" s="2" t="s">
        <v>3446</v>
      </c>
    </row>
    <row r="4352" spans="13:14" x14ac:dyDescent="0.5">
      <c r="M4352" s="2">
        <v>4351</v>
      </c>
      <c r="N4352" s="2" t="s">
        <v>3446</v>
      </c>
    </row>
    <row r="4353" spans="13:14" x14ac:dyDescent="0.5">
      <c r="M4353" s="2">
        <v>4352</v>
      </c>
      <c r="N4353" s="2" t="s">
        <v>3446</v>
      </c>
    </row>
    <row r="4354" spans="13:14" x14ac:dyDescent="0.5">
      <c r="M4354" s="2">
        <v>4353</v>
      </c>
      <c r="N4354" s="2" t="s">
        <v>3446</v>
      </c>
    </row>
    <row r="4355" spans="13:14" x14ac:dyDescent="0.5">
      <c r="M4355" s="2">
        <v>4354</v>
      </c>
      <c r="N4355" s="2" t="s">
        <v>3446</v>
      </c>
    </row>
    <row r="4356" spans="13:14" x14ac:dyDescent="0.5">
      <c r="M4356" s="2">
        <v>4355</v>
      </c>
    </row>
    <row r="4357" spans="13:14" x14ac:dyDescent="0.5">
      <c r="M4357" s="2">
        <v>4356</v>
      </c>
      <c r="N4357" s="2" t="s">
        <v>3446</v>
      </c>
    </row>
    <row r="4358" spans="13:14" x14ac:dyDescent="0.5">
      <c r="M4358" s="2">
        <v>4357</v>
      </c>
      <c r="N4358" s="2" t="s">
        <v>3446</v>
      </c>
    </row>
    <row r="4359" spans="13:14" x14ac:dyDescent="0.5">
      <c r="M4359" s="2">
        <v>4358</v>
      </c>
      <c r="N4359" s="2" t="s">
        <v>3446</v>
      </c>
    </row>
    <row r="4360" spans="13:14" x14ac:dyDescent="0.5">
      <c r="M4360" s="2">
        <v>4359</v>
      </c>
      <c r="N4360" s="2" t="s">
        <v>3446</v>
      </c>
    </row>
    <row r="4361" spans="13:14" x14ac:dyDescent="0.5">
      <c r="M4361" s="2">
        <v>4360</v>
      </c>
      <c r="N4361" s="2" t="s">
        <v>3446</v>
      </c>
    </row>
    <row r="4362" spans="13:14" x14ac:dyDescent="0.5">
      <c r="M4362" s="2">
        <v>4361</v>
      </c>
      <c r="N4362" s="2" t="s">
        <v>3446</v>
      </c>
    </row>
    <row r="4363" spans="13:14" x14ac:dyDescent="0.5">
      <c r="M4363" s="2">
        <v>4362</v>
      </c>
      <c r="N4363" s="2" t="s">
        <v>3446</v>
      </c>
    </row>
    <row r="4364" spans="13:14" x14ac:dyDescent="0.5">
      <c r="M4364" s="2">
        <v>4363</v>
      </c>
      <c r="N4364" s="2" t="s">
        <v>3446</v>
      </c>
    </row>
    <row r="4365" spans="13:14" x14ac:dyDescent="0.5">
      <c r="M4365" s="2">
        <v>4364</v>
      </c>
      <c r="N4365" s="2" t="s">
        <v>3446</v>
      </c>
    </row>
    <row r="4366" spans="13:14" x14ac:dyDescent="0.5">
      <c r="M4366" s="2">
        <v>4365</v>
      </c>
    </row>
    <row r="4367" spans="13:14" x14ac:dyDescent="0.5">
      <c r="M4367" s="2">
        <v>4366</v>
      </c>
      <c r="N4367" s="2" t="s">
        <v>3446</v>
      </c>
    </row>
    <row r="4368" spans="13:14" x14ac:dyDescent="0.5">
      <c r="M4368" s="2">
        <v>4367</v>
      </c>
      <c r="N4368" s="2" t="s">
        <v>3446</v>
      </c>
    </row>
    <row r="4369" spans="13:14" x14ac:dyDescent="0.5">
      <c r="M4369" s="2">
        <v>4368</v>
      </c>
      <c r="N4369" s="2" t="s">
        <v>3446</v>
      </c>
    </row>
    <row r="4370" spans="13:14" x14ac:dyDescent="0.5">
      <c r="M4370" s="2">
        <v>4369</v>
      </c>
      <c r="N4370" s="2" t="s">
        <v>3446</v>
      </c>
    </row>
    <row r="4371" spans="13:14" x14ac:dyDescent="0.5">
      <c r="M4371" s="2">
        <v>4370</v>
      </c>
      <c r="N4371" s="2" t="s">
        <v>3446</v>
      </c>
    </row>
    <row r="4372" spans="13:14" x14ac:dyDescent="0.5">
      <c r="M4372" s="2">
        <v>4371</v>
      </c>
      <c r="N4372" s="2" t="s">
        <v>3446</v>
      </c>
    </row>
    <row r="4373" spans="13:14" x14ac:dyDescent="0.5">
      <c r="M4373" s="2">
        <v>4372</v>
      </c>
      <c r="N4373" s="2" t="s">
        <v>3446</v>
      </c>
    </row>
    <row r="4374" spans="13:14" x14ac:dyDescent="0.5">
      <c r="M4374" s="2">
        <v>4373</v>
      </c>
      <c r="N4374" s="2" t="s">
        <v>3446</v>
      </c>
    </row>
    <row r="4375" spans="13:14" x14ac:dyDescent="0.5">
      <c r="M4375" s="2">
        <v>4374</v>
      </c>
      <c r="N4375" s="2" t="s">
        <v>3446</v>
      </c>
    </row>
    <row r="4376" spans="13:14" x14ac:dyDescent="0.5">
      <c r="M4376" s="2">
        <v>4375</v>
      </c>
      <c r="N4376" s="2" t="s">
        <v>3446</v>
      </c>
    </row>
    <row r="4377" spans="13:14" x14ac:dyDescent="0.5">
      <c r="M4377" s="2">
        <v>4376</v>
      </c>
      <c r="N4377" s="2" t="s">
        <v>3446</v>
      </c>
    </row>
    <row r="4378" spans="13:14" x14ac:dyDescent="0.5">
      <c r="M4378" s="2">
        <v>4377</v>
      </c>
      <c r="N4378" s="2" t="s">
        <v>3446</v>
      </c>
    </row>
    <row r="4379" spans="13:14" x14ac:dyDescent="0.5">
      <c r="M4379" s="2">
        <v>4378</v>
      </c>
      <c r="N4379" s="2" t="s">
        <v>3446</v>
      </c>
    </row>
    <row r="4380" spans="13:14" x14ac:dyDescent="0.5">
      <c r="M4380" s="2">
        <v>4379</v>
      </c>
      <c r="N4380" s="2" t="s">
        <v>3446</v>
      </c>
    </row>
    <row r="4381" spans="13:14" x14ac:dyDescent="0.5">
      <c r="M4381" s="2">
        <v>4380</v>
      </c>
      <c r="N4381" s="2" t="s">
        <v>3446</v>
      </c>
    </row>
    <row r="4382" spans="13:14" x14ac:dyDescent="0.5">
      <c r="M4382" s="2">
        <v>4381</v>
      </c>
      <c r="N4382" s="2" t="s">
        <v>3446</v>
      </c>
    </row>
    <row r="4383" spans="13:14" x14ac:dyDescent="0.5">
      <c r="M4383" s="2">
        <v>4382</v>
      </c>
      <c r="N4383" s="2" t="s">
        <v>3446</v>
      </c>
    </row>
    <row r="4384" spans="13:14" x14ac:dyDescent="0.5">
      <c r="M4384" s="2">
        <v>4383</v>
      </c>
      <c r="N4384" s="2" t="s">
        <v>3446</v>
      </c>
    </row>
    <row r="4385" spans="13:14" x14ac:dyDescent="0.5">
      <c r="M4385" s="2">
        <v>4384</v>
      </c>
      <c r="N4385" s="2" t="s">
        <v>3446</v>
      </c>
    </row>
    <row r="4386" spans="13:14" x14ac:dyDescent="0.5">
      <c r="M4386" s="2">
        <v>4385</v>
      </c>
      <c r="N4386" s="2" t="s">
        <v>3446</v>
      </c>
    </row>
    <row r="4387" spans="13:14" x14ac:dyDescent="0.5">
      <c r="M4387" s="2">
        <v>4386</v>
      </c>
      <c r="N4387" s="2" t="s">
        <v>3446</v>
      </c>
    </row>
    <row r="4388" spans="13:14" x14ac:dyDescent="0.5">
      <c r="M4388" s="2">
        <v>4387</v>
      </c>
      <c r="N4388" s="2" t="s">
        <v>3446</v>
      </c>
    </row>
    <row r="4389" spans="13:14" x14ac:dyDescent="0.5">
      <c r="M4389" s="2">
        <v>4388</v>
      </c>
      <c r="N4389" s="2" t="s">
        <v>3446</v>
      </c>
    </row>
    <row r="4390" spans="13:14" x14ac:dyDescent="0.5">
      <c r="M4390" s="2">
        <v>4389</v>
      </c>
      <c r="N4390" s="2" t="s">
        <v>3446</v>
      </c>
    </row>
    <row r="4391" spans="13:14" x14ac:dyDescent="0.5">
      <c r="M4391" s="2">
        <v>4390</v>
      </c>
      <c r="N4391" s="2" t="s">
        <v>3446</v>
      </c>
    </row>
    <row r="4392" spans="13:14" x14ac:dyDescent="0.5">
      <c r="M4392" s="2">
        <v>4391</v>
      </c>
      <c r="N4392" s="2" t="s">
        <v>3446</v>
      </c>
    </row>
    <row r="4393" spans="13:14" x14ac:dyDescent="0.5">
      <c r="M4393" s="2">
        <v>4392</v>
      </c>
      <c r="N4393" s="2" t="s">
        <v>3446</v>
      </c>
    </row>
    <row r="4394" spans="13:14" x14ac:dyDescent="0.5">
      <c r="M4394" s="2">
        <v>4393</v>
      </c>
      <c r="N4394" s="2" t="s">
        <v>3446</v>
      </c>
    </row>
    <row r="4395" spans="13:14" x14ac:dyDescent="0.5">
      <c r="M4395" s="2">
        <v>4394</v>
      </c>
      <c r="N4395" s="2" t="s">
        <v>3446</v>
      </c>
    </row>
    <row r="4396" spans="13:14" x14ac:dyDescent="0.5">
      <c r="M4396" s="2">
        <v>4395</v>
      </c>
      <c r="N4396" s="2" t="s">
        <v>3446</v>
      </c>
    </row>
    <row r="4397" spans="13:14" x14ac:dyDescent="0.5">
      <c r="M4397" s="2">
        <v>4396</v>
      </c>
      <c r="N4397" s="2" t="s">
        <v>3446</v>
      </c>
    </row>
    <row r="4398" spans="13:14" x14ac:dyDescent="0.5">
      <c r="M4398" s="2">
        <v>4397</v>
      </c>
      <c r="N4398" s="2" t="s">
        <v>3446</v>
      </c>
    </row>
    <row r="4399" spans="13:14" x14ac:dyDescent="0.5">
      <c r="M4399" s="2">
        <v>4398</v>
      </c>
      <c r="N4399" s="2" t="s">
        <v>3446</v>
      </c>
    </row>
    <row r="4400" spans="13:14" x14ac:dyDescent="0.5">
      <c r="M4400" s="2">
        <v>4399</v>
      </c>
      <c r="N4400" s="2" t="s">
        <v>3446</v>
      </c>
    </row>
    <row r="4401" spans="13:14" x14ac:dyDescent="0.5">
      <c r="M4401" s="2">
        <v>4400</v>
      </c>
      <c r="N4401" s="2" t="s">
        <v>3446</v>
      </c>
    </row>
    <row r="4402" spans="13:14" x14ac:dyDescent="0.5">
      <c r="M4402" s="2">
        <v>4401</v>
      </c>
      <c r="N4402" s="2" t="s">
        <v>3446</v>
      </c>
    </row>
    <row r="4403" spans="13:14" x14ac:dyDescent="0.5">
      <c r="M4403" s="2">
        <v>4402</v>
      </c>
      <c r="N4403" s="2" t="s">
        <v>3446</v>
      </c>
    </row>
    <row r="4404" spans="13:14" x14ac:dyDescent="0.5">
      <c r="M4404" s="2">
        <v>4403</v>
      </c>
      <c r="N4404" s="2" t="s">
        <v>3446</v>
      </c>
    </row>
    <row r="4405" spans="13:14" x14ac:dyDescent="0.5">
      <c r="M4405" s="2">
        <v>4404</v>
      </c>
      <c r="N4405" s="2" t="s">
        <v>3446</v>
      </c>
    </row>
    <row r="4406" spans="13:14" x14ac:dyDescent="0.5">
      <c r="M4406" s="2">
        <v>4405</v>
      </c>
    </row>
    <row r="4407" spans="13:14" x14ac:dyDescent="0.5">
      <c r="M4407" s="2">
        <v>4406</v>
      </c>
    </row>
    <row r="4408" spans="13:14" x14ac:dyDescent="0.5">
      <c r="M4408" s="2">
        <v>4407</v>
      </c>
    </row>
    <row r="4409" spans="13:14" x14ac:dyDescent="0.5">
      <c r="M4409" s="2">
        <v>4408</v>
      </c>
      <c r="N4409" s="2" t="s">
        <v>3446</v>
      </c>
    </row>
    <row r="4410" spans="13:14" x14ac:dyDescent="0.5">
      <c r="M4410" s="2">
        <v>4409</v>
      </c>
    </row>
    <row r="4411" spans="13:14" x14ac:dyDescent="0.5">
      <c r="M4411" s="2">
        <v>4410</v>
      </c>
    </row>
    <row r="4412" spans="13:14" x14ac:dyDescent="0.5">
      <c r="M4412" s="2">
        <v>4411</v>
      </c>
    </row>
    <row r="4413" spans="13:14" x14ac:dyDescent="0.5">
      <c r="M4413" s="2">
        <v>4412</v>
      </c>
      <c r="N4413" s="2" t="s">
        <v>3446</v>
      </c>
    </row>
    <row r="4414" spans="13:14" x14ac:dyDescent="0.5">
      <c r="M4414" s="2">
        <v>4413</v>
      </c>
      <c r="N4414" s="2" t="s">
        <v>3446</v>
      </c>
    </row>
    <row r="4415" spans="13:14" x14ac:dyDescent="0.5">
      <c r="M4415" s="2">
        <v>4414</v>
      </c>
      <c r="N4415" s="2" t="s">
        <v>3446</v>
      </c>
    </row>
    <row r="4416" spans="13:14" x14ac:dyDescent="0.5">
      <c r="M4416" s="2">
        <v>4415</v>
      </c>
      <c r="N4416" s="2" t="s">
        <v>3446</v>
      </c>
    </row>
    <row r="4417" spans="13:14" x14ac:dyDescent="0.5">
      <c r="M4417" s="2">
        <v>4416</v>
      </c>
      <c r="N4417" s="2" t="s">
        <v>3446</v>
      </c>
    </row>
    <row r="4418" spans="13:14" x14ac:dyDescent="0.5">
      <c r="M4418" s="2">
        <v>4417</v>
      </c>
      <c r="N4418" s="2" t="s">
        <v>3446</v>
      </c>
    </row>
    <row r="4419" spans="13:14" x14ac:dyDescent="0.5">
      <c r="M4419" s="2">
        <v>4418</v>
      </c>
      <c r="N4419" s="2" t="s">
        <v>3446</v>
      </c>
    </row>
    <row r="4420" spans="13:14" x14ac:dyDescent="0.5">
      <c r="M4420" s="2">
        <v>4419</v>
      </c>
      <c r="N4420" s="2" t="s">
        <v>3446</v>
      </c>
    </row>
    <row r="4421" spans="13:14" x14ac:dyDescent="0.5">
      <c r="M4421" s="2">
        <v>4420</v>
      </c>
      <c r="N4421" s="2" t="s">
        <v>3446</v>
      </c>
    </row>
    <row r="4422" spans="13:14" x14ac:dyDescent="0.5">
      <c r="M4422" s="2">
        <v>4421</v>
      </c>
      <c r="N4422" s="2" t="s">
        <v>3446</v>
      </c>
    </row>
    <row r="4423" spans="13:14" x14ac:dyDescent="0.5">
      <c r="M4423" s="2">
        <v>4422</v>
      </c>
      <c r="N4423" s="2" t="s">
        <v>3446</v>
      </c>
    </row>
    <row r="4424" spans="13:14" x14ac:dyDescent="0.5">
      <c r="M4424" s="2">
        <v>4423</v>
      </c>
      <c r="N4424" s="2" t="s">
        <v>3446</v>
      </c>
    </row>
    <row r="4425" spans="13:14" x14ac:dyDescent="0.5">
      <c r="M4425" s="2">
        <v>4424</v>
      </c>
      <c r="N4425" s="2" t="s">
        <v>3446</v>
      </c>
    </row>
    <row r="4426" spans="13:14" x14ac:dyDescent="0.5">
      <c r="M4426" s="2">
        <v>4425</v>
      </c>
      <c r="N4426" s="2" t="s">
        <v>3446</v>
      </c>
    </row>
    <row r="4427" spans="13:14" x14ac:dyDescent="0.5">
      <c r="M4427" s="2">
        <v>4426</v>
      </c>
      <c r="N4427" s="2" t="s">
        <v>3446</v>
      </c>
    </row>
    <row r="4428" spans="13:14" x14ac:dyDescent="0.5">
      <c r="M4428" s="2">
        <v>4427</v>
      </c>
      <c r="N4428" s="2" t="s">
        <v>3446</v>
      </c>
    </row>
    <row r="4429" spans="13:14" x14ac:dyDescent="0.5">
      <c r="M4429" s="2">
        <v>4428</v>
      </c>
      <c r="N4429" s="2" t="s">
        <v>3446</v>
      </c>
    </row>
    <row r="4430" spans="13:14" x14ac:dyDescent="0.5">
      <c r="M4430" s="2">
        <v>4429</v>
      </c>
      <c r="N4430" s="2" t="s">
        <v>3446</v>
      </c>
    </row>
    <row r="4431" spans="13:14" x14ac:dyDescent="0.5">
      <c r="M4431" s="2">
        <v>4430</v>
      </c>
      <c r="N4431" s="2" t="s">
        <v>3446</v>
      </c>
    </row>
    <row r="4432" spans="13:14" x14ac:dyDescent="0.5">
      <c r="M4432" s="2">
        <v>4431</v>
      </c>
      <c r="N4432" s="2" t="s">
        <v>3446</v>
      </c>
    </row>
    <row r="4433" spans="13:14" x14ac:dyDescent="0.5">
      <c r="M4433" s="2">
        <v>4432</v>
      </c>
      <c r="N4433" s="2" t="s">
        <v>3446</v>
      </c>
    </row>
    <row r="4434" spans="13:14" x14ac:dyDescent="0.5">
      <c r="M4434" s="2">
        <v>4433</v>
      </c>
      <c r="N4434" s="2" t="s">
        <v>3446</v>
      </c>
    </row>
    <row r="4435" spans="13:14" x14ac:dyDescent="0.5">
      <c r="M4435" s="2">
        <v>4434</v>
      </c>
      <c r="N4435" s="2" t="s">
        <v>3446</v>
      </c>
    </row>
    <row r="4436" spans="13:14" x14ac:dyDescent="0.5">
      <c r="M4436" s="2">
        <v>4435</v>
      </c>
      <c r="N4436" s="2" t="s">
        <v>3446</v>
      </c>
    </row>
    <row r="4437" spans="13:14" x14ac:dyDescent="0.5">
      <c r="M4437" s="2">
        <v>4436</v>
      </c>
      <c r="N4437" s="2" t="s">
        <v>3446</v>
      </c>
    </row>
    <row r="4438" spans="13:14" x14ac:dyDescent="0.5">
      <c r="M4438" s="2">
        <v>4437</v>
      </c>
      <c r="N4438" s="2" t="s">
        <v>3446</v>
      </c>
    </row>
    <row r="4439" spans="13:14" x14ac:dyDescent="0.5">
      <c r="M4439" s="2">
        <v>4438</v>
      </c>
      <c r="N4439" s="2" t="s">
        <v>3446</v>
      </c>
    </row>
    <row r="4440" spans="13:14" x14ac:dyDescent="0.5">
      <c r="M4440" s="2">
        <v>4439</v>
      </c>
      <c r="N4440" s="2" t="s">
        <v>3446</v>
      </c>
    </row>
    <row r="4441" spans="13:14" x14ac:dyDescent="0.5">
      <c r="M4441" s="2">
        <v>4440</v>
      </c>
      <c r="N4441" s="2" t="s">
        <v>3446</v>
      </c>
    </row>
    <row r="4442" spans="13:14" x14ac:dyDescent="0.5">
      <c r="M4442" s="2">
        <v>4441</v>
      </c>
      <c r="N4442" s="2" t="s">
        <v>3446</v>
      </c>
    </row>
    <row r="4443" spans="13:14" x14ac:dyDescent="0.5">
      <c r="M4443" s="2">
        <v>4442</v>
      </c>
      <c r="N4443" s="2" t="s">
        <v>3446</v>
      </c>
    </row>
    <row r="4444" spans="13:14" x14ac:dyDescent="0.5">
      <c r="M4444" s="2">
        <v>4443</v>
      </c>
      <c r="N4444" s="2" t="s">
        <v>3446</v>
      </c>
    </row>
    <row r="4445" spans="13:14" x14ac:dyDescent="0.5">
      <c r="M4445" s="2">
        <v>4444</v>
      </c>
      <c r="N4445" s="2" t="s">
        <v>3446</v>
      </c>
    </row>
    <row r="4446" spans="13:14" x14ac:dyDescent="0.5">
      <c r="M4446" s="2">
        <v>4445</v>
      </c>
      <c r="N4446" s="2" t="s">
        <v>3446</v>
      </c>
    </row>
    <row r="4447" spans="13:14" x14ac:dyDescent="0.5">
      <c r="M4447" s="2">
        <v>4446</v>
      </c>
    </row>
    <row r="4448" spans="13:14" x14ac:dyDescent="0.5">
      <c r="M4448" s="2">
        <v>4447</v>
      </c>
      <c r="N4448" s="2" t="s">
        <v>3446</v>
      </c>
    </row>
    <row r="4449" spans="13:14" x14ac:dyDescent="0.5">
      <c r="M4449" s="2">
        <v>4448</v>
      </c>
      <c r="N4449" s="2" t="s">
        <v>3446</v>
      </c>
    </row>
    <row r="4450" spans="13:14" x14ac:dyDescent="0.5">
      <c r="M4450" s="2">
        <v>4449</v>
      </c>
    </row>
    <row r="4451" spans="13:14" x14ac:dyDescent="0.5">
      <c r="M4451" s="2">
        <v>4450</v>
      </c>
      <c r="N4451" s="2" t="s">
        <v>3446</v>
      </c>
    </row>
    <row r="4452" spans="13:14" x14ac:dyDescent="0.5">
      <c r="M4452" s="2">
        <v>4451</v>
      </c>
      <c r="N4452" s="2" t="s">
        <v>3446</v>
      </c>
    </row>
    <row r="4453" spans="13:14" x14ac:dyDescent="0.5">
      <c r="M4453" s="2">
        <v>4452</v>
      </c>
      <c r="N4453" s="2" t="s">
        <v>3446</v>
      </c>
    </row>
    <row r="4454" spans="13:14" x14ac:dyDescent="0.5">
      <c r="M4454" s="2">
        <v>4453</v>
      </c>
      <c r="N4454" s="2" t="s">
        <v>3446</v>
      </c>
    </row>
    <row r="4455" spans="13:14" x14ac:dyDescent="0.5">
      <c r="M4455" s="2">
        <v>4454</v>
      </c>
      <c r="N4455" s="2" t="s">
        <v>3446</v>
      </c>
    </row>
    <row r="4456" spans="13:14" x14ac:dyDescent="0.5">
      <c r="M4456" s="2">
        <v>4455</v>
      </c>
      <c r="N4456" s="2" t="s">
        <v>3446</v>
      </c>
    </row>
    <row r="4457" spans="13:14" x14ac:dyDescent="0.5">
      <c r="M4457" s="2">
        <v>4456</v>
      </c>
      <c r="N4457" s="2" t="s">
        <v>3446</v>
      </c>
    </row>
    <row r="4458" spans="13:14" x14ac:dyDescent="0.5">
      <c r="M4458" s="2">
        <v>4457</v>
      </c>
      <c r="N4458" s="2" t="s">
        <v>3446</v>
      </c>
    </row>
    <row r="4459" spans="13:14" x14ac:dyDescent="0.5">
      <c r="M4459" s="2">
        <v>4458</v>
      </c>
      <c r="N4459" s="2" t="s">
        <v>3446</v>
      </c>
    </row>
    <row r="4460" spans="13:14" x14ac:dyDescent="0.5">
      <c r="M4460" s="2">
        <v>4459</v>
      </c>
      <c r="N4460" s="2" t="s">
        <v>3446</v>
      </c>
    </row>
    <row r="4461" spans="13:14" x14ac:dyDescent="0.5">
      <c r="M4461" s="2">
        <v>4460</v>
      </c>
      <c r="N4461" s="2" t="s">
        <v>3446</v>
      </c>
    </row>
    <row r="4462" spans="13:14" x14ac:dyDescent="0.5">
      <c r="M4462" s="2">
        <v>4461</v>
      </c>
      <c r="N4462" s="2" t="s">
        <v>3446</v>
      </c>
    </row>
    <row r="4463" spans="13:14" x14ac:dyDescent="0.5">
      <c r="M4463" s="2">
        <v>4462</v>
      </c>
      <c r="N4463" s="2" t="s">
        <v>3446</v>
      </c>
    </row>
    <row r="4464" spans="13:14" x14ac:dyDescent="0.5">
      <c r="M4464" s="2">
        <v>4463</v>
      </c>
      <c r="N4464" s="2" t="s">
        <v>3446</v>
      </c>
    </row>
    <row r="4465" spans="13:14" x14ac:dyDescent="0.5">
      <c r="M4465" s="2">
        <v>4464</v>
      </c>
      <c r="N4465" s="2" t="s">
        <v>3446</v>
      </c>
    </row>
    <row r="4466" spans="13:14" x14ac:dyDescent="0.5">
      <c r="M4466" s="2">
        <v>4465</v>
      </c>
      <c r="N4466" s="2" t="s">
        <v>3446</v>
      </c>
    </row>
    <row r="4467" spans="13:14" x14ac:dyDescent="0.5">
      <c r="M4467" s="2">
        <v>4466</v>
      </c>
      <c r="N4467" s="2" t="s">
        <v>3446</v>
      </c>
    </row>
    <row r="4468" spans="13:14" x14ac:dyDescent="0.5">
      <c r="M4468" s="2">
        <v>4467</v>
      </c>
      <c r="N4468" s="2" t="s">
        <v>3446</v>
      </c>
    </row>
    <row r="4469" spans="13:14" x14ac:dyDescent="0.5">
      <c r="M4469" s="2">
        <v>4468</v>
      </c>
      <c r="N4469" s="2" t="s">
        <v>3446</v>
      </c>
    </row>
    <row r="4470" spans="13:14" x14ac:dyDescent="0.5">
      <c r="M4470" s="2">
        <v>4469</v>
      </c>
      <c r="N4470" s="2" t="s">
        <v>3446</v>
      </c>
    </row>
    <row r="4471" spans="13:14" x14ac:dyDescent="0.5">
      <c r="M4471" s="2">
        <v>4470</v>
      </c>
      <c r="N4471" s="2" t="s">
        <v>3446</v>
      </c>
    </row>
    <row r="4472" spans="13:14" x14ac:dyDescent="0.5">
      <c r="M4472" s="2">
        <v>4471</v>
      </c>
      <c r="N4472" s="2" t="s">
        <v>3446</v>
      </c>
    </row>
    <row r="4473" spans="13:14" x14ac:dyDescent="0.5">
      <c r="M4473" s="2">
        <v>4472</v>
      </c>
      <c r="N4473" s="2" t="s">
        <v>3446</v>
      </c>
    </row>
    <row r="4474" spans="13:14" x14ac:dyDescent="0.5">
      <c r="M4474" s="2">
        <v>4473</v>
      </c>
    </row>
    <row r="4475" spans="13:14" x14ac:dyDescent="0.5">
      <c r="M4475" s="2">
        <v>4474</v>
      </c>
      <c r="N4475" s="2" t="s">
        <v>3446</v>
      </c>
    </row>
    <row r="4476" spans="13:14" x14ac:dyDescent="0.5">
      <c r="M4476" s="2">
        <v>4475</v>
      </c>
      <c r="N4476" s="2" t="s">
        <v>3446</v>
      </c>
    </row>
    <row r="4477" spans="13:14" x14ac:dyDescent="0.5">
      <c r="M4477" s="2">
        <v>4476</v>
      </c>
      <c r="N4477" s="2" t="s">
        <v>3446</v>
      </c>
    </row>
    <row r="4478" spans="13:14" x14ac:dyDescent="0.5">
      <c r="M4478" s="2">
        <v>4477</v>
      </c>
      <c r="N4478" s="2" t="s">
        <v>3446</v>
      </c>
    </row>
    <row r="4479" spans="13:14" x14ac:dyDescent="0.5">
      <c r="M4479" s="2">
        <v>4478</v>
      </c>
    </row>
    <row r="4480" spans="13:14" x14ac:dyDescent="0.5">
      <c r="M4480" s="2">
        <v>4479</v>
      </c>
      <c r="N4480" s="2" t="s">
        <v>3446</v>
      </c>
    </row>
    <row r="4481" spans="13:14" x14ac:dyDescent="0.5">
      <c r="M4481" s="2">
        <v>4480</v>
      </c>
      <c r="N4481" s="2" t="s">
        <v>3446</v>
      </c>
    </row>
    <row r="4482" spans="13:14" x14ac:dyDescent="0.5">
      <c r="M4482" s="2">
        <v>4481</v>
      </c>
      <c r="N4482" s="2" t="s">
        <v>3446</v>
      </c>
    </row>
    <row r="4483" spans="13:14" x14ac:dyDescent="0.5">
      <c r="M4483" s="2">
        <v>4482</v>
      </c>
      <c r="N4483" s="2" t="s">
        <v>3446</v>
      </c>
    </row>
    <row r="4484" spans="13:14" x14ac:dyDescent="0.5">
      <c r="M4484" s="2">
        <v>4483</v>
      </c>
      <c r="N4484" s="2" t="s">
        <v>3446</v>
      </c>
    </row>
    <row r="4485" spans="13:14" x14ac:dyDescent="0.5">
      <c r="M4485" s="2">
        <v>4484</v>
      </c>
      <c r="N4485" s="2" t="s">
        <v>3446</v>
      </c>
    </row>
    <row r="4486" spans="13:14" x14ac:dyDescent="0.5">
      <c r="M4486" s="2">
        <v>4485</v>
      </c>
      <c r="N4486" s="2" t="s">
        <v>3446</v>
      </c>
    </row>
    <row r="4487" spans="13:14" x14ac:dyDescent="0.5">
      <c r="M4487" s="2">
        <v>4486</v>
      </c>
      <c r="N4487" s="2" t="s">
        <v>3446</v>
      </c>
    </row>
    <row r="4488" spans="13:14" x14ac:dyDescent="0.5">
      <c r="M4488" s="2">
        <v>4487</v>
      </c>
      <c r="N4488" s="2" t="s">
        <v>3446</v>
      </c>
    </row>
    <row r="4489" spans="13:14" x14ac:dyDescent="0.5">
      <c r="M4489" s="2">
        <v>4488</v>
      </c>
      <c r="N4489" s="2" t="s">
        <v>3446</v>
      </c>
    </row>
    <row r="4490" spans="13:14" x14ac:dyDescent="0.5">
      <c r="M4490" s="2">
        <v>4489</v>
      </c>
      <c r="N4490" s="2" t="s">
        <v>3446</v>
      </c>
    </row>
    <row r="4491" spans="13:14" x14ac:dyDescent="0.5">
      <c r="M4491" s="2">
        <v>4490</v>
      </c>
      <c r="N4491" s="2" t="s">
        <v>3446</v>
      </c>
    </row>
    <row r="4492" spans="13:14" x14ac:dyDescent="0.5">
      <c r="M4492" s="2">
        <v>4491</v>
      </c>
      <c r="N4492" s="2" t="s">
        <v>3446</v>
      </c>
    </row>
    <row r="4493" spans="13:14" x14ac:dyDescent="0.5">
      <c r="M4493" s="2">
        <v>4492</v>
      </c>
      <c r="N4493" s="2" t="s">
        <v>3446</v>
      </c>
    </row>
    <row r="4494" spans="13:14" x14ac:dyDescent="0.5">
      <c r="M4494" s="2">
        <v>4493</v>
      </c>
      <c r="N4494" s="2" t="s">
        <v>3446</v>
      </c>
    </row>
    <row r="4495" spans="13:14" x14ac:dyDescent="0.5">
      <c r="M4495" s="2">
        <v>4494</v>
      </c>
      <c r="N4495" s="2" t="s">
        <v>3446</v>
      </c>
    </row>
    <row r="4496" spans="13:14" x14ac:dyDescent="0.5">
      <c r="M4496" s="2">
        <v>4495</v>
      </c>
      <c r="N4496" s="2" t="s">
        <v>3446</v>
      </c>
    </row>
    <row r="4497" spans="13:14" x14ac:dyDescent="0.5">
      <c r="M4497" s="2">
        <v>4496</v>
      </c>
      <c r="N4497" s="2" t="s">
        <v>3446</v>
      </c>
    </row>
    <row r="4498" spans="13:14" x14ac:dyDescent="0.5">
      <c r="M4498" s="2">
        <v>4497</v>
      </c>
      <c r="N4498" s="2" t="s">
        <v>3446</v>
      </c>
    </row>
    <row r="4499" spans="13:14" x14ac:dyDescent="0.5">
      <c r="M4499" s="2">
        <v>4498</v>
      </c>
    </row>
    <row r="4500" spans="13:14" x14ac:dyDescent="0.5">
      <c r="M4500" s="2">
        <v>4499</v>
      </c>
      <c r="N4500" s="2" t="s">
        <v>3446</v>
      </c>
    </row>
    <row r="4501" spans="13:14" x14ac:dyDescent="0.5">
      <c r="M4501" s="2">
        <v>4500</v>
      </c>
    </row>
    <row r="4502" spans="13:14" x14ac:dyDescent="0.5">
      <c r="M4502" s="2">
        <v>4501</v>
      </c>
      <c r="N4502" s="2" t="s">
        <v>3446</v>
      </c>
    </row>
    <row r="4503" spans="13:14" x14ac:dyDescent="0.5">
      <c r="M4503" s="2">
        <v>4502</v>
      </c>
      <c r="N4503" s="2" t="s">
        <v>3446</v>
      </c>
    </row>
    <row r="4504" spans="13:14" x14ac:dyDescent="0.5">
      <c r="M4504" s="2">
        <v>4503</v>
      </c>
      <c r="N4504" s="2" t="s">
        <v>3446</v>
      </c>
    </row>
    <row r="4505" spans="13:14" x14ac:dyDescent="0.5">
      <c r="M4505" s="2">
        <v>4504</v>
      </c>
      <c r="N4505" s="2" t="s">
        <v>3446</v>
      </c>
    </row>
    <row r="4506" spans="13:14" x14ac:dyDescent="0.5">
      <c r="M4506" s="2">
        <v>4505</v>
      </c>
    </row>
    <row r="4507" spans="13:14" x14ac:dyDescent="0.5">
      <c r="M4507" s="2">
        <v>4506</v>
      </c>
      <c r="N4507" s="2" t="s">
        <v>3446</v>
      </c>
    </row>
    <row r="4508" spans="13:14" x14ac:dyDescent="0.5">
      <c r="M4508" s="2">
        <v>4507</v>
      </c>
    </row>
    <row r="4509" spans="13:14" x14ac:dyDescent="0.5">
      <c r="M4509" s="2">
        <v>4508</v>
      </c>
    </row>
    <row r="4510" spans="13:14" x14ac:dyDescent="0.5">
      <c r="M4510" s="2">
        <v>4509</v>
      </c>
      <c r="N4510" s="2" t="s">
        <v>3446</v>
      </c>
    </row>
    <row r="4511" spans="13:14" x14ac:dyDescent="0.5">
      <c r="M4511" s="2">
        <v>4510</v>
      </c>
      <c r="N4511" s="2" t="s">
        <v>3446</v>
      </c>
    </row>
    <row r="4512" spans="13:14" x14ac:dyDescent="0.5">
      <c r="M4512" s="2">
        <v>4511</v>
      </c>
      <c r="N4512" s="2" t="s">
        <v>3446</v>
      </c>
    </row>
    <row r="4513" spans="13:14" x14ac:dyDescent="0.5">
      <c r="M4513" s="2">
        <v>4512</v>
      </c>
      <c r="N4513" s="2" t="s">
        <v>3446</v>
      </c>
    </row>
    <row r="4514" spans="13:14" x14ac:dyDescent="0.5">
      <c r="M4514" s="2">
        <v>4513</v>
      </c>
      <c r="N4514" s="2" t="s">
        <v>3446</v>
      </c>
    </row>
    <row r="4515" spans="13:14" x14ac:dyDescent="0.5">
      <c r="M4515" s="2">
        <v>4514</v>
      </c>
      <c r="N4515" s="2" t="s">
        <v>3446</v>
      </c>
    </row>
    <row r="4516" spans="13:14" x14ac:dyDescent="0.5">
      <c r="M4516" s="2">
        <v>4515</v>
      </c>
      <c r="N4516" s="2" t="s">
        <v>3446</v>
      </c>
    </row>
    <row r="4517" spans="13:14" x14ac:dyDescent="0.5">
      <c r="M4517" s="2">
        <v>4516</v>
      </c>
      <c r="N4517" s="2" t="s">
        <v>3446</v>
      </c>
    </row>
    <row r="4518" spans="13:14" x14ac:dyDescent="0.5">
      <c r="M4518" s="2">
        <v>4517</v>
      </c>
    </row>
    <row r="4519" spans="13:14" x14ac:dyDescent="0.5">
      <c r="M4519" s="2">
        <v>4518</v>
      </c>
    </row>
    <row r="4520" spans="13:14" x14ac:dyDescent="0.5">
      <c r="M4520" s="2">
        <v>4519</v>
      </c>
    </row>
    <row r="4521" spans="13:14" x14ac:dyDescent="0.5">
      <c r="M4521" s="2">
        <v>4520</v>
      </c>
      <c r="N4521" s="2" t="s">
        <v>3446</v>
      </c>
    </row>
    <row r="4522" spans="13:14" x14ac:dyDescent="0.5">
      <c r="M4522" s="2">
        <v>4521</v>
      </c>
      <c r="N4522" s="2" t="s">
        <v>3446</v>
      </c>
    </row>
    <row r="4523" spans="13:14" x14ac:dyDescent="0.5">
      <c r="M4523" s="2">
        <v>4522</v>
      </c>
      <c r="N4523" s="2" t="s">
        <v>3446</v>
      </c>
    </row>
    <row r="4524" spans="13:14" x14ac:dyDescent="0.5">
      <c r="M4524" s="2">
        <v>4523</v>
      </c>
      <c r="N4524" s="2" t="s">
        <v>3446</v>
      </c>
    </row>
    <row r="4525" spans="13:14" x14ac:dyDescent="0.5">
      <c r="M4525" s="2">
        <v>4524</v>
      </c>
      <c r="N4525" s="2" t="s">
        <v>3446</v>
      </c>
    </row>
    <row r="4526" spans="13:14" x14ac:dyDescent="0.5">
      <c r="M4526" s="2">
        <v>4525</v>
      </c>
    </row>
    <row r="4527" spans="13:14" x14ac:dyDescent="0.5">
      <c r="M4527" s="2">
        <v>4526</v>
      </c>
      <c r="N4527" s="2" t="s">
        <v>3446</v>
      </c>
    </row>
    <row r="4528" spans="13:14" x14ac:dyDescent="0.5">
      <c r="M4528" s="2">
        <v>4527</v>
      </c>
    </row>
    <row r="4529" spans="13:14" x14ac:dyDescent="0.5">
      <c r="M4529" s="2">
        <v>4528</v>
      </c>
    </row>
    <row r="4530" spans="13:14" x14ac:dyDescent="0.5">
      <c r="M4530" s="2">
        <v>4529</v>
      </c>
      <c r="N4530" s="2" t="s">
        <v>3446</v>
      </c>
    </row>
    <row r="4531" spans="13:14" x14ac:dyDescent="0.5">
      <c r="M4531" s="2">
        <v>4530</v>
      </c>
      <c r="N4531" s="2" t="s">
        <v>3446</v>
      </c>
    </row>
    <row r="4532" spans="13:14" x14ac:dyDescent="0.5">
      <c r="M4532" s="2">
        <v>4531</v>
      </c>
      <c r="N4532" s="2" t="s">
        <v>3446</v>
      </c>
    </row>
    <row r="4533" spans="13:14" x14ac:dyDescent="0.5">
      <c r="M4533" s="2">
        <v>4532</v>
      </c>
      <c r="N4533" s="2" t="s">
        <v>3446</v>
      </c>
    </row>
    <row r="4534" spans="13:14" x14ac:dyDescent="0.5">
      <c r="M4534" s="2">
        <v>4533</v>
      </c>
      <c r="N4534" s="2" t="s">
        <v>3446</v>
      </c>
    </row>
    <row r="4535" spans="13:14" x14ac:dyDescent="0.5">
      <c r="M4535" s="2">
        <v>4534</v>
      </c>
      <c r="N4535" s="2" t="s">
        <v>3446</v>
      </c>
    </row>
    <row r="4536" spans="13:14" x14ac:dyDescent="0.5">
      <c r="M4536" s="2">
        <v>4535</v>
      </c>
      <c r="N4536" s="2" t="s">
        <v>3446</v>
      </c>
    </row>
    <row r="4537" spans="13:14" x14ac:dyDescent="0.5">
      <c r="M4537" s="2">
        <v>4536</v>
      </c>
      <c r="N4537" s="2" t="s">
        <v>3446</v>
      </c>
    </row>
    <row r="4538" spans="13:14" x14ac:dyDescent="0.5">
      <c r="M4538" s="2">
        <v>4537</v>
      </c>
      <c r="N4538" s="2" t="s">
        <v>3446</v>
      </c>
    </row>
    <row r="4539" spans="13:14" x14ac:dyDescent="0.5">
      <c r="M4539" s="2">
        <v>4538</v>
      </c>
      <c r="N4539" s="2" t="s">
        <v>3446</v>
      </c>
    </row>
    <row r="4540" spans="13:14" x14ac:dyDescent="0.5">
      <c r="M4540" s="2">
        <v>4539</v>
      </c>
      <c r="N4540" s="2" t="s">
        <v>3446</v>
      </c>
    </row>
    <row r="4541" spans="13:14" x14ac:dyDescent="0.5">
      <c r="M4541" s="2">
        <v>4540</v>
      </c>
      <c r="N4541" s="2" t="s">
        <v>3446</v>
      </c>
    </row>
    <row r="4542" spans="13:14" x14ac:dyDescent="0.5">
      <c r="M4542" s="2">
        <v>4541</v>
      </c>
      <c r="N4542" s="2" t="s">
        <v>3446</v>
      </c>
    </row>
    <row r="4543" spans="13:14" x14ac:dyDescent="0.5">
      <c r="M4543" s="2">
        <v>4542</v>
      </c>
      <c r="N4543" s="2" t="s">
        <v>3446</v>
      </c>
    </row>
    <row r="4544" spans="13:14" x14ac:dyDescent="0.5">
      <c r="M4544" s="2">
        <v>4543</v>
      </c>
      <c r="N4544" s="2" t="s">
        <v>3446</v>
      </c>
    </row>
    <row r="4545" spans="13:14" x14ac:dyDescent="0.5">
      <c r="M4545" s="2">
        <v>4544</v>
      </c>
      <c r="N4545" s="2" t="s">
        <v>3446</v>
      </c>
    </row>
    <row r="4546" spans="13:14" x14ac:dyDescent="0.5">
      <c r="M4546" s="2">
        <v>4545</v>
      </c>
      <c r="N4546" s="2" t="s">
        <v>3446</v>
      </c>
    </row>
    <row r="4547" spans="13:14" x14ac:dyDescent="0.5">
      <c r="M4547" s="2">
        <v>4546</v>
      </c>
      <c r="N4547" s="2" t="s">
        <v>3446</v>
      </c>
    </row>
    <row r="4548" spans="13:14" x14ac:dyDescent="0.5">
      <c r="M4548" s="2">
        <v>4547</v>
      </c>
      <c r="N4548" s="2" t="s">
        <v>3446</v>
      </c>
    </row>
    <row r="4549" spans="13:14" x14ac:dyDescent="0.5">
      <c r="M4549" s="2">
        <v>4548</v>
      </c>
      <c r="N4549" s="2" t="s">
        <v>3446</v>
      </c>
    </row>
    <row r="4550" spans="13:14" x14ac:dyDescent="0.5">
      <c r="M4550" s="2">
        <v>4549</v>
      </c>
    </row>
    <row r="4551" spans="13:14" x14ac:dyDescent="0.5">
      <c r="M4551" s="2">
        <v>4550</v>
      </c>
      <c r="N4551" s="2" t="s">
        <v>3446</v>
      </c>
    </row>
    <row r="4552" spans="13:14" x14ac:dyDescent="0.5">
      <c r="M4552" s="2">
        <v>4551</v>
      </c>
      <c r="N4552" s="2" t="s">
        <v>3446</v>
      </c>
    </row>
    <row r="4553" spans="13:14" x14ac:dyDescent="0.5">
      <c r="M4553" s="2">
        <v>4552</v>
      </c>
      <c r="N4553" s="2" t="s">
        <v>3446</v>
      </c>
    </row>
    <row r="4554" spans="13:14" x14ac:dyDescent="0.5">
      <c r="M4554" s="2">
        <v>4553</v>
      </c>
      <c r="N4554" s="2" t="s">
        <v>3446</v>
      </c>
    </row>
    <row r="4555" spans="13:14" x14ac:dyDescent="0.5">
      <c r="M4555" s="2">
        <v>4554</v>
      </c>
      <c r="N4555" s="2" t="s">
        <v>3446</v>
      </c>
    </row>
    <row r="4556" spans="13:14" x14ac:dyDescent="0.5">
      <c r="M4556" s="2">
        <v>4555</v>
      </c>
      <c r="N4556" s="2" t="s">
        <v>3446</v>
      </c>
    </row>
    <row r="4557" spans="13:14" x14ac:dyDescent="0.5">
      <c r="M4557" s="2">
        <v>4556</v>
      </c>
      <c r="N4557" s="2" t="s">
        <v>3446</v>
      </c>
    </row>
    <row r="4558" spans="13:14" x14ac:dyDescent="0.5">
      <c r="M4558" s="2">
        <v>4557</v>
      </c>
      <c r="N4558" s="2" t="s">
        <v>3446</v>
      </c>
    </row>
    <row r="4559" spans="13:14" x14ac:dyDescent="0.5">
      <c r="M4559" s="2">
        <v>4558</v>
      </c>
      <c r="N4559" s="2" t="s">
        <v>3446</v>
      </c>
    </row>
    <row r="4560" spans="13:14" x14ac:dyDescent="0.5">
      <c r="M4560" s="2">
        <v>4559</v>
      </c>
    </row>
    <row r="4561" spans="13:14" x14ac:dyDescent="0.5">
      <c r="M4561" s="2">
        <v>4560</v>
      </c>
      <c r="N4561" s="2" t="s">
        <v>3446</v>
      </c>
    </row>
    <row r="4562" spans="13:14" x14ac:dyDescent="0.5">
      <c r="M4562" s="2">
        <v>4561</v>
      </c>
      <c r="N4562" s="2" t="s">
        <v>3446</v>
      </c>
    </row>
    <row r="4563" spans="13:14" x14ac:dyDescent="0.5">
      <c r="M4563" s="2">
        <v>4562</v>
      </c>
      <c r="N4563" s="2" t="s">
        <v>3446</v>
      </c>
    </row>
    <row r="4564" spans="13:14" x14ac:dyDescent="0.5">
      <c r="M4564" s="2">
        <v>4563</v>
      </c>
      <c r="N4564" s="2" t="s">
        <v>3446</v>
      </c>
    </row>
    <row r="4565" spans="13:14" x14ac:dyDescent="0.5">
      <c r="M4565" s="2">
        <v>4564</v>
      </c>
    </row>
    <row r="4566" spans="13:14" x14ac:dyDescent="0.5">
      <c r="M4566" s="2">
        <v>4565</v>
      </c>
      <c r="N4566" s="2" t="s">
        <v>3446</v>
      </c>
    </row>
    <row r="4567" spans="13:14" x14ac:dyDescent="0.5">
      <c r="M4567" s="2">
        <v>4566</v>
      </c>
    </row>
    <row r="4568" spans="13:14" x14ac:dyDescent="0.5">
      <c r="M4568" s="2">
        <v>4567</v>
      </c>
      <c r="N4568" s="2" t="s">
        <v>3446</v>
      </c>
    </row>
    <row r="4569" spans="13:14" x14ac:dyDescent="0.5">
      <c r="M4569" s="2">
        <v>4568</v>
      </c>
      <c r="N4569" s="2" t="s">
        <v>3446</v>
      </c>
    </row>
    <row r="4570" spans="13:14" x14ac:dyDescent="0.5">
      <c r="M4570" s="2">
        <v>4569</v>
      </c>
      <c r="N4570" s="2" t="s">
        <v>3446</v>
      </c>
    </row>
    <row r="4571" spans="13:14" x14ac:dyDescent="0.5">
      <c r="M4571" s="2">
        <v>4570</v>
      </c>
      <c r="N4571" s="2" t="s">
        <v>3446</v>
      </c>
    </row>
    <row r="4572" spans="13:14" x14ac:dyDescent="0.5">
      <c r="M4572" s="2">
        <v>4571</v>
      </c>
      <c r="N4572" s="2" t="s">
        <v>3446</v>
      </c>
    </row>
    <row r="4573" spans="13:14" x14ac:dyDescent="0.5">
      <c r="M4573" s="2">
        <v>4572</v>
      </c>
    </row>
    <row r="4574" spans="13:14" x14ac:dyDescent="0.5">
      <c r="M4574" s="2">
        <v>4573</v>
      </c>
      <c r="N4574" s="2" t="s">
        <v>3446</v>
      </c>
    </row>
    <row r="4575" spans="13:14" x14ac:dyDescent="0.5">
      <c r="M4575" s="2">
        <v>4574</v>
      </c>
      <c r="N4575" s="2" t="s">
        <v>3446</v>
      </c>
    </row>
    <row r="4576" spans="13:14" x14ac:dyDescent="0.5">
      <c r="M4576" s="2">
        <v>4575</v>
      </c>
      <c r="N4576" s="2" t="s">
        <v>3446</v>
      </c>
    </row>
    <row r="4577" spans="13:14" x14ac:dyDescent="0.5">
      <c r="M4577" s="2">
        <v>4576</v>
      </c>
      <c r="N4577" s="2" t="s">
        <v>3446</v>
      </c>
    </row>
    <row r="4578" spans="13:14" x14ac:dyDescent="0.5">
      <c r="M4578" s="2">
        <v>4577</v>
      </c>
      <c r="N4578" s="2" t="s">
        <v>3446</v>
      </c>
    </row>
    <row r="4579" spans="13:14" x14ac:dyDescent="0.5">
      <c r="M4579" s="2">
        <v>4578</v>
      </c>
      <c r="N4579" s="2" t="s">
        <v>3446</v>
      </c>
    </row>
    <row r="4580" spans="13:14" x14ac:dyDescent="0.5">
      <c r="M4580" s="2">
        <v>4579</v>
      </c>
      <c r="N4580" s="2" t="s">
        <v>3446</v>
      </c>
    </row>
    <row r="4581" spans="13:14" x14ac:dyDescent="0.5">
      <c r="M4581" s="2">
        <v>4580</v>
      </c>
      <c r="N4581" s="2" t="s">
        <v>3446</v>
      </c>
    </row>
    <row r="4582" spans="13:14" x14ac:dyDescent="0.5">
      <c r="M4582" s="2">
        <v>4581</v>
      </c>
      <c r="N4582" s="2" t="s">
        <v>3446</v>
      </c>
    </row>
    <row r="4583" spans="13:14" x14ac:dyDescent="0.5">
      <c r="M4583" s="2">
        <v>4582</v>
      </c>
      <c r="N4583" s="2" t="s">
        <v>3446</v>
      </c>
    </row>
    <row r="4584" spans="13:14" x14ac:dyDescent="0.5">
      <c r="M4584" s="2">
        <v>4583</v>
      </c>
      <c r="N4584" s="2" t="s">
        <v>3446</v>
      </c>
    </row>
    <row r="4585" spans="13:14" x14ac:dyDescent="0.5">
      <c r="M4585" s="2">
        <v>4584</v>
      </c>
      <c r="N4585" s="2" t="s">
        <v>3446</v>
      </c>
    </row>
    <row r="4586" spans="13:14" x14ac:dyDescent="0.5">
      <c r="M4586" s="2">
        <v>4585</v>
      </c>
      <c r="N4586" s="2" t="s">
        <v>3446</v>
      </c>
    </row>
    <row r="4587" spans="13:14" x14ac:dyDescent="0.5">
      <c r="M4587" s="2">
        <v>4586</v>
      </c>
      <c r="N4587" s="2" t="s">
        <v>3446</v>
      </c>
    </row>
    <row r="4588" spans="13:14" x14ac:dyDescent="0.5">
      <c r="M4588" s="2">
        <v>4587</v>
      </c>
      <c r="N4588" s="2" t="s">
        <v>3446</v>
      </c>
    </row>
    <row r="4589" spans="13:14" x14ac:dyDescent="0.5">
      <c r="M4589" s="2">
        <v>4588</v>
      </c>
      <c r="N4589" s="2" t="s">
        <v>3446</v>
      </c>
    </row>
    <row r="4590" spans="13:14" x14ac:dyDescent="0.5">
      <c r="M4590" s="2">
        <v>4589</v>
      </c>
      <c r="N4590" s="2" t="s">
        <v>3446</v>
      </c>
    </row>
    <row r="4591" spans="13:14" x14ac:dyDescent="0.5">
      <c r="M4591" s="2">
        <v>4590</v>
      </c>
      <c r="N4591" s="2" t="s">
        <v>3446</v>
      </c>
    </row>
    <row r="4592" spans="13:14" x14ac:dyDescent="0.5">
      <c r="M4592" s="2">
        <v>4591</v>
      </c>
      <c r="N4592" s="2" t="s">
        <v>3446</v>
      </c>
    </row>
    <row r="4593" spans="13:14" x14ac:dyDescent="0.5">
      <c r="M4593" s="2">
        <v>4592</v>
      </c>
      <c r="N4593" s="2" t="s">
        <v>3446</v>
      </c>
    </row>
    <row r="4594" spans="13:14" x14ac:dyDescent="0.5">
      <c r="M4594" s="2">
        <v>4593</v>
      </c>
      <c r="N4594" s="2" t="s">
        <v>3446</v>
      </c>
    </row>
    <row r="4595" spans="13:14" x14ac:dyDescent="0.5">
      <c r="M4595" s="2">
        <v>4594</v>
      </c>
      <c r="N4595" s="2" t="s">
        <v>3446</v>
      </c>
    </row>
    <row r="4596" spans="13:14" x14ac:dyDescent="0.5">
      <c r="M4596" s="2">
        <v>4595</v>
      </c>
      <c r="N4596" s="2" t="s">
        <v>3446</v>
      </c>
    </row>
    <row r="4597" spans="13:14" x14ac:dyDescent="0.5">
      <c r="M4597" s="2">
        <v>4596</v>
      </c>
      <c r="N4597" s="2" t="s">
        <v>3446</v>
      </c>
    </row>
    <row r="4598" spans="13:14" x14ac:dyDescent="0.5">
      <c r="M4598" s="2">
        <v>4597</v>
      </c>
      <c r="N4598" s="2" t="s">
        <v>3446</v>
      </c>
    </row>
    <row r="4599" spans="13:14" x14ac:dyDescent="0.5">
      <c r="M4599" s="2">
        <v>4598</v>
      </c>
      <c r="N4599" s="2" t="s">
        <v>3446</v>
      </c>
    </row>
    <row r="4600" spans="13:14" x14ac:dyDescent="0.5">
      <c r="M4600" s="2">
        <v>4599</v>
      </c>
      <c r="N4600" s="2" t="s">
        <v>3446</v>
      </c>
    </row>
    <row r="4601" spans="13:14" x14ac:dyDescent="0.5">
      <c r="M4601" s="2">
        <v>4600</v>
      </c>
      <c r="N4601" s="2" t="s">
        <v>3446</v>
      </c>
    </row>
    <row r="4602" spans="13:14" x14ac:dyDescent="0.5">
      <c r="M4602" s="2">
        <v>4601</v>
      </c>
      <c r="N4602" s="2" t="s">
        <v>3446</v>
      </c>
    </row>
    <row r="4603" spans="13:14" x14ac:dyDescent="0.5">
      <c r="M4603" s="2">
        <v>4602</v>
      </c>
      <c r="N4603" s="2" t="s">
        <v>3446</v>
      </c>
    </row>
    <row r="4604" spans="13:14" x14ac:dyDescent="0.5">
      <c r="M4604" s="2">
        <v>4603</v>
      </c>
      <c r="N4604" s="2" t="s">
        <v>3446</v>
      </c>
    </row>
    <row r="4605" spans="13:14" x14ac:dyDescent="0.5">
      <c r="M4605" s="2">
        <v>4604</v>
      </c>
      <c r="N4605" s="2" t="s">
        <v>3446</v>
      </c>
    </row>
    <row r="4606" spans="13:14" x14ac:dyDescent="0.5">
      <c r="M4606" s="2">
        <v>4605</v>
      </c>
      <c r="N4606" s="2" t="s">
        <v>3446</v>
      </c>
    </row>
    <row r="4607" spans="13:14" x14ac:dyDescent="0.5">
      <c r="M4607" s="2">
        <v>4606</v>
      </c>
      <c r="N4607" s="2" t="s">
        <v>3446</v>
      </c>
    </row>
    <row r="4608" spans="13:14" x14ac:dyDescent="0.5">
      <c r="M4608" s="2">
        <v>4607</v>
      </c>
      <c r="N4608" s="2" t="s">
        <v>3446</v>
      </c>
    </row>
    <row r="4609" spans="13:14" x14ac:dyDescent="0.5">
      <c r="M4609" s="2">
        <v>4608</v>
      </c>
      <c r="N4609" s="2" t="s">
        <v>3446</v>
      </c>
    </row>
    <row r="4610" spans="13:14" x14ac:dyDescent="0.5">
      <c r="M4610" s="2">
        <v>4609</v>
      </c>
    </row>
    <row r="4611" spans="13:14" x14ac:dyDescent="0.5">
      <c r="M4611" s="2">
        <v>4610</v>
      </c>
    </row>
    <row r="4612" spans="13:14" x14ac:dyDescent="0.5">
      <c r="M4612" s="2">
        <v>4611</v>
      </c>
    </row>
    <row r="4613" spans="13:14" x14ac:dyDescent="0.5">
      <c r="M4613" s="2">
        <v>4612</v>
      </c>
    </row>
    <row r="4614" spans="13:14" x14ac:dyDescent="0.5">
      <c r="M4614" s="2">
        <v>4613</v>
      </c>
    </row>
    <row r="4615" spans="13:14" x14ac:dyDescent="0.5">
      <c r="M4615" s="2">
        <v>4614</v>
      </c>
    </row>
    <row r="4616" spans="13:14" x14ac:dyDescent="0.5">
      <c r="M4616" s="2">
        <v>4615</v>
      </c>
    </row>
    <row r="4617" spans="13:14" x14ac:dyDescent="0.5">
      <c r="M4617" s="2">
        <v>4616</v>
      </c>
    </row>
    <row r="4618" spans="13:14" x14ac:dyDescent="0.5">
      <c r="M4618" s="2">
        <v>4617</v>
      </c>
    </row>
    <row r="4619" spans="13:14" x14ac:dyDescent="0.5">
      <c r="M4619" s="2">
        <v>4618</v>
      </c>
    </row>
    <row r="4620" spans="13:14" x14ac:dyDescent="0.5">
      <c r="M4620" s="2">
        <v>4619</v>
      </c>
    </row>
    <row r="4621" spans="13:14" x14ac:dyDescent="0.5">
      <c r="M4621" s="2">
        <v>4620</v>
      </c>
    </row>
    <row r="4622" spans="13:14" x14ac:dyDescent="0.5">
      <c r="M4622" s="2">
        <v>4621</v>
      </c>
    </row>
    <row r="4623" spans="13:14" x14ac:dyDescent="0.5">
      <c r="M4623" s="2">
        <v>4622</v>
      </c>
    </row>
    <row r="4624" spans="13:14" x14ac:dyDescent="0.5">
      <c r="M4624" s="2">
        <v>4623</v>
      </c>
    </row>
    <row r="4625" spans="13:14" x14ac:dyDescent="0.5">
      <c r="M4625" s="2">
        <v>4624</v>
      </c>
    </row>
    <row r="4626" spans="13:14" x14ac:dyDescent="0.5">
      <c r="M4626" s="2">
        <v>4625</v>
      </c>
    </row>
    <row r="4627" spans="13:14" x14ac:dyDescent="0.5">
      <c r="M4627" s="2">
        <v>4626</v>
      </c>
    </row>
    <row r="4628" spans="13:14" x14ac:dyDescent="0.5">
      <c r="M4628" s="2">
        <v>4627</v>
      </c>
    </row>
    <row r="4629" spans="13:14" x14ac:dyDescent="0.5">
      <c r="M4629" s="2">
        <v>4628</v>
      </c>
    </row>
    <row r="4630" spans="13:14" x14ac:dyDescent="0.5">
      <c r="M4630" s="2">
        <v>4629</v>
      </c>
    </row>
    <row r="4631" spans="13:14" x14ac:dyDescent="0.5">
      <c r="M4631" s="2">
        <v>4630</v>
      </c>
    </row>
    <row r="4632" spans="13:14" x14ac:dyDescent="0.5">
      <c r="M4632" s="2">
        <v>4631</v>
      </c>
    </row>
    <row r="4633" spans="13:14" x14ac:dyDescent="0.5">
      <c r="M4633" s="2">
        <v>4632</v>
      </c>
    </row>
    <row r="4634" spans="13:14" x14ac:dyDescent="0.5">
      <c r="M4634" s="2">
        <v>4633</v>
      </c>
      <c r="N4634" s="2" t="s">
        <v>3446</v>
      </c>
    </row>
    <row r="4635" spans="13:14" x14ac:dyDescent="0.5">
      <c r="M4635" s="2">
        <v>4634</v>
      </c>
      <c r="N4635" s="2" t="s">
        <v>3446</v>
      </c>
    </row>
    <row r="4636" spans="13:14" x14ac:dyDescent="0.5">
      <c r="M4636" s="2">
        <v>4635</v>
      </c>
      <c r="N4636" s="2" t="s">
        <v>3446</v>
      </c>
    </row>
    <row r="4637" spans="13:14" x14ac:dyDescent="0.5">
      <c r="M4637" s="2">
        <v>4636</v>
      </c>
      <c r="N4637" s="2" t="s">
        <v>3446</v>
      </c>
    </row>
    <row r="4638" spans="13:14" x14ac:dyDescent="0.5">
      <c r="M4638" s="2">
        <v>4637</v>
      </c>
      <c r="N4638" s="2" t="s">
        <v>3446</v>
      </c>
    </row>
    <row r="4639" spans="13:14" x14ac:dyDescent="0.5">
      <c r="M4639" s="2">
        <v>4638</v>
      </c>
      <c r="N4639" s="2" t="s">
        <v>3446</v>
      </c>
    </row>
    <row r="4640" spans="13:14" x14ac:dyDescent="0.5">
      <c r="M4640" s="2">
        <v>4639</v>
      </c>
      <c r="N4640" s="2" t="s">
        <v>3446</v>
      </c>
    </row>
    <row r="4641" spans="13:14" x14ac:dyDescent="0.5">
      <c r="M4641" s="2">
        <v>4640</v>
      </c>
      <c r="N4641" s="2" t="s">
        <v>3446</v>
      </c>
    </row>
    <row r="4642" spans="13:14" x14ac:dyDescent="0.5">
      <c r="M4642" s="2">
        <v>4641</v>
      </c>
      <c r="N4642" s="2" t="s">
        <v>3446</v>
      </c>
    </row>
    <row r="4643" spans="13:14" x14ac:dyDescent="0.5">
      <c r="M4643" s="2">
        <v>4642</v>
      </c>
      <c r="N4643" s="2" t="s">
        <v>3446</v>
      </c>
    </row>
    <row r="4644" spans="13:14" x14ac:dyDescent="0.5">
      <c r="M4644" s="2">
        <v>4643</v>
      </c>
      <c r="N4644" s="2" t="s">
        <v>3446</v>
      </c>
    </row>
    <row r="4645" spans="13:14" x14ac:dyDescent="0.5">
      <c r="M4645" s="2">
        <v>4644</v>
      </c>
      <c r="N4645" s="2" t="s">
        <v>3446</v>
      </c>
    </row>
    <row r="4646" spans="13:14" x14ac:dyDescent="0.5">
      <c r="M4646" s="2">
        <v>4645</v>
      </c>
      <c r="N4646" s="2" t="s">
        <v>3446</v>
      </c>
    </row>
    <row r="4647" spans="13:14" x14ac:dyDescent="0.5">
      <c r="M4647" s="2">
        <v>4646</v>
      </c>
      <c r="N4647" s="2" t="s">
        <v>3446</v>
      </c>
    </row>
    <row r="4648" spans="13:14" x14ac:dyDescent="0.5">
      <c r="M4648" s="2">
        <v>4647</v>
      </c>
      <c r="N4648" s="2" t="s">
        <v>3446</v>
      </c>
    </row>
    <row r="4649" spans="13:14" x14ac:dyDescent="0.5">
      <c r="M4649" s="2">
        <v>4648</v>
      </c>
      <c r="N4649" s="2" t="s">
        <v>3446</v>
      </c>
    </row>
    <row r="4650" spans="13:14" x14ac:dyDescent="0.5">
      <c r="M4650" s="2">
        <v>4649</v>
      </c>
      <c r="N4650" s="2" t="s">
        <v>3446</v>
      </c>
    </row>
    <row r="4651" spans="13:14" x14ac:dyDescent="0.5">
      <c r="M4651" s="2">
        <v>4650</v>
      </c>
      <c r="N4651" s="2" t="s">
        <v>3446</v>
      </c>
    </row>
    <row r="4652" spans="13:14" x14ac:dyDescent="0.5">
      <c r="M4652" s="2">
        <v>4651</v>
      </c>
      <c r="N4652" s="2" t="s">
        <v>3446</v>
      </c>
    </row>
    <row r="4653" spans="13:14" x14ac:dyDescent="0.5">
      <c r="M4653" s="2">
        <v>4652</v>
      </c>
      <c r="N4653" s="2" t="s">
        <v>3446</v>
      </c>
    </row>
    <row r="4654" spans="13:14" x14ac:dyDescent="0.5">
      <c r="M4654" s="2">
        <v>4653</v>
      </c>
      <c r="N4654" s="2" t="s">
        <v>3446</v>
      </c>
    </row>
    <row r="4655" spans="13:14" x14ac:dyDescent="0.5">
      <c r="M4655" s="2">
        <v>4654</v>
      </c>
      <c r="N4655" s="2" t="s">
        <v>3446</v>
      </c>
    </row>
    <row r="4656" spans="13:14" x14ac:dyDescent="0.5">
      <c r="M4656" s="2">
        <v>4655</v>
      </c>
      <c r="N4656" s="2" t="s">
        <v>3446</v>
      </c>
    </row>
    <row r="4657" spans="13:14" x14ac:dyDescent="0.5">
      <c r="M4657" s="2">
        <v>4656</v>
      </c>
      <c r="N4657" s="2" t="s">
        <v>3446</v>
      </c>
    </row>
    <row r="4658" spans="13:14" x14ac:dyDescent="0.5">
      <c r="M4658" s="2">
        <v>4657</v>
      </c>
      <c r="N4658" s="2" t="s">
        <v>3446</v>
      </c>
    </row>
    <row r="4659" spans="13:14" x14ac:dyDescent="0.5">
      <c r="M4659" s="2">
        <v>4658</v>
      </c>
      <c r="N4659" s="2" t="s">
        <v>3446</v>
      </c>
    </row>
    <row r="4660" spans="13:14" x14ac:dyDescent="0.5">
      <c r="M4660" s="2">
        <v>4659</v>
      </c>
      <c r="N4660" s="2" t="s">
        <v>3446</v>
      </c>
    </row>
    <row r="4661" spans="13:14" x14ac:dyDescent="0.5">
      <c r="M4661" s="2">
        <v>4660</v>
      </c>
      <c r="N4661" s="2" t="s">
        <v>3446</v>
      </c>
    </row>
    <row r="4662" spans="13:14" x14ac:dyDescent="0.5">
      <c r="M4662" s="2">
        <v>4661</v>
      </c>
      <c r="N4662" s="2" t="s">
        <v>3446</v>
      </c>
    </row>
    <row r="4663" spans="13:14" x14ac:dyDescent="0.5">
      <c r="M4663" s="2">
        <v>4662</v>
      </c>
      <c r="N4663" s="2" t="s">
        <v>3446</v>
      </c>
    </row>
    <row r="4664" spans="13:14" x14ac:dyDescent="0.5">
      <c r="M4664" s="2">
        <v>4663</v>
      </c>
      <c r="N4664" s="2" t="s">
        <v>3446</v>
      </c>
    </row>
    <row r="4665" spans="13:14" x14ac:dyDescent="0.5">
      <c r="M4665" s="2">
        <v>4664</v>
      </c>
    </row>
    <row r="4666" spans="13:14" x14ac:dyDescent="0.5">
      <c r="M4666" s="2">
        <v>4665</v>
      </c>
    </row>
    <row r="4667" spans="13:14" x14ac:dyDescent="0.5">
      <c r="M4667" s="2">
        <v>4666</v>
      </c>
      <c r="N4667" s="2" t="s">
        <v>3446</v>
      </c>
    </row>
    <row r="4668" spans="13:14" x14ac:dyDescent="0.5">
      <c r="M4668" s="2">
        <v>4667</v>
      </c>
      <c r="N4668" s="2" t="s">
        <v>3446</v>
      </c>
    </row>
    <row r="4669" spans="13:14" x14ac:dyDescent="0.5">
      <c r="M4669" s="2">
        <v>4668</v>
      </c>
      <c r="N4669" s="2" t="s">
        <v>3446</v>
      </c>
    </row>
    <row r="4670" spans="13:14" x14ac:dyDescent="0.5">
      <c r="M4670" s="2">
        <v>4669</v>
      </c>
      <c r="N4670" s="2" t="s">
        <v>3446</v>
      </c>
    </row>
    <row r="4671" spans="13:14" x14ac:dyDescent="0.5">
      <c r="M4671" s="2">
        <v>4670</v>
      </c>
      <c r="N4671" s="2" t="s">
        <v>3446</v>
      </c>
    </row>
    <row r="4672" spans="13:14" x14ac:dyDescent="0.5">
      <c r="M4672" s="2">
        <v>4671</v>
      </c>
      <c r="N4672" s="2" t="s">
        <v>3446</v>
      </c>
    </row>
    <row r="4673" spans="13:14" x14ac:dyDescent="0.5">
      <c r="M4673" s="2">
        <v>4672</v>
      </c>
      <c r="N4673" s="2" t="s">
        <v>3446</v>
      </c>
    </row>
    <row r="4674" spans="13:14" x14ac:dyDescent="0.5">
      <c r="M4674" s="2">
        <v>4673</v>
      </c>
      <c r="N4674" s="2" t="s">
        <v>3446</v>
      </c>
    </row>
    <row r="4675" spans="13:14" x14ac:dyDescent="0.5">
      <c r="M4675" s="2">
        <v>4674</v>
      </c>
      <c r="N4675" s="2" t="s">
        <v>3446</v>
      </c>
    </row>
    <row r="4676" spans="13:14" x14ac:dyDescent="0.5">
      <c r="M4676" s="2">
        <v>4675</v>
      </c>
      <c r="N4676" s="2" t="s">
        <v>3446</v>
      </c>
    </row>
    <row r="4677" spans="13:14" x14ac:dyDescent="0.5">
      <c r="M4677" s="2">
        <v>4676</v>
      </c>
      <c r="N4677" s="2" t="s">
        <v>3446</v>
      </c>
    </row>
    <row r="4678" spans="13:14" x14ac:dyDescent="0.5">
      <c r="M4678" s="2">
        <v>4677</v>
      </c>
      <c r="N4678" s="2" t="s">
        <v>3446</v>
      </c>
    </row>
    <row r="4679" spans="13:14" x14ac:dyDescent="0.5">
      <c r="M4679" s="2">
        <v>4678</v>
      </c>
      <c r="N4679" s="2" t="s">
        <v>3446</v>
      </c>
    </row>
    <row r="4680" spans="13:14" x14ac:dyDescent="0.5">
      <c r="M4680" s="2">
        <v>4679</v>
      </c>
    </row>
    <row r="4681" spans="13:14" x14ac:dyDescent="0.5">
      <c r="M4681" s="2">
        <v>4680</v>
      </c>
    </row>
    <row r="4682" spans="13:14" x14ac:dyDescent="0.5">
      <c r="M4682" s="2">
        <v>4681</v>
      </c>
    </row>
    <row r="4683" spans="13:14" x14ac:dyDescent="0.5">
      <c r="M4683" s="2">
        <v>4682</v>
      </c>
    </row>
    <row r="4684" spans="13:14" x14ac:dyDescent="0.5">
      <c r="M4684" s="2">
        <v>4683</v>
      </c>
      <c r="N4684" s="2" t="s">
        <v>3446</v>
      </c>
    </row>
    <row r="4685" spans="13:14" x14ac:dyDescent="0.5">
      <c r="M4685" s="2">
        <v>4684</v>
      </c>
      <c r="N4685" s="2" t="s">
        <v>3446</v>
      </c>
    </row>
    <row r="4686" spans="13:14" x14ac:dyDescent="0.5">
      <c r="M4686" s="2">
        <v>4685</v>
      </c>
      <c r="N4686" s="2" t="s">
        <v>3446</v>
      </c>
    </row>
    <row r="4687" spans="13:14" x14ac:dyDescent="0.5">
      <c r="M4687" s="2">
        <v>4686</v>
      </c>
      <c r="N4687" s="2" t="s">
        <v>3446</v>
      </c>
    </row>
    <row r="4688" spans="13:14" x14ac:dyDescent="0.5">
      <c r="M4688" s="2">
        <v>4687</v>
      </c>
      <c r="N4688" s="2" t="s">
        <v>3446</v>
      </c>
    </row>
    <row r="4689" spans="13:14" x14ac:dyDescent="0.5">
      <c r="M4689" s="2">
        <v>4688</v>
      </c>
      <c r="N4689" s="2" t="s">
        <v>3446</v>
      </c>
    </row>
    <row r="4690" spans="13:14" x14ac:dyDescent="0.5">
      <c r="M4690" s="2">
        <v>4689</v>
      </c>
      <c r="N4690" s="2" t="s">
        <v>3446</v>
      </c>
    </row>
    <row r="4691" spans="13:14" x14ac:dyDescent="0.5">
      <c r="M4691" s="2">
        <v>4690</v>
      </c>
      <c r="N4691" s="2" t="s">
        <v>3446</v>
      </c>
    </row>
    <row r="4692" spans="13:14" x14ac:dyDescent="0.5">
      <c r="M4692" s="2">
        <v>4691</v>
      </c>
      <c r="N4692" s="2" t="s">
        <v>3446</v>
      </c>
    </row>
    <row r="4693" spans="13:14" x14ac:dyDescent="0.5">
      <c r="M4693" s="2">
        <v>4692</v>
      </c>
      <c r="N4693" s="2" t="s">
        <v>3446</v>
      </c>
    </row>
    <row r="4694" spans="13:14" x14ac:dyDescent="0.5">
      <c r="M4694" s="2">
        <v>4693</v>
      </c>
      <c r="N4694" s="2" t="s">
        <v>3446</v>
      </c>
    </row>
    <row r="4695" spans="13:14" x14ac:dyDescent="0.5">
      <c r="M4695" s="2">
        <v>4694</v>
      </c>
      <c r="N4695" s="2" t="s">
        <v>3446</v>
      </c>
    </row>
    <row r="4696" spans="13:14" x14ac:dyDescent="0.5">
      <c r="M4696" s="2">
        <v>4695</v>
      </c>
      <c r="N4696" s="2" t="s">
        <v>3446</v>
      </c>
    </row>
    <row r="4697" spans="13:14" x14ac:dyDescent="0.5">
      <c r="M4697" s="2">
        <v>4696</v>
      </c>
      <c r="N4697" s="2" t="s">
        <v>3446</v>
      </c>
    </row>
    <row r="4698" spans="13:14" x14ac:dyDescent="0.5">
      <c r="M4698" s="2">
        <v>4697</v>
      </c>
      <c r="N4698" s="2" t="s">
        <v>3446</v>
      </c>
    </row>
    <row r="4699" spans="13:14" x14ac:dyDescent="0.5">
      <c r="M4699" s="2">
        <v>4698</v>
      </c>
      <c r="N4699" s="2" t="s">
        <v>3446</v>
      </c>
    </row>
    <row r="4700" spans="13:14" x14ac:dyDescent="0.5">
      <c r="M4700" s="2">
        <v>4699</v>
      </c>
      <c r="N4700" s="2" t="s">
        <v>3446</v>
      </c>
    </row>
    <row r="4701" spans="13:14" x14ac:dyDescent="0.5">
      <c r="M4701" s="2">
        <v>4700</v>
      </c>
      <c r="N4701" s="2" t="s">
        <v>3446</v>
      </c>
    </row>
    <row r="4702" spans="13:14" x14ac:dyDescent="0.5">
      <c r="M4702" s="2">
        <v>4701</v>
      </c>
      <c r="N4702" s="2" t="s">
        <v>3446</v>
      </c>
    </row>
    <row r="4703" spans="13:14" x14ac:dyDescent="0.5">
      <c r="M4703" s="2">
        <v>4702</v>
      </c>
      <c r="N4703" s="2" t="s">
        <v>3446</v>
      </c>
    </row>
    <row r="4704" spans="13:14" x14ac:dyDescent="0.5">
      <c r="M4704" s="2">
        <v>4703</v>
      </c>
      <c r="N4704" s="2" t="s">
        <v>3446</v>
      </c>
    </row>
    <row r="4705" spans="13:14" x14ac:dyDescent="0.5">
      <c r="M4705" s="2">
        <v>4704</v>
      </c>
      <c r="N4705" s="2" t="s">
        <v>3446</v>
      </c>
    </row>
    <row r="4706" spans="13:14" x14ac:dyDescent="0.5">
      <c r="M4706" s="2">
        <v>4705</v>
      </c>
      <c r="N4706" s="2" t="s">
        <v>3446</v>
      </c>
    </row>
    <row r="4707" spans="13:14" x14ac:dyDescent="0.5">
      <c r="M4707" s="2">
        <v>4706</v>
      </c>
      <c r="N4707" s="2" t="s">
        <v>3446</v>
      </c>
    </row>
    <row r="4708" spans="13:14" x14ac:dyDescent="0.5">
      <c r="M4708" s="2">
        <v>4707</v>
      </c>
      <c r="N4708" s="2" t="s">
        <v>3446</v>
      </c>
    </row>
    <row r="4709" spans="13:14" x14ac:dyDescent="0.5">
      <c r="M4709" s="2">
        <v>4708</v>
      </c>
      <c r="N4709" s="2" t="s">
        <v>3446</v>
      </c>
    </row>
    <row r="4710" spans="13:14" x14ac:dyDescent="0.5">
      <c r="M4710" s="2">
        <v>4709</v>
      </c>
      <c r="N4710" s="2" t="s">
        <v>3446</v>
      </c>
    </row>
    <row r="4711" spans="13:14" x14ac:dyDescent="0.5">
      <c r="M4711" s="2">
        <v>4710</v>
      </c>
      <c r="N4711" s="2" t="s">
        <v>3446</v>
      </c>
    </row>
    <row r="4712" spans="13:14" x14ac:dyDescent="0.5">
      <c r="M4712" s="2">
        <v>4711</v>
      </c>
      <c r="N4712" s="2" t="s">
        <v>3446</v>
      </c>
    </row>
    <row r="4713" spans="13:14" x14ac:dyDescent="0.5">
      <c r="M4713" s="2">
        <v>4712</v>
      </c>
      <c r="N4713" s="2" t="s">
        <v>3446</v>
      </c>
    </row>
    <row r="4714" spans="13:14" x14ac:dyDescent="0.5">
      <c r="M4714" s="2">
        <v>4713</v>
      </c>
      <c r="N4714" s="2" t="s">
        <v>3446</v>
      </c>
    </row>
    <row r="4715" spans="13:14" x14ac:dyDescent="0.5">
      <c r="M4715" s="2">
        <v>4714</v>
      </c>
      <c r="N4715" s="2" t="s">
        <v>3446</v>
      </c>
    </row>
    <row r="4716" spans="13:14" x14ac:dyDescent="0.5">
      <c r="M4716" s="2">
        <v>4715</v>
      </c>
      <c r="N4716" s="2" t="s">
        <v>3446</v>
      </c>
    </row>
    <row r="4717" spans="13:14" x14ac:dyDescent="0.5">
      <c r="M4717" s="2">
        <v>4716</v>
      </c>
      <c r="N4717" s="2" t="s">
        <v>3446</v>
      </c>
    </row>
    <row r="4718" spans="13:14" x14ac:dyDescent="0.5">
      <c r="M4718" s="2">
        <v>4717</v>
      </c>
      <c r="N4718" s="2" t="s">
        <v>3446</v>
      </c>
    </row>
    <row r="4719" spans="13:14" x14ac:dyDescent="0.5">
      <c r="M4719" s="2">
        <v>4718</v>
      </c>
      <c r="N4719" s="2" t="s">
        <v>3446</v>
      </c>
    </row>
    <row r="4720" spans="13:14" x14ac:dyDescent="0.5">
      <c r="M4720" s="2">
        <v>4719</v>
      </c>
      <c r="N4720" s="2" t="s">
        <v>3446</v>
      </c>
    </row>
    <row r="4721" spans="13:14" x14ac:dyDescent="0.5">
      <c r="M4721" s="2">
        <v>4720</v>
      </c>
      <c r="N4721" s="2" t="s">
        <v>3446</v>
      </c>
    </row>
    <row r="4722" spans="13:14" x14ac:dyDescent="0.5">
      <c r="M4722" s="2">
        <v>4721</v>
      </c>
      <c r="N4722" s="2" t="s">
        <v>3446</v>
      </c>
    </row>
    <row r="4723" spans="13:14" x14ac:dyDescent="0.5">
      <c r="M4723" s="2">
        <v>4722</v>
      </c>
      <c r="N4723" s="2" t="s">
        <v>3446</v>
      </c>
    </row>
    <row r="4724" spans="13:14" x14ac:dyDescent="0.5">
      <c r="M4724" s="2">
        <v>4723</v>
      </c>
      <c r="N4724" s="2" t="s">
        <v>3446</v>
      </c>
    </row>
    <row r="4725" spans="13:14" x14ac:dyDescent="0.5">
      <c r="M4725" s="2">
        <v>4724</v>
      </c>
      <c r="N4725" s="2" t="s">
        <v>3446</v>
      </c>
    </row>
    <row r="4726" spans="13:14" x14ac:dyDescent="0.5">
      <c r="M4726" s="2">
        <v>4725</v>
      </c>
      <c r="N4726" s="2" t="s">
        <v>3446</v>
      </c>
    </row>
    <row r="4727" spans="13:14" x14ac:dyDescent="0.5">
      <c r="M4727" s="2">
        <v>4726</v>
      </c>
      <c r="N4727" s="2" t="s">
        <v>3446</v>
      </c>
    </row>
    <row r="4728" spans="13:14" x14ac:dyDescent="0.5">
      <c r="M4728" s="2">
        <v>4727</v>
      </c>
      <c r="N4728" s="2" t="s">
        <v>3446</v>
      </c>
    </row>
    <row r="4729" spans="13:14" x14ac:dyDescent="0.5">
      <c r="M4729" s="2">
        <v>4728</v>
      </c>
      <c r="N4729" s="2" t="s">
        <v>3446</v>
      </c>
    </row>
    <row r="4730" spans="13:14" x14ac:dyDescent="0.5">
      <c r="M4730" s="2">
        <v>4729</v>
      </c>
      <c r="N4730" s="2" t="s">
        <v>3446</v>
      </c>
    </row>
    <row r="4731" spans="13:14" x14ac:dyDescent="0.5">
      <c r="M4731" s="2">
        <v>4730</v>
      </c>
      <c r="N4731" s="2" t="s">
        <v>3446</v>
      </c>
    </row>
    <row r="4732" spans="13:14" x14ac:dyDescent="0.5">
      <c r="M4732" s="2">
        <v>4731</v>
      </c>
      <c r="N4732" s="2" t="s">
        <v>3446</v>
      </c>
    </row>
    <row r="4733" spans="13:14" x14ac:dyDescent="0.5">
      <c r="M4733" s="2">
        <v>4732</v>
      </c>
      <c r="N4733" s="2" t="s">
        <v>3446</v>
      </c>
    </row>
    <row r="4734" spans="13:14" x14ac:dyDescent="0.5">
      <c r="M4734" s="2">
        <v>4733</v>
      </c>
      <c r="N4734" s="2" t="s">
        <v>3446</v>
      </c>
    </row>
    <row r="4735" spans="13:14" x14ac:dyDescent="0.5">
      <c r="M4735" s="2">
        <v>4734</v>
      </c>
      <c r="N4735" s="2" t="s">
        <v>3446</v>
      </c>
    </row>
    <row r="4736" spans="13:14" x14ac:dyDescent="0.5">
      <c r="M4736" s="2">
        <v>4735</v>
      </c>
      <c r="N4736" s="2" t="s">
        <v>3446</v>
      </c>
    </row>
    <row r="4737" spans="13:14" x14ac:dyDescent="0.5">
      <c r="M4737" s="2">
        <v>4736</v>
      </c>
      <c r="N4737" s="2" t="s">
        <v>3446</v>
      </c>
    </row>
    <row r="4738" spans="13:14" x14ac:dyDescent="0.5">
      <c r="M4738" s="2">
        <v>4737</v>
      </c>
      <c r="N4738" s="2" t="s">
        <v>3446</v>
      </c>
    </row>
    <row r="4739" spans="13:14" x14ac:dyDescent="0.5">
      <c r="M4739" s="2">
        <v>4738</v>
      </c>
      <c r="N4739" s="2" t="s">
        <v>3446</v>
      </c>
    </row>
    <row r="4740" spans="13:14" x14ac:dyDescent="0.5">
      <c r="M4740" s="2">
        <v>4739</v>
      </c>
      <c r="N4740" s="2" t="s">
        <v>3446</v>
      </c>
    </row>
    <row r="4741" spans="13:14" x14ac:dyDescent="0.5">
      <c r="M4741" s="2">
        <v>4740</v>
      </c>
      <c r="N4741" s="2" t="s">
        <v>3446</v>
      </c>
    </row>
    <row r="4742" spans="13:14" x14ac:dyDescent="0.5">
      <c r="M4742" s="2">
        <v>4741</v>
      </c>
      <c r="N4742" s="2" t="s">
        <v>3446</v>
      </c>
    </row>
    <row r="4743" spans="13:14" x14ac:dyDescent="0.5">
      <c r="M4743" s="2">
        <v>4742</v>
      </c>
      <c r="N4743" s="2" t="s">
        <v>3446</v>
      </c>
    </row>
    <row r="4744" spans="13:14" x14ac:dyDescent="0.5">
      <c r="M4744" s="2">
        <v>4743</v>
      </c>
      <c r="N4744" s="2" t="s">
        <v>3446</v>
      </c>
    </row>
    <row r="4745" spans="13:14" x14ac:dyDescent="0.5">
      <c r="M4745" s="2">
        <v>4744</v>
      </c>
      <c r="N4745" s="2" t="s">
        <v>3446</v>
      </c>
    </row>
    <row r="4746" spans="13:14" x14ac:dyDescent="0.5">
      <c r="M4746" s="2">
        <v>4745</v>
      </c>
      <c r="N4746" s="2" t="s">
        <v>3446</v>
      </c>
    </row>
    <row r="4747" spans="13:14" x14ac:dyDescent="0.5">
      <c r="M4747" s="2">
        <v>4746</v>
      </c>
      <c r="N4747" s="2" t="s">
        <v>3446</v>
      </c>
    </row>
    <row r="4748" spans="13:14" x14ac:dyDescent="0.5">
      <c r="M4748" s="2">
        <v>4747</v>
      </c>
      <c r="N4748" s="2" t="s">
        <v>3446</v>
      </c>
    </row>
    <row r="4749" spans="13:14" x14ac:dyDescent="0.5">
      <c r="M4749" s="2">
        <v>4748</v>
      </c>
      <c r="N4749" s="2" t="s">
        <v>3446</v>
      </c>
    </row>
    <row r="4750" spans="13:14" x14ac:dyDescent="0.5">
      <c r="M4750" s="2">
        <v>4749</v>
      </c>
      <c r="N4750" s="2" t="s">
        <v>3446</v>
      </c>
    </row>
    <row r="4751" spans="13:14" x14ac:dyDescent="0.5">
      <c r="M4751" s="2">
        <v>4750</v>
      </c>
      <c r="N4751" s="2" t="s">
        <v>3446</v>
      </c>
    </row>
    <row r="4752" spans="13:14" x14ac:dyDescent="0.5">
      <c r="M4752" s="2">
        <v>4751</v>
      </c>
      <c r="N4752" s="2" t="s">
        <v>3446</v>
      </c>
    </row>
    <row r="4753" spans="13:14" x14ac:dyDescent="0.5">
      <c r="M4753" s="2">
        <v>4752</v>
      </c>
      <c r="N4753" s="2" t="s">
        <v>3446</v>
      </c>
    </row>
    <row r="4754" spans="13:14" x14ac:dyDescent="0.5">
      <c r="M4754" s="2">
        <v>4753</v>
      </c>
      <c r="N4754" s="2" t="s">
        <v>3446</v>
      </c>
    </row>
    <row r="4755" spans="13:14" x14ac:dyDescent="0.5">
      <c r="M4755" s="2">
        <v>4754</v>
      </c>
      <c r="N4755" s="2" t="s">
        <v>3446</v>
      </c>
    </row>
    <row r="4756" spans="13:14" x14ac:dyDescent="0.5">
      <c r="M4756" s="2">
        <v>4755</v>
      </c>
      <c r="N4756" s="2" t="s">
        <v>3446</v>
      </c>
    </row>
    <row r="4757" spans="13:14" x14ac:dyDescent="0.5">
      <c r="M4757" s="2">
        <v>4756</v>
      </c>
      <c r="N4757" s="2" t="s">
        <v>3446</v>
      </c>
    </row>
    <row r="4758" spans="13:14" x14ac:dyDescent="0.5">
      <c r="M4758" s="2">
        <v>4757</v>
      </c>
      <c r="N4758" s="2" t="s">
        <v>3446</v>
      </c>
    </row>
    <row r="4759" spans="13:14" x14ac:dyDescent="0.5">
      <c r="M4759" s="2">
        <v>4758</v>
      </c>
      <c r="N4759" s="2" t="s">
        <v>3446</v>
      </c>
    </row>
    <row r="4760" spans="13:14" x14ac:dyDescent="0.5">
      <c r="M4760" s="2">
        <v>4759</v>
      </c>
      <c r="N4760" s="2" t="s">
        <v>3446</v>
      </c>
    </row>
    <row r="4761" spans="13:14" x14ac:dyDescent="0.5">
      <c r="M4761" s="2">
        <v>4760</v>
      </c>
      <c r="N4761" s="2" t="s">
        <v>3446</v>
      </c>
    </row>
    <row r="4762" spans="13:14" x14ac:dyDescent="0.5">
      <c r="M4762" s="2">
        <v>4761</v>
      </c>
      <c r="N4762" s="2" t="s">
        <v>3446</v>
      </c>
    </row>
    <row r="4763" spans="13:14" x14ac:dyDescent="0.5">
      <c r="M4763" s="2">
        <v>4762</v>
      </c>
      <c r="N4763" s="2" t="s">
        <v>3446</v>
      </c>
    </row>
    <row r="4764" spans="13:14" x14ac:dyDescent="0.5">
      <c r="M4764" s="2">
        <v>4763</v>
      </c>
      <c r="N4764" s="2" t="s">
        <v>3446</v>
      </c>
    </row>
    <row r="4765" spans="13:14" x14ac:dyDescent="0.5">
      <c r="M4765" s="2">
        <v>4764</v>
      </c>
      <c r="N4765" s="2" t="s">
        <v>3446</v>
      </c>
    </row>
    <row r="4766" spans="13:14" x14ac:dyDescent="0.5">
      <c r="M4766" s="2">
        <v>4765</v>
      </c>
      <c r="N4766" s="2" t="s">
        <v>3446</v>
      </c>
    </row>
    <row r="4767" spans="13:14" x14ac:dyDescent="0.5">
      <c r="M4767" s="2">
        <v>4766</v>
      </c>
      <c r="N4767" s="2" t="s">
        <v>3446</v>
      </c>
    </row>
    <row r="4768" spans="13:14" x14ac:dyDescent="0.5">
      <c r="M4768" s="2">
        <v>4767</v>
      </c>
      <c r="N4768" s="2" t="s">
        <v>3446</v>
      </c>
    </row>
    <row r="4769" spans="13:14" x14ac:dyDescent="0.5">
      <c r="M4769" s="2">
        <v>4768</v>
      </c>
      <c r="N4769" s="2" t="s">
        <v>3446</v>
      </c>
    </row>
    <row r="4770" spans="13:14" x14ac:dyDescent="0.5">
      <c r="M4770" s="2">
        <v>4769</v>
      </c>
      <c r="N4770" s="2" t="s">
        <v>3446</v>
      </c>
    </row>
    <row r="4771" spans="13:14" x14ac:dyDescent="0.5">
      <c r="M4771" s="2">
        <v>4770</v>
      </c>
      <c r="N4771" s="2" t="s">
        <v>3446</v>
      </c>
    </row>
    <row r="4772" spans="13:14" x14ac:dyDescent="0.5">
      <c r="M4772" s="2">
        <v>4771</v>
      </c>
      <c r="N4772" s="2" t="s">
        <v>3446</v>
      </c>
    </row>
    <row r="4773" spans="13:14" x14ac:dyDescent="0.5">
      <c r="M4773" s="2">
        <v>4772</v>
      </c>
      <c r="N4773" s="2" t="s">
        <v>3446</v>
      </c>
    </row>
    <row r="4774" spans="13:14" x14ac:dyDescent="0.5">
      <c r="M4774" s="2">
        <v>4773</v>
      </c>
      <c r="N4774" s="2" t="s">
        <v>3446</v>
      </c>
    </row>
    <row r="4775" spans="13:14" x14ac:dyDescent="0.5">
      <c r="M4775" s="2">
        <v>4774</v>
      </c>
      <c r="N4775" s="2" t="s">
        <v>3446</v>
      </c>
    </row>
    <row r="4776" spans="13:14" x14ac:dyDescent="0.5">
      <c r="M4776" s="2">
        <v>4775</v>
      </c>
      <c r="N4776" s="2" t="s">
        <v>3446</v>
      </c>
    </row>
    <row r="4777" spans="13:14" x14ac:dyDescent="0.5">
      <c r="M4777" s="2">
        <v>4776</v>
      </c>
      <c r="N4777" s="2" t="s">
        <v>3446</v>
      </c>
    </row>
    <row r="4778" spans="13:14" x14ac:dyDescent="0.5">
      <c r="M4778" s="2">
        <v>4777</v>
      </c>
      <c r="N4778" s="2" t="s">
        <v>3446</v>
      </c>
    </row>
    <row r="4779" spans="13:14" x14ac:dyDescent="0.5">
      <c r="M4779" s="2">
        <v>4778</v>
      </c>
      <c r="N4779" s="2" t="s">
        <v>3446</v>
      </c>
    </row>
    <row r="4780" spans="13:14" x14ac:dyDescent="0.5">
      <c r="M4780" s="2">
        <v>4779</v>
      </c>
      <c r="N4780" s="2" t="s">
        <v>3446</v>
      </c>
    </row>
    <row r="4781" spans="13:14" x14ac:dyDescent="0.5">
      <c r="M4781" s="2">
        <v>4780</v>
      </c>
      <c r="N4781" s="2" t="s">
        <v>3446</v>
      </c>
    </row>
    <row r="4782" spans="13:14" x14ac:dyDescent="0.5">
      <c r="M4782" s="2">
        <v>4781</v>
      </c>
      <c r="N4782" s="2" t="s">
        <v>3446</v>
      </c>
    </row>
    <row r="4783" spans="13:14" x14ac:dyDescent="0.5">
      <c r="M4783" s="2">
        <v>4782</v>
      </c>
      <c r="N4783" s="2" t="s">
        <v>3446</v>
      </c>
    </row>
    <row r="4784" spans="13:14" x14ac:dyDescent="0.5">
      <c r="M4784" s="2">
        <v>4783</v>
      </c>
      <c r="N4784" s="2" t="s">
        <v>3446</v>
      </c>
    </row>
    <row r="4785" spans="13:14" x14ac:dyDescent="0.5">
      <c r="M4785" s="2">
        <v>4784</v>
      </c>
      <c r="N4785" s="2" t="s">
        <v>3446</v>
      </c>
    </row>
    <row r="4786" spans="13:14" x14ac:dyDescent="0.5">
      <c r="M4786" s="2">
        <v>4785</v>
      </c>
      <c r="N4786" s="2" t="s">
        <v>3446</v>
      </c>
    </row>
    <row r="4787" spans="13:14" x14ac:dyDescent="0.5">
      <c r="M4787" s="2">
        <v>4786</v>
      </c>
      <c r="N4787" s="2" t="s">
        <v>3446</v>
      </c>
    </row>
    <row r="4788" spans="13:14" x14ac:dyDescent="0.5">
      <c r="M4788" s="2">
        <v>4787</v>
      </c>
      <c r="N4788" s="2" t="s">
        <v>3446</v>
      </c>
    </row>
    <row r="4789" spans="13:14" x14ac:dyDescent="0.5">
      <c r="M4789" s="2">
        <v>4788</v>
      </c>
      <c r="N4789" s="2" t="s">
        <v>3446</v>
      </c>
    </row>
    <row r="4790" spans="13:14" x14ac:dyDescent="0.5">
      <c r="M4790" s="2">
        <v>4789</v>
      </c>
      <c r="N4790" s="2" t="s">
        <v>3446</v>
      </c>
    </row>
    <row r="4791" spans="13:14" x14ac:dyDescent="0.5">
      <c r="M4791" s="2">
        <v>4790</v>
      </c>
      <c r="N4791" s="2" t="s">
        <v>3446</v>
      </c>
    </row>
    <row r="4792" spans="13:14" x14ac:dyDescent="0.5">
      <c r="M4792" s="2">
        <v>4791</v>
      </c>
      <c r="N4792" s="2" t="s">
        <v>3446</v>
      </c>
    </row>
    <row r="4793" spans="13:14" x14ac:dyDescent="0.5">
      <c r="M4793" s="2">
        <v>4792</v>
      </c>
      <c r="N4793" s="2" t="s">
        <v>3446</v>
      </c>
    </row>
    <row r="4794" spans="13:14" x14ac:dyDescent="0.5">
      <c r="M4794" s="2">
        <v>4793</v>
      </c>
      <c r="N4794" s="2" t="s">
        <v>3446</v>
      </c>
    </row>
    <row r="4795" spans="13:14" x14ac:dyDescent="0.5">
      <c r="M4795" s="2">
        <v>4794</v>
      </c>
      <c r="N4795" s="2" t="s">
        <v>3446</v>
      </c>
    </row>
    <row r="4796" spans="13:14" x14ac:dyDescent="0.5">
      <c r="M4796" s="2">
        <v>4795</v>
      </c>
      <c r="N4796" s="2" t="s">
        <v>3446</v>
      </c>
    </row>
    <row r="4797" spans="13:14" x14ac:dyDescent="0.5">
      <c r="M4797" s="2">
        <v>4796</v>
      </c>
      <c r="N4797" s="2" t="s">
        <v>3446</v>
      </c>
    </row>
    <row r="4798" spans="13:14" x14ac:dyDescent="0.5">
      <c r="M4798" s="2">
        <v>4797</v>
      </c>
      <c r="N4798" s="2" t="s">
        <v>3446</v>
      </c>
    </row>
    <row r="4799" spans="13:14" x14ac:dyDescent="0.5">
      <c r="M4799" s="2">
        <v>4798</v>
      </c>
      <c r="N4799" s="2" t="s">
        <v>3446</v>
      </c>
    </row>
    <row r="4800" spans="13:14" x14ac:dyDescent="0.5">
      <c r="M4800" s="2">
        <v>4799</v>
      </c>
      <c r="N4800" s="2" t="s">
        <v>3446</v>
      </c>
    </row>
    <row r="4801" spans="13:14" x14ac:dyDescent="0.5">
      <c r="M4801" s="2">
        <v>4800</v>
      </c>
      <c r="N4801" s="2" t="s">
        <v>3446</v>
      </c>
    </row>
    <row r="4802" spans="13:14" x14ac:dyDescent="0.5">
      <c r="M4802" s="2">
        <v>4801</v>
      </c>
      <c r="N4802" s="2" t="s">
        <v>3446</v>
      </c>
    </row>
    <row r="4803" spans="13:14" x14ac:dyDescent="0.5">
      <c r="M4803" s="2">
        <v>4802</v>
      </c>
      <c r="N4803" s="2" t="s">
        <v>3446</v>
      </c>
    </row>
    <row r="4804" spans="13:14" x14ac:dyDescent="0.5">
      <c r="M4804" s="2">
        <v>4803</v>
      </c>
      <c r="N4804" s="2" t="s">
        <v>3446</v>
      </c>
    </row>
    <row r="4805" spans="13:14" x14ac:dyDescent="0.5">
      <c r="M4805" s="2">
        <v>4804</v>
      </c>
      <c r="N4805" s="2" t="s">
        <v>3446</v>
      </c>
    </row>
    <row r="4806" spans="13:14" x14ac:dyDescent="0.5">
      <c r="M4806" s="2">
        <v>4805</v>
      </c>
      <c r="N4806" s="2" t="s">
        <v>3446</v>
      </c>
    </row>
    <row r="4807" spans="13:14" x14ac:dyDescent="0.5">
      <c r="M4807" s="2">
        <v>4806</v>
      </c>
      <c r="N4807" s="2" t="s">
        <v>3446</v>
      </c>
    </row>
    <row r="4808" spans="13:14" x14ac:dyDescent="0.5">
      <c r="M4808" s="2">
        <v>4807</v>
      </c>
      <c r="N4808" s="2" t="s">
        <v>3446</v>
      </c>
    </row>
    <row r="4809" spans="13:14" x14ac:dyDescent="0.5">
      <c r="M4809" s="2">
        <v>4808</v>
      </c>
      <c r="N4809" s="2" t="s">
        <v>3446</v>
      </c>
    </row>
    <row r="4810" spans="13:14" x14ac:dyDescent="0.5">
      <c r="M4810" s="2">
        <v>4809</v>
      </c>
      <c r="N4810" s="2" t="s">
        <v>3446</v>
      </c>
    </row>
    <row r="4811" spans="13:14" x14ac:dyDescent="0.5">
      <c r="M4811" s="2">
        <v>4810</v>
      </c>
      <c r="N4811" s="2" t="s">
        <v>3446</v>
      </c>
    </row>
    <row r="4812" spans="13:14" x14ac:dyDescent="0.5">
      <c r="M4812" s="2">
        <v>4811</v>
      </c>
      <c r="N4812" s="2" t="s">
        <v>3446</v>
      </c>
    </row>
    <row r="4813" spans="13:14" x14ac:dyDescent="0.5">
      <c r="M4813" s="2">
        <v>4812</v>
      </c>
      <c r="N4813" s="2" t="s">
        <v>3446</v>
      </c>
    </row>
    <row r="4814" spans="13:14" x14ac:dyDescent="0.5">
      <c r="M4814" s="2">
        <v>4813</v>
      </c>
      <c r="N4814" s="2" t="s">
        <v>3446</v>
      </c>
    </row>
    <row r="4815" spans="13:14" x14ac:dyDescent="0.5">
      <c r="M4815" s="2">
        <v>4814</v>
      </c>
      <c r="N4815" s="2" t="s">
        <v>3446</v>
      </c>
    </row>
    <row r="4816" spans="13:14" x14ac:dyDescent="0.5">
      <c r="M4816" s="2">
        <v>4815</v>
      </c>
      <c r="N4816" s="2" t="s">
        <v>3446</v>
      </c>
    </row>
    <row r="4817" spans="13:14" x14ac:dyDescent="0.5">
      <c r="M4817" s="2">
        <v>4816</v>
      </c>
      <c r="N4817" s="2" t="s">
        <v>3446</v>
      </c>
    </row>
    <row r="4818" spans="13:14" x14ac:dyDescent="0.5">
      <c r="M4818" s="2">
        <v>4817</v>
      </c>
      <c r="N4818" s="2" t="s">
        <v>3446</v>
      </c>
    </row>
    <row r="4819" spans="13:14" x14ac:dyDescent="0.5">
      <c r="M4819" s="2">
        <v>4818</v>
      </c>
      <c r="N4819" s="2" t="s">
        <v>3446</v>
      </c>
    </row>
    <row r="4820" spans="13:14" x14ac:dyDescent="0.5">
      <c r="M4820" s="2">
        <v>4819</v>
      </c>
      <c r="N4820" s="2" t="s">
        <v>3446</v>
      </c>
    </row>
    <row r="4821" spans="13:14" x14ac:dyDescent="0.5">
      <c r="M4821" s="2">
        <v>4820</v>
      </c>
      <c r="N4821" s="2" t="s">
        <v>3446</v>
      </c>
    </row>
    <row r="4822" spans="13:14" x14ac:dyDescent="0.5">
      <c r="M4822" s="2">
        <v>4821</v>
      </c>
      <c r="N4822" s="2" t="s">
        <v>3446</v>
      </c>
    </row>
    <row r="4823" spans="13:14" x14ac:dyDescent="0.5">
      <c r="M4823" s="2">
        <v>4822</v>
      </c>
      <c r="N4823" s="2" t="s">
        <v>3446</v>
      </c>
    </row>
    <row r="4824" spans="13:14" x14ac:dyDescent="0.5">
      <c r="M4824" s="2">
        <v>4823</v>
      </c>
      <c r="N4824" s="2" t="s">
        <v>3446</v>
      </c>
    </row>
    <row r="4825" spans="13:14" x14ac:dyDescent="0.5">
      <c r="M4825" s="2">
        <v>4824</v>
      </c>
      <c r="N4825" s="2" t="s">
        <v>3446</v>
      </c>
    </row>
    <row r="4826" spans="13:14" x14ac:dyDescent="0.5">
      <c r="M4826" s="2">
        <v>4825</v>
      </c>
      <c r="N4826" s="2" t="s">
        <v>3446</v>
      </c>
    </row>
    <row r="4827" spans="13:14" x14ac:dyDescent="0.5">
      <c r="M4827" s="2">
        <v>4826</v>
      </c>
      <c r="N4827" s="2" t="s">
        <v>3446</v>
      </c>
    </row>
    <row r="4828" spans="13:14" x14ac:dyDescent="0.5">
      <c r="M4828" s="2">
        <v>4827</v>
      </c>
      <c r="N4828" s="2" t="s">
        <v>3446</v>
      </c>
    </row>
    <row r="4829" spans="13:14" x14ac:dyDescent="0.5">
      <c r="M4829" s="2">
        <v>4828</v>
      </c>
      <c r="N4829" s="2" t="s">
        <v>3446</v>
      </c>
    </row>
    <row r="4830" spans="13:14" x14ac:dyDescent="0.5">
      <c r="M4830" s="2">
        <v>4829</v>
      </c>
      <c r="N4830" s="2" t="s">
        <v>3446</v>
      </c>
    </row>
    <row r="4831" spans="13:14" x14ac:dyDescent="0.5">
      <c r="M4831" s="2">
        <v>4830</v>
      </c>
      <c r="N4831" s="2" t="s">
        <v>3446</v>
      </c>
    </row>
    <row r="4832" spans="13:14" x14ac:dyDescent="0.5">
      <c r="M4832" s="2">
        <v>4831</v>
      </c>
      <c r="N4832" s="2" t="s">
        <v>3446</v>
      </c>
    </row>
    <row r="4833" spans="13:14" x14ac:dyDescent="0.5">
      <c r="M4833" s="2">
        <v>4832</v>
      </c>
      <c r="N4833" s="2" t="s">
        <v>3446</v>
      </c>
    </row>
    <row r="4834" spans="13:14" x14ac:dyDescent="0.5">
      <c r="M4834" s="2">
        <v>4833</v>
      </c>
      <c r="N4834" s="2" t="s">
        <v>3446</v>
      </c>
    </row>
    <row r="4835" spans="13:14" x14ac:dyDescent="0.5">
      <c r="M4835" s="2">
        <v>4834</v>
      </c>
      <c r="N4835" s="2" t="s">
        <v>3446</v>
      </c>
    </row>
    <row r="4836" spans="13:14" x14ac:dyDescent="0.5">
      <c r="M4836" s="2">
        <v>4835</v>
      </c>
      <c r="N4836" s="2" t="s">
        <v>3446</v>
      </c>
    </row>
    <row r="4837" spans="13:14" x14ac:dyDescent="0.5">
      <c r="M4837" s="2">
        <v>4836</v>
      </c>
      <c r="N4837" s="2" t="s">
        <v>3446</v>
      </c>
    </row>
    <row r="4838" spans="13:14" x14ac:dyDescent="0.5">
      <c r="M4838" s="2">
        <v>4837</v>
      </c>
      <c r="N4838" s="2" t="s">
        <v>3446</v>
      </c>
    </row>
    <row r="4839" spans="13:14" x14ac:dyDescent="0.5">
      <c r="M4839" s="2">
        <v>4838</v>
      </c>
      <c r="N4839" s="2" t="s">
        <v>3446</v>
      </c>
    </row>
    <row r="4840" spans="13:14" x14ac:dyDescent="0.5">
      <c r="M4840" s="2">
        <v>4839</v>
      </c>
      <c r="N4840" s="2" t="s">
        <v>3446</v>
      </c>
    </row>
    <row r="4841" spans="13:14" x14ac:dyDescent="0.5">
      <c r="M4841" s="2">
        <v>4840</v>
      </c>
      <c r="N4841" s="2" t="s">
        <v>3446</v>
      </c>
    </row>
    <row r="4842" spans="13:14" x14ac:dyDescent="0.5">
      <c r="M4842" s="2">
        <v>4841</v>
      </c>
      <c r="N4842" s="2" t="s">
        <v>3446</v>
      </c>
    </row>
    <row r="4843" spans="13:14" x14ac:dyDescent="0.5">
      <c r="M4843" s="2">
        <v>4842</v>
      </c>
      <c r="N4843" s="2" t="s">
        <v>3446</v>
      </c>
    </row>
    <row r="4844" spans="13:14" x14ac:dyDescent="0.5">
      <c r="M4844" s="2">
        <v>4843</v>
      </c>
      <c r="N4844" s="2" t="s">
        <v>3446</v>
      </c>
    </row>
    <row r="4845" spans="13:14" x14ac:dyDescent="0.5">
      <c r="M4845" s="2">
        <v>4844</v>
      </c>
      <c r="N4845" s="2" t="s">
        <v>3446</v>
      </c>
    </row>
    <row r="4846" spans="13:14" x14ac:dyDescent="0.5">
      <c r="M4846" s="2">
        <v>4845</v>
      </c>
      <c r="N4846" s="2" t="s">
        <v>3446</v>
      </c>
    </row>
    <row r="4847" spans="13:14" x14ac:dyDescent="0.5">
      <c r="M4847" s="2">
        <v>4846</v>
      </c>
      <c r="N4847" s="2" t="s">
        <v>3446</v>
      </c>
    </row>
    <row r="4848" spans="13:14" x14ac:dyDescent="0.5">
      <c r="M4848" s="2">
        <v>4847</v>
      </c>
      <c r="N4848" s="2" t="s">
        <v>3446</v>
      </c>
    </row>
    <row r="4849" spans="13:14" x14ac:dyDescent="0.5">
      <c r="M4849" s="2">
        <v>4848</v>
      </c>
      <c r="N4849" s="2" t="s">
        <v>3446</v>
      </c>
    </row>
    <row r="4850" spans="13:14" x14ac:dyDescent="0.5">
      <c r="M4850" s="2">
        <v>4849</v>
      </c>
      <c r="N4850" s="2" t="s">
        <v>3446</v>
      </c>
    </row>
    <row r="4851" spans="13:14" x14ac:dyDescent="0.5">
      <c r="M4851" s="2">
        <v>4850</v>
      </c>
      <c r="N4851" s="2" t="s">
        <v>3446</v>
      </c>
    </row>
    <row r="4852" spans="13:14" x14ac:dyDescent="0.5">
      <c r="M4852" s="2">
        <v>4851</v>
      </c>
      <c r="N4852" s="2" t="s">
        <v>3446</v>
      </c>
    </row>
    <row r="4853" spans="13:14" x14ac:dyDescent="0.5">
      <c r="M4853" s="2">
        <v>4852</v>
      </c>
      <c r="N4853" s="2" t="s">
        <v>3446</v>
      </c>
    </row>
    <row r="4854" spans="13:14" x14ac:dyDescent="0.5">
      <c r="M4854" s="2">
        <v>4853</v>
      </c>
      <c r="N4854" s="2" t="s">
        <v>3446</v>
      </c>
    </row>
    <row r="4855" spans="13:14" x14ac:dyDescent="0.5">
      <c r="M4855" s="2">
        <v>4854</v>
      </c>
      <c r="N4855" s="2" t="s">
        <v>3446</v>
      </c>
    </row>
    <row r="4856" spans="13:14" x14ac:dyDescent="0.5">
      <c r="M4856" s="2">
        <v>4855</v>
      </c>
      <c r="N4856" s="2" t="s">
        <v>3446</v>
      </c>
    </row>
    <row r="4857" spans="13:14" x14ac:dyDescent="0.5">
      <c r="M4857" s="2">
        <v>4856</v>
      </c>
      <c r="N4857" s="2" t="s">
        <v>3446</v>
      </c>
    </row>
    <row r="4858" spans="13:14" x14ac:dyDescent="0.5">
      <c r="M4858" s="2">
        <v>4857</v>
      </c>
      <c r="N4858" s="2" t="s">
        <v>3446</v>
      </c>
    </row>
    <row r="4859" spans="13:14" x14ac:dyDescent="0.5">
      <c r="M4859" s="2">
        <v>4858</v>
      </c>
      <c r="N4859" s="2" t="s">
        <v>3446</v>
      </c>
    </row>
    <row r="4860" spans="13:14" x14ac:dyDescent="0.5">
      <c r="M4860" s="2">
        <v>4859</v>
      </c>
      <c r="N4860" s="2" t="s">
        <v>3446</v>
      </c>
    </row>
    <row r="4861" spans="13:14" x14ac:dyDescent="0.5">
      <c r="M4861" s="2">
        <v>4860</v>
      </c>
      <c r="N4861" s="2" t="s">
        <v>3446</v>
      </c>
    </row>
    <row r="4862" spans="13:14" x14ac:dyDescent="0.5">
      <c r="M4862" s="2">
        <v>4861</v>
      </c>
      <c r="N4862" s="2" t="s">
        <v>3446</v>
      </c>
    </row>
    <row r="4863" spans="13:14" x14ac:dyDescent="0.5">
      <c r="M4863" s="2">
        <v>4862</v>
      </c>
      <c r="N4863" s="2" t="s">
        <v>3446</v>
      </c>
    </row>
    <row r="4864" spans="13:14" x14ac:dyDescent="0.5">
      <c r="M4864" s="2">
        <v>4863</v>
      </c>
      <c r="N4864" s="2" t="s">
        <v>3446</v>
      </c>
    </row>
    <row r="4865" spans="13:14" x14ac:dyDescent="0.5">
      <c r="M4865" s="2">
        <v>4864</v>
      </c>
      <c r="N4865" s="2" t="s">
        <v>3446</v>
      </c>
    </row>
    <row r="4866" spans="13:14" x14ac:dyDescent="0.5">
      <c r="M4866" s="2">
        <v>4865</v>
      </c>
      <c r="N4866" s="2" t="s">
        <v>3446</v>
      </c>
    </row>
    <row r="4867" spans="13:14" x14ac:dyDescent="0.5">
      <c r="M4867" s="2">
        <v>4866</v>
      </c>
      <c r="N4867" s="2" t="s">
        <v>3446</v>
      </c>
    </row>
    <row r="4868" spans="13:14" x14ac:dyDescent="0.5">
      <c r="M4868" s="2">
        <v>4867</v>
      </c>
      <c r="N4868" s="2" t="s">
        <v>3446</v>
      </c>
    </row>
    <row r="4869" spans="13:14" x14ac:dyDescent="0.5">
      <c r="M4869" s="2">
        <v>4868</v>
      </c>
      <c r="N4869" s="2" t="s">
        <v>3446</v>
      </c>
    </row>
    <row r="4870" spans="13:14" x14ac:dyDescent="0.5">
      <c r="M4870" s="2">
        <v>4869</v>
      </c>
      <c r="N4870" s="2" t="s">
        <v>3446</v>
      </c>
    </row>
    <row r="4871" spans="13:14" x14ac:dyDescent="0.5">
      <c r="M4871" s="2">
        <v>4870</v>
      </c>
      <c r="N4871" s="2" t="s">
        <v>3446</v>
      </c>
    </row>
    <row r="4872" spans="13:14" x14ac:dyDescent="0.5">
      <c r="M4872" s="2">
        <v>4871</v>
      </c>
      <c r="N4872" s="2" t="s">
        <v>3446</v>
      </c>
    </row>
    <row r="4873" spans="13:14" x14ac:dyDescent="0.5">
      <c r="M4873" s="2">
        <v>4872</v>
      </c>
      <c r="N4873" s="2" t="s">
        <v>3446</v>
      </c>
    </row>
    <row r="4874" spans="13:14" x14ac:dyDescent="0.5">
      <c r="M4874" s="2">
        <v>4873</v>
      </c>
      <c r="N4874" s="2" t="s">
        <v>3446</v>
      </c>
    </row>
    <row r="4875" spans="13:14" x14ac:dyDescent="0.5">
      <c r="M4875" s="2">
        <v>4874</v>
      </c>
      <c r="N4875" s="2" t="s">
        <v>3446</v>
      </c>
    </row>
    <row r="4876" spans="13:14" x14ac:dyDescent="0.5">
      <c r="M4876" s="2">
        <v>4875</v>
      </c>
      <c r="N4876" s="2" t="s">
        <v>3446</v>
      </c>
    </row>
    <row r="4877" spans="13:14" x14ac:dyDescent="0.5">
      <c r="M4877" s="2">
        <v>4876</v>
      </c>
      <c r="N4877" s="2" t="s">
        <v>3446</v>
      </c>
    </row>
    <row r="4878" spans="13:14" x14ac:dyDescent="0.5">
      <c r="M4878" s="2">
        <v>4877</v>
      </c>
      <c r="N4878" s="2" t="s">
        <v>3446</v>
      </c>
    </row>
    <row r="4879" spans="13:14" x14ac:dyDescent="0.5">
      <c r="M4879" s="2">
        <v>4878</v>
      </c>
      <c r="N4879" s="2" t="s">
        <v>3446</v>
      </c>
    </row>
    <row r="4880" spans="13:14" x14ac:dyDescent="0.5">
      <c r="M4880" s="2">
        <v>4879</v>
      </c>
      <c r="N4880" s="2" t="s">
        <v>3446</v>
      </c>
    </row>
    <row r="4881" spans="13:14" x14ac:dyDescent="0.5">
      <c r="M4881" s="2">
        <v>4880</v>
      </c>
      <c r="N4881" s="2" t="s">
        <v>3446</v>
      </c>
    </row>
    <row r="4882" spans="13:14" x14ac:dyDescent="0.5">
      <c r="M4882" s="2">
        <v>4881</v>
      </c>
      <c r="N4882" s="2" t="s">
        <v>3446</v>
      </c>
    </row>
    <row r="4883" spans="13:14" x14ac:dyDescent="0.5">
      <c r="M4883" s="2">
        <v>4882</v>
      </c>
      <c r="N4883" s="2" t="s">
        <v>3446</v>
      </c>
    </row>
    <row r="4884" spans="13:14" x14ac:dyDescent="0.5">
      <c r="M4884" s="2">
        <v>4883</v>
      </c>
      <c r="N4884" s="2" t="s">
        <v>3446</v>
      </c>
    </row>
    <row r="4885" spans="13:14" x14ac:dyDescent="0.5">
      <c r="M4885" s="2">
        <v>4884</v>
      </c>
      <c r="N4885" s="2" t="s">
        <v>3446</v>
      </c>
    </row>
    <row r="4886" spans="13:14" x14ac:dyDescent="0.5">
      <c r="M4886" s="2">
        <v>4885</v>
      </c>
      <c r="N4886" s="2" t="s">
        <v>3446</v>
      </c>
    </row>
    <row r="4887" spans="13:14" x14ac:dyDescent="0.5">
      <c r="M4887" s="2">
        <v>4886</v>
      </c>
      <c r="N4887" s="2" t="s">
        <v>3446</v>
      </c>
    </row>
    <row r="4888" spans="13:14" x14ac:dyDescent="0.5">
      <c r="M4888" s="2">
        <v>4887</v>
      </c>
      <c r="N4888" s="2" t="s">
        <v>3446</v>
      </c>
    </row>
    <row r="4889" spans="13:14" x14ac:dyDescent="0.5">
      <c r="M4889" s="2">
        <v>4888</v>
      </c>
      <c r="N4889" s="2" t="s">
        <v>3446</v>
      </c>
    </row>
    <row r="4890" spans="13:14" x14ac:dyDescent="0.5">
      <c r="M4890" s="2">
        <v>4889</v>
      </c>
      <c r="N4890" s="2" t="s">
        <v>3446</v>
      </c>
    </row>
    <row r="4891" spans="13:14" x14ac:dyDescent="0.5">
      <c r="M4891" s="2">
        <v>4890</v>
      </c>
      <c r="N4891" s="2" t="s">
        <v>3446</v>
      </c>
    </row>
    <row r="4892" spans="13:14" x14ac:dyDescent="0.5">
      <c r="M4892" s="2">
        <v>4891</v>
      </c>
      <c r="N4892" s="2" t="s">
        <v>3446</v>
      </c>
    </row>
    <row r="4893" spans="13:14" x14ac:dyDescent="0.5">
      <c r="M4893" s="2">
        <v>4892</v>
      </c>
      <c r="N4893" s="2" t="s">
        <v>3446</v>
      </c>
    </row>
    <row r="4894" spans="13:14" x14ac:dyDescent="0.5">
      <c r="M4894" s="2">
        <v>4893</v>
      </c>
      <c r="N4894" s="2" t="s">
        <v>3446</v>
      </c>
    </row>
    <row r="4895" spans="13:14" x14ac:dyDescent="0.5">
      <c r="M4895" s="2">
        <v>4894</v>
      </c>
      <c r="N4895" s="2" t="s">
        <v>3446</v>
      </c>
    </row>
    <row r="4896" spans="13:14" x14ac:dyDescent="0.5">
      <c r="M4896" s="2">
        <v>4895</v>
      </c>
      <c r="N4896" s="2" t="s">
        <v>3446</v>
      </c>
    </row>
    <row r="4897" spans="13:14" x14ac:dyDescent="0.5">
      <c r="M4897" s="2">
        <v>4896</v>
      </c>
      <c r="N4897" s="2" t="s">
        <v>3446</v>
      </c>
    </row>
    <row r="4898" spans="13:14" x14ac:dyDescent="0.5">
      <c r="M4898" s="2">
        <v>4897</v>
      </c>
      <c r="N4898" s="2" t="s">
        <v>3446</v>
      </c>
    </row>
    <row r="4899" spans="13:14" x14ac:dyDescent="0.5">
      <c r="M4899" s="2">
        <v>4898</v>
      </c>
      <c r="N4899" s="2" t="s">
        <v>3446</v>
      </c>
    </row>
    <row r="4900" spans="13:14" x14ac:dyDescent="0.5">
      <c r="M4900" s="2">
        <v>4899</v>
      </c>
      <c r="N4900" s="2" t="s">
        <v>3446</v>
      </c>
    </row>
    <row r="4901" spans="13:14" x14ac:dyDescent="0.5">
      <c r="M4901" s="2">
        <v>4900</v>
      </c>
      <c r="N4901" s="2" t="s">
        <v>3446</v>
      </c>
    </row>
    <row r="4902" spans="13:14" x14ac:dyDescent="0.5">
      <c r="M4902" s="2">
        <v>4901</v>
      </c>
      <c r="N4902" s="2" t="s">
        <v>3446</v>
      </c>
    </row>
    <row r="4903" spans="13:14" x14ac:dyDescent="0.5">
      <c r="M4903" s="2">
        <v>4902</v>
      </c>
      <c r="N4903" s="2" t="s">
        <v>3446</v>
      </c>
    </row>
    <row r="4904" spans="13:14" x14ac:dyDescent="0.5">
      <c r="M4904" s="2">
        <v>4903</v>
      </c>
      <c r="N4904" s="2" t="s">
        <v>3446</v>
      </c>
    </row>
    <row r="4905" spans="13:14" x14ac:dyDescent="0.5">
      <c r="M4905" s="2">
        <v>4904</v>
      </c>
      <c r="N4905" s="2" t="s">
        <v>3446</v>
      </c>
    </row>
    <row r="4906" spans="13:14" x14ac:dyDescent="0.5">
      <c r="M4906" s="2">
        <v>4905</v>
      </c>
      <c r="N4906" s="2" t="s">
        <v>3446</v>
      </c>
    </row>
    <row r="4907" spans="13:14" x14ac:dyDescent="0.5">
      <c r="M4907" s="2">
        <v>4906</v>
      </c>
      <c r="N4907" s="2" t="s">
        <v>3446</v>
      </c>
    </row>
    <row r="4908" spans="13:14" x14ac:dyDescent="0.5">
      <c r="M4908" s="2">
        <v>4907</v>
      </c>
      <c r="N4908" s="2" t="s">
        <v>3446</v>
      </c>
    </row>
    <row r="4909" spans="13:14" x14ac:dyDescent="0.5">
      <c r="M4909" s="2">
        <v>4908</v>
      </c>
      <c r="N4909" s="2" t="s">
        <v>3446</v>
      </c>
    </row>
    <row r="4910" spans="13:14" x14ac:dyDescent="0.5">
      <c r="M4910" s="2">
        <v>4909</v>
      </c>
      <c r="N4910" s="2" t="s">
        <v>3446</v>
      </c>
    </row>
    <row r="4911" spans="13:14" x14ac:dyDescent="0.5">
      <c r="M4911" s="2">
        <v>4910</v>
      </c>
      <c r="N4911" s="2" t="s">
        <v>3446</v>
      </c>
    </row>
    <row r="4912" spans="13:14" x14ac:dyDescent="0.5">
      <c r="M4912" s="2">
        <v>4911</v>
      </c>
      <c r="N4912" s="2" t="s">
        <v>3446</v>
      </c>
    </row>
    <row r="4913" spans="13:14" x14ac:dyDescent="0.5">
      <c r="M4913" s="2">
        <v>4912</v>
      </c>
      <c r="N4913" s="2" t="s">
        <v>3446</v>
      </c>
    </row>
    <row r="4914" spans="13:14" x14ac:dyDescent="0.5">
      <c r="M4914" s="2">
        <v>4913</v>
      </c>
      <c r="N4914" s="2" t="s">
        <v>3446</v>
      </c>
    </row>
    <row r="4915" spans="13:14" x14ac:dyDescent="0.5">
      <c r="M4915" s="2">
        <v>4914</v>
      </c>
      <c r="N4915" s="2" t="s">
        <v>3446</v>
      </c>
    </row>
    <row r="4916" spans="13:14" x14ac:dyDescent="0.5">
      <c r="M4916" s="2">
        <v>4915</v>
      </c>
      <c r="N4916" s="2" t="s">
        <v>3446</v>
      </c>
    </row>
    <row r="4917" spans="13:14" x14ac:dyDescent="0.5">
      <c r="M4917" s="2">
        <v>4916</v>
      </c>
      <c r="N4917" s="2" t="s">
        <v>3446</v>
      </c>
    </row>
    <row r="4918" spans="13:14" x14ac:dyDescent="0.5">
      <c r="M4918" s="2">
        <v>4917</v>
      </c>
      <c r="N4918" s="2" t="s">
        <v>3446</v>
      </c>
    </row>
    <row r="4919" spans="13:14" x14ac:dyDescent="0.5">
      <c r="M4919" s="2">
        <v>4918</v>
      </c>
      <c r="N4919" s="2" t="s">
        <v>3446</v>
      </c>
    </row>
    <row r="4920" spans="13:14" x14ac:dyDescent="0.5">
      <c r="M4920" s="2">
        <v>4919</v>
      </c>
      <c r="N4920" s="2" t="s">
        <v>3446</v>
      </c>
    </row>
    <row r="4921" spans="13:14" x14ac:dyDescent="0.5">
      <c r="M4921" s="2">
        <v>4920</v>
      </c>
      <c r="N4921" s="2" t="s">
        <v>3446</v>
      </c>
    </row>
    <row r="4922" spans="13:14" x14ac:dyDescent="0.5">
      <c r="M4922" s="2">
        <v>4921</v>
      </c>
      <c r="N4922" s="2" t="s">
        <v>3446</v>
      </c>
    </row>
    <row r="4923" spans="13:14" x14ac:dyDescent="0.5">
      <c r="M4923" s="2">
        <v>4922</v>
      </c>
      <c r="N4923" s="2" t="s">
        <v>3446</v>
      </c>
    </row>
    <row r="4924" spans="13:14" x14ac:dyDescent="0.5">
      <c r="M4924" s="2">
        <v>4923</v>
      </c>
      <c r="N4924" s="2" t="s">
        <v>3446</v>
      </c>
    </row>
    <row r="4925" spans="13:14" x14ac:dyDescent="0.5">
      <c r="M4925" s="2">
        <v>4924</v>
      </c>
      <c r="N4925" s="2" t="s">
        <v>3446</v>
      </c>
    </row>
    <row r="4926" spans="13:14" x14ac:dyDescent="0.5">
      <c r="M4926" s="2">
        <v>4925</v>
      </c>
      <c r="N4926" s="2" t="s">
        <v>3446</v>
      </c>
    </row>
    <row r="4927" spans="13:14" x14ac:dyDescent="0.5">
      <c r="M4927" s="2">
        <v>4926</v>
      </c>
      <c r="N4927" s="2" t="s">
        <v>3446</v>
      </c>
    </row>
    <row r="4928" spans="13:14" x14ac:dyDescent="0.5">
      <c r="M4928" s="2">
        <v>4927</v>
      </c>
      <c r="N4928" s="2" t="s">
        <v>3446</v>
      </c>
    </row>
    <row r="4929" spans="13:14" x14ac:dyDescent="0.5">
      <c r="M4929" s="2">
        <v>4928</v>
      </c>
      <c r="N4929" s="2" t="s">
        <v>3446</v>
      </c>
    </row>
    <row r="4930" spans="13:14" x14ac:dyDescent="0.5">
      <c r="M4930" s="2">
        <v>4929</v>
      </c>
      <c r="N4930" s="2" t="s">
        <v>3446</v>
      </c>
    </row>
    <row r="4931" spans="13:14" x14ac:dyDescent="0.5">
      <c r="M4931" s="2">
        <v>4930</v>
      </c>
      <c r="N4931" s="2" t="s">
        <v>3446</v>
      </c>
    </row>
    <row r="4932" spans="13:14" x14ac:dyDescent="0.5">
      <c r="M4932" s="2">
        <v>4931</v>
      </c>
      <c r="N4932" s="2" t="s">
        <v>3446</v>
      </c>
    </row>
    <row r="4933" spans="13:14" x14ac:dyDescent="0.5">
      <c r="M4933" s="2">
        <v>4932</v>
      </c>
      <c r="N4933" s="2" t="s">
        <v>3446</v>
      </c>
    </row>
    <row r="4934" spans="13:14" x14ac:dyDescent="0.5">
      <c r="M4934" s="2">
        <v>4933</v>
      </c>
      <c r="N4934" s="2" t="s">
        <v>3446</v>
      </c>
    </row>
    <row r="4935" spans="13:14" x14ac:dyDescent="0.5">
      <c r="M4935" s="2">
        <v>4934</v>
      </c>
      <c r="N4935" s="2" t="s">
        <v>3446</v>
      </c>
    </row>
    <row r="4936" spans="13:14" x14ac:dyDescent="0.5">
      <c r="M4936" s="2">
        <v>4935</v>
      </c>
      <c r="N4936" s="2" t="s">
        <v>3446</v>
      </c>
    </row>
    <row r="4937" spans="13:14" x14ac:dyDescent="0.5">
      <c r="M4937" s="2">
        <v>4936</v>
      </c>
    </row>
    <row r="4938" spans="13:14" x14ac:dyDescent="0.5">
      <c r="M4938" s="2">
        <v>4937</v>
      </c>
      <c r="N4938" s="2" t="s">
        <v>3446</v>
      </c>
    </row>
    <row r="4939" spans="13:14" x14ac:dyDescent="0.5">
      <c r="M4939" s="2">
        <v>4938</v>
      </c>
      <c r="N4939" s="2" t="s">
        <v>3446</v>
      </c>
    </row>
    <row r="4940" spans="13:14" x14ac:dyDescent="0.5">
      <c r="M4940" s="2">
        <v>4939</v>
      </c>
      <c r="N4940" s="2" t="s">
        <v>3446</v>
      </c>
    </row>
    <row r="4941" spans="13:14" x14ac:dyDescent="0.5">
      <c r="M4941" s="2">
        <v>4940</v>
      </c>
      <c r="N4941" s="2" t="s">
        <v>3446</v>
      </c>
    </row>
    <row r="4942" spans="13:14" x14ac:dyDescent="0.5">
      <c r="M4942" s="2">
        <v>4941</v>
      </c>
      <c r="N4942" s="2" t="s">
        <v>3446</v>
      </c>
    </row>
    <row r="4943" spans="13:14" x14ac:dyDescent="0.5">
      <c r="M4943" s="2">
        <v>4942</v>
      </c>
      <c r="N4943" s="2" t="s">
        <v>3446</v>
      </c>
    </row>
    <row r="4944" spans="13:14" x14ac:dyDescent="0.5">
      <c r="M4944" s="2">
        <v>4943</v>
      </c>
      <c r="N4944" s="2" t="s">
        <v>3446</v>
      </c>
    </row>
    <row r="4945" spans="13:14" x14ac:dyDescent="0.5">
      <c r="M4945" s="2">
        <v>4944</v>
      </c>
      <c r="N4945" s="2" t="s">
        <v>3446</v>
      </c>
    </row>
    <row r="4946" spans="13:14" x14ac:dyDescent="0.5">
      <c r="M4946" s="2">
        <v>4945</v>
      </c>
      <c r="N4946" s="2" t="s">
        <v>3446</v>
      </c>
    </row>
    <row r="4947" spans="13:14" x14ac:dyDescent="0.5">
      <c r="M4947" s="2">
        <v>4946</v>
      </c>
      <c r="N4947" s="2" t="s">
        <v>3446</v>
      </c>
    </row>
    <row r="4948" spans="13:14" x14ac:dyDescent="0.5">
      <c r="M4948" s="2">
        <v>4947</v>
      </c>
      <c r="N4948" s="2" t="s">
        <v>3446</v>
      </c>
    </row>
    <row r="4949" spans="13:14" x14ac:dyDescent="0.5">
      <c r="M4949" s="2">
        <v>4948</v>
      </c>
      <c r="N4949" s="2" t="s">
        <v>3446</v>
      </c>
    </row>
    <row r="4950" spans="13:14" x14ac:dyDescent="0.5">
      <c r="M4950" s="2">
        <v>4949</v>
      </c>
      <c r="N4950" s="2" t="s">
        <v>3446</v>
      </c>
    </row>
    <row r="4951" spans="13:14" x14ac:dyDescent="0.5">
      <c r="M4951" s="2">
        <v>4950</v>
      </c>
      <c r="N4951" s="2" t="s">
        <v>3446</v>
      </c>
    </row>
    <row r="4952" spans="13:14" x14ac:dyDescent="0.5">
      <c r="M4952" s="2">
        <v>4951</v>
      </c>
      <c r="N4952" s="2" t="s">
        <v>3446</v>
      </c>
    </row>
    <row r="4953" spans="13:14" x14ac:dyDescent="0.5">
      <c r="M4953" s="2">
        <v>4952</v>
      </c>
      <c r="N4953" s="2" t="s">
        <v>3446</v>
      </c>
    </row>
    <row r="4954" spans="13:14" x14ac:dyDescent="0.5">
      <c r="M4954" s="2">
        <v>4953</v>
      </c>
      <c r="N4954" s="2" t="s">
        <v>3446</v>
      </c>
    </row>
    <row r="4955" spans="13:14" x14ac:dyDescent="0.5">
      <c r="M4955" s="2">
        <v>4954</v>
      </c>
      <c r="N4955" s="2" t="s">
        <v>3446</v>
      </c>
    </row>
    <row r="4956" spans="13:14" x14ac:dyDescent="0.5">
      <c r="M4956" s="2">
        <v>4955</v>
      </c>
      <c r="N4956" s="2" t="s">
        <v>3446</v>
      </c>
    </row>
    <row r="4957" spans="13:14" x14ac:dyDescent="0.5">
      <c r="M4957" s="2">
        <v>4956</v>
      </c>
      <c r="N4957" s="2" t="s">
        <v>3446</v>
      </c>
    </row>
    <row r="4958" spans="13:14" x14ac:dyDescent="0.5">
      <c r="M4958" s="2">
        <v>4957</v>
      </c>
      <c r="N4958" s="2" t="s">
        <v>3446</v>
      </c>
    </row>
    <row r="4959" spans="13:14" x14ac:dyDescent="0.5">
      <c r="M4959" s="2">
        <v>4958</v>
      </c>
      <c r="N4959" s="2" t="s">
        <v>3446</v>
      </c>
    </row>
    <row r="4960" spans="13:14" x14ac:dyDescent="0.5">
      <c r="M4960" s="2">
        <v>4959</v>
      </c>
      <c r="N4960" s="2" t="s">
        <v>3446</v>
      </c>
    </row>
    <row r="4961" spans="13:14" x14ac:dyDescent="0.5">
      <c r="M4961" s="2">
        <v>4960</v>
      </c>
      <c r="N4961" s="2" t="s">
        <v>3446</v>
      </c>
    </row>
    <row r="4962" spans="13:14" x14ac:dyDescent="0.5">
      <c r="M4962" s="2">
        <v>4961</v>
      </c>
      <c r="N4962" s="2" t="s">
        <v>3446</v>
      </c>
    </row>
    <row r="4963" spans="13:14" x14ac:dyDescent="0.5">
      <c r="M4963" s="2">
        <v>4962</v>
      </c>
      <c r="N4963" s="2" t="s">
        <v>3446</v>
      </c>
    </row>
    <row r="4964" spans="13:14" x14ac:dyDescent="0.5">
      <c r="M4964" s="2">
        <v>4963</v>
      </c>
      <c r="N4964" s="2" t="s">
        <v>3446</v>
      </c>
    </row>
    <row r="4965" spans="13:14" x14ac:dyDescent="0.5">
      <c r="M4965" s="2">
        <v>4964</v>
      </c>
      <c r="N4965" s="2" t="s">
        <v>3446</v>
      </c>
    </row>
    <row r="4966" spans="13:14" x14ac:dyDescent="0.5">
      <c r="M4966" s="2">
        <v>4965</v>
      </c>
      <c r="N4966" s="2" t="s">
        <v>3446</v>
      </c>
    </row>
    <row r="4967" spans="13:14" x14ac:dyDescent="0.5">
      <c r="M4967" s="2">
        <v>4966</v>
      </c>
      <c r="N4967" s="2" t="s">
        <v>3446</v>
      </c>
    </row>
    <row r="4968" spans="13:14" x14ac:dyDescent="0.5">
      <c r="M4968" s="2">
        <v>4967</v>
      </c>
      <c r="N4968" s="2" t="s">
        <v>3446</v>
      </c>
    </row>
    <row r="4969" spans="13:14" x14ac:dyDescent="0.5">
      <c r="M4969" s="2">
        <v>4968</v>
      </c>
      <c r="N4969" s="2" t="s">
        <v>3446</v>
      </c>
    </row>
    <row r="4970" spans="13:14" x14ac:dyDescent="0.5">
      <c r="M4970" s="2">
        <v>4969</v>
      </c>
      <c r="N4970" s="2" t="s">
        <v>3446</v>
      </c>
    </row>
    <row r="4971" spans="13:14" x14ac:dyDescent="0.5">
      <c r="M4971" s="2">
        <v>4970</v>
      </c>
      <c r="N4971" s="2" t="s">
        <v>3446</v>
      </c>
    </row>
    <row r="4972" spans="13:14" x14ac:dyDescent="0.5">
      <c r="M4972" s="2">
        <v>4971</v>
      </c>
      <c r="N4972" s="2" t="s">
        <v>3446</v>
      </c>
    </row>
    <row r="4973" spans="13:14" x14ac:dyDescent="0.5">
      <c r="M4973" s="2">
        <v>4972</v>
      </c>
      <c r="N4973" s="2" t="s">
        <v>3446</v>
      </c>
    </row>
    <row r="4974" spans="13:14" x14ac:dyDescent="0.5">
      <c r="M4974" s="2">
        <v>4973</v>
      </c>
      <c r="N4974" s="2" t="s">
        <v>3446</v>
      </c>
    </row>
    <row r="4975" spans="13:14" x14ac:dyDescent="0.5">
      <c r="M4975" s="2">
        <v>4974</v>
      </c>
      <c r="N4975" s="2" t="s">
        <v>3446</v>
      </c>
    </row>
    <row r="4976" spans="13:14" x14ac:dyDescent="0.5">
      <c r="M4976" s="2">
        <v>4975</v>
      </c>
      <c r="N4976" s="2" t="s">
        <v>3446</v>
      </c>
    </row>
    <row r="4977" spans="13:14" x14ac:dyDescent="0.5">
      <c r="M4977" s="2">
        <v>4976</v>
      </c>
      <c r="N4977" s="2" t="s">
        <v>3446</v>
      </c>
    </row>
    <row r="4978" spans="13:14" x14ac:dyDescent="0.5">
      <c r="M4978" s="2">
        <v>4977</v>
      </c>
      <c r="N4978" s="2" t="s">
        <v>3446</v>
      </c>
    </row>
    <row r="4979" spans="13:14" x14ac:dyDescent="0.5">
      <c r="M4979" s="2">
        <v>4978</v>
      </c>
      <c r="N4979" s="2" t="s">
        <v>3446</v>
      </c>
    </row>
    <row r="4980" spans="13:14" x14ac:dyDescent="0.5">
      <c r="M4980" s="2">
        <v>4979</v>
      </c>
      <c r="N4980" s="2" t="s">
        <v>3446</v>
      </c>
    </row>
    <row r="4981" spans="13:14" x14ac:dyDescent="0.5">
      <c r="M4981" s="2">
        <v>4980</v>
      </c>
      <c r="N4981" s="2" t="s">
        <v>3446</v>
      </c>
    </row>
    <row r="4982" spans="13:14" x14ac:dyDescent="0.5">
      <c r="M4982" s="2">
        <v>4981</v>
      </c>
      <c r="N4982" s="2" t="s">
        <v>3446</v>
      </c>
    </row>
    <row r="4983" spans="13:14" x14ac:dyDescent="0.5">
      <c r="M4983" s="2">
        <v>4982</v>
      </c>
      <c r="N4983" s="2" t="s">
        <v>3446</v>
      </c>
    </row>
    <row r="4984" spans="13:14" x14ac:dyDescent="0.5">
      <c r="M4984" s="2">
        <v>4983</v>
      </c>
      <c r="N4984" s="2" t="s">
        <v>3446</v>
      </c>
    </row>
    <row r="4985" spans="13:14" x14ac:dyDescent="0.5">
      <c r="M4985" s="2">
        <v>4984</v>
      </c>
      <c r="N4985" s="2" t="s">
        <v>3446</v>
      </c>
    </row>
    <row r="4986" spans="13:14" x14ac:dyDescent="0.5">
      <c r="M4986" s="2">
        <v>4985</v>
      </c>
      <c r="N4986" s="2" t="s">
        <v>3446</v>
      </c>
    </row>
    <row r="4987" spans="13:14" x14ac:dyDescent="0.5">
      <c r="M4987" s="2">
        <v>4986</v>
      </c>
      <c r="N4987" s="2" t="s">
        <v>3446</v>
      </c>
    </row>
    <row r="4988" spans="13:14" x14ac:dyDescent="0.5">
      <c r="M4988" s="2">
        <v>4987</v>
      </c>
      <c r="N4988" s="2" t="s">
        <v>3446</v>
      </c>
    </row>
    <row r="4989" spans="13:14" x14ac:dyDescent="0.5">
      <c r="M4989" s="2">
        <v>4988</v>
      </c>
      <c r="N4989" s="2" t="s">
        <v>3446</v>
      </c>
    </row>
    <row r="4990" spans="13:14" x14ac:dyDescent="0.5">
      <c r="M4990" s="2">
        <v>4989</v>
      </c>
      <c r="N4990" s="2" t="s">
        <v>3446</v>
      </c>
    </row>
    <row r="4991" spans="13:14" x14ac:dyDescent="0.5">
      <c r="M4991" s="2">
        <v>4990</v>
      </c>
      <c r="N4991" s="2" t="s">
        <v>3446</v>
      </c>
    </row>
    <row r="4992" spans="13:14" x14ac:dyDescent="0.5">
      <c r="M4992" s="2">
        <v>4991</v>
      </c>
      <c r="N4992" s="2" t="s">
        <v>3446</v>
      </c>
    </row>
    <row r="4993" spans="13:14" x14ac:dyDescent="0.5">
      <c r="M4993" s="2">
        <v>4992</v>
      </c>
      <c r="N4993" s="2" t="s">
        <v>3446</v>
      </c>
    </row>
    <row r="4994" spans="13:14" x14ac:dyDescent="0.5">
      <c r="M4994" s="2">
        <v>4993</v>
      </c>
      <c r="N4994" s="2" t="s">
        <v>3446</v>
      </c>
    </row>
    <row r="4995" spans="13:14" x14ac:dyDescent="0.5">
      <c r="M4995" s="2">
        <v>4994</v>
      </c>
      <c r="N4995" s="2" t="s">
        <v>3446</v>
      </c>
    </row>
    <row r="4996" spans="13:14" x14ac:dyDescent="0.5">
      <c r="M4996" s="2">
        <v>4995</v>
      </c>
      <c r="N4996" s="2" t="s">
        <v>3446</v>
      </c>
    </row>
    <row r="4997" spans="13:14" x14ac:dyDescent="0.5">
      <c r="M4997" s="2">
        <v>4996</v>
      </c>
      <c r="N4997" s="2" t="s">
        <v>3446</v>
      </c>
    </row>
    <row r="4998" spans="13:14" x14ac:dyDescent="0.5">
      <c r="M4998" s="2">
        <v>4997</v>
      </c>
      <c r="N4998" s="2" t="s">
        <v>3446</v>
      </c>
    </row>
    <row r="4999" spans="13:14" x14ac:dyDescent="0.5">
      <c r="M4999" s="2">
        <v>4998</v>
      </c>
      <c r="N4999" s="2" t="s">
        <v>3446</v>
      </c>
    </row>
    <row r="5000" spans="13:14" x14ac:dyDescent="0.5">
      <c r="M5000" s="2">
        <v>4999</v>
      </c>
      <c r="N5000" s="2" t="s">
        <v>3446</v>
      </c>
    </row>
    <row r="5001" spans="13:14" x14ac:dyDescent="0.5">
      <c r="M5001" s="2">
        <v>5000</v>
      </c>
      <c r="N5001" s="2" t="s">
        <v>3446</v>
      </c>
    </row>
    <row r="5002" spans="13:14" x14ac:dyDescent="0.5">
      <c r="M5002" s="2">
        <v>5001</v>
      </c>
      <c r="N5002" s="2" t="s">
        <v>3446</v>
      </c>
    </row>
    <row r="5003" spans="13:14" x14ac:dyDescent="0.5">
      <c r="M5003" s="2">
        <v>5002</v>
      </c>
      <c r="N5003" s="2" t="s">
        <v>3446</v>
      </c>
    </row>
    <row r="5004" spans="13:14" x14ac:dyDescent="0.5">
      <c r="M5004" s="2">
        <v>5003</v>
      </c>
      <c r="N5004" s="2" t="s">
        <v>3446</v>
      </c>
    </row>
    <row r="5005" spans="13:14" x14ac:dyDescent="0.5">
      <c r="M5005" s="2">
        <v>5004</v>
      </c>
      <c r="N5005" s="2" t="s">
        <v>3446</v>
      </c>
    </row>
    <row r="5006" spans="13:14" x14ac:dyDescent="0.5">
      <c r="M5006" s="2">
        <v>5005</v>
      </c>
      <c r="N5006" s="2" t="s">
        <v>3446</v>
      </c>
    </row>
    <row r="5007" spans="13:14" x14ac:dyDescent="0.5">
      <c r="M5007" s="2">
        <v>5006</v>
      </c>
      <c r="N5007" s="2" t="s">
        <v>3446</v>
      </c>
    </row>
    <row r="5008" spans="13:14" x14ac:dyDescent="0.5">
      <c r="M5008" s="2">
        <v>5007</v>
      </c>
      <c r="N5008" s="2" t="s">
        <v>3446</v>
      </c>
    </row>
    <row r="5009" spans="13:14" x14ac:dyDescent="0.5">
      <c r="M5009" s="2">
        <v>5008</v>
      </c>
      <c r="N5009" s="2" t="s">
        <v>3446</v>
      </c>
    </row>
    <row r="5010" spans="13:14" x14ac:dyDescent="0.5">
      <c r="M5010" s="2">
        <v>5009</v>
      </c>
      <c r="N5010" s="2" t="s">
        <v>3446</v>
      </c>
    </row>
    <row r="5011" spans="13:14" x14ac:dyDescent="0.5">
      <c r="M5011" s="2">
        <v>5010</v>
      </c>
      <c r="N5011" s="2" t="s">
        <v>3446</v>
      </c>
    </row>
    <row r="5012" spans="13:14" x14ac:dyDescent="0.5">
      <c r="M5012" s="2">
        <v>5011</v>
      </c>
      <c r="N5012" s="2" t="s">
        <v>3446</v>
      </c>
    </row>
    <row r="5013" spans="13:14" x14ac:dyDescent="0.5">
      <c r="M5013" s="2">
        <v>5012</v>
      </c>
      <c r="N5013" s="2" t="s">
        <v>3446</v>
      </c>
    </row>
    <row r="5014" spans="13:14" x14ac:dyDescent="0.5">
      <c r="M5014" s="2">
        <v>5013</v>
      </c>
      <c r="N5014" s="2" t="s">
        <v>3446</v>
      </c>
    </row>
    <row r="5015" spans="13:14" x14ac:dyDescent="0.5">
      <c r="M5015" s="2">
        <v>5014</v>
      </c>
      <c r="N5015" s="2" t="s">
        <v>3446</v>
      </c>
    </row>
    <row r="5016" spans="13:14" x14ac:dyDescent="0.5">
      <c r="M5016" s="2">
        <v>5015</v>
      </c>
      <c r="N5016" s="2" t="s">
        <v>3446</v>
      </c>
    </row>
    <row r="5017" spans="13:14" x14ac:dyDescent="0.5">
      <c r="M5017" s="2">
        <v>5016</v>
      </c>
      <c r="N5017" s="2" t="s">
        <v>3446</v>
      </c>
    </row>
    <row r="5018" spans="13:14" x14ac:dyDescent="0.5">
      <c r="M5018" s="2">
        <v>5017</v>
      </c>
      <c r="N5018" s="2" t="s">
        <v>3446</v>
      </c>
    </row>
    <row r="5019" spans="13:14" x14ac:dyDescent="0.5">
      <c r="M5019" s="2">
        <v>5018</v>
      </c>
      <c r="N5019" s="2" t="s">
        <v>3446</v>
      </c>
    </row>
    <row r="5020" spans="13:14" x14ac:dyDescent="0.5">
      <c r="M5020" s="2">
        <v>5019</v>
      </c>
      <c r="N5020" s="2" t="s">
        <v>3446</v>
      </c>
    </row>
    <row r="5021" spans="13:14" x14ac:dyDescent="0.5">
      <c r="M5021" s="2">
        <v>5020</v>
      </c>
      <c r="N5021" s="2" t="s">
        <v>3446</v>
      </c>
    </row>
    <row r="5022" spans="13:14" x14ac:dyDescent="0.5">
      <c r="M5022" s="2">
        <v>5021</v>
      </c>
      <c r="N5022" s="2" t="s">
        <v>3446</v>
      </c>
    </row>
    <row r="5023" spans="13:14" x14ac:dyDescent="0.5">
      <c r="M5023" s="2">
        <v>5022</v>
      </c>
      <c r="N5023" s="2" t="s">
        <v>3446</v>
      </c>
    </row>
    <row r="5024" spans="13:14" x14ac:dyDescent="0.5">
      <c r="M5024" s="2">
        <v>5023</v>
      </c>
      <c r="N5024" s="2" t="s">
        <v>3446</v>
      </c>
    </row>
    <row r="5025" spans="13:14" x14ac:dyDescent="0.5">
      <c r="M5025" s="2">
        <v>5024</v>
      </c>
      <c r="N5025" s="2" t="s">
        <v>3446</v>
      </c>
    </row>
    <row r="5026" spans="13:14" x14ac:dyDescent="0.5">
      <c r="M5026" s="2">
        <v>5025</v>
      </c>
      <c r="N5026" s="2" t="s">
        <v>3446</v>
      </c>
    </row>
    <row r="5027" spans="13:14" x14ac:dyDescent="0.5">
      <c r="M5027" s="2">
        <v>5026</v>
      </c>
      <c r="N5027" s="2" t="s">
        <v>3446</v>
      </c>
    </row>
    <row r="5028" spans="13:14" x14ac:dyDescent="0.5">
      <c r="M5028" s="2">
        <v>5027</v>
      </c>
      <c r="N5028" s="2" t="s">
        <v>3446</v>
      </c>
    </row>
    <row r="5029" spans="13:14" x14ac:dyDescent="0.5">
      <c r="M5029" s="2">
        <v>5028</v>
      </c>
      <c r="N5029" s="2" t="s">
        <v>3446</v>
      </c>
    </row>
    <row r="5030" spans="13:14" x14ac:dyDescent="0.5">
      <c r="M5030" s="2">
        <v>5029</v>
      </c>
      <c r="N5030" s="2" t="s">
        <v>3446</v>
      </c>
    </row>
    <row r="5031" spans="13:14" x14ac:dyDescent="0.5">
      <c r="M5031" s="2">
        <v>5030</v>
      </c>
      <c r="N5031" s="2" t="s">
        <v>3446</v>
      </c>
    </row>
    <row r="5032" spans="13:14" x14ac:dyDescent="0.5">
      <c r="M5032" s="2">
        <v>5031</v>
      </c>
      <c r="N5032" s="2" t="s">
        <v>3446</v>
      </c>
    </row>
    <row r="5033" spans="13:14" x14ac:dyDescent="0.5">
      <c r="M5033" s="2">
        <v>5032</v>
      </c>
      <c r="N5033" s="2" t="s">
        <v>3446</v>
      </c>
    </row>
    <row r="5034" spans="13:14" x14ac:dyDescent="0.5">
      <c r="M5034" s="2">
        <v>5033</v>
      </c>
      <c r="N5034" s="2" t="s">
        <v>3446</v>
      </c>
    </row>
    <row r="5035" spans="13:14" x14ac:dyDescent="0.5">
      <c r="M5035" s="2">
        <v>5034</v>
      </c>
      <c r="N5035" s="2" t="s">
        <v>3446</v>
      </c>
    </row>
    <row r="5036" spans="13:14" x14ac:dyDescent="0.5">
      <c r="M5036" s="2">
        <v>5035</v>
      </c>
      <c r="N5036" s="2" t="s">
        <v>3446</v>
      </c>
    </row>
    <row r="5037" spans="13:14" x14ac:dyDescent="0.5">
      <c r="M5037" s="2">
        <v>5036</v>
      </c>
      <c r="N5037" s="2" t="s">
        <v>3446</v>
      </c>
    </row>
    <row r="5038" spans="13:14" x14ac:dyDescent="0.5">
      <c r="M5038" s="2">
        <v>5037</v>
      </c>
      <c r="N5038" s="2" t="s">
        <v>3446</v>
      </c>
    </row>
    <row r="5039" spans="13:14" x14ac:dyDescent="0.5">
      <c r="M5039" s="2">
        <v>5038</v>
      </c>
      <c r="N5039" s="2" t="s">
        <v>3446</v>
      </c>
    </row>
    <row r="5040" spans="13:14" x14ac:dyDescent="0.5">
      <c r="M5040" s="2">
        <v>5039</v>
      </c>
      <c r="N5040" s="2" t="s">
        <v>3446</v>
      </c>
    </row>
    <row r="5041" spans="13:14" x14ac:dyDescent="0.5">
      <c r="M5041" s="2">
        <v>5040</v>
      </c>
      <c r="N5041" s="2" t="s">
        <v>3446</v>
      </c>
    </row>
    <row r="5042" spans="13:14" x14ac:dyDescent="0.5">
      <c r="M5042" s="2">
        <v>5041</v>
      </c>
      <c r="N5042" s="2" t="s">
        <v>3446</v>
      </c>
    </row>
    <row r="5043" spans="13:14" x14ac:dyDescent="0.5">
      <c r="M5043" s="2">
        <v>5042</v>
      </c>
      <c r="N5043" s="2" t="s">
        <v>3446</v>
      </c>
    </row>
    <row r="5044" spans="13:14" x14ac:dyDescent="0.5">
      <c r="M5044" s="2">
        <v>5043</v>
      </c>
      <c r="N5044" s="2" t="s">
        <v>3446</v>
      </c>
    </row>
    <row r="5045" spans="13:14" x14ac:dyDescent="0.5">
      <c r="M5045" s="2">
        <v>5044</v>
      </c>
      <c r="N5045" s="2" t="s">
        <v>3446</v>
      </c>
    </row>
    <row r="5046" spans="13:14" x14ac:dyDescent="0.5">
      <c r="M5046" s="2">
        <v>5045</v>
      </c>
      <c r="N5046" s="2" t="s">
        <v>3446</v>
      </c>
    </row>
    <row r="5047" spans="13:14" x14ac:dyDescent="0.5">
      <c r="M5047" s="2">
        <v>5046</v>
      </c>
      <c r="N5047" s="2" t="s">
        <v>3446</v>
      </c>
    </row>
    <row r="5048" spans="13:14" x14ac:dyDescent="0.5">
      <c r="M5048" s="2">
        <v>5047</v>
      </c>
      <c r="N5048" s="2" t="s">
        <v>3446</v>
      </c>
    </row>
    <row r="5049" spans="13:14" x14ac:dyDescent="0.5">
      <c r="M5049" s="2">
        <v>5048</v>
      </c>
      <c r="N5049" s="2" t="s">
        <v>3446</v>
      </c>
    </row>
    <row r="5050" spans="13:14" x14ac:dyDescent="0.5">
      <c r="M5050" s="2">
        <v>5049</v>
      </c>
      <c r="N5050" s="2" t="s">
        <v>3446</v>
      </c>
    </row>
    <row r="5051" spans="13:14" x14ac:dyDescent="0.5">
      <c r="M5051" s="2">
        <v>5050</v>
      </c>
      <c r="N5051" s="2" t="s">
        <v>3446</v>
      </c>
    </row>
    <row r="5052" spans="13:14" x14ac:dyDescent="0.5">
      <c r="M5052" s="2">
        <v>5051</v>
      </c>
      <c r="N5052" s="2" t="s">
        <v>3446</v>
      </c>
    </row>
    <row r="5053" spans="13:14" x14ac:dyDescent="0.5">
      <c r="M5053" s="2">
        <v>5052</v>
      </c>
      <c r="N5053" s="2" t="s">
        <v>3446</v>
      </c>
    </row>
    <row r="5054" spans="13:14" x14ac:dyDescent="0.5">
      <c r="M5054" s="2">
        <v>5053</v>
      </c>
      <c r="N5054" s="2" t="s">
        <v>3446</v>
      </c>
    </row>
    <row r="5055" spans="13:14" x14ac:dyDescent="0.5">
      <c r="M5055" s="2">
        <v>5054</v>
      </c>
      <c r="N5055" s="2" t="s">
        <v>3446</v>
      </c>
    </row>
    <row r="5056" spans="13:14" x14ac:dyDescent="0.5">
      <c r="M5056" s="2">
        <v>5055</v>
      </c>
      <c r="N5056" s="2" t="s">
        <v>3446</v>
      </c>
    </row>
    <row r="5057" spans="13:14" x14ac:dyDescent="0.5">
      <c r="M5057" s="2">
        <v>5056</v>
      </c>
      <c r="N5057" s="2" t="s">
        <v>3446</v>
      </c>
    </row>
    <row r="5058" spans="13:14" x14ac:dyDescent="0.5">
      <c r="M5058" s="2">
        <v>5057</v>
      </c>
      <c r="N5058" s="2" t="s">
        <v>3446</v>
      </c>
    </row>
    <row r="5059" spans="13:14" x14ac:dyDescent="0.5">
      <c r="M5059" s="2">
        <v>5058</v>
      </c>
      <c r="N5059" s="2" t="s">
        <v>3446</v>
      </c>
    </row>
    <row r="5060" spans="13:14" x14ac:dyDescent="0.5">
      <c r="M5060" s="2">
        <v>5059</v>
      </c>
      <c r="N5060" s="2" t="s">
        <v>3446</v>
      </c>
    </row>
    <row r="5061" spans="13:14" x14ac:dyDescent="0.5">
      <c r="M5061" s="2">
        <v>5060</v>
      </c>
      <c r="N5061" s="2" t="s">
        <v>3446</v>
      </c>
    </row>
    <row r="5062" spans="13:14" x14ac:dyDescent="0.5">
      <c r="M5062" s="2">
        <v>5061</v>
      </c>
      <c r="N5062" s="2" t="s">
        <v>3446</v>
      </c>
    </row>
    <row r="5063" spans="13:14" x14ac:dyDescent="0.5">
      <c r="M5063" s="2">
        <v>5062</v>
      </c>
      <c r="N5063" s="2" t="s">
        <v>3446</v>
      </c>
    </row>
    <row r="5064" spans="13:14" x14ac:dyDescent="0.5">
      <c r="M5064" s="2">
        <v>5063</v>
      </c>
      <c r="N5064" s="2" t="s">
        <v>3446</v>
      </c>
    </row>
    <row r="5065" spans="13:14" x14ac:dyDescent="0.5">
      <c r="M5065" s="2">
        <v>5064</v>
      </c>
      <c r="N5065" s="2">
        <v>3</v>
      </c>
    </row>
    <row r="5066" spans="13:14" x14ac:dyDescent="0.5">
      <c r="M5066" s="2">
        <v>5065</v>
      </c>
      <c r="N5066" s="2">
        <v>3</v>
      </c>
    </row>
    <row r="5067" spans="13:14" x14ac:dyDescent="0.5">
      <c r="M5067" s="2">
        <v>5066</v>
      </c>
      <c r="N5067" s="2">
        <v>3</v>
      </c>
    </row>
    <row r="5068" spans="13:14" x14ac:dyDescent="0.5">
      <c r="M5068" s="2">
        <v>5067</v>
      </c>
      <c r="N5068" s="2">
        <v>3</v>
      </c>
    </row>
    <row r="5069" spans="13:14" x14ac:dyDescent="0.5">
      <c r="M5069" s="2">
        <v>5068</v>
      </c>
      <c r="N5069" s="2">
        <v>3</v>
      </c>
    </row>
    <row r="5070" spans="13:14" x14ac:dyDescent="0.5">
      <c r="M5070" s="2">
        <v>5069</v>
      </c>
      <c r="N5070" s="2">
        <v>3</v>
      </c>
    </row>
    <row r="5071" spans="13:14" x14ac:dyDescent="0.5">
      <c r="M5071" s="2">
        <v>5070</v>
      </c>
      <c r="N5071" s="2">
        <v>3</v>
      </c>
    </row>
    <row r="5072" spans="13:14" x14ac:dyDescent="0.5">
      <c r="M5072" s="2">
        <v>5071</v>
      </c>
      <c r="N5072" s="2">
        <v>3</v>
      </c>
    </row>
    <row r="5073" spans="13:14" x14ac:dyDescent="0.5">
      <c r="M5073" s="2">
        <v>5072</v>
      </c>
      <c r="N5073" s="2">
        <v>3</v>
      </c>
    </row>
    <row r="5074" spans="13:14" x14ac:dyDescent="0.5">
      <c r="M5074" s="2">
        <v>5073</v>
      </c>
      <c r="N5074" s="2">
        <v>3</v>
      </c>
    </row>
    <row r="5075" spans="13:14" x14ac:dyDescent="0.5">
      <c r="M5075" s="2">
        <v>5074</v>
      </c>
      <c r="N5075" s="2">
        <v>3</v>
      </c>
    </row>
    <row r="5076" spans="13:14" x14ac:dyDescent="0.5">
      <c r="M5076" s="2">
        <v>5075</v>
      </c>
      <c r="N5076" s="2">
        <v>3</v>
      </c>
    </row>
    <row r="5077" spans="13:14" x14ac:dyDescent="0.5">
      <c r="M5077" s="2">
        <v>5076</v>
      </c>
      <c r="N5077" s="2">
        <v>3</v>
      </c>
    </row>
    <row r="5078" spans="13:14" x14ac:dyDescent="0.5">
      <c r="M5078" s="2">
        <v>5077</v>
      </c>
      <c r="N5078" s="2">
        <v>3</v>
      </c>
    </row>
    <row r="5079" spans="13:14" x14ac:dyDescent="0.5">
      <c r="M5079" s="2">
        <v>5078</v>
      </c>
      <c r="N5079" s="2">
        <v>3</v>
      </c>
    </row>
    <row r="5080" spans="13:14" x14ac:dyDescent="0.5">
      <c r="M5080" s="2">
        <v>5079</v>
      </c>
      <c r="N5080" s="2">
        <v>3</v>
      </c>
    </row>
    <row r="5081" spans="13:14" x14ac:dyDescent="0.5">
      <c r="M5081" s="2">
        <v>5080</v>
      </c>
      <c r="N5081" s="2">
        <v>3</v>
      </c>
    </row>
    <row r="5082" spans="13:14" x14ac:dyDescent="0.5">
      <c r="M5082" s="2">
        <v>5081</v>
      </c>
      <c r="N5082" s="2">
        <v>3</v>
      </c>
    </row>
    <row r="5083" spans="13:14" x14ac:dyDescent="0.5">
      <c r="M5083" s="2">
        <v>5082</v>
      </c>
      <c r="N5083" s="2">
        <v>3</v>
      </c>
    </row>
    <row r="5084" spans="13:14" x14ac:dyDescent="0.5">
      <c r="M5084" s="2">
        <v>5083</v>
      </c>
    </row>
    <row r="5085" spans="13:14" x14ac:dyDescent="0.5">
      <c r="M5085" s="2">
        <v>5084</v>
      </c>
    </row>
    <row r="5086" spans="13:14" x14ac:dyDescent="0.5">
      <c r="M5086" s="2">
        <v>5085</v>
      </c>
    </row>
    <row r="5087" spans="13:14" x14ac:dyDescent="0.5">
      <c r="M5087" s="2">
        <v>5086</v>
      </c>
    </row>
    <row r="5088" spans="13:14" x14ac:dyDescent="0.5">
      <c r="M5088" s="2">
        <v>5087</v>
      </c>
    </row>
    <row r="5089" spans="13:14" x14ac:dyDescent="0.5">
      <c r="M5089" s="2">
        <v>5088</v>
      </c>
    </row>
    <row r="5090" spans="13:14" x14ac:dyDescent="0.5">
      <c r="M5090" s="2">
        <v>5089</v>
      </c>
    </row>
    <row r="5091" spans="13:14" x14ac:dyDescent="0.5">
      <c r="M5091" s="2">
        <v>5090</v>
      </c>
    </row>
    <row r="5092" spans="13:14" x14ac:dyDescent="0.5">
      <c r="M5092" s="2">
        <v>5091</v>
      </c>
    </row>
    <row r="5093" spans="13:14" x14ac:dyDescent="0.5">
      <c r="M5093" s="2">
        <v>5092</v>
      </c>
    </row>
    <row r="5094" spans="13:14" x14ac:dyDescent="0.5">
      <c r="M5094" s="2">
        <v>5093</v>
      </c>
    </row>
    <row r="5095" spans="13:14" x14ac:dyDescent="0.5">
      <c r="M5095" s="2">
        <v>5094</v>
      </c>
      <c r="N5095" s="2">
        <v>0</v>
      </c>
    </row>
    <row r="5096" spans="13:14" x14ac:dyDescent="0.5">
      <c r="M5096" s="2">
        <v>5095</v>
      </c>
      <c r="N5096" s="2">
        <v>0</v>
      </c>
    </row>
    <row r="5097" spans="13:14" x14ac:dyDescent="0.5">
      <c r="M5097" s="2">
        <v>5096</v>
      </c>
      <c r="N5097" s="2">
        <v>0</v>
      </c>
    </row>
    <row r="5098" spans="13:14" x14ac:dyDescent="0.5">
      <c r="M5098" s="2">
        <v>5097</v>
      </c>
      <c r="N5098" s="2">
        <v>0</v>
      </c>
    </row>
    <row r="5099" spans="13:14" x14ac:dyDescent="0.5">
      <c r="M5099" s="2">
        <v>5098</v>
      </c>
      <c r="N5099" s="2">
        <v>0</v>
      </c>
    </row>
    <row r="5100" spans="13:14" x14ac:dyDescent="0.5">
      <c r="M5100" s="2">
        <v>5099</v>
      </c>
      <c r="N5100" s="2">
        <v>0</v>
      </c>
    </row>
    <row r="5101" spans="13:14" x14ac:dyDescent="0.5">
      <c r="M5101" s="2">
        <v>5100</v>
      </c>
      <c r="N5101" s="2">
        <v>0</v>
      </c>
    </row>
    <row r="5102" spans="13:14" x14ac:dyDescent="0.5">
      <c r="M5102" s="2">
        <v>5101</v>
      </c>
      <c r="N5102" s="2">
        <v>0</v>
      </c>
    </row>
    <row r="5103" spans="13:14" x14ac:dyDescent="0.5">
      <c r="M5103" s="2">
        <v>5102</v>
      </c>
      <c r="N5103" s="2">
        <v>0</v>
      </c>
    </row>
    <row r="5104" spans="13:14" x14ac:dyDescent="0.5">
      <c r="M5104" s="2">
        <v>5103</v>
      </c>
      <c r="N5104" s="2">
        <v>0</v>
      </c>
    </row>
    <row r="5105" spans="13:14" x14ac:dyDescent="0.5">
      <c r="M5105" s="2">
        <v>5104</v>
      </c>
      <c r="N5105" s="2">
        <v>0</v>
      </c>
    </row>
    <row r="5106" spans="13:14" x14ac:dyDescent="0.5">
      <c r="M5106" s="2">
        <v>5105</v>
      </c>
      <c r="N5106" s="2">
        <v>0</v>
      </c>
    </row>
    <row r="5107" spans="13:14" x14ac:dyDescent="0.5">
      <c r="M5107" s="2">
        <v>5106</v>
      </c>
      <c r="N5107" s="2">
        <v>0</v>
      </c>
    </row>
    <row r="5108" spans="13:14" x14ac:dyDescent="0.5">
      <c r="M5108" s="2">
        <v>5107</v>
      </c>
      <c r="N5108" s="2">
        <v>0</v>
      </c>
    </row>
    <row r="5109" spans="13:14" x14ac:dyDescent="0.5">
      <c r="M5109" s="2">
        <v>5108</v>
      </c>
      <c r="N5109" s="2">
        <v>0</v>
      </c>
    </row>
    <row r="5110" spans="13:14" x14ac:dyDescent="0.5">
      <c r="M5110" s="2">
        <v>5109</v>
      </c>
      <c r="N5110" s="2">
        <v>0</v>
      </c>
    </row>
    <row r="5111" spans="13:14" x14ac:dyDescent="0.5">
      <c r="M5111" s="2">
        <v>5110</v>
      </c>
      <c r="N5111" s="2">
        <v>0</v>
      </c>
    </row>
    <row r="5112" spans="13:14" x14ac:dyDescent="0.5">
      <c r="M5112" s="2">
        <v>5111</v>
      </c>
      <c r="N5112" s="2">
        <v>0</v>
      </c>
    </row>
    <row r="5113" spans="13:14" x14ac:dyDescent="0.5">
      <c r="M5113" s="2">
        <v>5112</v>
      </c>
      <c r="N5113" s="2">
        <v>0</v>
      </c>
    </row>
    <row r="5114" spans="13:14" x14ac:dyDescent="0.5">
      <c r="M5114" s="2">
        <v>5113</v>
      </c>
      <c r="N5114" s="2">
        <v>0</v>
      </c>
    </row>
    <row r="5115" spans="13:14" x14ac:dyDescent="0.5">
      <c r="M5115" s="2">
        <v>5114</v>
      </c>
      <c r="N5115" s="2">
        <v>0</v>
      </c>
    </row>
    <row r="5116" spans="13:14" x14ac:dyDescent="0.5">
      <c r="M5116" s="2">
        <v>5115</v>
      </c>
      <c r="N5116" s="2">
        <v>0</v>
      </c>
    </row>
    <row r="5117" spans="13:14" x14ac:dyDescent="0.5">
      <c r="M5117" s="2">
        <v>5116</v>
      </c>
      <c r="N5117" s="2">
        <v>0</v>
      </c>
    </row>
    <row r="5118" spans="13:14" x14ac:dyDescent="0.5">
      <c r="M5118" s="2">
        <v>5117</v>
      </c>
      <c r="N5118" s="2">
        <v>0</v>
      </c>
    </row>
    <row r="5119" spans="13:14" x14ac:dyDescent="0.5">
      <c r="M5119" s="2">
        <v>5118</v>
      </c>
      <c r="N5119" s="2">
        <v>0</v>
      </c>
    </row>
    <row r="5120" spans="13:14" x14ac:dyDescent="0.5">
      <c r="M5120" s="2">
        <v>5119</v>
      </c>
      <c r="N5120" s="2">
        <v>0</v>
      </c>
    </row>
    <row r="5121" spans="13:14" x14ac:dyDescent="0.5">
      <c r="M5121" s="2">
        <v>5120</v>
      </c>
      <c r="N5121" s="2">
        <v>0</v>
      </c>
    </row>
    <row r="5122" spans="13:14" x14ac:dyDescent="0.5">
      <c r="M5122" s="2">
        <v>5121</v>
      </c>
      <c r="N5122" s="2">
        <v>0</v>
      </c>
    </row>
    <row r="5123" spans="13:14" x14ac:dyDescent="0.5">
      <c r="M5123" s="2">
        <v>5122</v>
      </c>
      <c r="N5123" s="2">
        <v>0</v>
      </c>
    </row>
    <row r="5124" spans="13:14" x14ac:dyDescent="0.5">
      <c r="M5124" s="2">
        <v>5123</v>
      </c>
      <c r="N5124" s="2">
        <v>0</v>
      </c>
    </row>
    <row r="5125" spans="13:14" x14ac:dyDescent="0.5">
      <c r="M5125" s="2">
        <v>5124</v>
      </c>
      <c r="N5125" s="2">
        <v>0</v>
      </c>
    </row>
    <row r="5126" spans="13:14" x14ac:dyDescent="0.5">
      <c r="M5126" s="2">
        <v>5125</v>
      </c>
      <c r="N5126" s="2">
        <v>0</v>
      </c>
    </row>
    <row r="5127" spans="13:14" x14ac:dyDescent="0.5">
      <c r="M5127" s="2">
        <v>5126</v>
      </c>
      <c r="N5127" s="2">
        <v>0</v>
      </c>
    </row>
    <row r="5128" spans="13:14" x14ac:dyDescent="0.5">
      <c r="M5128" s="2">
        <v>5127</v>
      </c>
      <c r="N5128" s="2">
        <v>0</v>
      </c>
    </row>
    <row r="5129" spans="13:14" x14ac:dyDescent="0.5">
      <c r="M5129" s="2">
        <v>5128</v>
      </c>
      <c r="N5129" s="2">
        <v>0</v>
      </c>
    </row>
    <row r="5130" spans="13:14" x14ac:dyDescent="0.5">
      <c r="M5130" s="2">
        <v>5129</v>
      </c>
    </row>
    <row r="5131" spans="13:14" x14ac:dyDescent="0.5">
      <c r="M5131" s="2">
        <v>5130</v>
      </c>
    </row>
    <row r="5132" spans="13:14" x14ac:dyDescent="0.5">
      <c r="M5132" s="2">
        <v>5131</v>
      </c>
      <c r="N5132" s="2">
        <v>0</v>
      </c>
    </row>
    <row r="5133" spans="13:14" x14ac:dyDescent="0.5">
      <c r="M5133" s="2">
        <v>5132</v>
      </c>
      <c r="N5133" s="2">
        <v>0</v>
      </c>
    </row>
    <row r="5134" spans="13:14" x14ac:dyDescent="0.5">
      <c r="M5134" s="2">
        <v>5133</v>
      </c>
      <c r="N5134" s="2">
        <v>0</v>
      </c>
    </row>
    <row r="5135" spans="13:14" x14ac:dyDescent="0.5">
      <c r="M5135" s="2">
        <v>5134</v>
      </c>
      <c r="N5135" s="2">
        <v>0</v>
      </c>
    </row>
    <row r="5136" spans="13:14" x14ac:dyDescent="0.5">
      <c r="M5136" s="2">
        <v>5135</v>
      </c>
      <c r="N5136" s="2">
        <v>0</v>
      </c>
    </row>
    <row r="5137" spans="13:14" x14ac:dyDescent="0.5">
      <c r="M5137" s="2">
        <v>5136</v>
      </c>
    </row>
    <row r="5138" spans="13:14" x14ac:dyDescent="0.5">
      <c r="M5138" s="2">
        <v>5137</v>
      </c>
    </row>
    <row r="5139" spans="13:14" x14ac:dyDescent="0.5">
      <c r="M5139" s="2">
        <v>5138</v>
      </c>
      <c r="N5139" s="2">
        <v>0</v>
      </c>
    </row>
    <row r="5140" spans="13:14" x14ac:dyDescent="0.5">
      <c r="M5140" s="2">
        <v>5139</v>
      </c>
      <c r="N5140" s="2">
        <v>0</v>
      </c>
    </row>
    <row r="5141" spans="13:14" x14ac:dyDescent="0.5">
      <c r="M5141" s="2">
        <v>5140</v>
      </c>
      <c r="N5141" s="2">
        <v>0</v>
      </c>
    </row>
    <row r="5142" spans="13:14" x14ac:dyDescent="0.5">
      <c r="M5142" s="2">
        <v>5141</v>
      </c>
      <c r="N5142" s="2">
        <v>0</v>
      </c>
    </row>
    <row r="5143" spans="13:14" x14ac:dyDescent="0.5">
      <c r="M5143" s="2">
        <v>5142</v>
      </c>
      <c r="N5143" s="2">
        <v>0</v>
      </c>
    </row>
    <row r="5144" spans="13:14" x14ac:dyDescent="0.5">
      <c r="M5144" s="2">
        <v>5143</v>
      </c>
      <c r="N5144" s="2">
        <v>0</v>
      </c>
    </row>
    <row r="5145" spans="13:14" x14ac:dyDescent="0.5">
      <c r="M5145" s="2">
        <v>5144</v>
      </c>
      <c r="N5145" s="2">
        <v>0</v>
      </c>
    </row>
    <row r="5146" spans="13:14" x14ac:dyDescent="0.5">
      <c r="M5146" s="2">
        <v>5145</v>
      </c>
      <c r="N5146" s="2">
        <v>0</v>
      </c>
    </row>
    <row r="5147" spans="13:14" x14ac:dyDescent="0.5">
      <c r="M5147" s="2">
        <v>5146</v>
      </c>
      <c r="N5147" s="2">
        <v>0</v>
      </c>
    </row>
    <row r="5148" spans="13:14" x14ac:dyDescent="0.5">
      <c r="M5148" s="2">
        <v>5147</v>
      </c>
      <c r="N5148" s="2">
        <v>0</v>
      </c>
    </row>
    <row r="5149" spans="13:14" x14ac:dyDescent="0.5">
      <c r="M5149" s="2">
        <v>5148</v>
      </c>
      <c r="N5149" s="2">
        <v>0</v>
      </c>
    </row>
    <row r="5150" spans="13:14" x14ac:dyDescent="0.5">
      <c r="M5150" s="2">
        <v>5149</v>
      </c>
      <c r="N5150" s="2">
        <v>0</v>
      </c>
    </row>
    <row r="5151" spans="13:14" x14ac:dyDescent="0.5">
      <c r="M5151" s="2">
        <v>5150</v>
      </c>
      <c r="N5151" s="2">
        <v>0</v>
      </c>
    </row>
    <row r="5152" spans="13:14" x14ac:dyDescent="0.5">
      <c r="M5152" s="2">
        <v>5151</v>
      </c>
    </row>
    <row r="5153" spans="13:14" x14ac:dyDescent="0.5">
      <c r="M5153" s="2">
        <v>5152</v>
      </c>
    </row>
    <row r="5154" spans="13:14" x14ac:dyDescent="0.5">
      <c r="M5154" s="2">
        <v>5153</v>
      </c>
    </row>
    <row r="5155" spans="13:14" x14ac:dyDescent="0.5">
      <c r="M5155" s="2">
        <v>5154</v>
      </c>
    </row>
    <row r="5156" spans="13:14" x14ac:dyDescent="0.5">
      <c r="M5156" s="2">
        <v>5155</v>
      </c>
      <c r="N5156" s="2">
        <v>0</v>
      </c>
    </row>
    <row r="5157" spans="13:14" x14ac:dyDescent="0.5">
      <c r="M5157" s="2">
        <v>5156</v>
      </c>
      <c r="N5157" s="2">
        <v>0</v>
      </c>
    </row>
    <row r="5158" spans="13:14" x14ac:dyDescent="0.5">
      <c r="M5158" s="2">
        <v>5157</v>
      </c>
      <c r="N5158" s="2">
        <v>0</v>
      </c>
    </row>
    <row r="5159" spans="13:14" x14ac:dyDescent="0.5">
      <c r="M5159" s="2">
        <v>5158</v>
      </c>
      <c r="N5159" s="2">
        <v>0</v>
      </c>
    </row>
    <row r="5160" spans="13:14" x14ac:dyDescent="0.5">
      <c r="M5160" s="2">
        <v>5159</v>
      </c>
    </row>
    <row r="5161" spans="13:14" x14ac:dyDescent="0.5">
      <c r="M5161" s="2">
        <v>5160</v>
      </c>
      <c r="N5161" s="2">
        <v>0</v>
      </c>
    </row>
    <row r="5162" spans="13:14" x14ac:dyDescent="0.5">
      <c r="M5162" s="2">
        <v>5161</v>
      </c>
      <c r="N5162" s="2">
        <v>0</v>
      </c>
    </row>
    <row r="5163" spans="13:14" x14ac:dyDescent="0.5">
      <c r="M5163" s="2">
        <v>5162</v>
      </c>
      <c r="N5163" s="2">
        <v>0</v>
      </c>
    </row>
    <row r="5164" spans="13:14" x14ac:dyDescent="0.5">
      <c r="M5164" s="2">
        <v>5163</v>
      </c>
      <c r="N5164" s="2">
        <v>0</v>
      </c>
    </row>
    <row r="5165" spans="13:14" x14ac:dyDescent="0.5">
      <c r="M5165" s="2">
        <v>5164</v>
      </c>
      <c r="N5165" s="2">
        <v>0</v>
      </c>
    </row>
    <row r="5166" spans="13:14" x14ac:dyDescent="0.5">
      <c r="M5166" s="2">
        <v>5165</v>
      </c>
      <c r="N5166" s="2">
        <v>0</v>
      </c>
    </row>
    <row r="5167" spans="13:14" x14ac:dyDescent="0.5">
      <c r="M5167" s="2">
        <v>5166</v>
      </c>
      <c r="N5167" s="2">
        <v>0</v>
      </c>
    </row>
    <row r="5168" spans="13:14" x14ac:dyDescent="0.5">
      <c r="M5168" s="2">
        <v>5167</v>
      </c>
      <c r="N5168" s="2">
        <v>0</v>
      </c>
    </row>
    <row r="5169" spans="13:14" x14ac:dyDescent="0.5">
      <c r="M5169" s="2">
        <v>5168</v>
      </c>
      <c r="N5169" s="2">
        <v>0</v>
      </c>
    </row>
    <row r="5170" spans="13:14" x14ac:dyDescent="0.5">
      <c r="M5170" s="2">
        <v>5169</v>
      </c>
      <c r="N5170" s="2">
        <v>0</v>
      </c>
    </row>
    <row r="5171" spans="13:14" x14ac:dyDescent="0.5">
      <c r="M5171" s="2">
        <v>5170</v>
      </c>
      <c r="N5171" s="2">
        <v>0</v>
      </c>
    </row>
    <row r="5172" spans="13:14" x14ac:dyDescent="0.5">
      <c r="M5172" s="2">
        <v>5171</v>
      </c>
      <c r="N5172" s="2">
        <v>0</v>
      </c>
    </row>
    <row r="5173" spans="13:14" x14ac:dyDescent="0.5">
      <c r="M5173" s="2">
        <v>5172</v>
      </c>
      <c r="N5173" s="2">
        <v>0</v>
      </c>
    </row>
    <row r="5174" spans="13:14" x14ac:dyDescent="0.5">
      <c r="M5174" s="2">
        <v>5173</v>
      </c>
      <c r="N5174" s="2">
        <v>0</v>
      </c>
    </row>
    <row r="5175" spans="13:14" x14ac:dyDescent="0.5">
      <c r="M5175" s="2">
        <v>5174</v>
      </c>
      <c r="N5175" s="2">
        <v>0</v>
      </c>
    </row>
    <row r="5176" spans="13:14" x14ac:dyDescent="0.5">
      <c r="M5176" s="2">
        <v>5175</v>
      </c>
      <c r="N5176" s="2">
        <v>0</v>
      </c>
    </row>
    <row r="5177" spans="13:14" x14ac:dyDescent="0.5">
      <c r="M5177" s="2">
        <v>5176</v>
      </c>
      <c r="N5177" s="2">
        <v>0</v>
      </c>
    </row>
    <row r="5178" spans="13:14" x14ac:dyDescent="0.5">
      <c r="M5178" s="2">
        <v>5177</v>
      </c>
      <c r="N5178" s="2">
        <v>0</v>
      </c>
    </row>
    <row r="5179" spans="13:14" x14ac:dyDescent="0.5">
      <c r="M5179" s="2">
        <v>5178</v>
      </c>
      <c r="N5179" s="2">
        <v>0</v>
      </c>
    </row>
    <row r="5180" spans="13:14" x14ac:dyDescent="0.5">
      <c r="M5180" s="2">
        <v>5179</v>
      </c>
      <c r="N5180" s="2">
        <v>0</v>
      </c>
    </row>
    <row r="5181" spans="13:14" x14ac:dyDescent="0.5">
      <c r="M5181" s="2">
        <v>5180</v>
      </c>
      <c r="N5181" s="2">
        <v>0</v>
      </c>
    </row>
    <row r="5182" spans="13:14" x14ac:dyDescent="0.5">
      <c r="M5182" s="2">
        <v>5181</v>
      </c>
      <c r="N5182" s="2">
        <v>0</v>
      </c>
    </row>
    <row r="5183" spans="13:14" x14ac:dyDescent="0.5">
      <c r="M5183" s="2">
        <v>5182</v>
      </c>
      <c r="N5183" s="2">
        <v>0</v>
      </c>
    </row>
    <row r="5184" spans="13:14" x14ac:dyDescent="0.5">
      <c r="M5184" s="2">
        <v>5183</v>
      </c>
      <c r="N5184" s="2">
        <v>0</v>
      </c>
    </row>
    <row r="5185" spans="13:14" x14ac:dyDescent="0.5">
      <c r="M5185" s="2">
        <v>5184</v>
      </c>
      <c r="N5185" s="2">
        <v>0</v>
      </c>
    </row>
    <row r="5186" spans="13:14" x14ac:dyDescent="0.5">
      <c r="M5186" s="2">
        <v>5185</v>
      </c>
      <c r="N5186" s="2">
        <v>0</v>
      </c>
    </row>
    <row r="5187" spans="13:14" x14ac:dyDescent="0.5">
      <c r="M5187" s="2">
        <v>5186</v>
      </c>
    </row>
    <row r="5188" spans="13:14" x14ac:dyDescent="0.5">
      <c r="M5188" s="2">
        <v>5187</v>
      </c>
      <c r="N5188" s="2">
        <v>0</v>
      </c>
    </row>
    <row r="5189" spans="13:14" x14ac:dyDescent="0.5">
      <c r="M5189" s="2">
        <v>5188</v>
      </c>
    </row>
    <row r="5190" spans="13:14" x14ac:dyDescent="0.5">
      <c r="M5190" s="2">
        <v>5189</v>
      </c>
      <c r="N5190" s="2">
        <v>0</v>
      </c>
    </row>
    <row r="5191" spans="13:14" x14ac:dyDescent="0.5">
      <c r="M5191" s="2">
        <v>5190</v>
      </c>
    </row>
    <row r="5192" spans="13:14" x14ac:dyDescent="0.5">
      <c r="M5192" s="2">
        <v>5191</v>
      </c>
      <c r="N5192" s="2">
        <v>0</v>
      </c>
    </row>
    <row r="5193" spans="13:14" x14ac:dyDescent="0.5">
      <c r="M5193" s="2">
        <v>5192</v>
      </c>
    </row>
    <row r="5194" spans="13:14" x14ac:dyDescent="0.5">
      <c r="M5194" s="2">
        <v>5193</v>
      </c>
      <c r="N5194" s="2">
        <v>0</v>
      </c>
    </row>
    <row r="5195" spans="13:14" x14ac:dyDescent="0.5">
      <c r="M5195" s="2">
        <v>5194</v>
      </c>
      <c r="N5195" s="2">
        <v>0</v>
      </c>
    </row>
    <row r="5196" spans="13:14" x14ac:dyDescent="0.5">
      <c r="M5196" s="2">
        <v>5195</v>
      </c>
      <c r="N5196" s="2">
        <v>0</v>
      </c>
    </row>
    <row r="5197" spans="13:14" x14ac:dyDescent="0.5">
      <c r="M5197" s="2">
        <v>5196</v>
      </c>
      <c r="N5197" s="2">
        <v>0</v>
      </c>
    </row>
    <row r="5198" spans="13:14" x14ac:dyDescent="0.5">
      <c r="M5198" s="2">
        <v>5197</v>
      </c>
      <c r="N5198" s="2">
        <v>0</v>
      </c>
    </row>
    <row r="5199" spans="13:14" x14ac:dyDescent="0.5">
      <c r="M5199" s="2">
        <v>5198</v>
      </c>
      <c r="N5199" s="2">
        <v>0</v>
      </c>
    </row>
    <row r="5200" spans="13:14" x14ac:dyDescent="0.5">
      <c r="M5200" s="2">
        <v>5199</v>
      </c>
      <c r="N5200" s="2">
        <v>0</v>
      </c>
    </row>
    <row r="5201" spans="13:14" x14ac:dyDescent="0.5">
      <c r="M5201" s="2">
        <v>5200</v>
      </c>
      <c r="N5201" s="2">
        <v>0</v>
      </c>
    </row>
    <row r="5202" spans="13:14" x14ac:dyDescent="0.5">
      <c r="M5202" s="2">
        <v>5201</v>
      </c>
      <c r="N5202" s="2">
        <v>0</v>
      </c>
    </row>
    <row r="5203" spans="13:14" x14ac:dyDescent="0.5">
      <c r="M5203" s="2">
        <v>5202</v>
      </c>
      <c r="N5203" s="2">
        <v>0</v>
      </c>
    </row>
    <row r="5204" spans="13:14" x14ac:dyDescent="0.5">
      <c r="M5204" s="2">
        <v>5203</v>
      </c>
      <c r="N5204" s="2">
        <v>0</v>
      </c>
    </row>
    <row r="5205" spans="13:14" x14ac:dyDescent="0.5">
      <c r="M5205" s="2">
        <v>5204</v>
      </c>
      <c r="N5205" s="2">
        <v>0</v>
      </c>
    </row>
    <row r="5206" spans="13:14" x14ac:dyDescent="0.5">
      <c r="M5206" s="2">
        <v>5205</v>
      </c>
      <c r="N5206" s="2">
        <v>0</v>
      </c>
    </row>
    <row r="5207" spans="13:14" x14ac:dyDescent="0.5">
      <c r="M5207" s="2">
        <v>5206</v>
      </c>
    </row>
    <row r="5208" spans="13:14" x14ac:dyDescent="0.5">
      <c r="M5208" s="2">
        <v>5207</v>
      </c>
    </row>
    <row r="5209" spans="13:14" x14ac:dyDescent="0.5">
      <c r="M5209" s="2">
        <v>5208</v>
      </c>
      <c r="N5209" s="2">
        <v>0</v>
      </c>
    </row>
    <row r="5210" spans="13:14" x14ac:dyDescent="0.5">
      <c r="M5210" s="2">
        <v>5209</v>
      </c>
      <c r="N5210" s="2">
        <v>0</v>
      </c>
    </row>
    <row r="5211" spans="13:14" x14ac:dyDescent="0.5">
      <c r="M5211" s="2">
        <v>5210</v>
      </c>
      <c r="N5211" s="2">
        <v>0</v>
      </c>
    </row>
    <row r="5212" spans="13:14" x14ac:dyDescent="0.5">
      <c r="M5212" s="2">
        <v>5211</v>
      </c>
      <c r="N5212" s="2">
        <v>0</v>
      </c>
    </row>
    <row r="5213" spans="13:14" x14ac:dyDescent="0.5">
      <c r="M5213" s="2">
        <v>5212</v>
      </c>
      <c r="N5213" s="2">
        <v>0</v>
      </c>
    </row>
    <row r="5214" spans="13:14" x14ac:dyDescent="0.5">
      <c r="M5214" s="2">
        <v>5213</v>
      </c>
    </row>
    <row r="5215" spans="13:14" x14ac:dyDescent="0.5">
      <c r="M5215" s="2">
        <v>5214</v>
      </c>
      <c r="N5215" s="2">
        <v>0</v>
      </c>
    </row>
    <row r="5216" spans="13:14" x14ac:dyDescent="0.5">
      <c r="M5216" s="2">
        <v>5215</v>
      </c>
      <c r="N5216" s="2">
        <v>0</v>
      </c>
    </row>
    <row r="5217" spans="13:14" x14ac:dyDescent="0.5">
      <c r="M5217" s="2">
        <v>5216</v>
      </c>
      <c r="N5217" s="2">
        <v>0</v>
      </c>
    </row>
    <row r="5218" spans="13:14" x14ac:dyDescent="0.5">
      <c r="M5218" s="2">
        <v>5217</v>
      </c>
      <c r="N5218" s="2">
        <v>0</v>
      </c>
    </row>
    <row r="5219" spans="13:14" x14ac:dyDescent="0.5">
      <c r="M5219" s="2">
        <v>5218</v>
      </c>
      <c r="N5219" s="2">
        <v>0</v>
      </c>
    </row>
    <row r="5220" spans="13:14" x14ac:dyDescent="0.5">
      <c r="M5220" s="2">
        <v>5219</v>
      </c>
      <c r="N5220" s="2">
        <v>0</v>
      </c>
    </row>
    <row r="5221" spans="13:14" x14ac:dyDescent="0.5">
      <c r="M5221" s="2">
        <v>5220</v>
      </c>
      <c r="N5221" s="2">
        <v>0</v>
      </c>
    </row>
    <row r="5222" spans="13:14" x14ac:dyDescent="0.5">
      <c r="M5222" s="2">
        <v>5221</v>
      </c>
    </row>
    <row r="5223" spans="13:14" x14ac:dyDescent="0.5">
      <c r="M5223" s="2">
        <v>5222</v>
      </c>
    </row>
    <row r="5224" spans="13:14" x14ac:dyDescent="0.5">
      <c r="M5224" s="2">
        <v>5223</v>
      </c>
      <c r="N5224" s="2">
        <v>0</v>
      </c>
    </row>
    <row r="5225" spans="13:14" x14ac:dyDescent="0.5">
      <c r="M5225" s="2">
        <v>5224</v>
      </c>
      <c r="N5225" s="2">
        <v>0</v>
      </c>
    </row>
    <row r="5226" spans="13:14" x14ac:dyDescent="0.5">
      <c r="M5226" s="2">
        <v>5225</v>
      </c>
      <c r="N5226" s="2">
        <v>0</v>
      </c>
    </row>
    <row r="5227" spans="13:14" x14ac:dyDescent="0.5">
      <c r="M5227" s="2">
        <v>5226</v>
      </c>
      <c r="N5227" s="2">
        <v>0</v>
      </c>
    </row>
    <row r="5228" spans="13:14" x14ac:dyDescent="0.5">
      <c r="M5228" s="2">
        <v>5227</v>
      </c>
      <c r="N5228" s="2">
        <v>0</v>
      </c>
    </row>
    <row r="5229" spans="13:14" x14ac:dyDescent="0.5">
      <c r="M5229" s="2">
        <v>5228</v>
      </c>
    </row>
    <row r="5230" spans="13:14" x14ac:dyDescent="0.5">
      <c r="M5230" s="2">
        <v>5229</v>
      </c>
      <c r="N5230" s="2">
        <v>0</v>
      </c>
    </row>
    <row r="5231" spans="13:14" x14ac:dyDescent="0.5">
      <c r="M5231" s="2">
        <v>5230</v>
      </c>
      <c r="N5231" s="2">
        <v>0</v>
      </c>
    </row>
    <row r="5232" spans="13:14" x14ac:dyDescent="0.5">
      <c r="M5232" s="2">
        <v>5231</v>
      </c>
      <c r="N5232" s="2">
        <v>0</v>
      </c>
    </row>
    <row r="5233" spans="13:14" x14ac:dyDescent="0.5">
      <c r="M5233" s="2">
        <v>5232</v>
      </c>
      <c r="N5233" s="2">
        <v>0</v>
      </c>
    </row>
    <row r="5234" spans="13:14" x14ac:dyDescent="0.5">
      <c r="M5234" s="2">
        <v>5233</v>
      </c>
      <c r="N5234" s="2">
        <v>0</v>
      </c>
    </row>
    <row r="5235" spans="13:14" x14ac:dyDescent="0.5">
      <c r="M5235" s="2">
        <v>5234</v>
      </c>
      <c r="N5235" s="2">
        <v>0</v>
      </c>
    </row>
    <row r="5236" spans="13:14" x14ac:dyDescent="0.5">
      <c r="M5236" s="2">
        <v>5235</v>
      </c>
    </row>
    <row r="5237" spans="13:14" x14ac:dyDescent="0.5">
      <c r="M5237" s="2">
        <v>5236</v>
      </c>
    </row>
    <row r="5238" spans="13:14" x14ac:dyDescent="0.5">
      <c r="M5238" s="2">
        <v>5237</v>
      </c>
      <c r="N5238" s="2">
        <v>0</v>
      </c>
    </row>
    <row r="5239" spans="13:14" x14ac:dyDescent="0.5">
      <c r="M5239" s="2">
        <v>5238</v>
      </c>
      <c r="N5239" s="2">
        <v>0</v>
      </c>
    </row>
    <row r="5240" spans="13:14" x14ac:dyDescent="0.5">
      <c r="M5240" s="2">
        <v>5239</v>
      </c>
    </row>
    <row r="5241" spans="13:14" x14ac:dyDescent="0.5">
      <c r="M5241" s="2">
        <v>5240</v>
      </c>
    </row>
    <row r="5242" spans="13:14" x14ac:dyDescent="0.5">
      <c r="M5242" s="2">
        <v>5241</v>
      </c>
      <c r="N5242" s="2">
        <v>0</v>
      </c>
    </row>
    <row r="5243" spans="13:14" x14ac:dyDescent="0.5">
      <c r="M5243" s="2">
        <v>5242</v>
      </c>
      <c r="N5243" s="2">
        <v>0</v>
      </c>
    </row>
    <row r="5244" spans="13:14" x14ac:dyDescent="0.5">
      <c r="M5244" s="2">
        <v>5243</v>
      </c>
      <c r="N5244" s="2">
        <v>0</v>
      </c>
    </row>
    <row r="5245" spans="13:14" x14ac:dyDescent="0.5">
      <c r="M5245" s="2">
        <v>5244</v>
      </c>
      <c r="N5245" s="2">
        <v>0</v>
      </c>
    </row>
    <row r="5246" spans="13:14" x14ac:dyDescent="0.5">
      <c r="M5246" s="2">
        <v>5245</v>
      </c>
      <c r="N5246" s="2">
        <v>0</v>
      </c>
    </row>
    <row r="5247" spans="13:14" x14ac:dyDescent="0.5">
      <c r="M5247" s="2">
        <v>5246</v>
      </c>
    </row>
    <row r="5248" spans="13:14" x14ac:dyDescent="0.5">
      <c r="M5248" s="2">
        <v>5247</v>
      </c>
    </row>
    <row r="5249" spans="13:14" x14ac:dyDescent="0.5">
      <c r="M5249" s="2">
        <v>5248</v>
      </c>
    </row>
    <row r="5250" spans="13:14" x14ac:dyDescent="0.5">
      <c r="M5250" s="2">
        <v>5249</v>
      </c>
      <c r="N5250" s="2">
        <v>0</v>
      </c>
    </row>
    <row r="5251" spans="13:14" x14ac:dyDescent="0.5">
      <c r="M5251" s="2">
        <v>5250</v>
      </c>
      <c r="N5251" s="2">
        <v>0</v>
      </c>
    </row>
    <row r="5252" spans="13:14" x14ac:dyDescent="0.5">
      <c r="M5252" s="2">
        <v>5251</v>
      </c>
      <c r="N5252" s="2">
        <v>0</v>
      </c>
    </row>
    <row r="5253" spans="13:14" x14ac:dyDescent="0.5">
      <c r="M5253" s="2">
        <v>5252</v>
      </c>
      <c r="N5253" s="2">
        <v>0</v>
      </c>
    </row>
    <row r="5254" spans="13:14" x14ac:dyDescent="0.5">
      <c r="M5254" s="2">
        <v>5253</v>
      </c>
      <c r="N5254" s="2">
        <v>0</v>
      </c>
    </row>
    <row r="5255" spans="13:14" x14ac:dyDescent="0.5">
      <c r="M5255" s="2">
        <v>5254</v>
      </c>
      <c r="N5255" s="2">
        <v>0</v>
      </c>
    </row>
    <row r="5256" spans="13:14" x14ac:dyDescent="0.5">
      <c r="M5256" s="2">
        <v>5255</v>
      </c>
    </row>
    <row r="5257" spans="13:14" x14ac:dyDescent="0.5">
      <c r="M5257" s="2">
        <v>5256</v>
      </c>
      <c r="N5257" s="2">
        <v>0</v>
      </c>
    </row>
    <row r="5258" spans="13:14" x14ac:dyDescent="0.5">
      <c r="M5258" s="2">
        <v>5257</v>
      </c>
    </row>
    <row r="5259" spans="13:14" x14ac:dyDescent="0.5">
      <c r="M5259" s="2">
        <v>5258</v>
      </c>
      <c r="N5259" s="2">
        <v>0</v>
      </c>
    </row>
    <row r="5260" spans="13:14" x14ac:dyDescent="0.5">
      <c r="M5260" s="2">
        <v>5259</v>
      </c>
      <c r="N5260" s="2">
        <v>0</v>
      </c>
    </row>
    <row r="5261" spans="13:14" x14ac:dyDescent="0.5">
      <c r="M5261" s="2">
        <v>5260</v>
      </c>
      <c r="N5261" s="2">
        <v>0</v>
      </c>
    </row>
    <row r="5262" spans="13:14" x14ac:dyDescent="0.5">
      <c r="M5262" s="2">
        <v>5261</v>
      </c>
      <c r="N5262" s="2">
        <v>0</v>
      </c>
    </row>
    <row r="5263" spans="13:14" x14ac:dyDescent="0.5">
      <c r="M5263" s="2">
        <v>5262</v>
      </c>
    </row>
    <row r="5264" spans="13:14" x14ac:dyDescent="0.5">
      <c r="M5264" s="2">
        <v>5263</v>
      </c>
    </row>
    <row r="5265" spans="13:14" x14ac:dyDescent="0.5">
      <c r="M5265" s="2">
        <v>5264</v>
      </c>
    </row>
    <row r="5266" spans="13:14" x14ac:dyDescent="0.5">
      <c r="M5266" s="2">
        <v>5265</v>
      </c>
      <c r="N5266" s="2">
        <v>0</v>
      </c>
    </row>
    <row r="5267" spans="13:14" x14ac:dyDescent="0.5">
      <c r="M5267" s="2">
        <v>5266</v>
      </c>
    </row>
    <row r="5268" spans="13:14" x14ac:dyDescent="0.5">
      <c r="M5268" s="2">
        <v>5267</v>
      </c>
      <c r="N5268" s="2">
        <v>0</v>
      </c>
    </row>
    <row r="5269" spans="13:14" x14ac:dyDescent="0.5">
      <c r="M5269" s="2">
        <v>5268</v>
      </c>
    </row>
    <row r="5270" spans="13:14" x14ac:dyDescent="0.5">
      <c r="M5270" s="2">
        <v>5269</v>
      </c>
    </row>
    <row r="5271" spans="13:14" x14ac:dyDescent="0.5">
      <c r="M5271" s="2">
        <v>5270</v>
      </c>
    </row>
    <row r="5272" spans="13:14" x14ac:dyDescent="0.5">
      <c r="M5272" s="2">
        <v>5271</v>
      </c>
      <c r="N5272" s="2">
        <v>0</v>
      </c>
    </row>
    <row r="5273" spans="13:14" x14ac:dyDescent="0.5">
      <c r="M5273" s="2">
        <v>5272</v>
      </c>
      <c r="N5273" s="2">
        <v>0</v>
      </c>
    </row>
    <row r="5274" spans="13:14" x14ac:dyDescent="0.5">
      <c r="M5274" s="2">
        <v>5273</v>
      </c>
      <c r="N5274" s="2">
        <v>0</v>
      </c>
    </row>
    <row r="5275" spans="13:14" x14ac:dyDescent="0.5">
      <c r="M5275" s="2">
        <v>5274</v>
      </c>
    </row>
    <row r="5276" spans="13:14" x14ac:dyDescent="0.5">
      <c r="M5276" s="2">
        <v>5275</v>
      </c>
    </row>
    <row r="5277" spans="13:14" x14ac:dyDescent="0.5">
      <c r="M5277" s="2">
        <v>5276</v>
      </c>
    </row>
    <row r="5278" spans="13:14" x14ac:dyDescent="0.5">
      <c r="M5278" s="2">
        <v>5277</v>
      </c>
      <c r="N5278" s="2">
        <v>0</v>
      </c>
    </row>
    <row r="5279" spans="13:14" x14ac:dyDescent="0.5">
      <c r="M5279" s="2">
        <v>5278</v>
      </c>
      <c r="N5279" s="2">
        <v>0</v>
      </c>
    </row>
    <row r="5280" spans="13:14" x14ac:dyDescent="0.5">
      <c r="M5280" s="2">
        <v>5279</v>
      </c>
      <c r="N5280" s="2">
        <v>0</v>
      </c>
    </row>
    <row r="5281" spans="13:14" x14ac:dyDescent="0.5">
      <c r="M5281" s="2">
        <v>5280</v>
      </c>
      <c r="N5281" s="2">
        <v>0</v>
      </c>
    </row>
    <row r="5282" spans="13:14" x14ac:dyDescent="0.5">
      <c r="M5282" s="2">
        <v>5281</v>
      </c>
      <c r="N5282" s="2">
        <v>0</v>
      </c>
    </row>
    <row r="5283" spans="13:14" x14ac:dyDescent="0.5">
      <c r="M5283" s="2">
        <v>5282</v>
      </c>
    </row>
    <row r="5284" spans="13:14" x14ac:dyDescent="0.5">
      <c r="M5284" s="2">
        <v>5283</v>
      </c>
    </row>
    <row r="5285" spans="13:14" x14ac:dyDescent="0.5">
      <c r="M5285" s="2">
        <v>5284</v>
      </c>
    </row>
    <row r="5286" spans="13:14" x14ac:dyDescent="0.5">
      <c r="M5286" s="2">
        <v>5285</v>
      </c>
      <c r="N5286" s="2">
        <v>0</v>
      </c>
    </row>
    <row r="5287" spans="13:14" x14ac:dyDescent="0.5">
      <c r="M5287" s="2">
        <v>5286</v>
      </c>
      <c r="N5287" s="2">
        <v>0</v>
      </c>
    </row>
    <row r="5288" spans="13:14" x14ac:dyDescent="0.5">
      <c r="M5288" s="2">
        <v>5287</v>
      </c>
    </row>
    <row r="5289" spans="13:14" x14ac:dyDescent="0.5">
      <c r="M5289" s="2">
        <v>5288</v>
      </c>
    </row>
    <row r="5290" spans="13:14" x14ac:dyDescent="0.5">
      <c r="M5290" s="2">
        <v>5289</v>
      </c>
      <c r="N5290" s="2">
        <v>0</v>
      </c>
    </row>
    <row r="5291" spans="13:14" x14ac:dyDescent="0.5">
      <c r="M5291" s="2">
        <v>5290</v>
      </c>
      <c r="N5291" s="2">
        <v>0</v>
      </c>
    </row>
    <row r="5292" spans="13:14" x14ac:dyDescent="0.5">
      <c r="M5292" s="2">
        <v>5291</v>
      </c>
    </row>
    <row r="5293" spans="13:14" x14ac:dyDescent="0.5">
      <c r="M5293" s="2">
        <v>5292</v>
      </c>
    </row>
    <row r="5294" spans="13:14" x14ac:dyDescent="0.5">
      <c r="M5294" s="2">
        <v>5293</v>
      </c>
      <c r="N5294" s="2">
        <v>0</v>
      </c>
    </row>
    <row r="5295" spans="13:14" x14ac:dyDescent="0.5">
      <c r="M5295" s="2">
        <v>5294</v>
      </c>
    </row>
    <row r="5296" spans="13:14" x14ac:dyDescent="0.5">
      <c r="M5296" s="2">
        <v>5295</v>
      </c>
    </row>
    <row r="5297" spans="13:14" x14ac:dyDescent="0.5">
      <c r="M5297" s="2">
        <v>5296</v>
      </c>
    </row>
    <row r="5298" spans="13:14" x14ac:dyDescent="0.5">
      <c r="M5298" s="2">
        <v>5297</v>
      </c>
    </row>
    <row r="5299" spans="13:14" x14ac:dyDescent="0.5">
      <c r="M5299" s="2">
        <v>5298</v>
      </c>
      <c r="N5299" s="2">
        <v>0</v>
      </c>
    </row>
    <row r="5300" spans="13:14" x14ac:dyDescent="0.5">
      <c r="M5300" s="2">
        <v>5299</v>
      </c>
    </row>
    <row r="5301" spans="13:14" x14ac:dyDescent="0.5">
      <c r="M5301" s="2">
        <v>5300</v>
      </c>
    </row>
    <row r="5302" spans="13:14" x14ac:dyDescent="0.5">
      <c r="M5302" s="2">
        <v>5301</v>
      </c>
    </row>
    <row r="5303" spans="13:14" x14ac:dyDescent="0.5">
      <c r="M5303" s="2">
        <v>5302</v>
      </c>
      <c r="N5303" s="2">
        <v>0</v>
      </c>
    </row>
    <row r="5304" spans="13:14" x14ac:dyDescent="0.5">
      <c r="M5304" s="2">
        <v>5303</v>
      </c>
    </row>
    <row r="5305" spans="13:14" x14ac:dyDescent="0.5">
      <c r="M5305" s="2">
        <v>5304</v>
      </c>
    </row>
    <row r="5306" spans="13:14" x14ac:dyDescent="0.5">
      <c r="M5306" s="2">
        <v>5305</v>
      </c>
      <c r="N5306" s="2">
        <v>0</v>
      </c>
    </row>
    <row r="5307" spans="13:14" x14ac:dyDescent="0.5">
      <c r="M5307" s="2">
        <v>5306</v>
      </c>
    </row>
    <row r="5308" spans="13:14" x14ac:dyDescent="0.5">
      <c r="M5308" s="2">
        <v>5307</v>
      </c>
    </row>
    <row r="5309" spans="13:14" x14ac:dyDescent="0.5">
      <c r="M5309" s="2">
        <v>5308</v>
      </c>
    </row>
    <row r="5310" spans="13:14" x14ac:dyDescent="0.5">
      <c r="M5310" s="2">
        <v>5309</v>
      </c>
      <c r="N5310" s="2">
        <v>0</v>
      </c>
    </row>
    <row r="5311" spans="13:14" x14ac:dyDescent="0.5">
      <c r="M5311" s="2">
        <v>5310</v>
      </c>
    </row>
    <row r="5312" spans="13:14" x14ac:dyDescent="0.5">
      <c r="M5312" s="2">
        <v>5311</v>
      </c>
      <c r="N5312" s="2">
        <v>0</v>
      </c>
    </row>
    <row r="5313" spans="13:14" x14ac:dyDescent="0.5">
      <c r="M5313" s="2">
        <v>5312</v>
      </c>
    </row>
    <row r="5314" spans="13:14" x14ac:dyDescent="0.5">
      <c r="M5314" s="2">
        <v>5313</v>
      </c>
    </row>
    <row r="5315" spans="13:14" x14ac:dyDescent="0.5">
      <c r="M5315" s="2">
        <v>5314</v>
      </c>
    </row>
    <row r="5316" spans="13:14" x14ac:dyDescent="0.5">
      <c r="M5316" s="2">
        <v>5315</v>
      </c>
    </row>
    <row r="5317" spans="13:14" x14ac:dyDescent="0.5">
      <c r="M5317" s="2">
        <v>5316</v>
      </c>
    </row>
    <row r="5318" spans="13:14" x14ac:dyDescent="0.5">
      <c r="M5318" s="2">
        <v>5317</v>
      </c>
      <c r="N5318" s="2">
        <v>0</v>
      </c>
    </row>
    <row r="5319" spans="13:14" x14ac:dyDescent="0.5">
      <c r="M5319" s="2">
        <v>5318</v>
      </c>
      <c r="N5319" s="2">
        <v>0</v>
      </c>
    </row>
    <row r="5320" spans="13:14" x14ac:dyDescent="0.5">
      <c r="M5320" s="2">
        <v>5319</v>
      </c>
      <c r="N5320" s="2">
        <v>0</v>
      </c>
    </row>
    <row r="5321" spans="13:14" x14ac:dyDescent="0.5">
      <c r="M5321" s="2">
        <v>5320</v>
      </c>
      <c r="N5321" s="2">
        <v>0</v>
      </c>
    </row>
    <row r="5322" spans="13:14" x14ac:dyDescent="0.5">
      <c r="M5322" s="2">
        <v>5321</v>
      </c>
      <c r="N5322" s="2">
        <v>0</v>
      </c>
    </row>
    <row r="5323" spans="13:14" x14ac:dyDescent="0.5">
      <c r="M5323" s="2">
        <v>5322</v>
      </c>
      <c r="N5323" s="2">
        <v>0</v>
      </c>
    </row>
    <row r="5324" spans="13:14" x14ac:dyDescent="0.5">
      <c r="M5324" s="2">
        <v>5323</v>
      </c>
      <c r="N5324" s="2">
        <v>0</v>
      </c>
    </row>
    <row r="5325" spans="13:14" x14ac:dyDescent="0.5">
      <c r="M5325" s="2">
        <v>5324</v>
      </c>
      <c r="N5325" s="2">
        <v>0</v>
      </c>
    </row>
    <row r="5326" spans="13:14" x14ac:dyDescent="0.5">
      <c r="M5326" s="2">
        <v>5325</v>
      </c>
    </row>
    <row r="5327" spans="13:14" x14ac:dyDescent="0.5">
      <c r="M5327" s="2">
        <v>5326</v>
      </c>
      <c r="N5327" s="2">
        <v>0</v>
      </c>
    </row>
    <row r="5328" spans="13:14" x14ac:dyDescent="0.5">
      <c r="M5328" s="2">
        <v>5327</v>
      </c>
    </row>
    <row r="5329" spans="13:14" x14ac:dyDescent="0.5">
      <c r="M5329" s="2">
        <v>5328</v>
      </c>
    </row>
    <row r="5330" spans="13:14" x14ac:dyDescent="0.5">
      <c r="M5330" s="2">
        <v>5329</v>
      </c>
    </row>
    <row r="5331" spans="13:14" x14ac:dyDescent="0.5">
      <c r="M5331" s="2">
        <v>5330</v>
      </c>
    </row>
    <row r="5332" spans="13:14" x14ac:dyDescent="0.5">
      <c r="M5332" s="2">
        <v>5331</v>
      </c>
    </row>
    <row r="5333" spans="13:14" x14ac:dyDescent="0.5">
      <c r="M5333" s="2">
        <v>5332</v>
      </c>
      <c r="N5333" s="2">
        <v>0</v>
      </c>
    </row>
    <row r="5334" spans="13:14" x14ac:dyDescent="0.5">
      <c r="M5334" s="2">
        <v>5333</v>
      </c>
    </row>
    <row r="5335" spans="13:14" x14ac:dyDescent="0.5">
      <c r="M5335" s="2">
        <v>5334</v>
      </c>
    </row>
    <row r="5336" spans="13:14" x14ac:dyDescent="0.5">
      <c r="M5336" s="2">
        <v>5335</v>
      </c>
    </row>
    <row r="5337" spans="13:14" x14ac:dyDescent="0.5">
      <c r="M5337" s="2">
        <v>5336</v>
      </c>
    </row>
    <row r="5338" spans="13:14" x14ac:dyDescent="0.5">
      <c r="M5338" s="2">
        <v>5337</v>
      </c>
    </row>
    <row r="5339" spans="13:14" x14ac:dyDescent="0.5">
      <c r="M5339" s="2">
        <v>5338</v>
      </c>
    </row>
    <row r="5340" spans="13:14" x14ac:dyDescent="0.5">
      <c r="M5340" s="2">
        <v>5339</v>
      </c>
    </row>
    <row r="5341" spans="13:14" x14ac:dyDescent="0.5">
      <c r="M5341" s="2">
        <v>5340</v>
      </c>
    </row>
    <row r="5342" spans="13:14" x14ac:dyDescent="0.5">
      <c r="M5342" s="2">
        <v>5341</v>
      </c>
    </row>
    <row r="5343" spans="13:14" x14ac:dyDescent="0.5">
      <c r="M5343" s="2">
        <v>5342</v>
      </c>
    </row>
    <row r="5344" spans="13:14" x14ac:dyDescent="0.5">
      <c r="M5344" s="2">
        <v>5343</v>
      </c>
    </row>
    <row r="5345" spans="13:14" x14ac:dyDescent="0.5">
      <c r="M5345" s="2">
        <v>5344</v>
      </c>
      <c r="N5345" s="2">
        <v>0</v>
      </c>
    </row>
    <row r="5346" spans="13:14" x14ac:dyDescent="0.5">
      <c r="M5346" s="2">
        <v>5345</v>
      </c>
      <c r="N5346" s="2">
        <v>0</v>
      </c>
    </row>
    <row r="5347" spans="13:14" x14ac:dyDescent="0.5">
      <c r="M5347" s="2">
        <v>5346</v>
      </c>
      <c r="N5347" s="2">
        <v>0</v>
      </c>
    </row>
    <row r="5348" spans="13:14" x14ac:dyDescent="0.5">
      <c r="M5348" s="2">
        <v>5347</v>
      </c>
      <c r="N5348" s="2">
        <v>0</v>
      </c>
    </row>
    <row r="5349" spans="13:14" x14ac:dyDescent="0.5">
      <c r="M5349" s="2">
        <v>5348</v>
      </c>
      <c r="N5349" s="2">
        <v>0</v>
      </c>
    </row>
    <row r="5350" spans="13:14" x14ac:dyDescent="0.5">
      <c r="M5350" s="2">
        <v>5349</v>
      </c>
    </row>
    <row r="5351" spans="13:14" x14ac:dyDescent="0.5">
      <c r="M5351" s="2">
        <v>5350</v>
      </c>
    </row>
    <row r="5352" spans="13:14" x14ac:dyDescent="0.5">
      <c r="M5352" s="2">
        <v>5351</v>
      </c>
    </row>
    <row r="5353" spans="13:14" x14ac:dyDescent="0.5">
      <c r="M5353" s="2">
        <v>5352</v>
      </c>
    </row>
    <row r="5354" spans="13:14" x14ac:dyDescent="0.5">
      <c r="M5354" s="2">
        <v>5353</v>
      </c>
    </row>
    <row r="5355" spans="13:14" x14ac:dyDescent="0.5">
      <c r="M5355" s="2">
        <v>5354</v>
      </c>
    </row>
    <row r="5356" spans="13:14" x14ac:dyDescent="0.5">
      <c r="M5356" s="2">
        <v>5355</v>
      </c>
    </row>
    <row r="5357" spans="13:14" x14ac:dyDescent="0.5">
      <c r="M5357" s="2">
        <v>5356</v>
      </c>
    </row>
    <row r="5358" spans="13:14" x14ac:dyDescent="0.5">
      <c r="M5358" s="2">
        <v>5357</v>
      </c>
    </row>
    <row r="5359" spans="13:14" x14ac:dyDescent="0.5">
      <c r="M5359" s="2">
        <v>5358</v>
      </c>
      <c r="N5359" s="2">
        <v>0</v>
      </c>
    </row>
    <row r="5360" spans="13:14" x14ac:dyDescent="0.5">
      <c r="M5360" s="2">
        <v>5359</v>
      </c>
      <c r="N5360" s="2">
        <v>0</v>
      </c>
    </row>
    <row r="5361" spans="13:14" x14ac:dyDescent="0.5">
      <c r="M5361" s="2">
        <v>5360</v>
      </c>
      <c r="N5361" s="2">
        <v>0</v>
      </c>
    </row>
    <row r="5362" spans="13:14" x14ac:dyDescent="0.5">
      <c r="M5362" s="2">
        <v>5361</v>
      </c>
    </row>
    <row r="5363" spans="13:14" x14ac:dyDescent="0.5">
      <c r="M5363" s="2">
        <v>5362</v>
      </c>
      <c r="N5363" s="2">
        <v>0</v>
      </c>
    </row>
    <row r="5364" spans="13:14" x14ac:dyDescent="0.5">
      <c r="M5364" s="2">
        <v>5363</v>
      </c>
    </row>
    <row r="5365" spans="13:14" x14ac:dyDescent="0.5">
      <c r="M5365" s="2">
        <v>5364</v>
      </c>
    </row>
    <row r="5366" spans="13:14" x14ac:dyDescent="0.5">
      <c r="M5366" s="2">
        <v>5365</v>
      </c>
    </row>
    <row r="5367" spans="13:14" x14ac:dyDescent="0.5">
      <c r="M5367" s="2">
        <v>5366</v>
      </c>
    </row>
    <row r="5368" spans="13:14" x14ac:dyDescent="0.5">
      <c r="M5368" s="2">
        <v>5367</v>
      </c>
    </row>
    <row r="5369" spans="13:14" x14ac:dyDescent="0.5">
      <c r="M5369" s="2">
        <v>5368</v>
      </c>
    </row>
    <row r="5370" spans="13:14" x14ac:dyDescent="0.5">
      <c r="M5370" s="2">
        <v>5369</v>
      </c>
    </row>
    <row r="5371" spans="13:14" x14ac:dyDescent="0.5">
      <c r="M5371" s="2">
        <v>5370</v>
      </c>
    </row>
    <row r="5372" spans="13:14" x14ac:dyDescent="0.5">
      <c r="M5372" s="2">
        <v>5371</v>
      </c>
    </row>
    <row r="5373" spans="13:14" x14ac:dyDescent="0.5">
      <c r="M5373" s="2">
        <v>5372</v>
      </c>
      <c r="N5373" s="2">
        <v>0</v>
      </c>
    </row>
    <row r="5374" spans="13:14" x14ac:dyDescent="0.5">
      <c r="M5374" s="2">
        <v>5373</v>
      </c>
    </row>
    <row r="5375" spans="13:14" x14ac:dyDescent="0.5">
      <c r="M5375" s="2">
        <v>5374</v>
      </c>
      <c r="N5375" s="2">
        <v>0</v>
      </c>
    </row>
    <row r="5376" spans="13:14" x14ac:dyDescent="0.5">
      <c r="M5376" s="2">
        <v>5375</v>
      </c>
      <c r="N5376" s="2">
        <v>0</v>
      </c>
    </row>
    <row r="5377" spans="13:14" x14ac:dyDescent="0.5">
      <c r="M5377" s="2">
        <v>5376</v>
      </c>
    </row>
    <row r="5378" spans="13:14" x14ac:dyDescent="0.5">
      <c r="M5378" s="2">
        <v>5377</v>
      </c>
    </row>
    <row r="5379" spans="13:14" x14ac:dyDescent="0.5">
      <c r="M5379" s="2">
        <v>5378</v>
      </c>
    </row>
    <row r="5380" spans="13:14" x14ac:dyDescent="0.5">
      <c r="M5380" s="2">
        <v>5379</v>
      </c>
      <c r="N5380" s="2">
        <v>0</v>
      </c>
    </row>
    <row r="5381" spans="13:14" x14ac:dyDescent="0.5">
      <c r="M5381" s="2">
        <v>5380</v>
      </c>
      <c r="N5381" s="2">
        <v>0</v>
      </c>
    </row>
    <row r="5382" spans="13:14" x14ac:dyDescent="0.5">
      <c r="M5382" s="2">
        <v>5381</v>
      </c>
    </row>
    <row r="5383" spans="13:14" x14ac:dyDescent="0.5">
      <c r="M5383" s="2">
        <v>5382</v>
      </c>
    </row>
    <row r="5384" spans="13:14" x14ac:dyDescent="0.5">
      <c r="M5384" s="2">
        <v>5383</v>
      </c>
      <c r="N5384" s="2">
        <v>0</v>
      </c>
    </row>
    <row r="5385" spans="13:14" x14ac:dyDescent="0.5">
      <c r="M5385" s="2">
        <v>5384</v>
      </c>
      <c r="N5385" s="2">
        <v>0</v>
      </c>
    </row>
    <row r="5386" spans="13:14" x14ac:dyDescent="0.5">
      <c r="M5386" s="2">
        <v>5385</v>
      </c>
    </row>
    <row r="5387" spans="13:14" x14ac:dyDescent="0.5">
      <c r="M5387" s="2">
        <v>5386</v>
      </c>
    </row>
    <row r="5388" spans="13:14" x14ac:dyDescent="0.5">
      <c r="M5388" s="2">
        <v>5387</v>
      </c>
      <c r="N5388" s="2">
        <v>0</v>
      </c>
    </row>
    <row r="5389" spans="13:14" x14ac:dyDescent="0.5">
      <c r="M5389" s="2">
        <v>5388</v>
      </c>
    </row>
    <row r="5390" spans="13:14" x14ac:dyDescent="0.5">
      <c r="M5390" s="2">
        <v>5389</v>
      </c>
      <c r="N5390" s="2">
        <v>0</v>
      </c>
    </row>
    <row r="5391" spans="13:14" x14ac:dyDescent="0.5">
      <c r="M5391" s="2">
        <v>5390</v>
      </c>
    </row>
    <row r="5392" spans="13:14" x14ac:dyDescent="0.5">
      <c r="M5392" s="2">
        <v>5391</v>
      </c>
    </row>
    <row r="5393" spans="13:14" x14ac:dyDescent="0.5">
      <c r="M5393" s="2">
        <v>5392</v>
      </c>
    </row>
    <row r="5394" spans="13:14" x14ac:dyDescent="0.5">
      <c r="M5394" s="2">
        <v>5393</v>
      </c>
    </row>
    <row r="5395" spans="13:14" x14ac:dyDescent="0.5">
      <c r="M5395" s="2">
        <v>5394</v>
      </c>
    </row>
    <row r="5396" spans="13:14" x14ac:dyDescent="0.5">
      <c r="M5396" s="2">
        <v>5395</v>
      </c>
    </row>
    <row r="5397" spans="13:14" x14ac:dyDescent="0.5">
      <c r="M5397" s="2">
        <v>5396</v>
      </c>
    </row>
    <row r="5398" spans="13:14" x14ac:dyDescent="0.5">
      <c r="M5398" s="2">
        <v>5397</v>
      </c>
      <c r="N5398" s="2">
        <v>0</v>
      </c>
    </row>
    <row r="5399" spans="13:14" x14ac:dyDescent="0.5">
      <c r="M5399" s="2">
        <v>5398</v>
      </c>
      <c r="N5399" s="2">
        <v>0</v>
      </c>
    </row>
    <row r="5400" spans="13:14" x14ac:dyDescent="0.5">
      <c r="M5400" s="2">
        <v>5399</v>
      </c>
    </row>
    <row r="5401" spans="13:14" x14ac:dyDescent="0.5">
      <c r="M5401" s="2">
        <v>5400</v>
      </c>
    </row>
    <row r="5402" spans="13:14" x14ac:dyDescent="0.5">
      <c r="M5402" s="2">
        <v>5401</v>
      </c>
    </row>
    <row r="5403" spans="13:14" x14ac:dyDescent="0.5">
      <c r="M5403" s="2">
        <v>5402</v>
      </c>
    </row>
    <row r="5404" spans="13:14" x14ac:dyDescent="0.5">
      <c r="M5404" s="2">
        <v>5403</v>
      </c>
      <c r="N5404" s="2">
        <v>0</v>
      </c>
    </row>
    <row r="5405" spans="13:14" x14ac:dyDescent="0.5">
      <c r="M5405" s="2">
        <v>5404</v>
      </c>
    </row>
    <row r="5406" spans="13:14" x14ac:dyDescent="0.5">
      <c r="M5406" s="2">
        <v>5405</v>
      </c>
    </row>
    <row r="5407" spans="13:14" x14ac:dyDescent="0.5">
      <c r="M5407" s="2">
        <v>5406</v>
      </c>
    </row>
    <row r="5408" spans="13:14" x14ac:dyDescent="0.5">
      <c r="M5408" s="2">
        <v>5407</v>
      </c>
    </row>
    <row r="5409" spans="13:13" x14ac:dyDescent="0.5">
      <c r="M5409" s="2">
        <v>5408</v>
      </c>
    </row>
    <row r="5410" spans="13:13" x14ac:dyDescent="0.5">
      <c r="M5410" s="2">
        <v>5409</v>
      </c>
    </row>
    <row r="5411" spans="13:13" x14ac:dyDescent="0.5">
      <c r="M5411" s="2">
        <v>5410</v>
      </c>
    </row>
    <row r="5412" spans="13:13" x14ac:dyDescent="0.5">
      <c r="M5412" s="2">
        <v>5411</v>
      </c>
    </row>
    <row r="5413" spans="13:13" x14ac:dyDescent="0.5">
      <c r="M5413" s="2">
        <v>5412</v>
      </c>
    </row>
    <row r="5414" spans="13:13" x14ac:dyDescent="0.5">
      <c r="M5414" s="2">
        <v>5413</v>
      </c>
    </row>
    <row r="5415" spans="13:13" x14ac:dyDescent="0.5">
      <c r="M5415" s="2">
        <v>5414</v>
      </c>
    </row>
    <row r="5416" spans="13:13" x14ac:dyDescent="0.5">
      <c r="M5416" s="2">
        <v>5415</v>
      </c>
    </row>
    <row r="5417" spans="13:13" x14ac:dyDescent="0.5">
      <c r="M5417" s="2">
        <v>5416</v>
      </c>
    </row>
    <row r="5418" spans="13:13" x14ac:dyDescent="0.5">
      <c r="M5418" s="2">
        <v>5417</v>
      </c>
    </row>
    <row r="5419" spans="13:13" x14ac:dyDescent="0.5">
      <c r="M5419" s="2">
        <v>5418</v>
      </c>
    </row>
    <row r="5420" spans="13:13" x14ac:dyDescent="0.5">
      <c r="M5420" s="2">
        <v>5419</v>
      </c>
    </row>
    <row r="5421" spans="13:13" x14ac:dyDescent="0.5">
      <c r="M5421" s="2">
        <v>5420</v>
      </c>
    </row>
    <row r="5422" spans="13:13" x14ac:dyDescent="0.5">
      <c r="M5422" s="2">
        <v>5421</v>
      </c>
    </row>
    <row r="5423" spans="13:13" x14ac:dyDescent="0.5">
      <c r="M5423" s="2">
        <v>5422</v>
      </c>
    </row>
    <row r="5424" spans="13:13" x14ac:dyDescent="0.5">
      <c r="M5424" s="2">
        <v>5423</v>
      </c>
    </row>
    <row r="5425" spans="13:14" x14ac:dyDescent="0.5">
      <c r="M5425" s="2">
        <v>5424</v>
      </c>
    </row>
    <row r="5426" spans="13:14" x14ac:dyDescent="0.5">
      <c r="M5426" s="2">
        <v>5425</v>
      </c>
    </row>
    <row r="5427" spans="13:14" x14ac:dyDescent="0.5">
      <c r="M5427" s="2">
        <v>5426</v>
      </c>
    </row>
    <row r="5428" spans="13:14" x14ac:dyDescent="0.5">
      <c r="M5428" s="2">
        <v>5427</v>
      </c>
    </row>
    <row r="5429" spans="13:14" x14ac:dyDescent="0.5">
      <c r="M5429" s="2">
        <v>5428</v>
      </c>
    </row>
    <row r="5430" spans="13:14" x14ac:dyDescent="0.5">
      <c r="M5430" s="2">
        <v>5429</v>
      </c>
      <c r="N5430" s="2">
        <v>0</v>
      </c>
    </row>
    <row r="5431" spans="13:14" x14ac:dyDescent="0.5">
      <c r="M5431" s="2">
        <v>5430</v>
      </c>
    </row>
    <row r="5432" spans="13:14" x14ac:dyDescent="0.5">
      <c r="M5432" s="2">
        <v>5431</v>
      </c>
    </row>
    <row r="5433" spans="13:14" x14ac:dyDescent="0.5">
      <c r="M5433" s="2">
        <v>5432</v>
      </c>
      <c r="N5433" s="2">
        <v>0</v>
      </c>
    </row>
    <row r="5434" spans="13:14" x14ac:dyDescent="0.5">
      <c r="M5434" s="2">
        <v>5433</v>
      </c>
    </row>
    <row r="5435" spans="13:14" x14ac:dyDescent="0.5">
      <c r="M5435" s="2">
        <v>5434</v>
      </c>
      <c r="N5435" s="2">
        <v>0</v>
      </c>
    </row>
    <row r="5436" spans="13:14" x14ac:dyDescent="0.5">
      <c r="M5436" s="2">
        <v>5435</v>
      </c>
    </row>
    <row r="5437" spans="13:14" x14ac:dyDescent="0.5">
      <c r="M5437" s="2">
        <v>5436</v>
      </c>
    </row>
    <row r="5438" spans="13:14" x14ac:dyDescent="0.5">
      <c r="M5438" s="2">
        <v>5437</v>
      </c>
    </row>
    <row r="5439" spans="13:14" x14ac:dyDescent="0.5">
      <c r="M5439" s="2">
        <v>5438</v>
      </c>
      <c r="N5439" s="2">
        <v>0</v>
      </c>
    </row>
    <row r="5440" spans="13:14" x14ac:dyDescent="0.5">
      <c r="M5440" s="2">
        <v>5439</v>
      </c>
      <c r="N5440" s="2">
        <v>0</v>
      </c>
    </row>
    <row r="5441" spans="13:14" x14ac:dyDescent="0.5">
      <c r="M5441" s="2">
        <v>5440</v>
      </c>
    </row>
    <row r="5442" spans="13:14" x14ac:dyDescent="0.5">
      <c r="M5442" s="2">
        <v>5441</v>
      </c>
    </row>
    <row r="5443" spans="13:14" x14ac:dyDescent="0.5">
      <c r="M5443" s="2">
        <v>5442</v>
      </c>
      <c r="N5443" s="2">
        <v>0</v>
      </c>
    </row>
    <row r="5444" spans="13:14" x14ac:dyDescent="0.5">
      <c r="M5444" s="2">
        <v>5443</v>
      </c>
    </row>
    <row r="5445" spans="13:14" x14ac:dyDescent="0.5">
      <c r="M5445" s="2">
        <v>5444</v>
      </c>
      <c r="N5445" s="2">
        <v>0</v>
      </c>
    </row>
    <row r="5446" spans="13:14" x14ac:dyDescent="0.5">
      <c r="M5446" s="2">
        <v>5445</v>
      </c>
      <c r="N5446" s="2">
        <v>0</v>
      </c>
    </row>
    <row r="5447" spans="13:14" x14ac:dyDescent="0.5">
      <c r="M5447" s="2">
        <v>5446</v>
      </c>
    </row>
    <row r="5448" spans="13:14" x14ac:dyDescent="0.5">
      <c r="M5448" s="2">
        <v>5447</v>
      </c>
    </row>
    <row r="5449" spans="13:14" x14ac:dyDescent="0.5">
      <c r="M5449" s="2">
        <v>5448</v>
      </c>
      <c r="N5449" s="2">
        <v>0</v>
      </c>
    </row>
    <row r="5450" spans="13:14" x14ac:dyDescent="0.5">
      <c r="M5450" s="2">
        <v>5449</v>
      </c>
      <c r="N5450" s="2">
        <v>0</v>
      </c>
    </row>
    <row r="5451" spans="13:14" x14ac:dyDescent="0.5">
      <c r="M5451" s="2">
        <v>5450</v>
      </c>
      <c r="N5451" s="2">
        <v>0</v>
      </c>
    </row>
    <row r="5452" spans="13:14" x14ac:dyDescent="0.5">
      <c r="M5452" s="2">
        <v>5451</v>
      </c>
      <c r="N5452" s="2">
        <v>0</v>
      </c>
    </row>
    <row r="5453" spans="13:14" x14ac:dyDescent="0.5">
      <c r="M5453" s="2">
        <v>5452</v>
      </c>
      <c r="N5453" s="2">
        <v>0</v>
      </c>
    </row>
    <row r="5454" spans="13:14" x14ac:dyDescent="0.5">
      <c r="M5454" s="2">
        <v>5453</v>
      </c>
      <c r="N5454" s="2">
        <v>0</v>
      </c>
    </row>
    <row r="5455" spans="13:14" x14ac:dyDescent="0.5">
      <c r="M5455" s="2">
        <v>5454</v>
      </c>
      <c r="N5455" s="2">
        <v>0</v>
      </c>
    </row>
    <row r="5456" spans="13:14" x14ac:dyDescent="0.5">
      <c r="M5456" s="2">
        <v>5455</v>
      </c>
      <c r="N5456" s="2">
        <v>0</v>
      </c>
    </row>
    <row r="5457" spans="13:14" x14ac:dyDescent="0.5">
      <c r="M5457" s="2">
        <v>5456</v>
      </c>
      <c r="N5457" s="2">
        <v>0</v>
      </c>
    </row>
    <row r="5458" spans="13:14" x14ac:dyDescent="0.5">
      <c r="M5458" s="2">
        <v>5457</v>
      </c>
      <c r="N5458" s="2">
        <v>0</v>
      </c>
    </row>
    <row r="5459" spans="13:14" x14ac:dyDescent="0.5">
      <c r="M5459" s="2">
        <v>5458</v>
      </c>
      <c r="N5459" s="2">
        <v>0</v>
      </c>
    </row>
    <row r="5460" spans="13:14" x14ac:dyDescent="0.5">
      <c r="M5460" s="2">
        <v>5459</v>
      </c>
      <c r="N5460" s="2">
        <v>0</v>
      </c>
    </row>
    <row r="5461" spans="13:14" x14ac:dyDescent="0.5">
      <c r="M5461" s="2">
        <v>5460</v>
      </c>
      <c r="N5461" s="2">
        <v>0</v>
      </c>
    </row>
    <row r="5462" spans="13:14" x14ac:dyDescent="0.5">
      <c r="M5462" s="2">
        <v>5461</v>
      </c>
      <c r="N5462" s="2">
        <v>0</v>
      </c>
    </row>
    <row r="5463" spans="13:14" x14ac:dyDescent="0.5">
      <c r="M5463" s="2">
        <v>5462</v>
      </c>
      <c r="N5463" s="2">
        <v>0</v>
      </c>
    </row>
    <row r="5464" spans="13:14" x14ac:dyDescent="0.5">
      <c r="M5464" s="2">
        <v>5463</v>
      </c>
      <c r="N5464" s="2">
        <v>0</v>
      </c>
    </row>
    <row r="5465" spans="13:14" x14ac:dyDescent="0.5">
      <c r="M5465" s="2">
        <v>5464</v>
      </c>
      <c r="N5465" s="2">
        <v>0</v>
      </c>
    </row>
    <row r="5466" spans="13:14" x14ac:dyDescent="0.5">
      <c r="M5466" s="2">
        <v>5465</v>
      </c>
      <c r="N5466" s="2">
        <v>0</v>
      </c>
    </row>
    <row r="5467" spans="13:14" x14ac:dyDescent="0.5">
      <c r="M5467" s="2">
        <v>5466</v>
      </c>
      <c r="N5467" s="2">
        <v>0</v>
      </c>
    </row>
    <row r="5468" spans="13:14" x14ac:dyDescent="0.5">
      <c r="M5468" s="2">
        <v>5467</v>
      </c>
      <c r="N5468" s="2">
        <v>0</v>
      </c>
    </row>
    <row r="5469" spans="13:14" x14ac:dyDescent="0.5">
      <c r="M5469" s="2">
        <v>5468</v>
      </c>
      <c r="N5469" s="2">
        <v>0</v>
      </c>
    </row>
    <row r="5470" spans="13:14" x14ac:dyDescent="0.5">
      <c r="M5470" s="2">
        <v>5469</v>
      </c>
      <c r="N5470" s="2">
        <v>0</v>
      </c>
    </row>
    <row r="5471" spans="13:14" x14ac:dyDescent="0.5">
      <c r="M5471" s="2">
        <v>5470</v>
      </c>
      <c r="N5471" s="2">
        <v>0</v>
      </c>
    </row>
    <row r="5472" spans="13:14" x14ac:dyDescent="0.5">
      <c r="M5472" s="2">
        <v>5471</v>
      </c>
    </row>
    <row r="5473" spans="13:14" x14ac:dyDescent="0.5">
      <c r="M5473" s="2">
        <v>5472</v>
      </c>
      <c r="N5473" s="2">
        <v>0</v>
      </c>
    </row>
    <row r="5474" spans="13:14" x14ac:dyDescent="0.5">
      <c r="M5474" s="2">
        <v>5473</v>
      </c>
      <c r="N5474" s="2">
        <v>0</v>
      </c>
    </row>
    <row r="5475" spans="13:14" x14ac:dyDescent="0.5">
      <c r="M5475" s="2">
        <v>5474</v>
      </c>
    </row>
    <row r="5476" spans="13:14" x14ac:dyDescent="0.5">
      <c r="M5476" s="2">
        <v>5475</v>
      </c>
    </row>
    <row r="5477" spans="13:14" x14ac:dyDescent="0.5">
      <c r="M5477" s="2">
        <v>5476</v>
      </c>
      <c r="N5477" s="2">
        <v>0</v>
      </c>
    </row>
    <row r="5478" spans="13:14" x14ac:dyDescent="0.5">
      <c r="M5478" s="2">
        <v>5477</v>
      </c>
      <c r="N5478" s="2">
        <v>0</v>
      </c>
    </row>
    <row r="5479" spans="13:14" x14ac:dyDescent="0.5">
      <c r="M5479" s="2">
        <v>5478</v>
      </c>
      <c r="N5479" s="2">
        <v>0</v>
      </c>
    </row>
    <row r="5480" spans="13:14" x14ac:dyDescent="0.5">
      <c r="M5480" s="2">
        <v>5479</v>
      </c>
      <c r="N5480" s="2">
        <v>0</v>
      </c>
    </row>
    <row r="5481" spans="13:14" x14ac:dyDescent="0.5">
      <c r="M5481" s="2">
        <v>5480</v>
      </c>
      <c r="N5481" s="2">
        <v>0</v>
      </c>
    </row>
    <row r="5482" spans="13:14" x14ac:dyDescent="0.5">
      <c r="M5482" s="2">
        <v>5481</v>
      </c>
      <c r="N5482" s="2">
        <v>0</v>
      </c>
    </row>
    <row r="5483" spans="13:14" x14ac:dyDescent="0.5">
      <c r="M5483" s="2">
        <v>5482</v>
      </c>
      <c r="N5483" s="2">
        <v>0</v>
      </c>
    </row>
    <row r="5484" spans="13:14" x14ac:dyDescent="0.5">
      <c r="M5484" s="2">
        <v>5483</v>
      </c>
      <c r="N5484" s="2">
        <v>0</v>
      </c>
    </row>
    <row r="5485" spans="13:14" x14ac:dyDescent="0.5">
      <c r="M5485" s="2">
        <v>5484</v>
      </c>
      <c r="N5485" s="2">
        <v>0</v>
      </c>
    </row>
    <row r="5486" spans="13:14" x14ac:dyDescent="0.5">
      <c r="M5486" s="2">
        <v>5485</v>
      </c>
      <c r="N5486" s="2">
        <v>0</v>
      </c>
    </row>
    <row r="5487" spans="13:14" x14ac:dyDescent="0.5">
      <c r="M5487" s="2">
        <v>5486</v>
      </c>
    </row>
    <row r="5488" spans="13:14" x14ac:dyDescent="0.5">
      <c r="M5488" s="2">
        <v>5487</v>
      </c>
    </row>
    <row r="5489" spans="13:14" x14ac:dyDescent="0.5">
      <c r="M5489" s="2">
        <v>5488</v>
      </c>
      <c r="N5489" s="2">
        <v>0</v>
      </c>
    </row>
    <row r="5490" spans="13:14" x14ac:dyDescent="0.5">
      <c r="M5490" s="2">
        <v>5489</v>
      </c>
    </row>
    <row r="5491" spans="13:14" x14ac:dyDescent="0.5">
      <c r="M5491" s="2">
        <v>5490</v>
      </c>
    </row>
    <row r="5492" spans="13:14" x14ac:dyDescent="0.5">
      <c r="M5492" s="2">
        <v>5491</v>
      </c>
    </row>
    <row r="5493" spans="13:14" x14ac:dyDescent="0.5">
      <c r="M5493" s="2">
        <v>5492</v>
      </c>
      <c r="N5493" s="2">
        <v>0</v>
      </c>
    </row>
    <row r="5494" spans="13:14" x14ac:dyDescent="0.5">
      <c r="M5494" s="2">
        <v>5493</v>
      </c>
      <c r="N5494" s="2">
        <v>0</v>
      </c>
    </row>
    <row r="5495" spans="13:14" x14ac:dyDescent="0.5">
      <c r="M5495" s="2">
        <v>5494</v>
      </c>
      <c r="N5495" s="2">
        <v>0</v>
      </c>
    </row>
    <row r="5496" spans="13:14" x14ac:dyDescent="0.5">
      <c r="M5496" s="2">
        <v>5495</v>
      </c>
    </row>
    <row r="5497" spans="13:14" x14ac:dyDescent="0.5">
      <c r="M5497" s="2">
        <v>5496</v>
      </c>
    </row>
    <row r="5498" spans="13:14" x14ac:dyDescent="0.5">
      <c r="M5498" s="2">
        <v>5497</v>
      </c>
    </row>
    <row r="5499" spans="13:14" x14ac:dyDescent="0.5">
      <c r="M5499" s="2">
        <v>5498</v>
      </c>
    </row>
    <row r="5500" spans="13:14" x14ac:dyDescent="0.5">
      <c r="M5500" s="2">
        <v>5499</v>
      </c>
    </row>
    <row r="5501" spans="13:14" x14ac:dyDescent="0.5">
      <c r="M5501" s="2">
        <v>5500</v>
      </c>
    </row>
    <row r="5502" spans="13:14" x14ac:dyDescent="0.5">
      <c r="M5502" s="2">
        <v>5501</v>
      </c>
    </row>
    <row r="5503" spans="13:14" x14ac:dyDescent="0.5">
      <c r="M5503" s="2">
        <v>5502</v>
      </c>
    </row>
    <row r="5504" spans="13:14" x14ac:dyDescent="0.5">
      <c r="M5504" s="2">
        <v>5503</v>
      </c>
      <c r="N5504" s="2">
        <v>0</v>
      </c>
    </row>
    <row r="5505" spans="13:14" x14ac:dyDescent="0.5">
      <c r="M5505" s="2">
        <v>5504</v>
      </c>
      <c r="N5505" s="2">
        <v>0</v>
      </c>
    </row>
    <row r="5506" spans="13:14" x14ac:dyDescent="0.5">
      <c r="M5506" s="2">
        <v>5505</v>
      </c>
      <c r="N5506" s="2">
        <v>0</v>
      </c>
    </row>
    <row r="5507" spans="13:14" x14ac:dyDescent="0.5">
      <c r="M5507" s="2">
        <v>5506</v>
      </c>
    </row>
    <row r="5508" spans="13:14" x14ac:dyDescent="0.5">
      <c r="M5508" s="2">
        <v>5507</v>
      </c>
      <c r="N5508" s="2">
        <v>0</v>
      </c>
    </row>
    <row r="5509" spans="13:14" x14ac:dyDescent="0.5">
      <c r="M5509" s="2">
        <v>5508</v>
      </c>
    </row>
    <row r="5510" spans="13:14" x14ac:dyDescent="0.5">
      <c r="M5510" s="2">
        <v>5509</v>
      </c>
    </row>
    <row r="5511" spans="13:14" x14ac:dyDescent="0.5">
      <c r="M5511" s="2">
        <v>5510</v>
      </c>
    </row>
    <row r="5512" spans="13:14" x14ac:dyDescent="0.5">
      <c r="M5512" s="2">
        <v>5511</v>
      </c>
    </row>
    <row r="5513" spans="13:14" x14ac:dyDescent="0.5">
      <c r="M5513" s="2">
        <v>5512</v>
      </c>
    </row>
    <row r="5514" spans="13:14" x14ac:dyDescent="0.5">
      <c r="M5514" s="2">
        <v>5513</v>
      </c>
    </row>
    <row r="5515" spans="13:14" x14ac:dyDescent="0.5">
      <c r="M5515" s="2">
        <v>5514</v>
      </c>
    </row>
    <row r="5516" spans="13:14" x14ac:dyDescent="0.5">
      <c r="M5516" s="2">
        <v>5515</v>
      </c>
      <c r="N5516" s="2">
        <v>0</v>
      </c>
    </row>
    <row r="5517" spans="13:14" x14ac:dyDescent="0.5">
      <c r="M5517" s="2">
        <v>5516</v>
      </c>
    </row>
    <row r="5518" spans="13:14" x14ac:dyDescent="0.5">
      <c r="M5518" s="2">
        <v>5517</v>
      </c>
      <c r="N5518" s="2">
        <v>0</v>
      </c>
    </row>
    <row r="5519" spans="13:14" x14ac:dyDescent="0.5">
      <c r="M5519" s="2">
        <v>5518</v>
      </c>
      <c r="N5519" s="2">
        <v>0</v>
      </c>
    </row>
    <row r="5520" spans="13:14" x14ac:dyDescent="0.5">
      <c r="M5520" s="2">
        <v>5519</v>
      </c>
    </row>
    <row r="5521" spans="13:14" x14ac:dyDescent="0.5">
      <c r="M5521" s="2">
        <v>5520</v>
      </c>
    </row>
    <row r="5522" spans="13:14" x14ac:dyDescent="0.5">
      <c r="M5522" s="2">
        <v>5521</v>
      </c>
      <c r="N5522" s="2">
        <v>0</v>
      </c>
    </row>
    <row r="5523" spans="13:14" x14ac:dyDescent="0.5">
      <c r="M5523" s="2">
        <v>5522</v>
      </c>
    </row>
    <row r="5524" spans="13:14" x14ac:dyDescent="0.5">
      <c r="M5524" s="2">
        <v>5523</v>
      </c>
      <c r="N5524" s="2">
        <v>0</v>
      </c>
    </row>
    <row r="5525" spans="13:14" x14ac:dyDescent="0.5">
      <c r="M5525" s="2">
        <v>5524</v>
      </c>
      <c r="N5525" s="2">
        <v>0</v>
      </c>
    </row>
    <row r="5526" spans="13:14" x14ac:dyDescent="0.5">
      <c r="M5526" s="2">
        <v>5525</v>
      </c>
    </row>
    <row r="5527" spans="13:14" x14ac:dyDescent="0.5">
      <c r="M5527" s="2">
        <v>5526</v>
      </c>
    </row>
    <row r="5528" spans="13:14" x14ac:dyDescent="0.5">
      <c r="M5528" s="2">
        <v>5527</v>
      </c>
    </row>
    <row r="5529" spans="13:14" x14ac:dyDescent="0.5">
      <c r="M5529" s="2">
        <v>5528</v>
      </c>
    </row>
    <row r="5530" spans="13:14" x14ac:dyDescent="0.5">
      <c r="M5530" s="2">
        <v>5529</v>
      </c>
    </row>
    <row r="5531" spans="13:14" x14ac:dyDescent="0.5">
      <c r="M5531" s="2">
        <v>5530</v>
      </c>
      <c r="N5531" s="2">
        <v>0</v>
      </c>
    </row>
    <row r="5532" spans="13:14" x14ac:dyDescent="0.5">
      <c r="M5532" s="2">
        <v>5531</v>
      </c>
      <c r="N5532" s="2">
        <v>0</v>
      </c>
    </row>
    <row r="5533" spans="13:14" x14ac:dyDescent="0.5">
      <c r="M5533" s="2">
        <v>5532</v>
      </c>
      <c r="N5533" s="2">
        <v>0</v>
      </c>
    </row>
    <row r="5534" spans="13:14" x14ac:dyDescent="0.5">
      <c r="M5534" s="2">
        <v>5533</v>
      </c>
    </row>
    <row r="5535" spans="13:14" x14ac:dyDescent="0.5">
      <c r="M5535" s="2">
        <v>5534</v>
      </c>
      <c r="N5535" s="2">
        <v>0</v>
      </c>
    </row>
    <row r="5536" spans="13:14" x14ac:dyDescent="0.5">
      <c r="M5536" s="2">
        <v>5535</v>
      </c>
      <c r="N5536" s="2">
        <v>0</v>
      </c>
    </row>
    <row r="5537" spans="13:14" x14ac:dyDescent="0.5">
      <c r="M5537" s="2">
        <v>5536</v>
      </c>
      <c r="N5537" s="2">
        <v>0</v>
      </c>
    </row>
    <row r="5538" spans="13:14" x14ac:dyDescent="0.5">
      <c r="M5538" s="2">
        <v>5537</v>
      </c>
      <c r="N5538" s="2">
        <v>0</v>
      </c>
    </row>
    <row r="5539" spans="13:14" x14ac:dyDescent="0.5">
      <c r="M5539" s="2">
        <v>5538</v>
      </c>
      <c r="N5539" s="2">
        <v>0</v>
      </c>
    </row>
    <row r="5540" spans="13:14" x14ac:dyDescent="0.5">
      <c r="M5540" s="2">
        <v>5539</v>
      </c>
      <c r="N5540" s="2">
        <v>0</v>
      </c>
    </row>
    <row r="5541" spans="13:14" x14ac:dyDescent="0.5">
      <c r="M5541" s="2">
        <v>5540</v>
      </c>
      <c r="N5541" s="2">
        <v>0</v>
      </c>
    </row>
    <row r="5542" spans="13:14" x14ac:dyDescent="0.5">
      <c r="M5542" s="2">
        <v>5541</v>
      </c>
      <c r="N5542" s="2">
        <v>0</v>
      </c>
    </row>
    <row r="5543" spans="13:14" x14ac:dyDescent="0.5">
      <c r="M5543" s="2">
        <v>5542</v>
      </c>
      <c r="N5543" s="2">
        <v>0</v>
      </c>
    </row>
    <row r="5544" spans="13:14" x14ac:dyDescent="0.5">
      <c r="M5544" s="2">
        <v>5543</v>
      </c>
      <c r="N5544" s="2">
        <v>0</v>
      </c>
    </row>
    <row r="5545" spans="13:14" x14ac:dyDescent="0.5">
      <c r="M5545" s="2">
        <v>5544</v>
      </c>
    </row>
    <row r="5546" spans="13:14" x14ac:dyDescent="0.5">
      <c r="M5546" s="2">
        <v>5545</v>
      </c>
      <c r="N5546" s="2">
        <v>0</v>
      </c>
    </row>
    <row r="5547" spans="13:14" x14ac:dyDescent="0.5">
      <c r="M5547" s="2">
        <v>5546</v>
      </c>
      <c r="N5547" s="2">
        <v>0</v>
      </c>
    </row>
    <row r="5548" spans="13:14" x14ac:dyDescent="0.5">
      <c r="M5548" s="2">
        <v>5547</v>
      </c>
      <c r="N5548" s="2">
        <v>0</v>
      </c>
    </row>
    <row r="5549" spans="13:14" x14ac:dyDescent="0.5">
      <c r="M5549" s="2">
        <v>5548</v>
      </c>
      <c r="N5549" s="2">
        <v>0</v>
      </c>
    </row>
    <row r="5550" spans="13:14" x14ac:dyDescent="0.5">
      <c r="M5550" s="2">
        <v>5549</v>
      </c>
      <c r="N5550" s="2">
        <v>0</v>
      </c>
    </row>
    <row r="5551" spans="13:14" x14ac:dyDescent="0.5">
      <c r="M5551" s="2">
        <v>5550</v>
      </c>
      <c r="N5551" s="2">
        <v>0</v>
      </c>
    </row>
    <row r="5552" spans="13:14" x14ac:dyDescent="0.5">
      <c r="M5552" s="2">
        <v>5551</v>
      </c>
      <c r="N5552" s="2">
        <v>0</v>
      </c>
    </row>
    <row r="5553" spans="13:14" x14ac:dyDescent="0.5">
      <c r="M5553" s="2">
        <v>5552</v>
      </c>
      <c r="N5553" s="2">
        <v>0</v>
      </c>
    </row>
    <row r="5554" spans="13:14" x14ac:dyDescent="0.5">
      <c r="M5554" s="2">
        <v>5553</v>
      </c>
      <c r="N5554" s="2">
        <v>0</v>
      </c>
    </row>
    <row r="5555" spans="13:14" x14ac:dyDescent="0.5">
      <c r="M5555" s="2">
        <v>5554</v>
      </c>
      <c r="N5555" s="2">
        <v>0</v>
      </c>
    </row>
    <row r="5556" spans="13:14" x14ac:dyDescent="0.5">
      <c r="M5556" s="2">
        <v>5555</v>
      </c>
      <c r="N5556" s="2">
        <v>0</v>
      </c>
    </row>
    <row r="5557" spans="13:14" x14ac:dyDescent="0.5">
      <c r="M5557" s="2">
        <v>5556</v>
      </c>
      <c r="N5557" s="2">
        <v>0</v>
      </c>
    </row>
    <row r="5558" spans="13:14" x14ac:dyDescent="0.5">
      <c r="M5558" s="2">
        <v>5557</v>
      </c>
      <c r="N5558" s="2">
        <v>0</v>
      </c>
    </row>
    <row r="5559" spans="13:14" x14ac:dyDescent="0.5">
      <c r="M5559" s="2">
        <v>5558</v>
      </c>
      <c r="N5559" s="2">
        <v>0</v>
      </c>
    </row>
    <row r="5560" spans="13:14" x14ac:dyDescent="0.5">
      <c r="M5560" s="2">
        <v>5559</v>
      </c>
      <c r="N5560" s="2">
        <v>0</v>
      </c>
    </row>
    <row r="5561" spans="13:14" x14ac:dyDescent="0.5">
      <c r="M5561" s="2">
        <v>5560</v>
      </c>
      <c r="N5561" s="2">
        <v>0</v>
      </c>
    </row>
    <row r="5562" spans="13:14" x14ac:dyDescent="0.5">
      <c r="M5562" s="2">
        <v>5561</v>
      </c>
      <c r="N5562" s="2">
        <v>0</v>
      </c>
    </row>
    <row r="5563" spans="13:14" x14ac:dyDescent="0.5">
      <c r="M5563" s="2">
        <v>5562</v>
      </c>
      <c r="N5563" s="2">
        <v>0</v>
      </c>
    </row>
    <row r="5564" spans="13:14" x14ac:dyDescent="0.5">
      <c r="M5564" s="2">
        <v>5563</v>
      </c>
      <c r="N5564" s="2">
        <v>0</v>
      </c>
    </row>
    <row r="5565" spans="13:14" x14ac:dyDescent="0.5">
      <c r="M5565" s="2">
        <v>5564</v>
      </c>
      <c r="N5565" s="2">
        <v>0</v>
      </c>
    </row>
    <row r="5566" spans="13:14" x14ac:dyDescent="0.5">
      <c r="M5566" s="2">
        <v>5565</v>
      </c>
      <c r="N5566" s="2">
        <v>0</v>
      </c>
    </row>
    <row r="5567" spans="13:14" x14ac:dyDescent="0.5">
      <c r="M5567" s="2">
        <v>5566</v>
      </c>
      <c r="N5567" s="2">
        <v>0</v>
      </c>
    </row>
    <row r="5568" spans="13:14" x14ac:dyDescent="0.5">
      <c r="M5568" s="2">
        <v>5567</v>
      </c>
      <c r="N5568" s="2">
        <v>0</v>
      </c>
    </row>
    <row r="5569" spans="13:14" x14ac:dyDescent="0.5">
      <c r="M5569" s="2">
        <v>5568</v>
      </c>
      <c r="N5569" s="2">
        <v>0</v>
      </c>
    </row>
    <row r="5570" spans="13:14" x14ac:dyDescent="0.5">
      <c r="M5570" s="2">
        <v>5569</v>
      </c>
      <c r="N5570" s="2">
        <v>0</v>
      </c>
    </row>
    <row r="5571" spans="13:14" x14ac:dyDescent="0.5">
      <c r="M5571" s="2">
        <v>5570</v>
      </c>
      <c r="N5571" s="2">
        <v>0</v>
      </c>
    </row>
    <row r="5572" spans="13:14" x14ac:dyDescent="0.5">
      <c r="M5572" s="2">
        <v>5571</v>
      </c>
      <c r="N5572" s="2">
        <v>0</v>
      </c>
    </row>
    <row r="5573" spans="13:14" x14ac:dyDescent="0.5">
      <c r="M5573" s="2">
        <v>5572</v>
      </c>
      <c r="N5573" s="2">
        <v>0</v>
      </c>
    </row>
    <row r="5574" spans="13:14" x14ac:dyDescent="0.5">
      <c r="M5574" s="2">
        <v>5573</v>
      </c>
      <c r="N5574" s="2">
        <v>0</v>
      </c>
    </row>
    <row r="5575" spans="13:14" x14ac:dyDescent="0.5">
      <c r="M5575" s="2">
        <v>5574</v>
      </c>
      <c r="N5575" s="2">
        <v>0</v>
      </c>
    </row>
    <row r="5576" spans="13:14" x14ac:dyDescent="0.5">
      <c r="M5576" s="2">
        <v>5575</v>
      </c>
      <c r="N5576" s="2">
        <v>0</v>
      </c>
    </row>
    <row r="5577" spans="13:14" x14ac:dyDescent="0.5">
      <c r="M5577" s="2">
        <v>5576</v>
      </c>
      <c r="N5577" s="2">
        <v>0</v>
      </c>
    </row>
    <row r="5578" spans="13:14" x14ac:dyDescent="0.5">
      <c r="M5578" s="2">
        <v>5577</v>
      </c>
      <c r="N5578" s="2">
        <v>0</v>
      </c>
    </row>
    <row r="5579" spans="13:14" x14ac:dyDescent="0.5">
      <c r="M5579" s="2">
        <v>5578</v>
      </c>
      <c r="N5579" s="2">
        <v>0</v>
      </c>
    </row>
    <row r="5580" spans="13:14" x14ac:dyDescent="0.5">
      <c r="M5580" s="2">
        <v>5579</v>
      </c>
      <c r="N5580" s="2">
        <v>0</v>
      </c>
    </row>
    <row r="5581" spans="13:14" x14ac:dyDescent="0.5">
      <c r="M5581" s="2">
        <v>5580</v>
      </c>
      <c r="N5581" s="2">
        <v>0</v>
      </c>
    </row>
    <row r="5582" spans="13:14" x14ac:dyDescent="0.5">
      <c r="M5582" s="2">
        <v>5581</v>
      </c>
      <c r="N5582" s="2">
        <v>0</v>
      </c>
    </row>
    <row r="5583" spans="13:14" x14ac:dyDescent="0.5">
      <c r="M5583" s="2">
        <v>5582</v>
      </c>
      <c r="N5583" s="2">
        <v>0</v>
      </c>
    </row>
    <row r="5584" spans="13:14" x14ac:dyDescent="0.5">
      <c r="M5584" s="2">
        <v>5583</v>
      </c>
      <c r="N5584" s="2">
        <v>0</v>
      </c>
    </row>
    <row r="5585" spans="13:14" x14ac:dyDescent="0.5">
      <c r="M5585" s="2">
        <v>5584</v>
      </c>
      <c r="N5585" s="2">
        <v>0</v>
      </c>
    </row>
    <row r="5586" spans="13:14" x14ac:dyDescent="0.5">
      <c r="M5586" s="2">
        <v>5585</v>
      </c>
      <c r="N5586" s="2">
        <v>0</v>
      </c>
    </row>
    <row r="5587" spans="13:14" x14ac:dyDescent="0.5">
      <c r="M5587" s="2">
        <v>5586</v>
      </c>
      <c r="N5587" s="2">
        <v>0</v>
      </c>
    </row>
    <row r="5588" spans="13:14" x14ac:dyDescent="0.5">
      <c r="M5588" s="2">
        <v>5587</v>
      </c>
      <c r="N5588" s="2">
        <v>0</v>
      </c>
    </row>
    <row r="5589" spans="13:14" x14ac:dyDescent="0.5">
      <c r="M5589" s="2">
        <v>5588</v>
      </c>
      <c r="N5589" s="2">
        <v>0</v>
      </c>
    </row>
    <row r="5590" spans="13:14" x14ac:dyDescent="0.5">
      <c r="M5590" s="2">
        <v>5589</v>
      </c>
      <c r="N5590" s="2">
        <v>0</v>
      </c>
    </row>
    <row r="5591" spans="13:14" x14ac:dyDescent="0.5">
      <c r="M5591" s="2">
        <v>5590</v>
      </c>
      <c r="N5591" s="2">
        <v>0</v>
      </c>
    </row>
    <row r="5592" spans="13:14" x14ac:dyDescent="0.5">
      <c r="M5592" s="2">
        <v>5591</v>
      </c>
      <c r="N5592" s="2">
        <v>0</v>
      </c>
    </row>
    <row r="5593" spans="13:14" x14ac:dyDescent="0.5">
      <c r="M5593" s="2">
        <v>5592</v>
      </c>
      <c r="N5593" s="2">
        <v>0</v>
      </c>
    </row>
    <row r="5594" spans="13:14" x14ac:dyDescent="0.5">
      <c r="M5594" s="2">
        <v>5593</v>
      </c>
      <c r="N5594" s="2">
        <v>0</v>
      </c>
    </row>
    <row r="5595" spans="13:14" x14ac:dyDescent="0.5">
      <c r="M5595" s="2">
        <v>5594</v>
      </c>
      <c r="N5595" s="2">
        <v>0</v>
      </c>
    </row>
    <row r="5596" spans="13:14" x14ac:dyDescent="0.5">
      <c r="M5596" s="2">
        <v>5595</v>
      </c>
      <c r="N5596" s="2">
        <v>0</v>
      </c>
    </row>
    <row r="5597" spans="13:14" x14ac:dyDescent="0.5">
      <c r="M5597" s="2">
        <v>5596</v>
      </c>
      <c r="N5597" s="2">
        <v>0</v>
      </c>
    </row>
    <row r="5598" spans="13:14" x14ac:dyDescent="0.5">
      <c r="M5598" s="2">
        <v>5597</v>
      </c>
      <c r="N5598" s="2">
        <v>0</v>
      </c>
    </row>
    <row r="5599" spans="13:14" x14ac:dyDescent="0.5">
      <c r="M5599" s="2">
        <v>5598</v>
      </c>
      <c r="N5599" s="2">
        <v>0</v>
      </c>
    </row>
    <row r="5600" spans="13:14" x14ac:dyDescent="0.5">
      <c r="M5600" s="2">
        <v>5599</v>
      </c>
      <c r="N5600" s="2">
        <v>0</v>
      </c>
    </row>
    <row r="5601" spans="13:14" x14ac:dyDescent="0.5">
      <c r="M5601" s="2">
        <v>5600</v>
      </c>
      <c r="N5601" s="2">
        <v>0</v>
      </c>
    </row>
    <row r="5602" spans="13:14" x14ac:dyDescent="0.5">
      <c r="M5602" s="2">
        <v>5601</v>
      </c>
      <c r="N5602" s="2">
        <v>0</v>
      </c>
    </row>
    <row r="5603" spans="13:14" x14ac:dyDescent="0.5">
      <c r="M5603" s="2">
        <v>5602</v>
      </c>
      <c r="N5603" s="2">
        <v>0</v>
      </c>
    </row>
    <row r="5604" spans="13:14" x14ac:dyDescent="0.5">
      <c r="M5604" s="2">
        <v>5603</v>
      </c>
      <c r="N5604" s="2">
        <v>0</v>
      </c>
    </row>
    <row r="5605" spans="13:14" x14ac:dyDescent="0.5">
      <c r="M5605" s="2">
        <v>5604</v>
      </c>
      <c r="N5605" s="2">
        <v>0</v>
      </c>
    </row>
    <row r="5606" spans="13:14" x14ac:dyDescent="0.5">
      <c r="M5606" s="2">
        <v>5605</v>
      </c>
      <c r="N5606" s="2">
        <v>0</v>
      </c>
    </row>
    <row r="5607" spans="13:14" x14ac:dyDescent="0.5">
      <c r="M5607" s="2">
        <v>5606</v>
      </c>
      <c r="N5607" s="2">
        <v>0</v>
      </c>
    </row>
    <row r="5608" spans="13:14" x14ac:dyDescent="0.5">
      <c r="M5608" s="2">
        <v>5607</v>
      </c>
      <c r="N5608" s="2">
        <v>0</v>
      </c>
    </row>
    <row r="5609" spans="13:14" x14ac:dyDescent="0.5">
      <c r="M5609" s="2">
        <v>5608</v>
      </c>
      <c r="N5609" s="2">
        <v>0</v>
      </c>
    </row>
    <row r="5610" spans="13:14" x14ac:dyDescent="0.5">
      <c r="M5610" s="2">
        <v>5609</v>
      </c>
      <c r="N5610" s="2">
        <v>0</v>
      </c>
    </row>
    <row r="5611" spans="13:14" x14ac:dyDescent="0.5">
      <c r="M5611" s="2">
        <v>5610</v>
      </c>
      <c r="N5611" s="2">
        <v>0</v>
      </c>
    </row>
    <row r="5612" spans="13:14" x14ac:dyDescent="0.5">
      <c r="M5612" s="2">
        <v>5611</v>
      </c>
      <c r="N5612" s="2">
        <v>0</v>
      </c>
    </row>
    <row r="5613" spans="13:14" x14ac:dyDescent="0.5">
      <c r="M5613" s="2">
        <v>5612</v>
      </c>
      <c r="N5613" s="2">
        <v>0</v>
      </c>
    </row>
    <row r="5614" spans="13:14" x14ac:dyDescent="0.5">
      <c r="M5614" s="2">
        <v>5613</v>
      </c>
      <c r="N5614" s="2">
        <v>0</v>
      </c>
    </row>
    <row r="5615" spans="13:14" x14ac:dyDescent="0.5">
      <c r="M5615" s="2">
        <v>5614</v>
      </c>
      <c r="N5615" s="2">
        <v>0</v>
      </c>
    </row>
    <row r="5616" spans="13:14" x14ac:dyDescent="0.5">
      <c r="M5616" s="2">
        <v>5615</v>
      </c>
      <c r="N5616" s="2">
        <v>0</v>
      </c>
    </row>
    <row r="5617" spans="13:14" x14ac:dyDescent="0.5">
      <c r="M5617" s="2">
        <v>5616</v>
      </c>
      <c r="N5617" s="2">
        <v>0</v>
      </c>
    </row>
    <row r="5618" spans="13:14" x14ac:dyDescent="0.5">
      <c r="M5618" s="2">
        <v>5617</v>
      </c>
      <c r="N5618" s="2">
        <v>0</v>
      </c>
    </row>
    <row r="5619" spans="13:14" x14ac:dyDescent="0.5">
      <c r="M5619" s="2">
        <v>5618</v>
      </c>
      <c r="N5619" s="2">
        <v>0</v>
      </c>
    </row>
    <row r="5620" spans="13:14" x14ac:dyDescent="0.5">
      <c r="M5620" s="2">
        <v>5619</v>
      </c>
      <c r="N5620" s="2">
        <v>0</v>
      </c>
    </row>
    <row r="5621" spans="13:14" x14ac:dyDescent="0.5">
      <c r="M5621" s="2">
        <v>5620</v>
      </c>
      <c r="N5621" s="2">
        <v>0</v>
      </c>
    </row>
    <row r="5622" spans="13:14" x14ac:dyDescent="0.5">
      <c r="M5622" s="2">
        <v>5621</v>
      </c>
      <c r="N5622" s="2">
        <v>0</v>
      </c>
    </row>
    <row r="5623" spans="13:14" x14ac:dyDescent="0.5">
      <c r="M5623" s="2">
        <v>5622</v>
      </c>
      <c r="N5623" s="2">
        <v>0</v>
      </c>
    </row>
    <row r="5624" spans="13:14" x14ac:dyDescent="0.5">
      <c r="M5624" s="2">
        <v>5623</v>
      </c>
      <c r="N5624" s="2">
        <v>0</v>
      </c>
    </row>
    <row r="5625" spans="13:14" x14ac:dyDescent="0.5">
      <c r="M5625" s="2">
        <v>5624</v>
      </c>
      <c r="N5625" s="2">
        <v>0</v>
      </c>
    </row>
    <row r="5626" spans="13:14" x14ac:dyDescent="0.5">
      <c r="M5626" s="2">
        <v>5625</v>
      </c>
      <c r="N5626" s="2">
        <v>0</v>
      </c>
    </row>
    <row r="5627" spans="13:14" x14ac:dyDescent="0.5">
      <c r="M5627" s="2">
        <v>5626</v>
      </c>
      <c r="N5627" s="2">
        <v>0</v>
      </c>
    </row>
    <row r="5628" spans="13:14" x14ac:dyDescent="0.5">
      <c r="M5628" s="2">
        <v>5627</v>
      </c>
      <c r="N5628" s="2">
        <v>0</v>
      </c>
    </row>
    <row r="5629" spans="13:14" x14ac:dyDescent="0.5">
      <c r="M5629" s="2">
        <v>5628</v>
      </c>
      <c r="N5629" s="2">
        <v>0</v>
      </c>
    </row>
    <row r="5630" spans="13:14" x14ac:dyDescent="0.5">
      <c r="M5630" s="2">
        <v>5629</v>
      </c>
      <c r="N5630" s="2">
        <v>0</v>
      </c>
    </row>
    <row r="5631" spans="13:14" x14ac:dyDescent="0.5">
      <c r="M5631" s="2">
        <v>5630</v>
      </c>
    </row>
    <row r="5632" spans="13:14" x14ac:dyDescent="0.5">
      <c r="M5632" s="2">
        <v>5631</v>
      </c>
    </row>
    <row r="5633" spans="13:14" x14ac:dyDescent="0.5">
      <c r="M5633" s="2">
        <v>5632</v>
      </c>
      <c r="N5633" s="2">
        <v>0</v>
      </c>
    </row>
    <row r="5634" spans="13:14" x14ac:dyDescent="0.5">
      <c r="M5634" s="2">
        <v>5633</v>
      </c>
      <c r="N5634" s="2">
        <v>0</v>
      </c>
    </row>
    <row r="5635" spans="13:14" x14ac:dyDescent="0.5">
      <c r="M5635" s="2">
        <v>5634</v>
      </c>
      <c r="N5635" s="2" t="b">
        <v>0</v>
      </c>
    </row>
    <row r="5636" spans="13:14" x14ac:dyDescent="0.5">
      <c r="M5636" s="2">
        <v>5635</v>
      </c>
      <c r="N5636" s="2">
        <v>1</v>
      </c>
    </row>
    <row r="5637" spans="13:14" x14ac:dyDescent="0.5">
      <c r="M5637" s="2">
        <v>5636</v>
      </c>
      <c r="N5637" s="2">
        <v>1</v>
      </c>
    </row>
    <row r="5638" spans="13:14" x14ac:dyDescent="0.5">
      <c r="M5638" s="2">
        <v>5637</v>
      </c>
      <c r="N5638" s="2">
        <v>0</v>
      </c>
    </row>
    <row r="5639" spans="13:14" x14ac:dyDescent="0.5">
      <c r="M5639" s="2">
        <v>5638</v>
      </c>
      <c r="N5639" s="2">
        <v>0</v>
      </c>
    </row>
    <row r="5640" spans="13:14" x14ac:dyDescent="0.5">
      <c r="M5640" s="2">
        <v>5639</v>
      </c>
      <c r="N5640" s="2">
        <v>0</v>
      </c>
    </row>
    <row r="5641" spans="13:14" x14ac:dyDescent="0.5">
      <c r="M5641" s="2">
        <v>5640</v>
      </c>
      <c r="N5641" s="2" t="b">
        <v>1</v>
      </c>
    </row>
    <row r="5642" spans="13:14" x14ac:dyDescent="0.5">
      <c r="M5642" s="2">
        <v>5641</v>
      </c>
    </row>
    <row r="5643" spans="13:14" x14ac:dyDescent="0.5">
      <c r="M5643" s="2">
        <v>5642</v>
      </c>
      <c r="N5643" s="2" t="s">
        <v>3446</v>
      </c>
    </row>
    <row r="5644" spans="13:14" x14ac:dyDescent="0.5">
      <c r="M5644" s="2">
        <v>5643</v>
      </c>
      <c r="N5644" s="2" t="s">
        <v>3446</v>
      </c>
    </row>
    <row r="5645" spans="13:14" x14ac:dyDescent="0.5">
      <c r="M5645" s="2">
        <v>5644</v>
      </c>
      <c r="N5645" s="2" t="s">
        <v>3446</v>
      </c>
    </row>
    <row r="5646" spans="13:14" x14ac:dyDescent="0.5">
      <c r="M5646" s="2">
        <v>5645</v>
      </c>
      <c r="N5646" s="2" t="s">
        <v>3446</v>
      </c>
    </row>
    <row r="5647" spans="13:14" x14ac:dyDescent="0.5">
      <c r="M5647" s="2">
        <v>5646</v>
      </c>
      <c r="N5647" s="2" t="s">
        <v>3446</v>
      </c>
    </row>
    <row r="5648" spans="13:14" x14ac:dyDescent="0.5">
      <c r="M5648" s="2">
        <v>5647</v>
      </c>
      <c r="N5648" s="2" t="s">
        <v>3446</v>
      </c>
    </row>
    <row r="5649" spans="13:14" x14ac:dyDescent="0.5">
      <c r="M5649" s="2">
        <v>5648</v>
      </c>
      <c r="N5649" s="2" t="s">
        <v>3446</v>
      </c>
    </row>
    <row r="5650" spans="13:14" x14ac:dyDescent="0.5">
      <c r="M5650" s="2">
        <v>5649</v>
      </c>
      <c r="N5650" s="2" t="s">
        <v>3446</v>
      </c>
    </row>
    <row r="5651" spans="13:14" x14ac:dyDescent="0.5">
      <c r="M5651" s="2">
        <v>5650</v>
      </c>
      <c r="N5651" s="2" t="s">
        <v>3446</v>
      </c>
    </row>
    <row r="5652" spans="13:14" x14ac:dyDescent="0.5">
      <c r="M5652" s="2">
        <v>5651</v>
      </c>
      <c r="N5652" s="2" t="s">
        <v>3446</v>
      </c>
    </row>
    <row r="5653" spans="13:14" x14ac:dyDescent="0.5">
      <c r="M5653" s="2">
        <v>5652</v>
      </c>
      <c r="N5653" s="2" t="s">
        <v>3446</v>
      </c>
    </row>
    <row r="5654" spans="13:14" x14ac:dyDescent="0.5">
      <c r="M5654" s="2">
        <v>5653</v>
      </c>
      <c r="N5654" s="2" t="s">
        <v>3446</v>
      </c>
    </row>
    <row r="5655" spans="13:14" x14ac:dyDescent="0.5">
      <c r="M5655" s="2">
        <v>5654</v>
      </c>
      <c r="N5655" s="2" t="s">
        <v>3446</v>
      </c>
    </row>
    <row r="5656" spans="13:14" x14ac:dyDescent="0.5">
      <c r="M5656" s="2">
        <v>5655</v>
      </c>
    </row>
    <row r="5657" spans="13:14" x14ac:dyDescent="0.5">
      <c r="M5657" s="2">
        <v>5656</v>
      </c>
      <c r="N5657" s="2" t="s">
        <v>3446</v>
      </c>
    </row>
    <row r="5658" spans="13:14" x14ac:dyDescent="0.5">
      <c r="M5658" s="2">
        <v>5657</v>
      </c>
      <c r="N5658" s="2" t="s">
        <v>3446</v>
      </c>
    </row>
    <row r="5659" spans="13:14" x14ac:dyDescent="0.5">
      <c r="M5659" s="2">
        <v>5658</v>
      </c>
      <c r="N5659" s="2" t="s">
        <v>3446</v>
      </c>
    </row>
    <row r="5660" spans="13:14" x14ac:dyDescent="0.5">
      <c r="M5660" s="2">
        <v>5659</v>
      </c>
      <c r="N5660" s="2" t="s">
        <v>3446</v>
      </c>
    </row>
    <row r="5661" spans="13:14" x14ac:dyDescent="0.5">
      <c r="M5661" s="2">
        <v>5660</v>
      </c>
    </row>
    <row r="5662" spans="13:14" x14ac:dyDescent="0.5">
      <c r="M5662" s="2">
        <v>5661</v>
      </c>
    </row>
    <row r="5663" spans="13:14" x14ac:dyDescent="0.5">
      <c r="M5663" s="2">
        <v>5662</v>
      </c>
    </row>
    <row r="5664" spans="13:14" x14ac:dyDescent="0.5">
      <c r="M5664" s="2">
        <v>5663</v>
      </c>
    </row>
    <row r="5665" spans="13:13" x14ac:dyDescent="0.5">
      <c r="M5665" s="2">
        <v>5664</v>
      </c>
    </row>
    <row r="5666" spans="13:13" x14ac:dyDescent="0.5">
      <c r="M5666" s="2">
        <v>5665</v>
      </c>
    </row>
    <row r="5667" spans="13:13" x14ac:dyDescent="0.5">
      <c r="M5667" s="2">
        <v>5666</v>
      </c>
    </row>
    <row r="5668" spans="13:13" x14ac:dyDescent="0.5">
      <c r="M5668" s="2">
        <v>5667</v>
      </c>
    </row>
    <row r="5669" spans="13:13" x14ac:dyDescent="0.5">
      <c r="M5669" s="2">
        <v>5668</v>
      </c>
    </row>
    <row r="5670" spans="13:13" x14ac:dyDescent="0.5">
      <c r="M5670" s="2">
        <v>5669</v>
      </c>
    </row>
    <row r="5671" spans="13:13" x14ac:dyDescent="0.5">
      <c r="M5671" s="2">
        <v>5670</v>
      </c>
    </row>
    <row r="5672" spans="13:13" x14ac:dyDescent="0.5">
      <c r="M5672" s="2">
        <v>5671</v>
      </c>
    </row>
    <row r="5673" spans="13:13" x14ac:dyDescent="0.5">
      <c r="M5673" s="2">
        <v>5672</v>
      </c>
    </row>
    <row r="5674" spans="13:13" x14ac:dyDescent="0.5">
      <c r="M5674" s="2">
        <v>5673</v>
      </c>
    </row>
    <row r="5675" spans="13:13" x14ac:dyDescent="0.5">
      <c r="M5675" s="2">
        <v>5674</v>
      </c>
    </row>
    <row r="5676" spans="13:13" x14ac:dyDescent="0.5">
      <c r="M5676" s="2">
        <v>5675</v>
      </c>
    </row>
    <row r="5677" spans="13:13" x14ac:dyDescent="0.5">
      <c r="M5677" s="2">
        <v>5676</v>
      </c>
    </row>
    <row r="5678" spans="13:13" x14ac:dyDescent="0.5">
      <c r="M5678" s="2">
        <v>5677</v>
      </c>
    </row>
    <row r="5679" spans="13:13" x14ac:dyDescent="0.5">
      <c r="M5679" s="2">
        <v>5678</v>
      </c>
    </row>
    <row r="5680" spans="13:13" x14ac:dyDescent="0.5">
      <c r="M5680" s="2">
        <v>5679</v>
      </c>
    </row>
    <row r="5681" spans="13:13" x14ac:dyDescent="0.5">
      <c r="M5681" s="2">
        <v>5680</v>
      </c>
    </row>
    <row r="5682" spans="13:13" x14ac:dyDescent="0.5">
      <c r="M5682" s="2">
        <v>5681</v>
      </c>
    </row>
    <row r="5683" spans="13:13" x14ac:dyDescent="0.5">
      <c r="M5683" s="2">
        <v>5682</v>
      </c>
    </row>
    <row r="5684" spans="13:13" x14ac:dyDescent="0.5">
      <c r="M5684" s="2">
        <v>5683</v>
      </c>
    </row>
    <row r="5685" spans="13:13" x14ac:dyDescent="0.5">
      <c r="M5685" s="2">
        <v>5684</v>
      </c>
    </row>
    <row r="5686" spans="13:13" x14ac:dyDescent="0.5">
      <c r="M5686" s="2">
        <v>5685</v>
      </c>
    </row>
    <row r="5687" spans="13:13" x14ac:dyDescent="0.5">
      <c r="M5687" s="2">
        <v>5686</v>
      </c>
    </row>
    <row r="5688" spans="13:13" x14ac:dyDescent="0.5">
      <c r="M5688" s="2">
        <v>5687</v>
      </c>
    </row>
    <row r="5689" spans="13:13" x14ac:dyDescent="0.5">
      <c r="M5689" s="2">
        <v>5688</v>
      </c>
    </row>
    <row r="5690" spans="13:13" x14ac:dyDescent="0.5">
      <c r="M5690" s="2">
        <v>5689</v>
      </c>
    </row>
    <row r="5691" spans="13:13" x14ac:dyDescent="0.5">
      <c r="M5691" s="2">
        <v>5690</v>
      </c>
    </row>
    <row r="5692" spans="13:13" x14ac:dyDescent="0.5">
      <c r="M5692" s="2">
        <v>5691</v>
      </c>
    </row>
    <row r="5693" spans="13:13" x14ac:dyDescent="0.5">
      <c r="M5693" s="2">
        <v>5692</v>
      </c>
    </row>
    <row r="5694" spans="13:13" x14ac:dyDescent="0.5">
      <c r="M5694" s="2">
        <v>5693</v>
      </c>
    </row>
    <row r="5695" spans="13:13" x14ac:dyDescent="0.5">
      <c r="M5695" s="2">
        <v>5694</v>
      </c>
    </row>
    <row r="5696" spans="13:13" x14ac:dyDescent="0.5">
      <c r="M5696" s="2">
        <v>5695</v>
      </c>
    </row>
    <row r="5697" spans="13:13" x14ac:dyDescent="0.5">
      <c r="M5697" s="2">
        <v>5696</v>
      </c>
    </row>
    <row r="5698" spans="13:13" x14ac:dyDescent="0.5">
      <c r="M5698" s="2">
        <v>5697</v>
      </c>
    </row>
    <row r="5699" spans="13:13" x14ac:dyDescent="0.5">
      <c r="M5699" s="2">
        <v>5698</v>
      </c>
    </row>
    <row r="5700" spans="13:13" x14ac:dyDescent="0.5">
      <c r="M5700" s="2">
        <v>5699</v>
      </c>
    </row>
    <row r="5701" spans="13:13" x14ac:dyDescent="0.5">
      <c r="M5701" s="2">
        <v>5700</v>
      </c>
    </row>
    <row r="5702" spans="13:13" x14ac:dyDescent="0.5">
      <c r="M5702" s="2">
        <v>5701</v>
      </c>
    </row>
    <row r="5703" spans="13:13" x14ac:dyDescent="0.5">
      <c r="M5703" s="2">
        <v>5702</v>
      </c>
    </row>
    <row r="5704" spans="13:13" x14ac:dyDescent="0.5">
      <c r="M5704" s="2">
        <v>5703</v>
      </c>
    </row>
    <row r="5705" spans="13:13" x14ac:dyDescent="0.5">
      <c r="M5705" s="2">
        <v>5704</v>
      </c>
    </row>
    <row r="5706" spans="13:13" x14ac:dyDescent="0.5">
      <c r="M5706" s="2">
        <v>5705</v>
      </c>
    </row>
    <row r="5707" spans="13:13" x14ac:dyDescent="0.5">
      <c r="M5707" s="2">
        <v>5706</v>
      </c>
    </row>
    <row r="5708" spans="13:13" x14ac:dyDescent="0.5">
      <c r="M5708" s="2">
        <v>5707</v>
      </c>
    </row>
    <row r="5709" spans="13:13" x14ac:dyDescent="0.5">
      <c r="M5709" s="2">
        <v>5708</v>
      </c>
    </row>
    <row r="5710" spans="13:13" x14ac:dyDescent="0.5">
      <c r="M5710" s="2">
        <v>5709</v>
      </c>
    </row>
    <row r="5711" spans="13:13" x14ac:dyDescent="0.5">
      <c r="M5711" s="2">
        <v>5710</v>
      </c>
    </row>
    <row r="5712" spans="13:13" x14ac:dyDescent="0.5">
      <c r="M5712" s="2">
        <v>5711</v>
      </c>
    </row>
    <row r="5713" spans="13:13" x14ac:dyDescent="0.5">
      <c r="M5713" s="2">
        <v>5712</v>
      </c>
    </row>
    <row r="5714" spans="13:13" x14ac:dyDescent="0.5">
      <c r="M5714" s="2">
        <v>5713</v>
      </c>
    </row>
    <row r="5715" spans="13:13" x14ac:dyDescent="0.5">
      <c r="M5715" s="2">
        <v>5714</v>
      </c>
    </row>
    <row r="5716" spans="13:13" x14ac:dyDescent="0.5">
      <c r="M5716" s="2">
        <v>5715</v>
      </c>
    </row>
    <row r="5717" spans="13:13" x14ac:dyDescent="0.5">
      <c r="M5717" s="2">
        <v>5716</v>
      </c>
    </row>
    <row r="5718" spans="13:13" x14ac:dyDescent="0.5">
      <c r="M5718" s="2">
        <v>5717</v>
      </c>
    </row>
    <row r="5719" spans="13:13" x14ac:dyDescent="0.5">
      <c r="M5719" s="2">
        <v>5718</v>
      </c>
    </row>
    <row r="5720" spans="13:13" x14ac:dyDescent="0.5">
      <c r="M5720" s="2">
        <v>5719</v>
      </c>
    </row>
    <row r="5721" spans="13:13" x14ac:dyDescent="0.5">
      <c r="M5721" s="2">
        <v>5720</v>
      </c>
    </row>
    <row r="5722" spans="13:13" x14ac:dyDescent="0.5">
      <c r="M5722" s="2">
        <v>5721</v>
      </c>
    </row>
    <row r="5723" spans="13:13" x14ac:dyDescent="0.5">
      <c r="M5723" s="2">
        <v>5722</v>
      </c>
    </row>
    <row r="5724" spans="13:13" x14ac:dyDescent="0.5">
      <c r="M5724" s="2">
        <v>5723</v>
      </c>
    </row>
    <row r="5725" spans="13:13" x14ac:dyDescent="0.5">
      <c r="M5725" s="2">
        <v>5724</v>
      </c>
    </row>
    <row r="5726" spans="13:13" x14ac:dyDescent="0.5">
      <c r="M5726" s="2">
        <v>5725</v>
      </c>
    </row>
    <row r="5727" spans="13:13" x14ac:dyDescent="0.5">
      <c r="M5727" s="2">
        <v>5726</v>
      </c>
    </row>
    <row r="5728" spans="13:13" x14ac:dyDescent="0.5">
      <c r="M5728" s="2">
        <v>5727</v>
      </c>
    </row>
    <row r="5729" spans="13:13" x14ac:dyDescent="0.5">
      <c r="M5729" s="2">
        <v>5728</v>
      </c>
    </row>
    <row r="5730" spans="13:13" x14ac:dyDescent="0.5">
      <c r="M5730" s="2">
        <v>5729</v>
      </c>
    </row>
    <row r="5731" spans="13:13" x14ac:dyDescent="0.5">
      <c r="M5731" s="2">
        <v>5730</v>
      </c>
    </row>
    <row r="5732" spans="13:13" x14ac:dyDescent="0.5">
      <c r="M5732" s="2">
        <v>5731</v>
      </c>
    </row>
    <row r="5733" spans="13:13" x14ac:dyDescent="0.5">
      <c r="M5733" s="2">
        <v>5732</v>
      </c>
    </row>
    <row r="5734" spans="13:13" x14ac:dyDescent="0.5">
      <c r="M5734" s="2">
        <v>5733</v>
      </c>
    </row>
    <row r="5735" spans="13:13" x14ac:dyDescent="0.5">
      <c r="M5735" s="2">
        <v>5734</v>
      </c>
    </row>
    <row r="5736" spans="13:13" x14ac:dyDescent="0.5">
      <c r="M5736" s="2">
        <v>5735</v>
      </c>
    </row>
    <row r="5737" spans="13:13" x14ac:dyDescent="0.5">
      <c r="M5737" s="2">
        <v>5736</v>
      </c>
    </row>
    <row r="5738" spans="13:13" x14ac:dyDescent="0.5">
      <c r="M5738" s="2">
        <v>5737</v>
      </c>
    </row>
    <row r="5739" spans="13:13" x14ac:dyDescent="0.5">
      <c r="M5739" s="2">
        <v>5738</v>
      </c>
    </row>
    <row r="5740" spans="13:13" x14ac:dyDescent="0.5">
      <c r="M5740" s="2">
        <v>5739</v>
      </c>
    </row>
    <row r="5741" spans="13:13" x14ac:dyDescent="0.5">
      <c r="M5741" s="2">
        <v>5740</v>
      </c>
    </row>
    <row r="5742" spans="13:13" x14ac:dyDescent="0.5">
      <c r="M5742" s="2">
        <v>5741</v>
      </c>
    </row>
    <row r="5743" spans="13:13" x14ac:dyDescent="0.5">
      <c r="M5743" s="2">
        <v>5742</v>
      </c>
    </row>
    <row r="5744" spans="13:13" x14ac:dyDescent="0.5">
      <c r="M5744" s="2">
        <v>5743</v>
      </c>
    </row>
    <row r="5745" spans="13:13" x14ac:dyDescent="0.5">
      <c r="M5745" s="2">
        <v>5744</v>
      </c>
    </row>
    <row r="5746" spans="13:13" x14ac:dyDescent="0.5">
      <c r="M5746" s="2">
        <v>5745</v>
      </c>
    </row>
    <row r="5747" spans="13:13" x14ac:dyDescent="0.5">
      <c r="M5747" s="2">
        <v>5746</v>
      </c>
    </row>
    <row r="5748" spans="13:13" x14ac:dyDescent="0.5">
      <c r="M5748" s="2">
        <v>5747</v>
      </c>
    </row>
    <row r="5749" spans="13:13" x14ac:dyDescent="0.5">
      <c r="M5749" s="2">
        <v>5748</v>
      </c>
    </row>
    <row r="5750" spans="13:13" x14ac:dyDescent="0.5">
      <c r="M5750" s="2">
        <v>5749</v>
      </c>
    </row>
    <row r="5751" spans="13:13" x14ac:dyDescent="0.5">
      <c r="M5751" s="2">
        <v>5750</v>
      </c>
    </row>
    <row r="5752" spans="13:13" x14ac:dyDescent="0.5">
      <c r="M5752" s="2">
        <v>5751</v>
      </c>
    </row>
    <row r="5753" spans="13:13" x14ac:dyDescent="0.5">
      <c r="M5753" s="2">
        <v>5752</v>
      </c>
    </row>
    <row r="5754" spans="13:13" x14ac:dyDescent="0.5">
      <c r="M5754" s="2">
        <v>5753</v>
      </c>
    </row>
    <row r="5755" spans="13:13" x14ac:dyDescent="0.5">
      <c r="M5755" s="2">
        <v>5754</v>
      </c>
    </row>
    <row r="5756" spans="13:13" x14ac:dyDescent="0.5">
      <c r="M5756" s="2">
        <v>5755</v>
      </c>
    </row>
    <row r="5757" spans="13:13" x14ac:dyDescent="0.5">
      <c r="M5757" s="2">
        <v>5756</v>
      </c>
    </row>
    <row r="5758" spans="13:13" x14ac:dyDescent="0.5">
      <c r="M5758" s="2">
        <v>5757</v>
      </c>
    </row>
    <row r="5759" spans="13:13" x14ac:dyDescent="0.5">
      <c r="M5759" s="2">
        <v>5758</v>
      </c>
    </row>
    <row r="5760" spans="13:13" x14ac:dyDescent="0.5">
      <c r="M5760" s="2">
        <v>5759</v>
      </c>
    </row>
    <row r="5761" spans="13:13" x14ac:dyDescent="0.5">
      <c r="M5761" s="2">
        <v>5760</v>
      </c>
    </row>
    <row r="5762" spans="13:13" x14ac:dyDescent="0.5">
      <c r="M5762" s="2">
        <v>5761</v>
      </c>
    </row>
    <row r="5763" spans="13:13" x14ac:dyDescent="0.5">
      <c r="M5763" s="2">
        <v>5762</v>
      </c>
    </row>
    <row r="5764" spans="13:13" x14ac:dyDescent="0.5">
      <c r="M5764" s="2">
        <v>5763</v>
      </c>
    </row>
    <row r="5765" spans="13:13" x14ac:dyDescent="0.5">
      <c r="M5765" s="2">
        <v>5764</v>
      </c>
    </row>
    <row r="5766" spans="13:13" x14ac:dyDescent="0.5">
      <c r="M5766" s="2">
        <v>5765</v>
      </c>
    </row>
    <row r="5767" spans="13:13" x14ac:dyDescent="0.5">
      <c r="M5767" s="2">
        <v>5766</v>
      </c>
    </row>
    <row r="5768" spans="13:13" x14ac:dyDescent="0.5">
      <c r="M5768" s="2">
        <v>5767</v>
      </c>
    </row>
    <row r="5769" spans="13:13" x14ac:dyDescent="0.5">
      <c r="M5769" s="2">
        <v>5768</v>
      </c>
    </row>
    <row r="5770" spans="13:13" x14ac:dyDescent="0.5">
      <c r="M5770" s="2">
        <v>5769</v>
      </c>
    </row>
    <row r="5771" spans="13:13" x14ac:dyDescent="0.5">
      <c r="M5771" s="2">
        <v>5770</v>
      </c>
    </row>
    <row r="5772" spans="13:13" x14ac:dyDescent="0.5">
      <c r="M5772" s="2">
        <v>5771</v>
      </c>
    </row>
    <row r="5773" spans="13:13" x14ac:dyDescent="0.5">
      <c r="M5773" s="2">
        <v>5772</v>
      </c>
    </row>
    <row r="5774" spans="13:13" x14ac:dyDescent="0.5">
      <c r="M5774" s="2">
        <v>5773</v>
      </c>
    </row>
    <row r="5775" spans="13:13" x14ac:dyDescent="0.5">
      <c r="M5775" s="2">
        <v>5774</v>
      </c>
    </row>
    <row r="5776" spans="13:13" x14ac:dyDescent="0.5">
      <c r="M5776" s="2">
        <v>5775</v>
      </c>
    </row>
    <row r="5777" spans="13:13" x14ac:dyDescent="0.5">
      <c r="M5777" s="2">
        <v>5776</v>
      </c>
    </row>
    <row r="5778" spans="13:13" x14ac:dyDescent="0.5">
      <c r="M5778" s="2">
        <v>5777</v>
      </c>
    </row>
    <row r="5779" spans="13:13" x14ac:dyDescent="0.5">
      <c r="M5779" s="2">
        <v>5778</v>
      </c>
    </row>
    <row r="5780" spans="13:13" x14ac:dyDescent="0.5">
      <c r="M5780" s="2">
        <v>5779</v>
      </c>
    </row>
    <row r="5781" spans="13:13" x14ac:dyDescent="0.5">
      <c r="M5781" s="2">
        <v>5780</v>
      </c>
    </row>
    <row r="5782" spans="13:13" x14ac:dyDescent="0.5">
      <c r="M5782" s="2">
        <v>5781</v>
      </c>
    </row>
    <row r="5783" spans="13:13" x14ac:dyDescent="0.5">
      <c r="M5783" s="2">
        <v>5782</v>
      </c>
    </row>
    <row r="5784" spans="13:13" x14ac:dyDescent="0.5">
      <c r="M5784" s="2">
        <v>5783</v>
      </c>
    </row>
    <row r="5785" spans="13:13" x14ac:dyDescent="0.5">
      <c r="M5785" s="2">
        <v>5784</v>
      </c>
    </row>
    <row r="5786" spans="13:13" x14ac:dyDescent="0.5">
      <c r="M5786" s="2">
        <v>5785</v>
      </c>
    </row>
    <row r="5787" spans="13:13" x14ac:dyDescent="0.5">
      <c r="M5787" s="2">
        <v>5786</v>
      </c>
    </row>
    <row r="5788" spans="13:13" x14ac:dyDescent="0.5">
      <c r="M5788" s="2">
        <v>5787</v>
      </c>
    </row>
    <row r="5789" spans="13:13" x14ac:dyDescent="0.5">
      <c r="M5789" s="2">
        <v>5788</v>
      </c>
    </row>
    <row r="5790" spans="13:13" x14ac:dyDescent="0.5">
      <c r="M5790" s="2">
        <v>5789</v>
      </c>
    </row>
    <row r="5791" spans="13:13" x14ac:dyDescent="0.5">
      <c r="M5791" s="2">
        <v>5790</v>
      </c>
    </row>
    <row r="5792" spans="13:13" x14ac:dyDescent="0.5">
      <c r="M5792" s="2">
        <v>5791</v>
      </c>
    </row>
    <row r="5793" spans="13:13" x14ac:dyDescent="0.5">
      <c r="M5793" s="2">
        <v>5792</v>
      </c>
    </row>
    <row r="5794" spans="13:13" x14ac:dyDescent="0.5">
      <c r="M5794" s="2">
        <v>5793</v>
      </c>
    </row>
    <row r="5795" spans="13:13" x14ac:dyDescent="0.5">
      <c r="M5795" s="2">
        <v>5794</v>
      </c>
    </row>
    <row r="5796" spans="13:13" x14ac:dyDescent="0.5">
      <c r="M5796" s="2">
        <v>5795</v>
      </c>
    </row>
    <row r="5797" spans="13:13" x14ac:dyDescent="0.5">
      <c r="M5797" s="2">
        <v>5796</v>
      </c>
    </row>
    <row r="5798" spans="13:13" x14ac:dyDescent="0.5">
      <c r="M5798" s="2">
        <v>5797</v>
      </c>
    </row>
    <row r="5799" spans="13:13" x14ac:dyDescent="0.5">
      <c r="M5799" s="2">
        <v>5798</v>
      </c>
    </row>
    <row r="5800" spans="13:13" x14ac:dyDescent="0.5">
      <c r="M5800" s="2">
        <v>5799</v>
      </c>
    </row>
    <row r="5801" spans="13:13" x14ac:dyDescent="0.5">
      <c r="M5801" s="2">
        <v>5800</v>
      </c>
    </row>
    <row r="5802" spans="13:13" x14ac:dyDescent="0.5">
      <c r="M5802" s="2">
        <v>5801</v>
      </c>
    </row>
    <row r="5803" spans="13:13" x14ac:dyDescent="0.5">
      <c r="M5803" s="2">
        <v>5802</v>
      </c>
    </row>
    <row r="5804" spans="13:13" x14ac:dyDescent="0.5">
      <c r="M5804" s="2">
        <v>5803</v>
      </c>
    </row>
    <row r="5805" spans="13:13" x14ac:dyDescent="0.5">
      <c r="M5805" s="2">
        <v>5804</v>
      </c>
    </row>
    <row r="5806" spans="13:13" x14ac:dyDescent="0.5">
      <c r="M5806" s="2">
        <v>5805</v>
      </c>
    </row>
    <row r="5807" spans="13:13" x14ac:dyDescent="0.5">
      <c r="M5807" s="2">
        <v>5806</v>
      </c>
    </row>
    <row r="5808" spans="13:13" x14ac:dyDescent="0.5">
      <c r="M5808" s="2">
        <v>5807</v>
      </c>
    </row>
    <row r="5809" spans="13:13" x14ac:dyDescent="0.5">
      <c r="M5809" s="2">
        <v>5808</v>
      </c>
    </row>
    <row r="5810" spans="13:13" x14ac:dyDescent="0.5">
      <c r="M5810" s="2">
        <v>5809</v>
      </c>
    </row>
    <row r="5811" spans="13:13" x14ac:dyDescent="0.5">
      <c r="M5811" s="2">
        <v>5810</v>
      </c>
    </row>
    <row r="5812" spans="13:13" x14ac:dyDescent="0.5">
      <c r="M5812" s="2">
        <v>5811</v>
      </c>
    </row>
    <row r="5813" spans="13:13" x14ac:dyDescent="0.5">
      <c r="M5813" s="2">
        <v>5812</v>
      </c>
    </row>
    <row r="5814" spans="13:13" x14ac:dyDescent="0.5">
      <c r="M5814" s="2">
        <v>5813</v>
      </c>
    </row>
    <row r="5815" spans="13:13" x14ac:dyDescent="0.5">
      <c r="M5815" s="2">
        <v>5814</v>
      </c>
    </row>
    <row r="5816" spans="13:13" x14ac:dyDescent="0.5">
      <c r="M5816" s="2">
        <v>5815</v>
      </c>
    </row>
    <row r="5817" spans="13:13" x14ac:dyDescent="0.5">
      <c r="M5817" s="2">
        <v>5816</v>
      </c>
    </row>
    <row r="5818" spans="13:13" x14ac:dyDescent="0.5">
      <c r="M5818" s="2">
        <v>5817</v>
      </c>
    </row>
    <row r="5819" spans="13:13" x14ac:dyDescent="0.5">
      <c r="M5819" s="2">
        <v>5818</v>
      </c>
    </row>
    <row r="5820" spans="13:13" x14ac:dyDescent="0.5">
      <c r="M5820" s="2">
        <v>5819</v>
      </c>
    </row>
    <row r="5821" spans="13:13" x14ac:dyDescent="0.5">
      <c r="M5821" s="2">
        <v>5820</v>
      </c>
    </row>
    <row r="5822" spans="13:13" x14ac:dyDescent="0.5">
      <c r="M5822" s="2">
        <v>5821</v>
      </c>
    </row>
    <row r="5823" spans="13:13" x14ac:dyDescent="0.5">
      <c r="M5823" s="2">
        <v>5822</v>
      </c>
    </row>
    <row r="5824" spans="13:13" x14ac:dyDescent="0.5">
      <c r="M5824" s="2">
        <v>5823</v>
      </c>
    </row>
    <row r="5825" spans="13:13" x14ac:dyDescent="0.5">
      <c r="M5825" s="2">
        <v>5824</v>
      </c>
    </row>
    <row r="5826" spans="13:13" x14ac:dyDescent="0.5">
      <c r="M5826" s="2">
        <v>5825</v>
      </c>
    </row>
    <row r="5827" spans="13:13" x14ac:dyDescent="0.5">
      <c r="M5827" s="2">
        <v>5826</v>
      </c>
    </row>
    <row r="5828" spans="13:13" x14ac:dyDescent="0.5">
      <c r="M5828" s="2">
        <v>5827</v>
      </c>
    </row>
    <row r="5829" spans="13:13" x14ac:dyDescent="0.5">
      <c r="M5829" s="2">
        <v>5828</v>
      </c>
    </row>
    <row r="5830" spans="13:13" x14ac:dyDescent="0.5">
      <c r="M5830" s="2">
        <v>5829</v>
      </c>
    </row>
    <row r="5831" spans="13:13" x14ac:dyDescent="0.5">
      <c r="M5831" s="2">
        <v>5830</v>
      </c>
    </row>
    <row r="5832" spans="13:13" x14ac:dyDescent="0.5">
      <c r="M5832" s="2">
        <v>5831</v>
      </c>
    </row>
    <row r="5833" spans="13:13" x14ac:dyDescent="0.5">
      <c r="M5833" s="2">
        <v>5832</v>
      </c>
    </row>
    <row r="5834" spans="13:13" x14ac:dyDescent="0.5">
      <c r="M5834" s="2">
        <v>5833</v>
      </c>
    </row>
    <row r="5835" spans="13:13" x14ac:dyDescent="0.5">
      <c r="M5835" s="2">
        <v>5834</v>
      </c>
    </row>
    <row r="5836" spans="13:13" x14ac:dyDescent="0.5">
      <c r="M5836" s="2">
        <v>5835</v>
      </c>
    </row>
    <row r="5837" spans="13:13" x14ac:dyDescent="0.5">
      <c r="M5837" s="2">
        <v>5836</v>
      </c>
    </row>
    <row r="5838" spans="13:13" x14ac:dyDescent="0.5">
      <c r="M5838" s="2">
        <v>5837</v>
      </c>
    </row>
    <row r="5839" spans="13:13" x14ac:dyDescent="0.5">
      <c r="M5839" s="2">
        <v>5838</v>
      </c>
    </row>
    <row r="5840" spans="13:13" x14ac:dyDescent="0.5">
      <c r="M5840" s="2">
        <v>5839</v>
      </c>
    </row>
    <row r="5841" spans="13:13" x14ac:dyDescent="0.5">
      <c r="M5841" s="2">
        <v>5840</v>
      </c>
    </row>
    <row r="5842" spans="13:13" x14ac:dyDescent="0.5">
      <c r="M5842" s="2">
        <v>5841</v>
      </c>
    </row>
    <row r="5843" spans="13:13" x14ac:dyDescent="0.5">
      <c r="M5843" s="2">
        <v>5842</v>
      </c>
    </row>
    <row r="5844" spans="13:13" x14ac:dyDescent="0.5">
      <c r="M5844" s="2">
        <v>5843</v>
      </c>
    </row>
    <row r="5845" spans="13:13" x14ac:dyDescent="0.5">
      <c r="M5845" s="2">
        <v>5844</v>
      </c>
    </row>
    <row r="5846" spans="13:13" x14ac:dyDescent="0.5">
      <c r="M5846" s="2">
        <v>5845</v>
      </c>
    </row>
    <row r="5847" spans="13:13" x14ac:dyDescent="0.5">
      <c r="M5847" s="2">
        <v>5846</v>
      </c>
    </row>
    <row r="5848" spans="13:13" x14ac:dyDescent="0.5">
      <c r="M5848" s="2">
        <v>5847</v>
      </c>
    </row>
    <row r="5849" spans="13:13" x14ac:dyDescent="0.5">
      <c r="M5849" s="2">
        <v>5848</v>
      </c>
    </row>
    <row r="5850" spans="13:13" x14ac:dyDescent="0.5">
      <c r="M5850" s="2">
        <v>5849</v>
      </c>
    </row>
    <row r="5851" spans="13:13" x14ac:dyDescent="0.5">
      <c r="M5851" s="2">
        <v>5850</v>
      </c>
    </row>
    <row r="5852" spans="13:13" x14ac:dyDescent="0.5">
      <c r="M5852" s="2">
        <v>5851</v>
      </c>
    </row>
    <row r="5853" spans="13:13" x14ac:dyDescent="0.5">
      <c r="M5853" s="2">
        <v>5852</v>
      </c>
    </row>
    <row r="5854" spans="13:13" x14ac:dyDescent="0.5">
      <c r="M5854" s="2">
        <v>5853</v>
      </c>
    </row>
    <row r="5855" spans="13:13" x14ac:dyDescent="0.5">
      <c r="M5855" s="2">
        <v>5854</v>
      </c>
    </row>
    <row r="5856" spans="13:13" x14ac:dyDescent="0.5">
      <c r="M5856" s="2">
        <v>5855</v>
      </c>
    </row>
    <row r="5857" spans="13:13" x14ac:dyDescent="0.5">
      <c r="M5857" s="2">
        <v>5856</v>
      </c>
    </row>
    <row r="5858" spans="13:13" x14ac:dyDescent="0.5">
      <c r="M5858" s="2">
        <v>5857</v>
      </c>
    </row>
    <row r="5859" spans="13:13" x14ac:dyDescent="0.5">
      <c r="M5859" s="2">
        <v>5858</v>
      </c>
    </row>
    <row r="5860" spans="13:13" x14ac:dyDescent="0.5">
      <c r="M5860" s="2">
        <v>5859</v>
      </c>
    </row>
    <row r="5861" spans="13:13" x14ac:dyDescent="0.5">
      <c r="M5861" s="2">
        <v>5860</v>
      </c>
    </row>
    <row r="5862" spans="13:13" x14ac:dyDescent="0.5">
      <c r="M5862" s="2">
        <v>5861</v>
      </c>
    </row>
    <row r="5863" spans="13:13" x14ac:dyDescent="0.5">
      <c r="M5863" s="2">
        <v>5862</v>
      </c>
    </row>
    <row r="5864" spans="13:13" x14ac:dyDescent="0.5">
      <c r="M5864" s="2">
        <v>5863</v>
      </c>
    </row>
    <row r="5865" spans="13:13" x14ac:dyDescent="0.5">
      <c r="M5865" s="2">
        <v>5864</v>
      </c>
    </row>
    <row r="5866" spans="13:13" x14ac:dyDescent="0.5">
      <c r="M5866" s="2">
        <v>5865</v>
      </c>
    </row>
    <row r="5867" spans="13:13" x14ac:dyDescent="0.5">
      <c r="M5867" s="2">
        <v>5866</v>
      </c>
    </row>
    <row r="5868" spans="13:13" x14ac:dyDescent="0.5">
      <c r="M5868" s="2">
        <v>5867</v>
      </c>
    </row>
    <row r="5869" spans="13:13" x14ac:dyDescent="0.5">
      <c r="M5869" s="2">
        <v>5868</v>
      </c>
    </row>
    <row r="5870" spans="13:13" x14ac:dyDescent="0.5">
      <c r="M5870" s="2">
        <v>5869</v>
      </c>
    </row>
    <row r="5871" spans="13:13" x14ac:dyDescent="0.5">
      <c r="M5871" s="2">
        <v>5870</v>
      </c>
    </row>
    <row r="5872" spans="13:13" x14ac:dyDescent="0.5">
      <c r="M5872" s="2">
        <v>5871</v>
      </c>
    </row>
    <row r="5873" spans="13:13" x14ac:dyDescent="0.5">
      <c r="M5873" s="2">
        <v>5872</v>
      </c>
    </row>
    <row r="5874" spans="13:13" x14ac:dyDescent="0.5">
      <c r="M5874" s="2">
        <v>5873</v>
      </c>
    </row>
    <row r="5875" spans="13:13" x14ac:dyDescent="0.5">
      <c r="M5875" s="2">
        <v>5874</v>
      </c>
    </row>
    <row r="5876" spans="13:13" x14ac:dyDescent="0.5">
      <c r="M5876" s="2">
        <v>5875</v>
      </c>
    </row>
    <row r="5877" spans="13:13" x14ac:dyDescent="0.5">
      <c r="M5877" s="2">
        <v>5876</v>
      </c>
    </row>
    <row r="5878" spans="13:13" x14ac:dyDescent="0.5">
      <c r="M5878" s="2">
        <v>5877</v>
      </c>
    </row>
    <row r="5879" spans="13:13" x14ac:dyDescent="0.5">
      <c r="M5879" s="2">
        <v>5878</v>
      </c>
    </row>
    <row r="5880" spans="13:13" x14ac:dyDescent="0.5">
      <c r="M5880" s="2">
        <v>5879</v>
      </c>
    </row>
    <row r="5881" spans="13:13" x14ac:dyDescent="0.5">
      <c r="M5881" s="2">
        <v>5880</v>
      </c>
    </row>
    <row r="5882" spans="13:13" x14ac:dyDescent="0.5">
      <c r="M5882" s="2">
        <v>5881</v>
      </c>
    </row>
    <row r="5883" spans="13:13" x14ac:dyDescent="0.5">
      <c r="M5883" s="2">
        <v>5882</v>
      </c>
    </row>
    <row r="5884" spans="13:13" x14ac:dyDescent="0.5">
      <c r="M5884" s="2">
        <v>5883</v>
      </c>
    </row>
    <row r="5885" spans="13:13" x14ac:dyDescent="0.5">
      <c r="M5885" s="2">
        <v>5884</v>
      </c>
    </row>
    <row r="5886" spans="13:13" x14ac:dyDescent="0.5">
      <c r="M5886" s="2">
        <v>5885</v>
      </c>
    </row>
    <row r="5887" spans="13:13" x14ac:dyDescent="0.5">
      <c r="M5887" s="2">
        <v>5886</v>
      </c>
    </row>
    <row r="5888" spans="13:13" x14ac:dyDescent="0.5">
      <c r="M5888" s="2">
        <v>5887</v>
      </c>
    </row>
    <row r="5889" spans="13:13" x14ac:dyDescent="0.5">
      <c r="M5889" s="2">
        <v>5888</v>
      </c>
    </row>
    <row r="5890" spans="13:13" x14ac:dyDescent="0.5">
      <c r="M5890" s="2">
        <v>5889</v>
      </c>
    </row>
    <row r="5891" spans="13:13" x14ac:dyDescent="0.5">
      <c r="M5891" s="2">
        <v>5890</v>
      </c>
    </row>
    <row r="5892" spans="13:13" x14ac:dyDescent="0.5">
      <c r="M5892" s="2">
        <v>5891</v>
      </c>
    </row>
    <row r="5893" spans="13:13" x14ac:dyDescent="0.5">
      <c r="M5893" s="2">
        <v>5892</v>
      </c>
    </row>
    <row r="5894" spans="13:13" x14ac:dyDescent="0.5">
      <c r="M5894" s="2">
        <v>5893</v>
      </c>
    </row>
    <row r="5895" spans="13:13" x14ac:dyDescent="0.5">
      <c r="M5895" s="2">
        <v>5894</v>
      </c>
    </row>
    <row r="5896" spans="13:13" x14ac:dyDescent="0.5">
      <c r="M5896" s="2">
        <v>5895</v>
      </c>
    </row>
    <row r="5897" spans="13:13" x14ac:dyDescent="0.5">
      <c r="M5897" s="2">
        <v>5896</v>
      </c>
    </row>
    <row r="5898" spans="13:13" x14ac:dyDescent="0.5">
      <c r="M5898" s="2">
        <v>5897</v>
      </c>
    </row>
    <row r="5899" spans="13:13" x14ac:dyDescent="0.5">
      <c r="M5899" s="2">
        <v>5898</v>
      </c>
    </row>
    <row r="5900" spans="13:13" x14ac:dyDescent="0.5">
      <c r="M5900" s="2">
        <v>5899</v>
      </c>
    </row>
    <row r="5901" spans="13:13" x14ac:dyDescent="0.5">
      <c r="M5901" s="2">
        <v>5900</v>
      </c>
    </row>
    <row r="5902" spans="13:13" x14ac:dyDescent="0.5">
      <c r="M5902" s="2">
        <v>5901</v>
      </c>
    </row>
    <row r="5903" spans="13:13" x14ac:dyDescent="0.5">
      <c r="M5903" s="2">
        <v>5902</v>
      </c>
    </row>
    <row r="5904" spans="13:13" x14ac:dyDescent="0.5">
      <c r="M5904" s="2">
        <v>5903</v>
      </c>
    </row>
    <row r="5905" spans="13:13" x14ac:dyDescent="0.5">
      <c r="M5905" s="2">
        <v>5904</v>
      </c>
    </row>
    <row r="5906" spans="13:13" x14ac:dyDescent="0.5">
      <c r="M5906" s="2">
        <v>5905</v>
      </c>
    </row>
    <row r="5907" spans="13:13" x14ac:dyDescent="0.5">
      <c r="M5907" s="2">
        <v>5906</v>
      </c>
    </row>
    <row r="5908" spans="13:13" x14ac:dyDescent="0.5">
      <c r="M5908" s="2">
        <v>5907</v>
      </c>
    </row>
    <row r="5909" spans="13:13" x14ac:dyDescent="0.5">
      <c r="M5909" s="2">
        <v>5908</v>
      </c>
    </row>
    <row r="5910" spans="13:13" x14ac:dyDescent="0.5">
      <c r="M5910" s="2">
        <v>5909</v>
      </c>
    </row>
    <row r="5911" spans="13:13" x14ac:dyDescent="0.5">
      <c r="M5911" s="2">
        <v>5910</v>
      </c>
    </row>
    <row r="5912" spans="13:13" x14ac:dyDescent="0.5">
      <c r="M5912" s="2">
        <v>5911</v>
      </c>
    </row>
    <row r="5913" spans="13:13" x14ac:dyDescent="0.5">
      <c r="M5913" s="2">
        <v>5912</v>
      </c>
    </row>
    <row r="5914" spans="13:13" x14ac:dyDescent="0.5">
      <c r="M5914" s="2">
        <v>5913</v>
      </c>
    </row>
    <row r="5915" spans="13:13" x14ac:dyDescent="0.5">
      <c r="M5915" s="2">
        <v>5914</v>
      </c>
    </row>
    <row r="5916" spans="13:13" x14ac:dyDescent="0.5">
      <c r="M5916" s="2">
        <v>5915</v>
      </c>
    </row>
    <row r="5917" spans="13:13" x14ac:dyDescent="0.5">
      <c r="M5917" s="2">
        <v>5916</v>
      </c>
    </row>
    <row r="5918" spans="13:13" x14ac:dyDescent="0.5">
      <c r="M5918" s="2">
        <v>5917</v>
      </c>
    </row>
    <row r="5919" spans="13:13" x14ac:dyDescent="0.5">
      <c r="M5919" s="2">
        <v>5918</v>
      </c>
    </row>
    <row r="5920" spans="13:13" x14ac:dyDescent="0.5">
      <c r="M5920" s="2">
        <v>5919</v>
      </c>
    </row>
    <row r="5921" spans="13:13" x14ac:dyDescent="0.5">
      <c r="M5921" s="2">
        <v>5920</v>
      </c>
    </row>
    <row r="5922" spans="13:13" x14ac:dyDescent="0.5">
      <c r="M5922" s="2">
        <v>5921</v>
      </c>
    </row>
    <row r="5923" spans="13:13" x14ac:dyDescent="0.5">
      <c r="M5923" s="2">
        <v>5922</v>
      </c>
    </row>
    <row r="5924" spans="13:13" x14ac:dyDescent="0.5">
      <c r="M5924" s="2">
        <v>5923</v>
      </c>
    </row>
    <row r="5925" spans="13:13" x14ac:dyDescent="0.5">
      <c r="M5925" s="2">
        <v>5924</v>
      </c>
    </row>
    <row r="5926" spans="13:13" x14ac:dyDescent="0.5">
      <c r="M5926" s="2">
        <v>5925</v>
      </c>
    </row>
    <row r="5927" spans="13:13" x14ac:dyDescent="0.5">
      <c r="M5927" s="2">
        <v>5926</v>
      </c>
    </row>
    <row r="5928" spans="13:13" x14ac:dyDescent="0.5">
      <c r="M5928" s="2">
        <v>5927</v>
      </c>
    </row>
    <row r="5929" spans="13:13" x14ac:dyDescent="0.5">
      <c r="M5929" s="2">
        <v>5928</v>
      </c>
    </row>
    <row r="5930" spans="13:13" x14ac:dyDescent="0.5">
      <c r="M5930" s="2">
        <v>5929</v>
      </c>
    </row>
    <row r="5931" spans="13:13" x14ac:dyDescent="0.5">
      <c r="M5931" s="2">
        <v>5930</v>
      </c>
    </row>
    <row r="5932" spans="13:13" x14ac:dyDescent="0.5">
      <c r="M5932" s="2">
        <v>5931</v>
      </c>
    </row>
    <row r="5933" spans="13:13" x14ac:dyDescent="0.5">
      <c r="M5933" s="2">
        <v>5932</v>
      </c>
    </row>
    <row r="5934" spans="13:13" x14ac:dyDescent="0.5">
      <c r="M5934" s="2">
        <v>5933</v>
      </c>
    </row>
    <row r="5935" spans="13:13" x14ac:dyDescent="0.5">
      <c r="M5935" s="2">
        <v>5934</v>
      </c>
    </row>
    <row r="5936" spans="13:13" x14ac:dyDescent="0.5">
      <c r="M5936" s="2">
        <v>5935</v>
      </c>
    </row>
    <row r="5937" spans="13:13" x14ac:dyDescent="0.5">
      <c r="M5937" s="2">
        <v>5936</v>
      </c>
    </row>
    <row r="5938" spans="13:13" x14ac:dyDescent="0.5">
      <c r="M5938" s="2">
        <v>5937</v>
      </c>
    </row>
    <row r="5939" spans="13:13" x14ac:dyDescent="0.5">
      <c r="M5939" s="2">
        <v>5938</v>
      </c>
    </row>
    <row r="5940" spans="13:13" x14ac:dyDescent="0.5">
      <c r="M5940" s="2">
        <v>5939</v>
      </c>
    </row>
    <row r="5941" spans="13:13" x14ac:dyDescent="0.5">
      <c r="M5941" s="2">
        <v>5940</v>
      </c>
    </row>
    <row r="5942" spans="13:13" x14ac:dyDescent="0.5">
      <c r="M5942" s="2">
        <v>5941</v>
      </c>
    </row>
    <row r="5943" spans="13:13" x14ac:dyDescent="0.5">
      <c r="M5943" s="2">
        <v>5942</v>
      </c>
    </row>
    <row r="5944" spans="13:13" x14ac:dyDescent="0.5">
      <c r="M5944" s="2">
        <v>5943</v>
      </c>
    </row>
    <row r="5945" spans="13:13" x14ac:dyDescent="0.5">
      <c r="M5945" s="2">
        <v>5944</v>
      </c>
    </row>
    <row r="5946" spans="13:13" x14ac:dyDescent="0.5">
      <c r="M5946" s="2">
        <v>5945</v>
      </c>
    </row>
    <row r="5947" spans="13:13" x14ac:dyDescent="0.5">
      <c r="M5947" s="2">
        <v>5946</v>
      </c>
    </row>
    <row r="5948" spans="13:13" x14ac:dyDescent="0.5">
      <c r="M5948" s="2">
        <v>5947</v>
      </c>
    </row>
    <row r="5949" spans="13:13" x14ac:dyDescent="0.5">
      <c r="M5949" s="2">
        <v>5948</v>
      </c>
    </row>
    <row r="5950" spans="13:13" x14ac:dyDescent="0.5">
      <c r="M5950" s="2">
        <v>5949</v>
      </c>
    </row>
    <row r="5951" spans="13:13" x14ac:dyDescent="0.5">
      <c r="M5951" s="2">
        <v>5950</v>
      </c>
    </row>
    <row r="5952" spans="13:13" x14ac:dyDescent="0.5">
      <c r="M5952" s="2">
        <v>5951</v>
      </c>
    </row>
    <row r="5953" spans="13:13" x14ac:dyDescent="0.5">
      <c r="M5953" s="2">
        <v>5952</v>
      </c>
    </row>
    <row r="5954" spans="13:13" x14ac:dyDescent="0.5">
      <c r="M5954" s="2">
        <v>5953</v>
      </c>
    </row>
    <row r="5955" spans="13:13" x14ac:dyDescent="0.5">
      <c r="M5955" s="2">
        <v>5954</v>
      </c>
    </row>
    <row r="5956" spans="13:13" x14ac:dyDescent="0.5">
      <c r="M5956" s="2">
        <v>5955</v>
      </c>
    </row>
    <row r="5957" spans="13:13" x14ac:dyDescent="0.5">
      <c r="M5957" s="2">
        <v>5956</v>
      </c>
    </row>
    <row r="5958" spans="13:13" x14ac:dyDescent="0.5">
      <c r="M5958" s="2">
        <v>5957</v>
      </c>
    </row>
    <row r="5959" spans="13:13" x14ac:dyDescent="0.5">
      <c r="M5959" s="2">
        <v>5958</v>
      </c>
    </row>
    <row r="5960" spans="13:13" x14ac:dyDescent="0.5">
      <c r="M5960" s="2">
        <v>5959</v>
      </c>
    </row>
    <row r="5961" spans="13:13" x14ac:dyDescent="0.5">
      <c r="M5961" s="2">
        <v>5960</v>
      </c>
    </row>
    <row r="5962" spans="13:13" x14ac:dyDescent="0.5">
      <c r="M5962" s="2">
        <v>5961</v>
      </c>
    </row>
    <row r="5963" spans="13:13" x14ac:dyDescent="0.5">
      <c r="M5963" s="2">
        <v>5962</v>
      </c>
    </row>
    <row r="5964" spans="13:13" x14ac:dyDescent="0.5">
      <c r="M5964" s="2">
        <v>5963</v>
      </c>
    </row>
    <row r="5965" spans="13:13" x14ac:dyDescent="0.5">
      <c r="M5965" s="2">
        <v>5964</v>
      </c>
    </row>
    <row r="5966" spans="13:13" x14ac:dyDescent="0.5">
      <c r="M5966" s="2">
        <v>5965</v>
      </c>
    </row>
    <row r="5967" spans="13:13" x14ac:dyDescent="0.5">
      <c r="M5967" s="2">
        <v>5966</v>
      </c>
    </row>
    <row r="5968" spans="13:13" x14ac:dyDescent="0.5">
      <c r="M5968" s="2">
        <v>5967</v>
      </c>
    </row>
    <row r="5969" spans="13:13" x14ac:dyDescent="0.5">
      <c r="M5969" s="2">
        <v>5968</v>
      </c>
    </row>
    <row r="5970" spans="13:13" x14ac:dyDescent="0.5">
      <c r="M5970" s="2">
        <v>5969</v>
      </c>
    </row>
    <row r="5971" spans="13:13" x14ac:dyDescent="0.5">
      <c r="M5971" s="2">
        <v>5970</v>
      </c>
    </row>
    <row r="5972" spans="13:13" x14ac:dyDescent="0.5">
      <c r="M5972" s="2">
        <v>5971</v>
      </c>
    </row>
    <row r="5973" spans="13:13" x14ac:dyDescent="0.5">
      <c r="M5973" s="2">
        <v>5972</v>
      </c>
    </row>
    <row r="5974" spans="13:13" x14ac:dyDescent="0.5">
      <c r="M5974" s="2">
        <v>5973</v>
      </c>
    </row>
    <row r="5975" spans="13:13" x14ac:dyDescent="0.5">
      <c r="M5975" s="2">
        <v>5974</v>
      </c>
    </row>
    <row r="5976" spans="13:13" x14ac:dyDescent="0.5">
      <c r="M5976" s="2">
        <v>5975</v>
      </c>
    </row>
    <row r="5977" spans="13:13" x14ac:dyDescent="0.5">
      <c r="M5977" s="2">
        <v>5976</v>
      </c>
    </row>
    <row r="5978" spans="13:13" x14ac:dyDescent="0.5">
      <c r="M5978" s="2">
        <v>5977</v>
      </c>
    </row>
    <row r="5979" spans="13:13" x14ac:dyDescent="0.5">
      <c r="M5979" s="2">
        <v>5978</v>
      </c>
    </row>
    <row r="5980" spans="13:13" x14ac:dyDescent="0.5">
      <c r="M5980" s="2">
        <v>5979</v>
      </c>
    </row>
    <row r="5981" spans="13:13" x14ac:dyDescent="0.5">
      <c r="M5981" s="2">
        <v>5980</v>
      </c>
    </row>
    <row r="5982" spans="13:13" x14ac:dyDescent="0.5">
      <c r="M5982" s="2">
        <v>5981</v>
      </c>
    </row>
    <row r="5983" spans="13:13" x14ac:dyDescent="0.5">
      <c r="M5983" s="2">
        <v>5982</v>
      </c>
    </row>
    <row r="5984" spans="13:13" x14ac:dyDescent="0.5">
      <c r="M5984" s="2">
        <v>5983</v>
      </c>
    </row>
    <row r="5985" spans="13:13" x14ac:dyDescent="0.5">
      <c r="M5985" s="2">
        <v>5984</v>
      </c>
    </row>
    <row r="5986" spans="13:13" x14ac:dyDescent="0.5">
      <c r="M5986" s="2">
        <v>5985</v>
      </c>
    </row>
    <row r="5987" spans="13:13" x14ac:dyDescent="0.5">
      <c r="M5987" s="2">
        <v>5986</v>
      </c>
    </row>
    <row r="5988" spans="13:13" x14ac:dyDescent="0.5">
      <c r="M5988" s="2">
        <v>5987</v>
      </c>
    </row>
    <row r="5989" spans="13:13" x14ac:dyDescent="0.5">
      <c r="M5989" s="2">
        <v>5988</v>
      </c>
    </row>
    <row r="5990" spans="13:13" x14ac:dyDescent="0.5">
      <c r="M5990" s="2">
        <v>5989</v>
      </c>
    </row>
    <row r="5991" spans="13:13" x14ac:dyDescent="0.5">
      <c r="M5991" s="2">
        <v>5990</v>
      </c>
    </row>
    <row r="5992" spans="13:13" x14ac:dyDescent="0.5">
      <c r="M5992" s="2">
        <v>5991</v>
      </c>
    </row>
    <row r="5993" spans="13:13" x14ac:dyDescent="0.5">
      <c r="M5993" s="2">
        <v>5992</v>
      </c>
    </row>
    <row r="5994" spans="13:13" x14ac:dyDescent="0.5">
      <c r="M5994" s="2">
        <v>5993</v>
      </c>
    </row>
    <row r="5995" spans="13:13" x14ac:dyDescent="0.5">
      <c r="M5995" s="2">
        <v>5994</v>
      </c>
    </row>
    <row r="5996" spans="13:13" x14ac:dyDescent="0.5">
      <c r="M5996" s="2">
        <v>5995</v>
      </c>
    </row>
    <row r="5997" spans="13:13" x14ac:dyDescent="0.5">
      <c r="M5997" s="2">
        <v>5996</v>
      </c>
    </row>
    <row r="5998" spans="13:13" x14ac:dyDescent="0.5">
      <c r="M5998" s="2">
        <v>5997</v>
      </c>
    </row>
    <row r="5999" spans="13:13" x14ac:dyDescent="0.5">
      <c r="M5999" s="2">
        <v>5998</v>
      </c>
    </row>
    <row r="6000" spans="13:13" x14ac:dyDescent="0.5">
      <c r="M6000" s="2">
        <v>5999</v>
      </c>
    </row>
    <row r="6001" spans="13:13" x14ac:dyDescent="0.5">
      <c r="M6001" s="2">
        <v>6000</v>
      </c>
    </row>
  </sheetData>
  <pageMargins left="0.7" right="0.7" top="0.75" bottom="0.75" header="0.3" footer="0.3"/>
  <pageSetup orientation="portrait" horizontalDpi="4294967293" verticalDpi="4294967293" r:id="rId1"/>
  <headerFooter>
    <oddHeader>&amp;R&amp;R Version 2019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CB4626127D66448EC3BF6F5EC4DA7A" ma:contentTypeVersion="13" ma:contentTypeDescription="Create a new document." ma:contentTypeScope="" ma:versionID="3d5d1e37fe81fade4eb50b30cee5f1da">
  <xsd:schema xmlns:xsd="http://www.w3.org/2001/XMLSchema" xmlns:xs="http://www.w3.org/2001/XMLSchema" xmlns:p="http://schemas.microsoft.com/office/2006/metadata/properties" xmlns:ns2="5b105ceb-ec45-456d-b519-3e211af34d21" xmlns:ns3="e4f70e9f-b420-4f74-bb5c-fb82ad78d00b" targetNamespace="http://schemas.microsoft.com/office/2006/metadata/properties" ma:root="true" ma:fieldsID="1b7df4a3b1a20e9a293c556668866170" ns2:_="" ns3:_="">
    <xsd:import namespace="5b105ceb-ec45-456d-b519-3e211af34d21"/>
    <xsd:import namespace="e4f70e9f-b420-4f74-bb5c-fb82ad78d00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105ceb-ec45-456d-b519-3e211af34d2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f70e9f-b420-4f74-bb5c-fb82ad78d00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F7B88E-53B7-4265-8F59-21F1B394C1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105ceb-ec45-456d-b519-3e211af34d21"/>
    <ds:schemaRef ds:uri="e4f70e9f-b420-4f74-bb5c-fb82ad78d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05F746-50DE-4B1F-9D13-1FD488B8DA5A}">
  <ds:schemaRefs>
    <ds:schemaRef ds:uri="http://schemas.microsoft.com/sharepoint/v3/contenttype/forms"/>
  </ds:schemaRefs>
</ds:datastoreItem>
</file>

<file path=customXml/itemProps3.xml><?xml version="1.0" encoding="utf-8"?>
<ds:datastoreItem xmlns:ds="http://schemas.openxmlformats.org/officeDocument/2006/customXml" ds:itemID="{12550CF0-EBBF-40E8-A8D7-8BED738A1FDD}">
  <ds:schemaRefs>
    <ds:schemaRef ds:uri="http://schemas.microsoft.com/office/2006/metadata/properties"/>
    <ds:schemaRef ds:uri="http://schemas.microsoft.com/office/2006/documentManagement/types"/>
    <ds:schemaRef ds:uri="http://purl.org/dc/dcmitype/"/>
    <ds:schemaRef ds:uri="e4f70e9f-b420-4f74-bb5c-fb82ad78d00b"/>
    <ds:schemaRef ds:uri="http://purl.org/dc/elements/1.1/"/>
    <ds:schemaRef ds:uri="http://schemas.openxmlformats.org/package/2006/metadata/core-properties"/>
    <ds:schemaRef ds:uri="http://purl.org/dc/terms/"/>
    <ds:schemaRef ds:uri="http://schemas.microsoft.com/office/infopath/2007/PartnerControls"/>
    <ds:schemaRef ds:uri="5b105ceb-ec45-456d-b519-3e211af34d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Copyright</vt:lpstr>
      <vt:lpstr>Instructions</vt:lpstr>
      <vt:lpstr>Dashboard</vt:lpstr>
      <vt:lpstr>Business Information</vt:lpstr>
      <vt:lpstr>Documentation</vt:lpstr>
      <vt:lpstr>SIG 2021</vt:lpstr>
      <vt:lpstr>Formula Notes</vt:lpstr>
      <vt:lpstr>Full</vt:lpstr>
      <vt:lpstr>A1VerVal</vt:lpstr>
      <vt:lpstr>BusInfoArray</vt:lpstr>
      <vt:lpstr>CompanyHashSIG</vt:lpstr>
      <vt:lpstr>CompanyName</vt:lpstr>
      <vt:lpstr>CompanyNameFlag</vt:lpstr>
      <vt:lpstr>CurrentVersionSIG</vt:lpstr>
      <vt:lpstr>FullResponses</vt:lpstr>
      <vt:lpstr>JumpArray</vt:lpstr>
      <vt:lpstr>JumpSelection</vt:lpstr>
      <vt:lpstr>OutputArray</vt:lpstr>
      <vt:lpstr>'Business Information'!Print_Area</vt:lpstr>
      <vt:lpstr>Copyright!Print_Area</vt:lpstr>
      <vt:lpstr>Dashboard!Print_Area</vt:lpstr>
      <vt:lpstr>Documentation!Print_Area</vt:lpstr>
      <vt:lpstr>'Formula Notes'!Print_Area</vt:lpstr>
      <vt:lpstr>'SIG 2021'!Print_Area</vt:lpstr>
      <vt:lpstr>'SIG 2021'!Print_Titles</vt:lpstr>
      <vt:lpstr>ServiceSelection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Brennan</dc:creator>
  <cp:keywords/>
  <dc:description/>
  <cp:lastModifiedBy>Justin Brennan</cp:lastModifiedBy>
  <cp:revision/>
  <dcterms:created xsi:type="dcterms:W3CDTF">2021-01-27T00:15:07Z</dcterms:created>
  <dcterms:modified xsi:type="dcterms:W3CDTF">2021-12-08T00:07:26Z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0x01010077CB4626127D66448EC3BF6F5EC4DA7A</vt:lpwstr>
  </property>
</Properties>
</file>